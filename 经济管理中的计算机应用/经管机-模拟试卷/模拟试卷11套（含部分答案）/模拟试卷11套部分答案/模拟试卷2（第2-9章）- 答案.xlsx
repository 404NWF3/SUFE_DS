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3.xml" ContentType="application/vnd.ms-excel.controlpropertie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trlProps/ctrlProp6.xml" ContentType="application/vnd.ms-excel.controlproperti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 计算机应用 2013年版本--------\0 计算机应用 幻灯片 例题-2013\期中 期末 复习\复习-第6 7 8 9章－模拟试卷部分答案\"/>
    </mc:Choice>
  </mc:AlternateContent>
  <bookViews>
    <workbookView xWindow="-15" yWindow="45" windowWidth="7680" windowHeight="8505" firstSheet="2" activeTab="7"/>
  </bookViews>
  <sheets>
    <sheet name="第1题答案" sheetId="24" r:id="rId1"/>
    <sheet name="第2题答案" sheetId="30" r:id="rId2"/>
    <sheet name="第3题答案" sheetId="25" r:id="rId3"/>
    <sheet name="第4题答案" sheetId="23" r:id="rId4"/>
    <sheet name="第5题答案" sheetId="29" r:id="rId5"/>
    <sheet name="第6题答案" sheetId="28" r:id="rId6"/>
    <sheet name="第7题答案" sheetId="27" r:id="rId7"/>
    <sheet name="第8题答案" sheetId="26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____jin01" localSheetId="0">#REF!</definedName>
    <definedName name="_____jin01" localSheetId="1">#REF!</definedName>
    <definedName name="_____jin01">#REF!</definedName>
    <definedName name="_____sj1" localSheetId="0">[1]第1套!$A$1:$C$73</definedName>
    <definedName name="_____sj1" localSheetId="1">[2]第1套!$A$1:$C$73</definedName>
    <definedName name="_____sj1">[3]第1套!$A$1:$C$73</definedName>
    <definedName name="_____sj2" localSheetId="0">[4]第2题解答!$A$1:$D$251</definedName>
    <definedName name="_____sj2" localSheetId="1">[5]第2题解答!$A$1:$D$251</definedName>
    <definedName name="_____sj2">[6]第2题解答!$A$1:$D$251</definedName>
    <definedName name="____jin01" localSheetId="0">#REF!</definedName>
    <definedName name="____jin01" localSheetId="1">#REF!</definedName>
    <definedName name="____jin01">#REF!</definedName>
    <definedName name="____sj1" localSheetId="0">[1]第1套!$A$1:$C$73</definedName>
    <definedName name="____sj1" localSheetId="1">[2]第1套!$A$1:$C$73</definedName>
    <definedName name="____sj1">[3]第1套!$A$1:$C$73</definedName>
    <definedName name="____sj2" localSheetId="0">[4]第2题解答!$A$1:$D$251</definedName>
    <definedName name="____sj2" localSheetId="1">[5]第2题解答!$A$1:$D$251</definedName>
    <definedName name="____sj2">[6]第2题解答!$A$1:$D$251</definedName>
    <definedName name="____sj3" localSheetId="0">[7]第2题!$A$1:$D$198</definedName>
    <definedName name="____sj3" localSheetId="1">[8]第2题!$A$1:$D$198</definedName>
    <definedName name="____sj3">[9]第2题!$A$1:$D$198</definedName>
    <definedName name="____sj5" localSheetId="0">[10]第1套!$A$1:$C$73</definedName>
    <definedName name="____sj5" localSheetId="1">[11]第1套!$A$1:$C$73</definedName>
    <definedName name="____sj5">[12]第1套!$A$1:$C$73</definedName>
    <definedName name="___jin01" localSheetId="0">#REF!</definedName>
    <definedName name="___jin01" localSheetId="1">#REF!</definedName>
    <definedName name="___jin01">#REF!</definedName>
    <definedName name="___sj1" localSheetId="0">[1]第1套!$A$1:$C$73</definedName>
    <definedName name="___sj1" localSheetId="1">[2]第1套!$A$1:$C$73</definedName>
    <definedName name="___sj1">[3]第1套!$A$1:$C$73</definedName>
    <definedName name="___sj2" localSheetId="0">[4]第2题解答!$A$1:$D$251</definedName>
    <definedName name="___sj2" localSheetId="1">[5]第2题解答!$A$1:$D$251</definedName>
    <definedName name="___sj2">[6]第2题解答!$A$1:$D$251</definedName>
    <definedName name="___sj3" localSheetId="0">[7]第2题!$A$1:$D$198</definedName>
    <definedName name="___sj3" localSheetId="1">[8]第2题!$A$1:$D$198</definedName>
    <definedName name="___sj3">[9]第2题!$A$1:$D$198</definedName>
    <definedName name="___sj5" localSheetId="0">[10]第1套!$A$1:$C$73</definedName>
    <definedName name="___sj5" localSheetId="1">[11]第1套!$A$1:$C$73</definedName>
    <definedName name="___sj5">[12]第1套!$A$1:$C$73</definedName>
    <definedName name="__jin01" localSheetId="0">#REF!</definedName>
    <definedName name="__jin01" localSheetId="1">#REF!</definedName>
    <definedName name="__jin01">#REF!</definedName>
    <definedName name="__sj1" localSheetId="0">[1]第1套!$A$1:$C$73</definedName>
    <definedName name="__sj1" localSheetId="1">[2]第1套!$A$1:$C$73</definedName>
    <definedName name="__sj1">[3]第1套!$A$1:$C$73</definedName>
    <definedName name="__sj2" localSheetId="0">[4]第2题解答!$A$1:$D$251</definedName>
    <definedName name="__sj2" localSheetId="1">[5]第2题解答!$A$1:$D$251</definedName>
    <definedName name="__sj2">[6]第2题解答!$A$1:$D$251</definedName>
    <definedName name="__sj3" localSheetId="0">[7]第2题!$A$1:$D$198</definedName>
    <definedName name="__sj3" localSheetId="1">[8]第2题!$A$1:$D$198</definedName>
    <definedName name="__sj3">[9]第2题!$A$1:$D$198</definedName>
    <definedName name="__sj5" localSheetId="0">[10]第1套!$A$1:$C$73</definedName>
    <definedName name="__sj5" localSheetId="1">[11]第1套!$A$1:$C$73</definedName>
    <definedName name="__sj5">[12]第1套!$A$1:$C$73</definedName>
    <definedName name="_jin01" localSheetId="0">#REF!</definedName>
    <definedName name="_jin01" localSheetId="1">#REF!</definedName>
    <definedName name="_jin01">#REF!</definedName>
    <definedName name="_sj1" localSheetId="0">[13]第1套!$A$1:$C$73</definedName>
    <definedName name="_sj1" localSheetId="1">[14]第1套!$A$1:$C$73</definedName>
    <definedName name="_sj1">[15]第1套!$A$1:$C$73</definedName>
    <definedName name="_sj2" localSheetId="0">[13]第2套!$A$1:$D$251</definedName>
    <definedName name="_sj2" localSheetId="1">[14]第2套!$A$1:$D$251</definedName>
    <definedName name="_sj2">[15]第2套!$A$1:$D$251</definedName>
    <definedName name="_sj3" localSheetId="0">[7]第2题!$A$1:$D$198</definedName>
    <definedName name="_sj3" localSheetId="1">[8]第2题!$A$1:$D$198</definedName>
    <definedName name="_sj3">[9]第2题!$A$1:$D$198</definedName>
    <definedName name="_sj5" localSheetId="0">[10]第1套!$A$1:$C$73</definedName>
    <definedName name="_sj5" localSheetId="1">[11]第1套!$A$1:$C$73</definedName>
    <definedName name="_sj5">[12]第1套!$A$1:$C$73</definedName>
    <definedName name="aaa" localSheetId="0">OFFSET([17]第4题!#REF!,0,-1,3,1)</definedName>
    <definedName name="aaa" localSheetId="1">OFFSET([18]第4题!#REF!,0,-1,3,1)</definedName>
    <definedName name="aaa">OFFSET([16]第4题!#REF!,0,-1,3,1)</definedName>
    <definedName name="ahzixingche" localSheetId="0">#REF!</definedName>
    <definedName name="ahzixingche" localSheetId="1">#REF!</definedName>
    <definedName name="ahzixingche">#REF!</definedName>
    <definedName name="Average" localSheetId="0">'[19]Simulation (2)'!$K$3:$N$3</definedName>
    <definedName name="Average" localSheetId="1">'[20]Simulation (2)'!$K$3:$N$3</definedName>
    <definedName name="Average">'[21]Simulation (2)'!$K$3:$N$3</definedName>
    <definedName name="Biao1" localSheetId="0">#REF!</definedName>
    <definedName name="Biao1" localSheetId="1">#REF!</definedName>
    <definedName name="Biao1">#REF!</definedName>
    <definedName name="Biao2" localSheetId="0">#REF!</definedName>
    <definedName name="Biao2" localSheetId="1">#REF!</definedName>
    <definedName name="Biao2">#REF!</definedName>
    <definedName name="Biao3" localSheetId="0">#REF!</definedName>
    <definedName name="Biao3" localSheetId="1">#REF!</definedName>
    <definedName name="Biao3">#REF!</definedName>
    <definedName name="Biao4" localSheetId="0">#REF!</definedName>
    <definedName name="Biao4" localSheetId="1">#REF!</definedName>
    <definedName name="Biao4">#REF!</definedName>
    <definedName name="BudgetTab" localSheetId="0">#REF!</definedName>
    <definedName name="BudgetTab" localSheetId="1">#REF!</definedName>
    <definedName name="BudgetTab" localSheetId="7">#REF!</definedName>
    <definedName name="BudgetTab">#REF!</definedName>
    <definedName name="data">#REF!</definedName>
    <definedName name="DB_1">[22]第2题!$A$1:$D$3300</definedName>
    <definedName name="dd" localSheetId="0">#REF!</definedName>
    <definedName name="dd" localSheetId="1">#REF!</definedName>
    <definedName name="dd">#REF!</definedName>
    <definedName name="IF_1">[22]第2题!$I$2:$L$3</definedName>
    <definedName name="kk" localSheetId="0">#REF!</definedName>
    <definedName name="kk" localSheetId="1">#REF!</definedName>
    <definedName name="kk">#REF!</definedName>
    <definedName name="MaintTable" localSheetId="0">[24]第3题!#REF!</definedName>
    <definedName name="MaintTable" localSheetId="1">[25]第3题!#REF!</definedName>
    <definedName name="MaintTable" localSheetId="2">[26]第3题!#REF!</definedName>
    <definedName name="MaintTable">[23]第3题!#REF!</definedName>
    <definedName name="OrderQuantity" localSheetId="0">'[19]Simulation (2)'!$D$3</definedName>
    <definedName name="OrderQuantity" localSheetId="1">'[20]Simulation (2)'!$D$3</definedName>
    <definedName name="OrderQuantity">'[21]Simulation (2)'!$D$3</definedName>
    <definedName name="sj" localSheetId="0">[27]第7题解答!$A$1:$E$65536</definedName>
    <definedName name="sj" localSheetId="1">[28]第7题解答!$A$1:$E$65536</definedName>
    <definedName name="sj">[29]第7题解答!$A$1:$E$65536</definedName>
    <definedName name="solver_adj" localSheetId="6" hidden="1">第7题答案!$C$8:$E$9</definedName>
    <definedName name="solver_cvg" localSheetId="6" hidden="1">0.0001</definedName>
    <definedName name="solver_drv" localSheetId="6" hidden="1">1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第7题答案!$C$10:$E$10</definedName>
    <definedName name="solver_lhs2" localSheetId="6" hidden="1">第7题答案!$F$8:$F$9</definedName>
    <definedName name="solver_lhs3" localSheetId="6" hidden="1">第7题答案!$C$8:$E$9</definedName>
    <definedName name="solver_lhs4" localSheetId="6" hidden="1">第7题答案!#REF!</definedName>
    <definedName name="solver_lin" localSheetId="6" hidden="1">2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3</definedName>
    <definedName name="solver_nwt" localSheetId="6" hidden="1">1</definedName>
    <definedName name="solver_opt" localSheetId="6" hidden="1">第7题答案!$G$12</definedName>
    <definedName name="solver_pre" localSheetId="6" hidden="1">0.000001</definedName>
    <definedName name="solver_rbv" localSheetId="6" hidden="1">1</definedName>
    <definedName name="solver_rel1" localSheetId="6" hidden="1">2</definedName>
    <definedName name="solver_rel2" localSheetId="6" hidden="1">1</definedName>
    <definedName name="solver_rel3" localSheetId="6" hidden="1">3</definedName>
    <definedName name="solver_rel4" localSheetId="6" hidden="1">2</definedName>
    <definedName name="solver_rhs1" localSheetId="6" hidden="1">第7题答案!$C$11:$E$11</definedName>
    <definedName name="solver_rhs2" localSheetId="6" hidden="1">第7题答案!$G$8:$G$9</definedName>
    <definedName name="solver_rhs3" localSheetId="6" hidden="1">0</definedName>
    <definedName name="solver_rhs4" localSheetId="6" hidden="1">1110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2</definedName>
    <definedName name="solver_val" localSheetId="6" hidden="1">0</definedName>
    <definedName name="solver_ver" localSheetId="6" hidden="1">3</definedName>
    <definedName name="Table" localSheetId="0">[27]第8题解答!$K$3:$L$21</definedName>
    <definedName name="Table" localSheetId="1">[28]第8题解答!$K$3:$L$21</definedName>
    <definedName name="Table">[29]第8题解答!$K$3:$L$21</definedName>
    <definedName name="yssj" localSheetId="0">[30]D函数2!$A$1:$D$671</definedName>
    <definedName name="yssj" localSheetId="1">[31]D函数2!$A$1:$D$671</definedName>
    <definedName name="yssj">[32]D函数2!$A$1:$D$671</definedName>
    <definedName name="查询来自_abcsales" localSheetId="1">第2题答案!$A$1:$D$3300</definedName>
    <definedName name="查询来自_abcsales_1" localSheetId="1">第2题答案!$A$1:$D$3300</definedName>
    <definedName name="查询来自_NW" localSheetId="0">第1题答案!$A$1:$D$831</definedName>
    <definedName name="查询来自_stud" localSheetId="1">第2题答案!#REF!</definedName>
    <definedName name="查询数据" localSheetId="0">[34]第2题!#REF!</definedName>
    <definedName name="查询数据" localSheetId="1">[35]第2题!#REF!</definedName>
    <definedName name="查询数据">[33]第2题!#REF!</definedName>
    <definedName name="陈元忠" localSheetId="0">[36]第1题!$D$3:$D$11</definedName>
    <definedName name="陈元忠" localSheetId="1">[37]第1题!$D$3:$D$11</definedName>
    <definedName name="陈元忠">[38]第1题!$D$3:$D$11</definedName>
    <definedName name="第1季度不规则值" localSheetId="0">[39]季节指数计算模型!$E$2,[39]季节指数计算模型!$E$7,[39]季节指数计算模型!$E$12,[39]季节指数计算模型!$E$17</definedName>
    <definedName name="第1季度不规则值" localSheetId="1">[40]季节指数计算模型!$E$2,[40]季节指数计算模型!$E$7,[40]季节指数计算模型!$E$12,[40]季节指数计算模型!$E$17</definedName>
    <definedName name="第1季度不规则值">[41]季节指数计算模型!$E$2,[41]季节指数计算模型!$E$7,[41]季节指数计算模型!$E$12,[41]季节指数计算模型!$E$17</definedName>
    <definedName name="第2季度不规则值" localSheetId="0">[39]季节指数计算模型!$E$3,[39]季节指数计算模型!$E$8,[39]季节指数计算模型!$E$13,[39]季节指数计算模型!$E$18</definedName>
    <definedName name="第2季度不规则值" localSheetId="1">[40]季节指数计算模型!$E$3,[40]季节指数计算模型!$E$8,[40]季节指数计算模型!$E$13,[40]季节指数计算模型!$E$18</definedName>
    <definedName name="第2季度不规则值">[41]季节指数计算模型!$E$3,[41]季节指数计算模型!$E$8,[41]季节指数计算模型!$E$13,[41]季节指数计算模型!$E$18</definedName>
    <definedName name="第3季度不规则值" localSheetId="0">[39]季节指数计算模型!$E$5,[39]季节指数计算模型!$E$10,[39]季节指数计算模型!$E$15</definedName>
    <definedName name="第3季度不规则值" localSheetId="1">[40]季节指数计算模型!$E$5,[40]季节指数计算模型!$E$10,[40]季节指数计算模型!$E$15</definedName>
    <definedName name="第3季度不规则值">[41]季节指数计算模型!$E$5,[41]季节指数计算模型!$E$10,[41]季节指数计算模型!$E$15</definedName>
    <definedName name="第4季度不规则值" localSheetId="0">[39]季节指数计算模型!$E$6,[39]季节指数计算模型!$E$11,[39]季节指数计算模型!$E$16,[39]季节指数计算模型!$E$21</definedName>
    <definedName name="第4季度不规则值" localSheetId="1">[40]季节指数计算模型!$E$6,[40]季节指数计算模型!$E$11,[40]季节指数计算模型!$E$16,[40]季节指数计算模型!$E$21</definedName>
    <definedName name="第4季度不规则值">[41]季节指数计算模型!$E$6,[41]季节指数计算模型!$E$11,[41]季节指数计算模型!$E$16,[41]季节指数计算模型!$E$21</definedName>
    <definedName name="基行" localSheetId="0">#REF!</definedName>
    <definedName name="基行" localSheetId="1">#REF!</definedName>
    <definedName name="基行" localSheetId="2">#REF!</definedName>
    <definedName name="基行">#REF!</definedName>
    <definedName name="蒋传海" localSheetId="0">[36]第1题!$C$3:$C$11</definedName>
    <definedName name="蒋传海" localSheetId="1">[37]第1题!$C$3:$C$11</definedName>
    <definedName name="蒋传海">[38]第1题!$C$3:$C$11</definedName>
    <definedName name="原始数据" localSheetId="0">#REF!</definedName>
    <definedName name="原始数据" localSheetId="1">#REF!</definedName>
    <definedName name="原始数据">#REF!</definedName>
    <definedName name="张雪凤" localSheetId="0">[36]第1题!$F$3:$F$11</definedName>
    <definedName name="张雪凤" localSheetId="1">[37]第1题!$F$3:$F$11</definedName>
    <definedName name="张雪凤">[38]第1题!$F$3:$F$11</definedName>
    <definedName name="周新燕" localSheetId="0">[36]第1题!$E$3:$E$11</definedName>
    <definedName name="周新燕" localSheetId="1">[37]第1题!$E$3:$E$11</definedName>
    <definedName name="周新燕">[38]第1题!$E$3:$E$11</definedName>
  </definedNames>
  <calcPr calcId="162913"/>
  <pivotCaches>
    <pivotCache cacheId="1" r:id="rId50"/>
  </pivotCaches>
</workbook>
</file>

<file path=xl/calcChain.xml><?xml version="1.0" encoding="utf-8"?>
<calcChain xmlns="http://schemas.openxmlformats.org/spreadsheetml/2006/main">
  <c r="E5" i="30" l="1"/>
  <c r="E6" i="30"/>
  <c r="E4" i="30"/>
  <c r="M21" i="30" l="1"/>
  <c r="L21" i="30"/>
  <c r="K21" i="30"/>
  <c r="M20" i="30"/>
  <c r="L20" i="30"/>
  <c r="K20" i="30"/>
  <c r="M19" i="30"/>
  <c r="L19" i="30"/>
  <c r="K19" i="30"/>
  <c r="M18" i="30"/>
  <c r="L18" i="30"/>
  <c r="K18" i="30"/>
  <c r="M17" i="30"/>
  <c r="L17" i="30"/>
  <c r="K17" i="30"/>
  <c r="M16" i="30"/>
  <c r="L16" i="30"/>
  <c r="K16" i="30"/>
  <c r="M15" i="30"/>
  <c r="L15" i="30"/>
  <c r="K15" i="30"/>
  <c r="K13" i="30"/>
  <c r="L13" i="30" s="1"/>
  <c r="K12" i="30"/>
  <c r="L12" i="30" s="1"/>
  <c r="K11" i="30"/>
  <c r="L11" i="30" s="1"/>
  <c r="L4" i="30"/>
  <c r="L5" i="30" s="1"/>
  <c r="G2" i="30"/>
  <c r="H14" i="30" s="1"/>
  <c r="F2" i="30"/>
  <c r="F14" i="30" s="1"/>
  <c r="G14" i="30" l="1"/>
  <c r="F17" i="30" s="1"/>
  <c r="J2" i="30" s="1"/>
  <c r="F2" i="29"/>
  <c r="B3" i="29"/>
  <c r="B5" i="29" s="1"/>
  <c r="F3" i="29"/>
  <c r="F4" i="29"/>
  <c r="F5" i="29"/>
  <c r="F6" i="29"/>
  <c r="F7" i="29"/>
  <c r="F8" i="29"/>
  <c r="B9" i="29"/>
  <c r="B10" i="29" s="1"/>
  <c r="F9" i="29"/>
  <c r="F10" i="29"/>
  <c r="F11" i="29"/>
  <c r="F12" i="29"/>
  <c r="F13" i="29"/>
  <c r="A14" i="29"/>
  <c r="F14" i="29"/>
  <c r="A15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78" i="29"/>
  <c r="F79" i="29"/>
  <c r="F80" i="29"/>
  <c r="F81" i="29"/>
  <c r="F82" i="29"/>
  <c r="F83" i="29"/>
  <c r="F84" i="29"/>
  <c r="F85" i="29"/>
  <c r="F86" i="29"/>
  <c r="F87" i="29"/>
  <c r="F88" i="29"/>
  <c r="F89" i="29"/>
  <c r="F90" i="29"/>
  <c r="F91" i="29"/>
  <c r="F92" i="29"/>
  <c r="F93" i="29"/>
  <c r="F94" i="29"/>
  <c r="F95" i="29"/>
  <c r="F96" i="29"/>
  <c r="F97" i="29"/>
  <c r="F98" i="29"/>
  <c r="F99" i="29"/>
  <c r="F100" i="29"/>
  <c r="F101" i="29"/>
  <c r="F102" i="29"/>
  <c r="G2" i="29" l="1"/>
  <c r="G3" i="29"/>
  <c r="G9" i="29"/>
  <c r="G8" i="29"/>
  <c r="G12" i="29"/>
  <c r="G15" i="29"/>
  <c r="G17" i="29"/>
  <c r="G19" i="29"/>
  <c r="G21" i="29"/>
  <c r="G23" i="29"/>
  <c r="G25" i="29"/>
  <c r="G27" i="29"/>
  <c r="G29" i="29"/>
  <c r="G31" i="29"/>
  <c r="G33" i="29"/>
  <c r="G35" i="29"/>
  <c r="G37" i="29"/>
  <c r="G39" i="29"/>
  <c r="G41" i="29"/>
  <c r="G43" i="29"/>
  <c r="G45" i="29"/>
  <c r="G47" i="29"/>
  <c r="G49" i="29"/>
  <c r="G51" i="29"/>
  <c r="G53" i="29"/>
  <c r="G55" i="29"/>
  <c r="G57" i="29"/>
  <c r="G59" i="29"/>
  <c r="G61" i="29"/>
  <c r="G63" i="29"/>
  <c r="G65" i="29"/>
  <c r="G67" i="29"/>
  <c r="G69" i="29"/>
  <c r="G71" i="29"/>
  <c r="G73" i="29"/>
  <c r="G75" i="29"/>
  <c r="G77" i="29"/>
  <c r="G79" i="29"/>
  <c r="G81" i="29"/>
  <c r="G83" i="29"/>
  <c r="G85" i="29"/>
  <c r="G87" i="29"/>
  <c r="G89" i="29"/>
  <c r="G91" i="29"/>
  <c r="G93" i="29"/>
  <c r="G95" i="29"/>
  <c r="G97" i="29"/>
  <c r="G99" i="29"/>
  <c r="G101" i="29"/>
  <c r="G4" i="29"/>
  <c r="G6" i="29"/>
  <c r="G14" i="29"/>
  <c r="G11" i="29"/>
  <c r="G13" i="29"/>
  <c r="G16" i="29"/>
  <c r="G18" i="29"/>
  <c r="G20" i="29"/>
  <c r="G22" i="29"/>
  <c r="G24" i="29"/>
  <c r="G26" i="29"/>
  <c r="G28" i="29"/>
  <c r="G30" i="29"/>
  <c r="G32" i="29"/>
  <c r="G34" i="29"/>
  <c r="G36" i="29"/>
  <c r="G38" i="29"/>
  <c r="G40" i="29"/>
  <c r="G42" i="29"/>
  <c r="G44" i="29"/>
  <c r="G46" i="29"/>
  <c r="G48" i="29"/>
  <c r="G50" i="29"/>
  <c r="G52" i="29"/>
  <c r="G54" i="29"/>
  <c r="G56" i="29"/>
  <c r="G58" i="29"/>
  <c r="G60" i="29"/>
  <c r="G62" i="29"/>
  <c r="G64" i="29"/>
  <c r="G66" i="29"/>
  <c r="G68" i="29"/>
  <c r="G70" i="29"/>
  <c r="G72" i="29"/>
  <c r="G74" i="29"/>
  <c r="G76" i="29"/>
  <c r="G78" i="29"/>
  <c r="G80" i="29"/>
  <c r="G82" i="29"/>
  <c r="G84" i="29"/>
  <c r="G86" i="29"/>
  <c r="G88" i="29"/>
  <c r="G90" i="29"/>
  <c r="G92" i="29"/>
  <c r="G94" i="29"/>
  <c r="G96" i="29"/>
  <c r="G98" i="29"/>
  <c r="G100" i="29"/>
  <c r="G102" i="29"/>
  <c r="B11" i="29"/>
  <c r="E1" i="29" s="1"/>
  <c r="G10" i="29"/>
  <c r="G7" i="29"/>
  <c r="G5" i="29"/>
  <c r="I7" i="28"/>
  <c r="I8" i="28"/>
  <c r="I9" i="28"/>
  <c r="I10" i="28"/>
  <c r="C11" i="28"/>
  <c r="J6" i="28" s="1"/>
  <c r="I11" i="28"/>
  <c r="I12" i="28"/>
  <c r="I13" i="28"/>
  <c r="I14" i="28"/>
  <c r="I15" i="28"/>
  <c r="I16" i="28"/>
  <c r="I17" i="28"/>
  <c r="I18" i="28"/>
  <c r="O22" i="28"/>
  <c r="P22" i="28"/>
  <c r="K23" i="28"/>
  <c r="G24" i="28"/>
  <c r="K24" i="28"/>
  <c r="D22" i="28" s="1"/>
  <c r="P23" i="28" s="1"/>
  <c r="Q24" i="28"/>
  <c r="G25" i="28"/>
  <c r="K25" i="28"/>
  <c r="Q25" i="28"/>
  <c r="G26" i="28"/>
  <c r="K26" i="28"/>
  <c r="Q26" i="28"/>
  <c r="G27" i="28"/>
  <c r="K27" i="28"/>
  <c r="Q27" i="28"/>
  <c r="G28" i="28"/>
  <c r="K28" i="28"/>
  <c r="Q28" i="28"/>
  <c r="G29" i="28"/>
  <c r="K29" i="28"/>
  <c r="Q29" i="28"/>
  <c r="O40" i="28" s="1"/>
  <c r="C25" i="28" s="1"/>
  <c r="G30" i="28"/>
  <c r="K30" i="28"/>
  <c r="Q30" i="28"/>
  <c r="G31" i="28"/>
  <c r="K31" i="28"/>
  <c r="Q31" i="28"/>
  <c r="G32" i="28"/>
  <c r="K32" i="28"/>
  <c r="Q32" i="28"/>
  <c r="G33" i="28"/>
  <c r="K33" i="28"/>
  <c r="Q33" i="28"/>
  <c r="G34" i="28"/>
  <c r="Q34" i="28"/>
  <c r="G35" i="28"/>
  <c r="Q35" i="28"/>
  <c r="G36" i="28"/>
  <c r="Q36" i="28"/>
  <c r="G37" i="28"/>
  <c r="Q37" i="28"/>
  <c r="G38" i="28"/>
  <c r="Q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G105" i="28"/>
  <c r="G106" i="28"/>
  <c r="G107" i="28"/>
  <c r="G108" i="28"/>
  <c r="G109" i="28"/>
  <c r="G110" i="28"/>
  <c r="G111" i="28"/>
  <c r="G112" i="28"/>
  <c r="G113" i="28"/>
  <c r="G114" i="28"/>
  <c r="G115" i="28"/>
  <c r="G116" i="28"/>
  <c r="G117" i="28"/>
  <c r="G118" i="28"/>
  <c r="G119" i="28"/>
  <c r="G120" i="28"/>
  <c r="G121" i="28"/>
  <c r="G122" i="28"/>
  <c r="G123" i="28"/>
  <c r="G124" i="28"/>
  <c r="G125" i="28"/>
  <c r="G126" i="28"/>
  <c r="G127" i="28"/>
  <c r="G128" i="28"/>
  <c r="G129" i="28"/>
  <c r="G130" i="28"/>
  <c r="G131" i="28"/>
  <c r="G132" i="28"/>
  <c r="G133" i="28"/>
  <c r="G143" i="28"/>
  <c r="G16" i="28" l="1"/>
  <c r="G13" i="28"/>
  <c r="C12" i="28"/>
  <c r="G23" i="28" s="1"/>
  <c r="C22" i="28" s="1"/>
  <c r="H9" i="28"/>
  <c r="H7" i="28"/>
  <c r="N40" i="28"/>
  <c r="C24" i="28" s="1"/>
  <c r="P40" i="28"/>
  <c r="G18" i="28"/>
  <c r="G15" i="28"/>
  <c r="H13" i="28"/>
  <c r="K13" i="28" s="1"/>
  <c r="G12" i="28"/>
  <c r="E11" i="28"/>
  <c r="H17" i="28"/>
  <c r="G14" i="28"/>
  <c r="D23" i="28"/>
  <c r="G17" i="28"/>
  <c r="H15" i="28"/>
  <c r="K15" i="28" s="1"/>
  <c r="H12" i="28"/>
  <c r="G11" i="28"/>
  <c r="G10" i="28"/>
  <c r="G8" i="28"/>
  <c r="L7" i="28"/>
  <c r="G9" i="28"/>
  <c r="G7" i="28"/>
  <c r="H18" i="28"/>
  <c r="H16" i="28"/>
  <c r="K16" i="28" s="1"/>
  <c r="H14" i="28"/>
  <c r="K14" i="28" s="1"/>
  <c r="H11" i="28"/>
  <c r="K11" i="28" s="1"/>
  <c r="H10" i="28"/>
  <c r="H8" i="28"/>
  <c r="K8" i="28" s="1"/>
  <c r="F8" i="27"/>
  <c r="B19" i="27" s="1" a="1"/>
  <c r="B19" i="27" s="1"/>
  <c r="F9" i="27"/>
  <c r="C10" i="27"/>
  <c r="D10" i="27"/>
  <c r="E10" i="27"/>
  <c r="G12" i="27" a="1"/>
  <c r="G12" i="27" s="1"/>
  <c r="B15" i="27" s="1"/>
  <c r="B16" i="27"/>
  <c r="B17" i="27" a="1"/>
  <c r="B17" i="27" s="1"/>
  <c r="B18" i="27" a="1"/>
  <c r="B18" i="27" s="1"/>
  <c r="B20" i="27"/>
  <c r="B21" i="27"/>
  <c r="K12" i="28" l="1"/>
  <c r="K9" i="28"/>
  <c r="K10" i="28"/>
  <c r="K18" i="28"/>
  <c r="K17" i="28"/>
  <c r="O23" i="28"/>
  <c r="E24" i="28"/>
  <c r="C23" i="28"/>
  <c r="K7" i="28"/>
  <c r="G19" i="28"/>
  <c r="J7" i="28"/>
  <c r="C8" i="26"/>
  <c r="C7" i="26" s="1"/>
  <c r="C10" i="26" s="1"/>
  <c r="C13" i="26" a="1"/>
  <c r="C13" i="26" s="1"/>
  <c r="C39" i="26"/>
  <c r="L14" i="26" s="1"/>
  <c r="C42" i="26"/>
  <c r="C43" i="26"/>
  <c r="C44" i="26"/>
  <c r="C45" i="26"/>
  <c r="A57" i="26"/>
  <c r="B57" i="26"/>
  <c r="C48" i="26" s="1" a="1"/>
  <c r="C48" i="26" s="1"/>
  <c r="A58" i="26"/>
  <c r="C61" i="26"/>
  <c r="B67" i="26"/>
  <c r="I14" i="26" l="1"/>
  <c r="L8" i="28"/>
  <c r="J8" i="28"/>
  <c r="J19" i="28"/>
  <c r="C13" i="28"/>
  <c r="C33" i="26"/>
  <c r="C31" i="26"/>
  <c r="C29" i="26"/>
  <c r="C27" i="26"/>
  <c r="C25" i="26"/>
  <c r="C23" i="26"/>
  <c r="C21" i="26"/>
  <c r="C19" i="26"/>
  <c r="C17" i="26"/>
  <c r="C15" i="26"/>
  <c r="C14" i="26"/>
  <c r="C58" i="26"/>
  <c r="C57" i="26"/>
  <c r="C56" i="26"/>
  <c r="C55" i="26"/>
  <c r="C54" i="26"/>
  <c r="C53" i="26"/>
  <c r="C52" i="26"/>
  <c r="C51" i="26"/>
  <c r="C50" i="26"/>
  <c r="C49" i="26"/>
  <c r="C32" i="26"/>
  <c r="C30" i="26"/>
  <c r="C28" i="26"/>
  <c r="C26" i="26"/>
  <c r="C24" i="26"/>
  <c r="C22" i="26"/>
  <c r="C20" i="26"/>
  <c r="C18" i="26"/>
  <c r="C16" i="26"/>
  <c r="C3" i="25"/>
  <c r="C4" i="25" s="1"/>
  <c r="C5" i="25" s="1"/>
  <c r="C6" i="25" s="1"/>
  <c r="C7" i="25" s="1"/>
  <c r="C8" i="25" s="1"/>
  <c r="C9" i="25" s="1"/>
  <c r="C10" i="25" s="1"/>
  <c r="C11" i="25" s="1"/>
  <c r="C12" i="25" s="1"/>
  <c r="C13" i="25" s="1"/>
  <c r="F4" i="25"/>
  <c r="J9" i="28" l="1"/>
  <c r="L9" i="28"/>
  <c r="C59" i="26"/>
  <c r="D13" i="26" s="1"/>
  <c r="C34" i="26"/>
  <c r="F5" i="25"/>
  <c r="F2" i="25"/>
  <c r="F7" i="25" s="1"/>
  <c r="D48" i="26" l="1"/>
  <c r="C65" i="26" s="1"/>
  <c r="D54" i="26"/>
  <c r="D16" i="26"/>
  <c r="D24" i="26"/>
  <c r="D26" i="26"/>
  <c r="D17" i="26"/>
  <c r="D20" i="26"/>
  <c r="D28" i="26"/>
  <c r="D57" i="26"/>
  <c r="D15" i="26"/>
  <c r="D18" i="26"/>
  <c r="D56" i="26"/>
  <c r="L10" i="28"/>
  <c r="J10" i="28"/>
  <c r="D14" i="26"/>
  <c r="D30" i="26"/>
  <c r="D33" i="26"/>
  <c r="D53" i="26"/>
  <c r="D51" i="26"/>
  <c r="D31" i="26"/>
  <c r="D52" i="26"/>
  <c r="D22" i="26"/>
  <c r="D29" i="26"/>
  <c r="D19" i="26"/>
  <c r="D25" i="26"/>
  <c r="D49" i="26"/>
  <c r="D27" i="26"/>
  <c r="D23" i="26"/>
  <c r="D32" i="26"/>
  <c r="D58" i="26"/>
  <c r="D21" i="26"/>
  <c r="D50" i="26"/>
  <c r="D55" i="26"/>
  <c r="C12" i="23" a="1"/>
  <c r="C12" i="23" s="1"/>
  <c r="C14" i="23"/>
  <c r="F3" i="23" s="1"/>
  <c r="B20" i="23"/>
  <c r="E48" i="26" l="1"/>
  <c r="E49" i="26" s="1"/>
  <c r="L11" i="28"/>
  <c r="J11" i="28"/>
  <c r="D59" i="26"/>
  <c r="D34" i="26"/>
  <c r="C17" i="23"/>
  <c r="C13" i="23"/>
  <c r="F48" i="26" l="1"/>
  <c r="J12" i="28"/>
  <c r="L12" i="28"/>
  <c r="E50" i="26"/>
  <c r="F49" i="26"/>
  <c r="E9" i="23"/>
  <c r="E10" i="23"/>
  <c r="C18" i="23"/>
  <c r="F10" i="23" s="1"/>
  <c r="E8" i="23"/>
  <c r="E11" i="23"/>
  <c r="G3" i="23"/>
  <c r="C15" i="23"/>
  <c r="H3" i="23" s="1"/>
  <c r="J13" i="28" l="1"/>
  <c r="L13" i="28"/>
  <c r="E51" i="26"/>
  <c r="F50" i="26"/>
  <c r="L14" i="28" l="1"/>
  <c r="J14" i="28"/>
  <c r="E52" i="26"/>
  <c r="F51" i="26"/>
  <c r="J15" i="28" l="1"/>
  <c r="L15" i="28"/>
  <c r="E53" i="26"/>
  <c r="F52" i="26"/>
  <c r="L16" i="28" l="1"/>
  <c r="J16" i="28"/>
  <c r="E54" i="26"/>
  <c r="F53" i="26"/>
  <c r="J17" i="28" l="1"/>
  <c r="L17" i="28"/>
  <c r="E55" i="26"/>
  <c r="F54" i="26"/>
  <c r="L18" i="28" l="1"/>
  <c r="J18" i="28"/>
  <c r="E56" i="26"/>
  <c r="F55" i="26"/>
  <c r="E57" i="26" l="1"/>
  <c r="F56" i="26"/>
  <c r="F57" i="26" l="1"/>
  <c r="C62" i="26" s="1"/>
  <c r="E58" i="26"/>
  <c r="F58" i="26" s="1"/>
</calcChain>
</file>

<file path=xl/connections.xml><?xml version="1.0" encoding="utf-8"?>
<connections xmlns="http://schemas.openxmlformats.org/spreadsheetml/2006/main">
  <connection id="1" name="查询来自 NW2" type="1" refreshedVersion="4" background="1" saveData="1">
    <dbPr connection="DBQ=D:\Lecture\2018-19\Northwind.mdb;DefaultDir=D:\Lecture\2018-19;Driver={Microsoft Access Driver (*.mdb)};DriverId=25;FIL=MS Access;MaxBufferSize=2048;MaxScanRows=8;PageTimeout=5;SafeTransactions=0;Threads=3;UID=admin;UserCommitSync=Yes;" command="SELECT 订单.订购日期, 客户.公司名称, 订单明细.订单ID, Sum(单价*数量*(1-折扣))_x000d__x000a_FROM `D:\Lecture\2018-19\Northwind`.订单 订单, `D:\Lecture\2018-19\Northwind`.订单明细 订单明细, `D:\Lecture\2018-19\Northwind`.客户 客户_x000d__x000a_WHERE 订单明细.订单ID = 订单.订单ID AND 客户.客户ID = 订单.客户ID_x000d__x000a_GROUP BY 订单.订购日期, 客户.公司名称, 订单明细.订单ID"/>
  </connection>
  <connection id="2" name="连接1" type="1" refreshedVersion="0" savePassword="1" background="1" saveData="1">
    <dbPr connection="Driver={Driver para o Microsoft Visual FoxPro};UID=;PWD=;SourceDB=f:\0 BOOK  AND RESEARCH\计算机应用 精品课程建设\第三章例子;SourceType=DBF;Exclusive=No;BackgroundFetch=Yes;Collate=Machine;Null=Yes;Deleted=Yes;" command="SELECT abc公司销售数据.日期, abc公司销售数据.省份, abc公司销售数据.类别, abc公司销售数据.净销售额, abc公司销售数据.毛销售额_x000d__x000a_FROM abc公司销售数据 abc公司销售数据"/>
  </connection>
</connections>
</file>

<file path=xl/sharedStrings.xml><?xml version="1.0" encoding="utf-8"?>
<sst xmlns="http://schemas.openxmlformats.org/spreadsheetml/2006/main" count="7601" uniqueCount="240">
  <si>
    <t>年需求量</t>
  </si>
  <si>
    <t>订货量</t>
  </si>
  <si>
    <t>年贴现率</t>
    <phoneticPr fontId="5" type="noConversion"/>
  </si>
  <si>
    <t>年限</t>
    <phoneticPr fontId="5" type="noConversion"/>
  </si>
  <si>
    <t>单位（万元）</t>
    <phoneticPr fontId="5" type="noConversion"/>
  </si>
  <si>
    <t>项目A</t>
    <phoneticPr fontId="5" type="noConversion"/>
  </si>
  <si>
    <t>银行贷款额</t>
    <phoneticPr fontId="5" type="noConversion"/>
  </si>
  <si>
    <t>第0年首付现金</t>
    <phoneticPr fontId="5" type="noConversion"/>
  </si>
  <si>
    <t>计算还有多少个月能还清贷款（取整）</t>
    <phoneticPr fontId="15" type="noConversion"/>
  </si>
  <si>
    <t>项目B</t>
    <phoneticPr fontId="5" type="noConversion"/>
  </si>
  <si>
    <t>第0年初始投资额</t>
    <phoneticPr fontId="5" type="noConversion"/>
  </si>
  <si>
    <t>第1年追加投资额</t>
    <phoneticPr fontId="5" type="noConversion"/>
  </si>
  <si>
    <t>第2年至第10年每年收入</t>
    <phoneticPr fontId="5" type="noConversion"/>
  </si>
  <si>
    <t>第10年末收入</t>
    <phoneticPr fontId="5" type="noConversion"/>
  </si>
  <si>
    <t>内部报酬率</t>
    <phoneticPr fontId="5" type="noConversion"/>
  </si>
  <si>
    <t>使用附表插值法计算相对的内部报酬率（两个项目净现值相等时的贴现率）</t>
    <phoneticPr fontId="5" type="noConversion"/>
  </si>
  <si>
    <t>使用附表插值法计算相对的内部报酬率（两个项目净现值相等时的贴现率）时的净现值</t>
    <phoneticPr fontId="5" type="noConversion"/>
  </si>
  <si>
    <t>日期</t>
  </si>
  <si>
    <t>省份</t>
  </si>
  <si>
    <t>类别</t>
  </si>
  <si>
    <t>净销售额</t>
  </si>
  <si>
    <t>山东</t>
  </si>
  <si>
    <t>艺术品</t>
  </si>
  <si>
    <t>自行车</t>
  </si>
  <si>
    <t>服装</t>
  </si>
  <si>
    <t>食品</t>
  </si>
  <si>
    <t>安徽</t>
  </si>
  <si>
    <t>儿童用品</t>
  </si>
  <si>
    <t>江西</t>
  </si>
  <si>
    <t>江苏</t>
  </si>
  <si>
    <t>体育用品</t>
  </si>
  <si>
    <t>广东</t>
  </si>
  <si>
    <t>瓷器</t>
  </si>
  <si>
    <t>福建</t>
  </si>
  <si>
    <t>浙江</t>
  </si>
  <si>
    <t>盈亏平衡销售收益</t>
    <phoneticPr fontId="5" type="noConversion"/>
  </si>
  <si>
    <t>盈亏平衡销量</t>
    <phoneticPr fontId="5" type="noConversion"/>
  </si>
  <si>
    <t>利润</t>
    <phoneticPr fontId="5" type="noConversion"/>
  </si>
  <si>
    <t>销售收益</t>
    <phoneticPr fontId="5" type="noConversion"/>
  </si>
  <si>
    <t>总成本</t>
    <phoneticPr fontId="5" type="noConversion"/>
  </si>
  <si>
    <t>单位可变成本</t>
    <phoneticPr fontId="5" type="noConversion"/>
  </si>
  <si>
    <t>销量</t>
    <phoneticPr fontId="5" type="noConversion"/>
  </si>
  <si>
    <t>销售价格</t>
    <phoneticPr fontId="5" type="noConversion"/>
  </si>
  <si>
    <t>单位原材料成本</t>
    <phoneticPr fontId="5" type="noConversion"/>
  </si>
  <si>
    <t>盈亏平衡参考线</t>
    <phoneticPr fontId="5" type="noConversion"/>
  </si>
  <si>
    <t>单位用电量成本</t>
    <phoneticPr fontId="5" type="noConversion"/>
  </si>
  <si>
    <t>单位工时成本</t>
    <phoneticPr fontId="5" type="noConversion"/>
  </si>
  <si>
    <t>原材料（公斤）</t>
    <phoneticPr fontId="5" type="noConversion"/>
  </si>
  <si>
    <t>用电量（千瓦）</t>
    <phoneticPr fontId="5" type="noConversion"/>
  </si>
  <si>
    <t>工时（小时）</t>
    <phoneticPr fontId="5" type="noConversion"/>
  </si>
  <si>
    <t>固定成本</t>
    <phoneticPr fontId="5" type="noConversion"/>
  </si>
  <si>
    <t>永大企业</t>
  </si>
  <si>
    <t>学仁贸易</t>
  </si>
  <si>
    <t>祥通</t>
  </si>
  <si>
    <t>百达电子</t>
  </si>
  <si>
    <t>正人资源</t>
  </si>
  <si>
    <t>幸义房屋</t>
  </si>
  <si>
    <t>就业广兑</t>
  </si>
  <si>
    <t>富泰人寿</t>
  </si>
  <si>
    <t>协昌妮绒有限公司</t>
  </si>
  <si>
    <t>世邦</t>
  </si>
  <si>
    <t>留学服务中心</t>
  </si>
  <si>
    <t>椅天文化事业</t>
  </si>
  <si>
    <t>大钰贸易</t>
  </si>
  <si>
    <t>仪和贸易</t>
  </si>
  <si>
    <t>文成</t>
  </si>
  <si>
    <t>师大贸易</t>
  </si>
  <si>
    <t>建国科技</t>
  </si>
  <si>
    <t>宇欣实业</t>
  </si>
  <si>
    <t>森通</t>
  </si>
  <si>
    <t>富同企业</t>
  </si>
  <si>
    <t>中通</t>
  </si>
  <si>
    <t>远东开发</t>
  </si>
  <si>
    <t>威航货运有限公司</t>
  </si>
  <si>
    <t>五洲信托</t>
  </si>
  <si>
    <t>实翼</t>
  </si>
  <si>
    <t>顶上系统</t>
  </si>
  <si>
    <t>池春建设</t>
  </si>
  <si>
    <t>业兴</t>
  </si>
  <si>
    <t>广通</t>
  </si>
  <si>
    <t>凯旋科技</t>
  </si>
  <si>
    <t>汉典电机</t>
  </si>
  <si>
    <t>同恒</t>
  </si>
  <si>
    <t>浩天旅行社</t>
  </si>
  <si>
    <t>赐芳股份</t>
  </si>
  <si>
    <t>建资</t>
  </si>
  <si>
    <t>福星制衣厂股份有限公司</t>
  </si>
  <si>
    <t>保信人寿</t>
  </si>
  <si>
    <t>瑞栈工艺</t>
  </si>
  <si>
    <t>永业房屋</t>
  </si>
  <si>
    <t>升格企业</t>
  </si>
  <si>
    <t>一诠精密工业</t>
  </si>
  <si>
    <t>光明杂志</t>
  </si>
  <si>
    <t>高上补习班</t>
  </si>
  <si>
    <t>正太实业</t>
  </si>
  <si>
    <t>大东补习班</t>
  </si>
  <si>
    <t>汉光企管</t>
  </si>
  <si>
    <t>友恒信托</t>
  </si>
  <si>
    <t>德化食品</t>
  </si>
  <si>
    <t>康毅系统</t>
  </si>
  <si>
    <t>志远有限公司</t>
  </si>
  <si>
    <t>悦海</t>
  </si>
  <si>
    <t>新巨企业</t>
  </si>
  <si>
    <t>中硕贸易</t>
  </si>
  <si>
    <t>上河工业</t>
  </si>
  <si>
    <t>兰格英语</t>
  </si>
  <si>
    <t>利合材料</t>
  </si>
  <si>
    <t>昇昕股份有限公司</t>
  </si>
  <si>
    <t>迈多贸易</t>
  </si>
  <si>
    <t>国银贸易</t>
  </si>
  <si>
    <t>霸力建设</t>
  </si>
  <si>
    <t>东帝望</t>
  </si>
  <si>
    <t>康浦</t>
  </si>
  <si>
    <t>阳林</t>
  </si>
  <si>
    <t>三川实业有限公司</t>
  </si>
  <si>
    <t>国顶有限公司</t>
  </si>
  <si>
    <t>仲堂企业</t>
  </si>
  <si>
    <t>凯诚国际顾问公司</t>
  </si>
  <si>
    <t>鑫增贸易</t>
  </si>
  <si>
    <t>东旗</t>
  </si>
  <si>
    <t>通恒机械</t>
  </si>
  <si>
    <t>东南实业</t>
  </si>
  <si>
    <t>迈策船舶</t>
  </si>
  <si>
    <t>兴中保险</t>
  </si>
  <si>
    <t>艾德高科技</t>
  </si>
  <si>
    <t>坦森行贸易</t>
  </si>
  <si>
    <t>万海</t>
  </si>
  <si>
    <t>千固</t>
  </si>
  <si>
    <t>亚太公司</t>
  </si>
  <si>
    <t>国皓</t>
  </si>
  <si>
    <t>伸格公司</t>
  </si>
  <si>
    <t>和福建设</t>
  </si>
  <si>
    <t>嘉业</t>
  </si>
  <si>
    <t>光远商贸</t>
  </si>
  <si>
    <t>山泰企业</t>
  </si>
  <si>
    <t>红阳事业</t>
  </si>
  <si>
    <t>华科</t>
  </si>
  <si>
    <t>五金机械</t>
  </si>
  <si>
    <t>春永建设</t>
  </si>
  <si>
    <t>总计</t>
  </si>
  <si>
    <t>难得</t>
  </si>
  <si>
    <t>一般</t>
  </si>
  <si>
    <t>三捷实业</t>
  </si>
  <si>
    <t>频繁</t>
  </si>
  <si>
    <t>求和项:Expr1003_2</t>
  </si>
  <si>
    <t>平均值项:Expr1003</t>
  </si>
  <si>
    <t>计数项:订单ID2</t>
  </si>
  <si>
    <t>计数项:订单ID</t>
  </si>
  <si>
    <t>行标签</t>
  </si>
  <si>
    <t>1997年</t>
  </si>
  <si>
    <t>订购日期</t>
  </si>
  <si>
    <t>Expr1003</t>
  </si>
  <si>
    <t>订单ID</t>
  </si>
  <si>
    <t>公司名称</t>
  </si>
  <si>
    <t>第13月的预测值</t>
    <phoneticPr fontId="5" type="noConversion"/>
  </si>
  <si>
    <t>最优平滑常数</t>
    <phoneticPr fontId="5" type="noConversion"/>
  </si>
  <si>
    <t>MSE</t>
    <phoneticPr fontId="5" type="noConversion"/>
  </si>
  <si>
    <t>平滑常数</t>
    <phoneticPr fontId="5" type="noConversion"/>
  </si>
  <si>
    <t>预测值</t>
    <phoneticPr fontId="5" type="noConversion"/>
  </si>
  <si>
    <t>债券利率</t>
    <phoneticPr fontId="5" type="noConversion"/>
  </si>
  <si>
    <t>月份</t>
    <phoneticPr fontId="5" type="noConversion"/>
  </si>
  <si>
    <t>概率</t>
    <phoneticPr fontId="5" type="noConversion"/>
  </si>
  <si>
    <t>这个人的排名小于等于</t>
    <phoneticPr fontId="5" type="noConversion"/>
  </si>
  <si>
    <t>这个人的排名大于</t>
    <phoneticPr fontId="5" type="noConversion"/>
  </si>
  <si>
    <t>累计</t>
    <phoneticPr fontId="15" type="noConversion"/>
  </si>
  <si>
    <t>85-90</t>
    <phoneticPr fontId="15" type="noConversion"/>
  </si>
  <si>
    <t>80-85</t>
    <phoneticPr fontId="15" type="noConversion"/>
  </si>
  <si>
    <t>75-80</t>
    <phoneticPr fontId="15" type="noConversion"/>
  </si>
  <si>
    <t>70-75</t>
    <phoneticPr fontId="15" type="noConversion"/>
  </si>
  <si>
    <t>65-70</t>
    <phoneticPr fontId="15" type="noConversion"/>
  </si>
  <si>
    <t>60-65</t>
    <phoneticPr fontId="15" type="noConversion"/>
  </si>
  <si>
    <t>55-60</t>
    <phoneticPr fontId="15" type="noConversion"/>
  </si>
  <si>
    <t>50-55</t>
    <phoneticPr fontId="15" type="noConversion"/>
  </si>
  <si>
    <t>0-50</t>
    <phoneticPr fontId="15" type="noConversion"/>
  </si>
  <si>
    <t>大于等于某值概率</t>
    <phoneticPr fontId="15" type="noConversion"/>
  </si>
  <si>
    <t>累计概率</t>
    <phoneticPr fontId="15" type="noConversion"/>
  </si>
  <si>
    <t>概率</t>
    <phoneticPr fontId="15" type="noConversion"/>
  </si>
  <si>
    <t>计数</t>
    <phoneticPr fontId="15" type="noConversion"/>
  </si>
  <si>
    <t>这个人的排名</t>
    <phoneticPr fontId="15" type="noConversion"/>
  </si>
  <si>
    <t>样本标准差</t>
    <phoneticPr fontId="5" type="noConversion"/>
  </si>
  <si>
    <t>样本的均值的排名</t>
    <phoneticPr fontId="5" type="noConversion"/>
  </si>
  <si>
    <t>最大值</t>
    <phoneticPr fontId="5" type="noConversion"/>
  </si>
  <si>
    <t>最小值</t>
    <phoneticPr fontId="5" type="noConversion"/>
  </si>
  <si>
    <t>这个人的排名统计</t>
    <phoneticPr fontId="15" type="noConversion"/>
  </si>
  <si>
    <t>这个人的排名</t>
    <phoneticPr fontId="5" type="noConversion"/>
  </si>
  <si>
    <t>这个人运气的权重</t>
    <phoneticPr fontId="5" type="noConversion"/>
  </si>
  <si>
    <t>这个人的实力水平</t>
    <phoneticPr fontId="5" type="noConversion"/>
  </si>
  <si>
    <t>累计</t>
    <phoneticPr fontId="15" type="noConversion"/>
  </si>
  <si>
    <t>某个人的排名</t>
    <phoneticPr fontId="15" type="noConversion"/>
  </si>
  <si>
    <t>某个人的排名</t>
    <phoneticPr fontId="5" type="noConversion"/>
  </si>
  <si>
    <t>运气的权重</t>
    <phoneticPr fontId="5" type="noConversion"/>
  </si>
  <si>
    <t>实力的权重</t>
    <phoneticPr fontId="5" type="noConversion"/>
  </si>
  <si>
    <t>运气罐子最大值</t>
    <phoneticPr fontId="5" type="noConversion"/>
  </si>
  <si>
    <t>实力罐子最大值</t>
    <phoneticPr fontId="5" type="noConversion"/>
  </si>
  <si>
    <r>
      <t>实力与运气的双罐风险分析模拟模型</t>
    </r>
    <r>
      <rPr>
        <sz val="26"/>
        <color rgb="FF000000"/>
        <rFont val="Calibri"/>
        <family val="2"/>
      </rPr>
      <t xml:space="preserve"> </t>
    </r>
    <phoneticPr fontId="15" type="noConversion"/>
  </si>
  <si>
    <t>总成本</t>
    <phoneticPr fontId="5" type="noConversion"/>
  </si>
  <si>
    <t>需求量</t>
    <phoneticPr fontId="5" type="noConversion"/>
  </si>
  <si>
    <t>运到量</t>
    <phoneticPr fontId="5" type="noConversion"/>
  </si>
  <si>
    <t>2#混凝土搅拌站</t>
    <phoneticPr fontId="5" type="noConversion"/>
  </si>
  <si>
    <t>1#混凝土搅拌站</t>
    <phoneticPr fontId="5" type="noConversion"/>
  </si>
  <si>
    <t>日产量</t>
  </si>
  <si>
    <t>运出量</t>
    <phoneticPr fontId="5" type="noConversion"/>
  </si>
  <si>
    <t>C工地</t>
  </si>
  <si>
    <t>B工地</t>
  </si>
  <si>
    <t>A工地</t>
  </si>
  <si>
    <t>C工地</t>
    <phoneticPr fontId="5" type="noConversion"/>
  </si>
  <si>
    <t>B工地</t>
    <phoneticPr fontId="5" type="noConversion"/>
  </si>
  <si>
    <t>A工地</t>
    <phoneticPr fontId="5" type="noConversion"/>
  </si>
  <si>
    <t>净现值</t>
    <phoneticPr fontId="5" type="noConversion"/>
  </si>
  <si>
    <t>核对</t>
    <phoneticPr fontId="5" type="noConversion"/>
  </si>
  <si>
    <t>每月等额还款额</t>
    <phoneticPr fontId="15" type="noConversion"/>
  </si>
  <si>
    <t>第10年末出售此房产收入</t>
    <phoneticPr fontId="15" type="noConversion"/>
  </si>
  <si>
    <t>新的贷款年利率</t>
    <phoneticPr fontId="5" type="noConversion"/>
  </si>
  <si>
    <t>贷款年利率</t>
    <phoneticPr fontId="5" type="noConversion"/>
  </si>
  <si>
    <t>核对</t>
    <phoneticPr fontId="5" type="noConversion"/>
  </si>
  <si>
    <t>房屋总价</t>
    <phoneticPr fontId="5" type="noConversion"/>
  </si>
  <si>
    <t>贷款余额</t>
    <phoneticPr fontId="5" type="noConversion"/>
  </si>
  <si>
    <t>还款总额</t>
    <phoneticPr fontId="5" type="noConversion"/>
  </si>
  <si>
    <t>还款利息</t>
    <phoneticPr fontId="5" type="noConversion"/>
  </si>
  <si>
    <t>还款本金</t>
    <phoneticPr fontId="5" type="noConversion"/>
  </si>
  <si>
    <t>期数</t>
    <phoneticPr fontId="5" type="noConversion"/>
  </si>
  <si>
    <t>项目A</t>
    <phoneticPr fontId="5" type="noConversion"/>
  </si>
  <si>
    <t>单位（万元）</t>
    <phoneticPr fontId="5" type="noConversion"/>
  </si>
  <si>
    <t>等额还款法（按月)</t>
    <phoneticPr fontId="5" type="noConversion"/>
  </si>
  <si>
    <t>第N天期末库存量</t>
    <phoneticPr fontId="5" type="noConversion"/>
  </si>
  <si>
    <t>本周期已过去天数</t>
    <phoneticPr fontId="5" type="noConversion"/>
  </si>
  <si>
    <t>已过去周期数</t>
    <phoneticPr fontId="5" type="noConversion"/>
  </si>
  <si>
    <t>第N天</t>
    <phoneticPr fontId="5" type="noConversion"/>
  </si>
  <si>
    <t>初始库存量</t>
    <phoneticPr fontId="5" type="noConversion"/>
  </si>
  <si>
    <t>订货周期</t>
    <phoneticPr fontId="5" type="noConversion"/>
  </si>
  <si>
    <t>日需求量</t>
    <phoneticPr fontId="5" type="noConversion"/>
  </si>
  <si>
    <t>一年天数</t>
    <phoneticPr fontId="5" type="noConversion"/>
  </si>
  <si>
    <t>年份</t>
    <phoneticPr fontId="5" type="noConversion"/>
  </si>
  <si>
    <t>类别</t>
    <phoneticPr fontId="5" type="noConversion"/>
  </si>
  <si>
    <t>平均值</t>
    <phoneticPr fontId="5" type="noConversion"/>
  </si>
  <si>
    <t>全部</t>
    <phoneticPr fontId="5" type="noConversion"/>
  </si>
  <si>
    <t>日期</t>
    <phoneticPr fontId="5" type="noConversion"/>
  </si>
  <si>
    <t>省份</t>
    <phoneticPr fontId="5" type="noConversion"/>
  </si>
  <si>
    <t>山东</t>
    <phoneticPr fontId="5" type="noConversion"/>
  </si>
  <si>
    <t>销售额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</si>
</sst>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8" formatCode="&quot;¥&quot;#,##0.00;[Red]&quot;¥&quot;\-#,##0.00"/>
    <numFmt numFmtId="43" formatCode="_ * #,##0.00_ ;_ * \-#,##0.00_ ;_ * &quot;-&quot;??_ ;_ @_ "/>
    <numFmt numFmtId="176" formatCode="0.0"/>
    <numFmt numFmtId="177" formatCode="_ * #,##0_ ;_ * \-#,##0_ ;_ * &quot;-&quot;??_ ;_ @_ "/>
    <numFmt numFmtId="178" formatCode="#,##0.00_ ;[Red]\-#,##0.00\ "/>
    <numFmt numFmtId="179" formatCode="0_ "/>
    <numFmt numFmtId="180" formatCode="0.0%"/>
    <numFmt numFmtId="181" formatCode="0.00_ "/>
    <numFmt numFmtId="182" formatCode="&quot;¥&quot;#,##0.00000;[Red]&quot;¥&quot;\-#,##0.00000"/>
    <numFmt numFmtId="183" formatCode="0.000_ "/>
    <numFmt numFmtId="184" formatCode="0.0000_ "/>
  </numFmts>
  <fonts count="28" x14ac:knownFonts="1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Arial"/>
      <family val="2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rgb="FFFF0000"/>
      <name val="宋体"/>
      <family val="2"/>
      <charset val="134"/>
      <scheme val="minor"/>
    </font>
    <font>
      <b/>
      <sz val="12"/>
      <color rgb="FFFF0000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12"/>
      <color indexed="8"/>
      <name val="宋体"/>
      <family val="3"/>
      <charset val="134"/>
    </font>
    <font>
      <b/>
      <sz val="26"/>
      <color rgb="FF000000"/>
      <name val="宋体"/>
      <family val="3"/>
      <charset val="134"/>
      <scheme val="minor"/>
    </font>
    <font>
      <sz val="26"/>
      <color rgb="FF000000"/>
      <name val="Calibri"/>
      <family val="2"/>
    </font>
    <font>
      <b/>
      <sz val="11"/>
      <color theme="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4" fillId="0" borderId="0"/>
    <xf numFmtId="0" fontId="12" fillId="0" borderId="0"/>
    <xf numFmtId="0" fontId="6" fillId="0" borderId="0"/>
    <xf numFmtId="0" fontId="1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/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/>
  </cellStyleXfs>
  <cellXfs count="121">
    <xf numFmtId="0" fontId="0" fillId="0" borderId="0" xfId="0">
      <alignment vertical="center"/>
    </xf>
    <xf numFmtId="0" fontId="6" fillId="0" borderId="0" xfId="3">
      <alignment vertical="center"/>
    </xf>
    <xf numFmtId="0" fontId="6" fillId="4" borderId="1" xfId="3" applyFill="1" applyBorder="1">
      <alignment vertical="center"/>
    </xf>
    <xf numFmtId="0" fontId="6" fillId="3" borderId="1" xfId="3" applyFill="1" applyBorder="1">
      <alignment vertical="center"/>
    </xf>
    <xf numFmtId="0" fontId="12" fillId="5" borderId="1" xfId="3" applyFont="1" applyFill="1" applyBorder="1">
      <alignment vertical="center"/>
    </xf>
    <xf numFmtId="0" fontId="6" fillId="3" borderId="1" xfId="3" applyFill="1" applyBorder="1" applyAlignment="1">
      <alignment horizontal="center"/>
    </xf>
    <xf numFmtId="0" fontId="12" fillId="0" borderId="0" xfId="3" applyFont="1">
      <alignment vertical="center"/>
    </xf>
    <xf numFmtId="0" fontId="12" fillId="5" borderId="2" xfId="3" applyFont="1" applyFill="1" applyBorder="1">
      <alignment vertical="center"/>
    </xf>
    <xf numFmtId="0" fontId="12" fillId="5" borderId="4" xfId="3" applyFont="1" applyFill="1" applyBorder="1">
      <alignment vertical="center"/>
    </xf>
    <xf numFmtId="0" fontId="6" fillId="6" borderId="3" xfId="3" applyFill="1" applyBorder="1">
      <alignment vertical="center"/>
    </xf>
    <xf numFmtId="0" fontId="12" fillId="6" borderId="2" xfId="3" applyFont="1" applyFill="1" applyBorder="1">
      <alignment vertical="center"/>
    </xf>
    <xf numFmtId="0" fontId="6" fillId="6" borderId="2" xfId="3" applyFill="1" applyBorder="1">
      <alignment vertical="center"/>
    </xf>
    <xf numFmtId="0" fontId="12" fillId="6" borderId="4" xfId="3" applyFont="1" applyFill="1" applyBorder="1">
      <alignment vertical="center"/>
    </xf>
    <xf numFmtId="0" fontId="6" fillId="3" borderId="3" xfId="3" applyFill="1" applyBorder="1" applyAlignment="1">
      <alignment horizontal="center"/>
    </xf>
    <xf numFmtId="0" fontId="6" fillId="3" borderId="2" xfId="3" applyFill="1" applyBorder="1" applyAlignment="1">
      <alignment horizontal="center"/>
    </xf>
    <xf numFmtId="0" fontId="6" fillId="3" borderId="4" xfId="3" applyFill="1" applyBorder="1" applyAlignment="1">
      <alignment horizontal="center"/>
    </xf>
    <xf numFmtId="0" fontId="6" fillId="0" borderId="1" xfId="3" applyBorder="1">
      <alignment vertical="center"/>
    </xf>
    <xf numFmtId="0" fontId="6" fillId="4" borderId="5" xfId="3" applyFill="1" applyBorder="1">
      <alignment vertical="center"/>
    </xf>
    <xf numFmtId="0" fontId="6" fillId="4" borderId="6" xfId="3" applyFill="1" applyBorder="1">
      <alignment vertical="center"/>
    </xf>
    <xf numFmtId="0" fontId="16" fillId="7" borderId="1" xfId="5" applyFont="1" applyFill="1" applyBorder="1"/>
    <xf numFmtId="0" fontId="8" fillId="0" borderId="0" xfId="3" applyFont="1" applyFill="1" applyBorder="1" applyAlignment="1">
      <alignment vertical="center"/>
    </xf>
    <xf numFmtId="0" fontId="8" fillId="0" borderId="0" xfId="3" applyFont="1" applyBorder="1">
      <alignment vertical="center"/>
    </xf>
    <xf numFmtId="0" fontId="8" fillId="0" borderId="0" xfId="3" applyFont="1" applyFill="1" applyBorder="1">
      <alignment vertical="center"/>
    </xf>
    <xf numFmtId="10" fontId="13" fillId="0" borderId="1" xfId="6" applyNumberFormat="1" applyFont="1" applyFill="1" applyBorder="1" applyAlignment="1">
      <alignment horizontal="center"/>
    </xf>
    <xf numFmtId="177" fontId="13" fillId="0" borderId="1" xfId="6" applyNumberFormat="1" applyFont="1" applyFill="1" applyBorder="1" applyAlignment="1">
      <alignment horizontal="right"/>
    </xf>
    <xf numFmtId="10" fontId="13" fillId="0" borderId="1" xfId="1" applyNumberFormat="1" applyFont="1" applyFill="1" applyBorder="1" applyAlignment="1">
      <alignment horizontal="right"/>
    </xf>
    <xf numFmtId="177" fontId="13" fillId="8" borderId="1" xfId="6" applyNumberFormat="1" applyFont="1" applyFill="1" applyBorder="1" applyAlignment="1">
      <alignment horizontal="right"/>
    </xf>
    <xf numFmtId="10" fontId="13" fillId="8" borderId="1" xfId="1" applyNumberFormat="1" applyFont="1" applyFill="1" applyBorder="1">
      <alignment vertical="center"/>
    </xf>
    <xf numFmtId="0" fontId="18" fillId="0" borderId="0" xfId="7" applyFont="1">
      <alignment vertical="center"/>
    </xf>
    <xf numFmtId="0" fontId="9" fillId="2" borderId="1" xfId="6" applyFont="1" applyFill="1" applyBorder="1" applyAlignment="1">
      <alignment horizontal="center"/>
    </xf>
    <xf numFmtId="0" fontId="10" fillId="4" borderId="1" xfId="6" applyFont="1" applyFill="1" applyBorder="1" applyAlignment="1">
      <alignment horizontal="center"/>
    </xf>
    <xf numFmtId="0" fontId="7" fillId="0" borderId="1" xfId="0" applyFont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4" fillId="0" borderId="0" xfId="4"/>
    <xf numFmtId="0" fontId="14" fillId="0" borderId="0" xfId="4" applyAlignment="1">
      <alignment vertical="center"/>
    </xf>
    <xf numFmtId="0" fontId="12" fillId="3" borderId="1" xfId="4" applyFont="1" applyFill="1" applyBorder="1" applyAlignment="1">
      <alignment vertical="center"/>
    </xf>
    <xf numFmtId="0" fontId="14" fillId="3" borderId="1" xfId="4" applyFill="1" applyBorder="1" applyAlignment="1">
      <alignment vertical="center"/>
    </xf>
    <xf numFmtId="0" fontId="12" fillId="2" borderId="1" xfId="4" applyFont="1" applyFill="1" applyBorder="1" applyAlignment="1">
      <alignment vertical="center"/>
    </xf>
    <xf numFmtId="1" fontId="14" fillId="3" borderId="1" xfId="4" applyNumberFormat="1" applyFill="1" applyBorder="1" applyAlignment="1">
      <alignment vertical="center"/>
    </xf>
    <xf numFmtId="0" fontId="14" fillId="0" borderId="0" xfId="4" applyAlignment="1">
      <alignment horizontal="center" vertical="center"/>
    </xf>
    <xf numFmtId="0" fontId="14" fillId="0" borderId="1" xfId="4" applyBorder="1" applyAlignment="1">
      <alignment horizontal="center" vertical="center"/>
    </xf>
    <xf numFmtId="1" fontId="14" fillId="0" borderId="1" xfId="4" applyNumberFormat="1" applyBorder="1" applyAlignment="1">
      <alignment horizontal="center" vertical="center"/>
    </xf>
    <xf numFmtId="0" fontId="14" fillId="0" borderId="1" xfId="4" applyBorder="1" applyAlignment="1">
      <alignment vertical="center"/>
    </xf>
    <xf numFmtId="0" fontId="14" fillId="4" borderId="1" xfId="4" applyFill="1" applyBorder="1" applyAlignment="1">
      <alignment vertical="center"/>
    </xf>
    <xf numFmtId="0" fontId="14" fillId="0" borderId="0" xfId="4" applyAlignment="1">
      <alignment horizontal="left" vertical="center"/>
    </xf>
    <xf numFmtId="0" fontId="12" fillId="9" borderId="0" xfId="4" applyFont="1" applyFill="1" applyBorder="1" applyAlignment="1">
      <alignment horizontal="center" vertical="center"/>
    </xf>
    <xf numFmtId="0" fontId="4" fillId="0" borderId="0" xfId="8">
      <alignment vertical="center"/>
    </xf>
    <xf numFmtId="22" fontId="4" fillId="0" borderId="0" xfId="8" applyNumberFormat="1">
      <alignment vertical="center"/>
    </xf>
    <xf numFmtId="10" fontId="4" fillId="0" borderId="0" xfId="8" applyNumberFormat="1">
      <alignment vertical="center"/>
    </xf>
    <xf numFmtId="0" fontId="4" fillId="0" borderId="0" xfId="8" applyNumberFormat="1">
      <alignment vertical="center"/>
    </xf>
    <xf numFmtId="0" fontId="4" fillId="0" borderId="0" xfId="8" applyAlignment="1">
      <alignment horizontal="left" vertical="center"/>
    </xf>
    <xf numFmtId="0" fontId="4" fillId="0" borderId="0" xfId="8" pivotButton="1">
      <alignment vertical="center"/>
    </xf>
    <xf numFmtId="0" fontId="6" fillId="10" borderId="4" xfId="3" applyFill="1" applyBorder="1">
      <alignment vertical="center"/>
    </xf>
    <xf numFmtId="0" fontId="6" fillId="10" borderId="2" xfId="3" applyFill="1" applyBorder="1">
      <alignment vertical="center"/>
    </xf>
    <xf numFmtId="176" fontId="6" fillId="3" borderId="1" xfId="3" applyNumberFormat="1" applyFill="1" applyBorder="1" applyAlignment="1">
      <alignment horizontal="center" vertical="center"/>
    </xf>
    <xf numFmtId="0" fontId="6" fillId="10" borderId="3" xfId="3" applyFill="1" applyBorder="1">
      <alignment vertical="center"/>
    </xf>
    <xf numFmtId="0" fontId="12" fillId="5" borderId="3" xfId="3" applyFont="1" applyFill="1" applyBorder="1">
      <alignment vertical="center"/>
    </xf>
    <xf numFmtId="0" fontId="3" fillId="0" borderId="0" xfId="9">
      <alignment vertical="center"/>
    </xf>
    <xf numFmtId="0" fontId="3" fillId="0" borderId="1" xfId="9" applyBorder="1">
      <alignment vertical="center"/>
    </xf>
    <xf numFmtId="0" fontId="3" fillId="0" borderId="7" xfId="9" applyBorder="1">
      <alignment vertical="center"/>
    </xf>
    <xf numFmtId="0" fontId="3" fillId="0" borderId="8" xfId="9" applyBorder="1">
      <alignment vertical="center"/>
    </xf>
    <xf numFmtId="10" fontId="19" fillId="0" borderId="1" xfId="10" applyNumberFormat="1" applyFont="1" applyBorder="1">
      <alignment vertical="center"/>
    </xf>
    <xf numFmtId="0" fontId="3" fillId="2" borderId="9" xfId="9" applyFill="1" applyBorder="1" applyAlignment="1"/>
    <xf numFmtId="179" fontId="20" fillId="3" borderId="1" xfId="9" applyNumberFormat="1" applyFont="1" applyFill="1" applyBorder="1" applyAlignment="1">
      <alignment horizontal="right"/>
    </xf>
    <xf numFmtId="9" fontId="0" fillId="0" borderId="1" xfId="10" applyFont="1" applyBorder="1">
      <alignment vertical="center"/>
    </xf>
    <xf numFmtId="10" fontId="0" fillId="0" borderId="1" xfId="10" applyNumberFormat="1" applyFont="1" applyBorder="1">
      <alignment vertical="center"/>
    </xf>
    <xf numFmtId="180" fontId="3" fillId="0" borderId="1" xfId="9" applyNumberFormat="1" applyBorder="1">
      <alignment vertical="center"/>
    </xf>
    <xf numFmtId="180" fontId="0" fillId="0" borderId="1" xfId="10" applyNumberFormat="1" applyFont="1" applyBorder="1" applyAlignment="1">
      <alignment horizontal="center" vertical="center"/>
    </xf>
    <xf numFmtId="0" fontId="3" fillId="0" borderId="1" xfId="9" applyBorder="1" applyAlignment="1">
      <alignment horizontal="center" vertical="center"/>
    </xf>
    <xf numFmtId="0" fontId="19" fillId="0" borderId="0" xfId="9" applyFont="1">
      <alignment vertical="center"/>
    </xf>
    <xf numFmtId="0" fontId="21" fillId="0" borderId="1" xfId="9" applyFont="1" applyBorder="1" applyAlignment="1">
      <alignment horizontal="center" vertical="center"/>
    </xf>
    <xf numFmtId="0" fontId="3" fillId="0" borderId="1" xfId="9" applyFill="1" applyBorder="1" applyAlignment="1">
      <alignment horizontal="center" vertical="center"/>
    </xf>
    <xf numFmtId="181" fontId="22" fillId="3" borderId="1" xfId="9" applyNumberFormat="1" applyFont="1" applyFill="1" applyBorder="1" applyAlignment="1">
      <alignment horizontal="right"/>
    </xf>
    <xf numFmtId="179" fontId="22" fillId="3" borderId="1" xfId="9" applyNumberFormat="1" applyFont="1" applyFill="1" applyBorder="1" applyAlignment="1">
      <alignment horizontal="right"/>
    </xf>
    <xf numFmtId="9" fontId="0" fillId="8" borderId="1" xfId="10" applyFont="1" applyFill="1" applyBorder="1" applyAlignment="1"/>
    <xf numFmtId="58" fontId="3" fillId="0" borderId="0" xfId="9" quotePrefix="1" applyNumberFormat="1">
      <alignment vertical="center"/>
    </xf>
    <xf numFmtId="0" fontId="3" fillId="0" borderId="0" xfId="9" quotePrefix="1">
      <alignment vertical="center"/>
    </xf>
    <xf numFmtId="9" fontId="19" fillId="0" borderId="1" xfId="9" applyNumberFormat="1" applyFont="1" applyBorder="1">
      <alignment vertical="center"/>
    </xf>
    <xf numFmtId="9" fontId="20" fillId="3" borderId="1" xfId="10" applyNumberFormat="1" applyFont="1" applyFill="1" applyBorder="1" applyAlignment="1">
      <alignment horizontal="right"/>
    </xf>
    <xf numFmtId="1" fontId="3" fillId="8" borderId="1" xfId="9" applyNumberFormat="1" applyFill="1" applyBorder="1" applyAlignment="1"/>
    <xf numFmtId="1" fontId="3" fillId="4" borderId="1" xfId="9" applyNumberFormat="1" applyFill="1" applyBorder="1" applyAlignment="1"/>
    <xf numFmtId="0" fontId="23" fillId="0" borderId="0" xfId="9" applyFont="1">
      <alignment vertical="center"/>
    </xf>
    <xf numFmtId="0" fontId="2" fillId="0" borderId="0" xfId="11">
      <alignment vertical="center"/>
    </xf>
    <xf numFmtId="0" fontId="25" fillId="0" borderId="0" xfId="11" applyFont="1" applyAlignment="1">
      <alignment horizontal="center" vertical="center"/>
    </xf>
    <xf numFmtId="0" fontId="26" fillId="7" borderId="1" xfId="7" applyFont="1" applyFill="1" applyBorder="1" applyAlignment="1">
      <alignment horizontal="center" vertical="center"/>
    </xf>
    <xf numFmtId="0" fontId="17" fillId="11" borderId="1" xfId="7" applyFont="1" applyFill="1" applyBorder="1" applyAlignment="1">
      <alignment horizontal="center" vertical="center"/>
    </xf>
    <xf numFmtId="0" fontId="10" fillId="7" borderId="1" xfId="6" applyFont="1" applyFill="1" applyBorder="1" applyAlignment="1">
      <alignment horizontal="center"/>
    </xf>
    <xf numFmtId="0" fontId="13" fillId="0" borderId="0" xfId="12" applyFont="1">
      <alignment vertical="center"/>
    </xf>
    <xf numFmtId="182" fontId="13" fillId="0" borderId="0" xfId="12" applyNumberFormat="1" applyFont="1">
      <alignment vertical="center"/>
    </xf>
    <xf numFmtId="0" fontId="13" fillId="8" borderId="0" xfId="12" applyFont="1" applyFill="1">
      <alignment vertical="center"/>
    </xf>
    <xf numFmtId="2" fontId="13" fillId="8" borderId="0" xfId="12" applyNumberFormat="1" applyFont="1" applyFill="1">
      <alignment vertical="center"/>
    </xf>
    <xf numFmtId="10" fontId="13" fillId="8" borderId="0" xfId="1" applyNumberFormat="1" applyFont="1" applyFill="1">
      <alignment vertical="center"/>
    </xf>
    <xf numFmtId="2" fontId="13" fillId="0" borderId="0" xfId="12" applyNumberFormat="1" applyFont="1">
      <alignment vertical="center"/>
    </xf>
    <xf numFmtId="9" fontId="13" fillId="0" borderId="0" xfId="12" applyNumberFormat="1" applyFont="1">
      <alignment vertical="center"/>
    </xf>
    <xf numFmtId="9" fontId="13" fillId="8" borderId="0" xfId="12" applyNumberFormat="1" applyFont="1" applyFill="1">
      <alignment vertical="center"/>
    </xf>
    <xf numFmtId="2" fontId="13" fillId="8" borderId="1" xfId="12" applyNumberFormat="1" applyFont="1" applyFill="1" applyBorder="1">
      <alignment vertical="center"/>
    </xf>
    <xf numFmtId="0" fontId="8" fillId="7" borderId="1" xfId="3" applyFont="1" applyFill="1" applyBorder="1" applyAlignment="1"/>
    <xf numFmtId="43" fontId="13" fillId="0" borderId="0" xfId="12" applyNumberFormat="1" applyFont="1">
      <alignment vertical="center"/>
    </xf>
    <xf numFmtId="10" fontId="13" fillId="8" borderId="1" xfId="12" applyNumberFormat="1" applyFont="1" applyFill="1" applyBorder="1">
      <alignment vertical="center"/>
    </xf>
    <xf numFmtId="43" fontId="13" fillId="8" borderId="1" xfId="12" applyNumberFormat="1" applyFont="1" applyFill="1" applyBorder="1">
      <alignment vertical="center"/>
    </xf>
    <xf numFmtId="0" fontId="13" fillId="7" borderId="1" xfId="12" applyFont="1" applyFill="1" applyBorder="1">
      <alignment vertical="center"/>
    </xf>
    <xf numFmtId="0" fontId="13" fillId="0" borderId="1" xfId="12" applyFont="1" applyBorder="1">
      <alignment vertical="center"/>
    </xf>
    <xf numFmtId="0" fontId="16" fillId="0" borderId="0" xfId="13" applyFont="1" applyFill="1" applyBorder="1" applyAlignment="1">
      <alignment horizontal="center"/>
    </xf>
    <xf numFmtId="181" fontId="13" fillId="8" borderId="1" xfId="12" applyNumberFormat="1" applyFont="1" applyFill="1" applyBorder="1">
      <alignment vertical="center"/>
    </xf>
    <xf numFmtId="43" fontId="13" fillId="0" borderId="1" xfId="14" applyNumberFormat="1" applyFont="1" applyBorder="1" applyAlignment="1">
      <alignment horizontal="right" vertical="center"/>
    </xf>
    <xf numFmtId="183" fontId="13" fillId="0" borderId="0" xfId="15" applyNumberFormat="1" applyFont="1">
      <alignment vertical="center"/>
    </xf>
    <xf numFmtId="181" fontId="16" fillId="3" borderId="1" xfId="16" applyNumberFormat="1" applyFont="1" applyFill="1" applyBorder="1" applyProtection="1"/>
    <xf numFmtId="184" fontId="16" fillId="3" borderId="1" xfId="16" applyNumberFormat="1" applyFont="1" applyFill="1" applyBorder="1" applyProtection="1"/>
    <xf numFmtId="0" fontId="13" fillId="2" borderId="2" xfId="12" applyFont="1" applyFill="1" applyBorder="1" applyAlignment="1">
      <alignment horizontal="center"/>
    </xf>
    <xf numFmtId="0" fontId="13" fillId="0" borderId="0" xfId="15" applyFont="1">
      <alignment vertical="center"/>
    </xf>
    <xf numFmtId="8" fontId="13" fillId="8" borderId="0" xfId="12" applyNumberFormat="1" applyFont="1" applyFill="1">
      <alignment vertical="center"/>
    </xf>
    <xf numFmtId="178" fontId="13" fillId="8" borderId="1" xfId="14" applyNumberFormat="1" applyFont="1" applyFill="1" applyBorder="1" applyAlignment="1">
      <alignment horizontal="right" vertical="center"/>
    </xf>
    <xf numFmtId="43" fontId="13" fillId="8" borderId="1" xfId="6" applyNumberFormat="1" applyFont="1" applyFill="1" applyBorder="1" applyAlignment="1">
      <alignment horizontal="center"/>
    </xf>
    <xf numFmtId="0" fontId="13" fillId="0" borderId="1" xfId="12" applyNumberFormat="1" applyFont="1" applyBorder="1" applyAlignment="1"/>
    <xf numFmtId="0" fontId="13" fillId="2" borderId="3" xfId="12" applyFont="1" applyFill="1" applyBorder="1" applyAlignment="1">
      <alignment horizontal="center"/>
    </xf>
    <xf numFmtId="0" fontId="13" fillId="2" borderId="1" xfId="12" applyFont="1" applyFill="1" applyBorder="1" applyAlignment="1">
      <alignment horizontal="center"/>
    </xf>
    <xf numFmtId="0" fontId="13" fillId="0" borderId="1" xfId="12" applyFont="1" applyBorder="1" applyAlignment="1">
      <alignment horizontal="center"/>
    </xf>
    <xf numFmtId="0" fontId="7" fillId="0" borderId="5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13" fillId="0" borderId="1" xfId="12" applyFont="1" applyBorder="1" applyAlignment="1">
      <alignment horizontal="center"/>
    </xf>
  </cellXfs>
  <cellStyles count="17">
    <cellStyle name="百分比 2" xfId="1"/>
    <cellStyle name="百分比 3" xfId="10"/>
    <cellStyle name="常规" xfId="0" builtinId="0"/>
    <cellStyle name="常规 2" xfId="2"/>
    <cellStyle name="常规 2 2" xfId="13"/>
    <cellStyle name="常规 3" xfId="3"/>
    <cellStyle name="常规 3 2" xfId="5"/>
    <cellStyle name="常规 4" xfId="4"/>
    <cellStyle name="常规 4 2" xfId="12"/>
    <cellStyle name="常规 5" xfId="8"/>
    <cellStyle name="常规 5 2" xfId="15"/>
    <cellStyle name="常规 6" xfId="9"/>
    <cellStyle name="常规 7" xfId="11"/>
    <cellStyle name="常规_Ch7" xfId="7"/>
    <cellStyle name="常规_第五章试题" xfId="6"/>
    <cellStyle name="常规_回归1" xfId="16"/>
    <cellStyle name="千位分隔 2" xfId="14"/>
  </cellStyles>
  <dxfs count="1">
    <dxf>
      <numFmt numFmtId="27" formatCode="yyyy/m/d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pivotCacheDefinition" Target="pivotCache/pivotCacheDefinition1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[模拟试卷2 - 答案.xlsx]第1题答案!数据透视表4</c:name>
    <c:fmtId val="3"/>
  </c:pivotSource>
  <c:chart>
    <c:autoTitleDeleted val="0"/>
    <c:pivotFmts>
      <c:pivotFmt>
        <c:idx val="0"/>
        <c:marker>
          <c:symbol val="none"/>
        </c:marker>
      </c:pivotFmt>
      <c:pivotFmt>
        <c:idx val="1"/>
      </c:pivotFmt>
      <c:pivotFmt>
        <c:idx val="2"/>
        <c:marker>
          <c:symbol val="none"/>
        </c:marker>
      </c:pivotFmt>
      <c:pivotFmt>
        <c:idx val="3"/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</c:pivotFmt>
      <c:pivotFmt>
        <c:idx val="7"/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</c:pivotFmt>
      <c:pivotFmt>
        <c:idx val="11"/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</c:pivotFmt>
      <c:pivotFmt>
        <c:idx val="15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第1题答案!$G$11</c:f>
              <c:strCache>
                <c:ptCount val="1"/>
                <c:pt idx="0">
                  <c:v>计数项:订单ID</c:v>
                </c:pt>
              </c:strCache>
            </c:strRef>
          </c:tx>
          <c:invertIfNegative val="0"/>
          <c:cat>
            <c:strRef>
              <c:f>第1题答案!$F$12:$F$15</c:f>
              <c:strCache>
                <c:ptCount val="3"/>
                <c:pt idx="0">
                  <c:v>频繁</c:v>
                </c:pt>
                <c:pt idx="1">
                  <c:v>一般</c:v>
                </c:pt>
                <c:pt idx="2">
                  <c:v>难得</c:v>
                </c:pt>
              </c:strCache>
            </c:strRef>
          </c:cat>
          <c:val>
            <c:numRef>
              <c:f>第1题答案!$G$12:$G$15</c:f>
              <c:numCache>
                <c:formatCode>General</c:formatCode>
                <c:ptCount val="3"/>
                <c:pt idx="0">
                  <c:v>46</c:v>
                </c:pt>
                <c:pt idx="1">
                  <c:v>231</c:v>
                </c:pt>
                <c:pt idx="2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6-4818-91FC-D45E8BDD3904}"/>
            </c:ext>
          </c:extLst>
        </c:ser>
        <c:ser>
          <c:idx val="2"/>
          <c:order val="2"/>
          <c:tx>
            <c:strRef>
              <c:f>第1题答案!$I$11</c:f>
              <c:strCache>
                <c:ptCount val="1"/>
                <c:pt idx="0">
                  <c:v>平均值项:Expr1003</c:v>
                </c:pt>
              </c:strCache>
            </c:strRef>
          </c:tx>
          <c:invertIfNegative val="0"/>
          <c:cat>
            <c:strRef>
              <c:f>第1题答案!$F$12:$F$15</c:f>
              <c:strCache>
                <c:ptCount val="3"/>
                <c:pt idx="0">
                  <c:v>频繁</c:v>
                </c:pt>
                <c:pt idx="1">
                  <c:v>一般</c:v>
                </c:pt>
                <c:pt idx="2">
                  <c:v>难得</c:v>
                </c:pt>
              </c:strCache>
            </c:strRef>
          </c:cat>
          <c:val>
            <c:numRef>
              <c:f>第1题答案!$I$12:$I$15</c:f>
              <c:numCache>
                <c:formatCode>General</c:formatCode>
                <c:ptCount val="3"/>
                <c:pt idx="0">
                  <c:v>3628.6901800602859</c:v>
                </c:pt>
                <c:pt idx="1">
                  <c:v>1405.5698687184154</c:v>
                </c:pt>
                <c:pt idx="2">
                  <c:v>957.85354895614557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F6-4818-91FC-D45E8BDD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0789800"/>
        <c:axId val="380790976"/>
      </c:barChart>
      <c:lineChart>
        <c:grouping val="standard"/>
        <c:varyColors val="0"/>
        <c:ser>
          <c:idx val="1"/>
          <c:order val="1"/>
          <c:tx>
            <c:strRef>
              <c:f>第1题答案!$H$11</c:f>
              <c:strCache>
                <c:ptCount val="1"/>
                <c:pt idx="0">
                  <c:v>计数项:订单ID2</c:v>
                </c:pt>
              </c:strCache>
            </c:strRef>
          </c:tx>
          <c:cat>
            <c:strRef>
              <c:f>第1题答案!$F$12:$F$15</c:f>
              <c:strCache>
                <c:ptCount val="3"/>
                <c:pt idx="0">
                  <c:v>频繁</c:v>
                </c:pt>
                <c:pt idx="1">
                  <c:v>一般</c:v>
                </c:pt>
                <c:pt idx="2">
                  <c:v>难得</c:v>
                </c:pt>
              </c:strCache>
            </c:strRef>
          </c:cat>
          <c:val>
            <c:numRef>
              <c:f>第1题答案!$H$12:$H$15</c:f>
              <c:numCache>
                <c:formatCode>0.00%</c:formatCode>
                <c:ptCount val="3"/>
                <c:pt idx="0">
                  <c:v>0.11274509803921569</c:v>
                </c:pt>
                <c:pt idx="1">
                  <c:v>0.56617647058823528</c:v>
                </c:pt>
                <c:pt idx="2">
                  <c:v>0.32107843137254904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F6-4818-91FC-D45E8BDD3904}"/>
            </c:ext>
          </c:extLst>
        </c:ser>
        <c:ser>
          <c:idx val="3"/>
          <c:order val="3"/>
          <c:tx>
            <c:strRef>
              <c:f>第1题答案!$J$11</c:f>
              <c:strCache>
                <c:ptCount val="1"/>
                <c:pt idx="0">
                  <c:v>求和项:Expr1003_2</c:v>
                </c:pt>
              </c:strCache>
            </c:strRef>
          </c:tx>
          <c:cat>
            <c:strRef>
              <c:f>第1题答案!$F$12:$F$15</c:f>
              <c:strCache>
                <c:ptCount val="3"/>
                <c:pt idx="0">
                  <c:v>频繁</c:v>
                </c:pt>
                <c:pt idx="1">
                  <c:v>一般</c:v>
                </c:pt>
                <c:pt idx="2">
                  <c:v>难得</c:v>
                </c:pt>
              </c:strCache>
            </c:strRef>
          </c:cat>
          <c:val>
            <c:numRef>
              <c:f>第1题答案!$J$12:$J$15</c:f>
              <c:numCache>
                <c:formatCode>0.00%</c:formatCode>
                <c:ptCount val="3"/>
                <c:pt idx="0">
                  <c:v>0.27049708452973975</c:v>
                </c:pt>
                <c:pt idx="1">
                  <c:v>0.52616176528602387</c:v>
                </c:pt>
                <c:pt idx="2">
                  <c:v>0.20334115018423649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F6-4818-91FC-D45E8BDD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91760"/>
        <c:axId val="380791368"/>
      </c:lineChart>
      <c:catAx>
        <c:axId val="380789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0790976"/>
        <c:crosses val="autoZero"/>
        <c:auto val="1"/>
        <c:lblAlgn val="ctr"/>
        <c:lblOffset val="100"/>
        <c:noMultiLvlLbl val="0"/>
      </c:catAx>
      <c:valAx>
        <c:axId val="380790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0789800"/>
        <c:crosses val="autoZero"/>
        <c:crossBetween val="between"/>
      </c:valAx>
      <c:valAx>
        <c:axId val="38079136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80791760"/>
        <c:crosses val="max"/>
        <c:crossBetween val="between"/>
      </c:valAx>
      <c:catAx>
        <c:axId val="380791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9136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不同省份销售统计图</a:t>
            </a:r>
            <a:endParaRPr lang="en-US" altLang="zh-C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</c:spPr>
          <c:invertIfNegative val="0"/>
          <c:cat>
            <c:strRef>
              <c:f>第2题答案!$I$3:$I$9</c:f>
              <c:strCache>
                <c:ptCount val="7"/>
                <c:pt idx="0">
                  <c:v>山东</c:v>
                </c:pt>
                <c:pt idx="1">
                  <c:v>安徽</c:v>
                </c:pt>
                <c:pt idx="2">
                  <c:v>江西</c:v>
                </c:pt>
                <c:pt idx="3">
                  <c:v>江苏</c:v>
                </c:pt>
                <c:pt idx="4">
                  <c:v>广东</c:v>
                </c:pt>
                <c:pt idx="5">
                  <c:v>福建</c:v>
                </c:pt>
                <c:pt idx="6">
                  <c:v>浙江</c:v>
                </c:pt>
              </c:strCache>
            </c:strRef>
          </c:cat>
          <c:val>
            <c:numRef>
              <c:f>第2题答案!$J$3:$J$9</c:f>
              <c:numCache>
                <c:formatCode>General</c:formatCode>
                <c:ptCount val="7"/>
                <c:pt idx="0">
                  <c:v>163395</c:v>
                </c:pt>
                <c:pt idx="1">
                  <c:v>167487</c:v>
                </c:pt>
                <c:pt idx="2">
                  <c:v>120055</c:v>
                </c:pt>
                <c:pt idx="3">
                  <c:v>51398</c:v>
                </c:pt>
                <c:pt idx="4">
                  <c:v>131437</c:v>
                </c:pt>
                <c:pt idx="5">
                  <c:v>87967</c:v>
                </c:pt>
                <c:pt idx="6">
                  <c:v>7478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6-4D38-B3FB-BB0700FFF829}"/>
            </c:ext>
          </c:extLst>
        </c:ser>
        <c:ser>
          <c:idx val="1"/>
          <c:order val="2"/>
          <c:invertIfNegative val="0"/>
          <c:val>
            <c:numRef>
              <c:f>第2题答案!$K$15:$K$21</c:f>
              <c:numCache>
                <c:formatCode>General</c:formatCode>
                <c:ptCount val="7"/>
                <c:pt idx="0">
                  <c:v>0</c:v>
                </c:pt>
                <c:pt idx="1">
                  <c:v>167487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6-4D38-B3FB-BB0700FFF829}"/>
            </c:ext>
          </c:extLst>
        </c:ser>
        <c:ser>
          <c:idx val="3"/>
          <c:order val="3"/>
          <c:spPr>
            <a:solidFill>
              <a:srgbClr val="C00000"/>
            </a:solidFill>
          </c:spPr>
          <c:invertIfNegative val="0"/>
          <c:val>
            <c:numRef>
              <c:f>第2题答案!$L$15:$L$21</c:f>
              <c:numCache>
                <c:formatCode>General</c:formatCode>
                <c:ptCount val="7"/>
                <c:pt idx="0">
                  <c:v>163395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D6-4D38-B3FB-BB0700FFF829}"/>
            </c:ext>
          </c:extLst>
        </c:ser>
        <c:ser>
          <c:idx val="4"/>
          <c:order val="4"/>
          <c:spPr>
            <a:solidFill>
              <a:srgbClr val="C00000"/>
            </a:solidFill>
          </c:spPr>
          <c:invertIfNegative val="0"/>
          <c:val>
            <c:numRef>
              <c:f>第2题答案!$M$15:$M$21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131437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D6-4D38-B3FB-BB0700FFF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5288928"/>
        <c:axId val="385289320"/>
      </c:barChart>
      <c:scatterChart>
        <c:scatterStyle val="lineMarker"/>
        <c:varyColors val="0"/>
        <c:ser>
          <c:idx val="2"/>
          <c:order val="1"/>
          <c:marker>
            <c:symbol val="none"/>
          </c:marker>
          <c:xVal>
            <c:numRef>
              <c:f>第2题答案!$K$4:$K$5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xVal>
          <c:yVal>
            <c:numRef>
              <c:f>第2题答案!$L$4:$L$5</c:f>
              <c:numCache>
                <c:formatCode>General</c:formatCode>
                <c:ptCount val="2"/>
                <c:pt idx="0">
                  <c:v>104173.85714285714</c:v>
                </c:pt>
                <c:pt idx="1">
                  <c:v>104173.85714285714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D6-4D38-B3FB-BB0700FFF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288928"/>
        <c:axId val="385289320"/>
      </c:scatterChart>
      <c:catAx>
        <c:axId val="385288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5289320"/>
        <c:crosses val="autoZero"/>
        <c:auto val="1"/>
        <c:lblAlgn val="ctr"/>
        <c:lblOffset val="100"/>
        <c:noMultiLvlLbl val="0"/>
      </c:catAx>
      <c:valAx>
        <c:axId val="385289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852889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盈亏平衡分析模型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756714785651794"/>
          <c:y val="0.14444444444444443"/>
          <c:w val="0.8002106299212598"/>
          <c:h val="0.666318897637795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第4题答案!$F$2</c:f>
              <c:strCache>
                <c:ptCount val="1"/>
                <c:pt idx="0">
                  <c:v>销售收益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第4题答案!$E$4:$E$5</c:f>
              <c:numCache>
                <c:formatCode>General</c:formatCode>
                <c:ptCount val="2"/>
                <c:pt idx="0">
                  <c:v>0</c:v>
                </c:pt>
                <c:pt idx="1">
                  <c:v>10000</c:v>
                </c:pt>
              </c:numCache>
            </c:numRef>
          </c:xVal>
          <c:yVal>
            <c:numRef>
              <c:f>第4题答案!$F$4:$F$5</c:f>
              <c:numCache>
                <c:formatCode>General</c:formatCode>
                <c:ptCount val="2"/>
                <c:pt idx="0">
                  <c:v>0</c:v>
                </c:pt>
                <c:pt idx="1">
                  <c:v>6000000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99-464F-9209-E944070EED76}"/>
            </c:ext>
          </c:extLst>
        </c:ser>
        <c:ser>
          <c:idx val="1"/>
          <c:order val="1"/>
          <c:tx>
            <c:strRef>
              <c:f>第4题答案!$G$2</c:f>
              <c:strCache>
                <c:ptCount val="1"/>
                <c:pt idx="0">
                  <c:v>总成本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第4题答案!$E$4:$E$5</c:f>
              <c:numCache>
                <c:formatCode>General</c:formatCode>
                <c:ptCount val="2"/>
                <c:pt idx="0">
                  <c:v>0</c:v>
                </c:pt>
                <c:pt idx="1">
                  <c:v>10000</c:v>
                </c:pt>
              </c:numCache>
            </c:numRef>
          </c:xVal>
          <c:yVal>
            <c:numRef>
              <c:f>第4题答案!$G$4:$G$5</c:f>
              <c:numCache>
                <c:formatCode>General</c:formatCode>
                <c:ptCount val="2"/>
                <c:pt idx="0">
                  <c:v>80000</c:v>
                </c:pt>
                <c:pt idx="1">
                  <c:v>4880000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99-464F-9209-E944070EED76}"/>
            </c:ext>
          </c:extLst>
        </c:ser>
        <c:ser>
          <c:idx val="2"/>
          <c:order val="2"/>
          <c:tx>
            <c:strRef>
              <c:f>第4题答案!$H$2</c:f>
              <c:strCache>
                <c:ptCount val="1"/>
                <c:pt idx="0">
                  <c:v>利润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第4题答案!$E$4:$E$5</c:f>
              <c:numCache>
                <c:formatCode>General</c:formatCode>
                <c:ptCount val="2"/>
                <c:pt idx="0">
                  <c:v>0</c:v>
                </c:pt>
                <c:pt idx="1">
                  <c:v>10000</c:v>
                </c:pt>
              </c:numCache>
            </c:numRef>
          </c:xVal>
          <c:yVal>
            <c:numRef>
              <c:f>第4题答案!$H$4:$H$5</c:f>
              <c:numCache>
                <c:formatCode>General</c:formatCode>
                <c:ptCount val="2"/>
                <c:pt idx="0">
                  <c:v>-80000</c:v>
                </c:pt>
                <c:pt idx="1">
                  <c:v>1120000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99-464F-9209-E944070EED76}"/>
            </c:ext>
          </c:extLst>
        </c:ser>
        <c:ser>
          <c:idx val="3"/>
          <c:order val="3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第4题答案!$E$8:$E$11</c:f>
              <c:numCache>
                <c:formatCode>0</c:formatCode>
                <c:ptCount val="4"/>
                <c:pt idx="0">
                  <c:v>666.66666666666663</c:v>
                </c:pt>
                <c:pt idx="1">
                  <c:v>666.66666666666663</c:v>
                </c:pt>
                <c:pt idx="2">
                  <c:v>666.66666666666663</c:v>
                </c:pt>
                <c:pt idx="3">
                  <c:v>666.66666666666663</c:v>
                </c:pt>
              </c:numCache>
            </c:numRef>
          </c:xVal>
          <c:yVal>
            <c:numRef>
              <c:f>第4题答案!$F$8:$F$11</c:f>
              <c:numCache>
                <c:formatCode>General</c:formatCode>
                <c:ptCount val="4"/>
                <c:pt idx="0">
                  <c:v>-1000000</c:v>
                </c:pt>
                <c:pt idx="1">
                  <c:v>0</c:v>
                </c:pt>
                <c:pt idx="2">
                  <c:v>400000</c:v>
                </c:pt>
                <c:pt idx="3">
                  <c:v>6000000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99-464F-9209-E944070EED7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第4题答案!$C$17</c:f>
              <c:numCache>
                <c:formatCode>0</c:formatCode>
                <c:ptCount val="1"/>
                <c:pt idx="0">
                  <c:v>666.66666666666663</c:v>
                </c:pt>
              </c:numCache>
            </c:numRef>
          </c:xVal>
          <c:yVal>
            <c:numRef>
              <c:f>第4题答案!$C$18</c:f>
              <c:numCache>
                <c:formatCode>General</c:formatCode>
                <c:ptCount val="1"/>
                <c:pt idx="0">
                  <c:v>400000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99-464F-9209-E944070EE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290104"/>
        <c:axId val="385290496"/>
      </c:scatterChart>
      <c:valAx>
        <c:axId val="385290104"/>
        <c:scaling>
          <c:orientation val="minMax"/>
          <c:max val="10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5290496"/>
        <c:crosses val="autoZero"/>
        <c:crossBetween val="midCat"/>
        <c:majorUnit val="1000"/>
      </c:valAx>
      <c:valAx>
        <c:axId val="385290496"/>
        <c:scaling>
          <c:orientation val="minMax"/>
          <c:max val="6000000"/>
          <c:min val="-100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5290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53757031510801E-2"/>
          <c:y val="0.13910796810400289"/>
          <c:w val="0.88265452715529191"/>
          <c:h val="0.750658092032921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第5题答案!$E$1</c:f>
              <c:strCache>
                <c:ptCount val="1"/>
                <c:pt idx="0">
                  <c:v>810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9999FF"/>
              </a:solidFill>
              <a:prstDash val="solid"/>
            </a:ln>
          </c:spPr>
          <c:invertIfNegative val="0"/>
          <c:cat>
            <c:numRef>
              <c:f>第5题答案!$D$2:$D$102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第5题答案!$E$2:$E$102</c:f>
              <c:numCache>
                <c:formatCode>General</c:formatCode>
                <c:ptCount val="101"/>
                <c:pt idx="0">
                  <c:v>2010</c:v>
                </c:pt>
                <c:pt idx="1">
                  <c:v>1910</c:v>
                </c:pt>
                <c:pt idx="2">
                  <c:v>1810</c:v>
                </c:pt>
                <c:pt idx="3">
                  <c:v>1710</c:v>
                </c:pt>
                <c:pt idx="4">
                  <c:v>1610</c:v>
                </c:pt>
                <c:pt idx="5">
                  <c:v>1510</c:v>
                </c:pt>
                <c:pt idx="6">
                  <c:v>1410</c:v>
                </c:pt>
                <c:pt idx="7">
                  <c:v>1310</c:v>
                </c:pt>
                <c:pt idx="8">
                  <c:v>1210</c:v>
                </c:pt>
                <c:pt idx="9">
                  <c:v>1110</c:v>
                </c:pt>
                <c:pt idx="10">
                  <c:v>1010</c:v>
                </c:pt>
                <c:pt idx="11">
                  <c:v>910</c:v>
                </c:pt>
                <c:pt idx="12">
                  <c:v>810</c:v>
                </c:pt>
                <c:pt idx="13">
                  <c:v>710</c:v>
                </c:pt>
                <c:pt idx="14">
                  <c:v>610</c:v>
                </c:pt>
                <c:pt idx="15">
                  <c:v>510</c:v>
                </c:pt>
                <c:pt idx="16">
                  <c:v>410</c:v>
                </c:pt>
                <c:pt idx="17">
                  <c:v>310</c:v>
                </c:pt>
                <c:pt idx="18">
                  <c:v>210</c:v>
                </c:pt>
                <c:pt idx="19">
                  <c:v>110</c:v>
                </c:pt>
                <c:pt idx="20">
                  <c:v>2010</c:v>
                </c:pt>
                <c:pt idx="21">
                  <c:v>1910</c:v>
                </c:pt>
                <c:pt idx="22">
                  <c:v>1810</c:v>
                </c:pt>
                <c:pt idx="23">
                  <c:v>1710</c:v>
                </c:pt>
                <c:pt idx="24">
                  <c:v>1610</c:v>
                </c:pt>
                <c:pt idx="25">
                  <c:v>1510</c:v>
                </c:pt>
                <c:pt idx="26">
                  <c:v>1410</c:v>
                </c:pt>
                <c:pt idx="27">
                  <c:v>1310</c:v>
                </c:pt>
                <c:pt idx="28">
                  <c:v>1210</c:v>
                </c:pt>
                <c:pt idx="29">
                  <c:v>1110</c:v>
                </c:pt>
                <c:pt idx="30">
                  <c:v>1010</c:v>
                </c:pt>
                <c:pt idx="31">
                  <c:v>910</c:v>
                </c:pt>
                <c:pt idx="32">
                  <c:v>810</c:v>
                </c:pt>
                <c:pt idx="33">
                  <c:v>710</c:v>
                </c:pt>
                <c:pt idx="34">
                  <c:v>610</c:v>
                </c:pt>
                <c:pt idx="35">
                  <c:v>510</c:v>
                </c:pt>
                <c:pt idx="36">
                  <c:v>410</c:v>
                </c:pt>
                <c:pt idx="37">
                  <c:v>310</c:v>
                </c:pt>
                <c:pt idx="38">
                  <c:v>210</c:v>
                </c:pt>
                <c:pt idx="39">
                  <c:v>110</c:v>
                </c:pt>
                <c:pt idx="40">
                  <c:v>2010</c:v>
                </c:pt>
                <c:pt idx="41">
                  <c:v>1910</c:v>
                </c:pt>
                <c:pt idx="42">
                  <c:v>1810</c:v>
                </c:pt>
                <c:pt idx="43">
                  <c:v>1710</c:v>
                </c:pt>
                <c:pt idx="44">
                  <c:v>1610</c:v>
                </c:pt>
                <c:pt idx="45">
                  <c:v>1510</c:v>
                </c:pt>
                <c:pt idx="46">
                  <c:v>1410</c:v>
                </c:pt>
                <c:pt idx="47">
                  <c:v>1310</c:v>
                </c:pt>
                <c:pt idx="48">
                  <c:v>1210</c:v>
                </c:pt>
                <c:pt idx="49">
                  <c:v>1110</c:v>
                </c:pt>
                <c:pt idx="50">
                  <c:v>1010</c:v>
                </c:pt>
                <c:pt idx="51">
                  <c:v>910</c:v>
                </c:pt>
                <c:pt idx="52">
                  <c:v>810</c:v>
                </c:pt>
                <c:pt idx="53">
                  <c:v>710</c:v>
                </c:pt>
                <c:pt idx="54">
                  <c:v>610</c:v>
                </c:pt>
                <c:pt idx="55">
                  <c:v>510</c:v>
                </c:pt>
                <c:pt idx="56">
                  <c:v>410</c:v>
                </c:pt>
                <c:pt idx="57">
                  <c:v>310</c:v>
                </c:pt>
                <c:pt idx="58">
                  <c:v>210</c:v>
                </c:pt>
                <c:pt idx="59">
                  <c:v>110</c:v>
                </c:pt>
                <c:pt idx="60">
                  <c:v>2010</c:v>
                </c:pt>
                <c:pt idx="61">
                  <c:v>1910</c:v>
                </c:pt>
                <c:pt idx="62">
                  <c:v>1810</c:v>
                </c:pt>
                <c:pt idx="63">
                  <c:v>1710</c:v>
                </c:pt>
                <c:pt idx="64">
                  <c:v>1610</c:v>
                </c:pt>
                <c:pt idx="65">
                  <c:v>1510</c:v>
                </c:pt>
                <c:pt idx="66">
                  <c:v>1410</c:v>
                </c:pt>
                <c:pt idx="67">
                  <c:v>1310</c:v>
                </c:pt>
                <c:pt idx="68">
                  <c:v>1210</c:v>
                </c:pt>
                <c:pt idx="69">
                  <c:v>1110</c:v>
                </c:pt>
                <c:pt idx="70">
                  <c:v>1010</c:v>
                </c:pt>
                <c:pt idx="71">
                  <c:v>910</c:v>
                </c:pt>
                <c:pt idx="72">
                  <c:v>810</c:v>
                </c:pt>
                <c:pt idx="73">
                  <c:v>710</c:v>
                </c:pt>
                <c:pt idx="74">
                  <c:v>610</c:v>
                </c:pt>
                <c:pt idx="75">
                  <c:v>510</c:v>
                </c:pt>
                <c:pt idx="76">
                  <c:v>410</c:v>
                </c:pt>
                <c:pt idx="77">
                  <c:v>310</c:v>
                </c:pt>
                <c:pt idx="78">
                  <c:v>210</c:v>
                </c:pt>
                <c:pt idx="79">
                  <c:v>110</c:v>
                </c:pt>
                <c:pt idx="80">
                  <c:v>2010</c:v>
                </c:pt>
                <c:pt idx="81">
                  <c:v>1910</c:v>
                </c:pt>
                <c:pt idx="82">
                  <c:v>1810</c:v>
                </c:pt>
                <c:pt idx="83">
                  <c:v>1710</c:v>
                </c:pt>
                <c:pt idx="84">
                  <c:v>1610</c:v>
                </c:pt>
                <c:pt idx="85">
                  <c:v>1510</c:v>
                </c:pt>
                <c:pt idx="86">
                  <c:v>1410</c:v>
                </c:pt>
                <c:pt idx="87">
                  <c:v>1310</c:v>
                </c:pt>
                <c:pt idx="88">
                  <c:v>1210</c:v>
                </c:pt>
                <c:pt idx="89">
                  <c:v>1110</c:v>
                </c:pt>
                <c:pt idx="90">
                  <c:v>1010</c:v>
                </c:pt>
                <c:pt idx="91">
                  <c:v>910</c:v>
                </c:pt>
                <c:pt idx="92">
                  <c:v>810</c:v>
                </c:pt>
                <c:pt idx="93">
                  <c:v>710</c:v>
                </c:pt>
                <c:pt idx="94">
                  <c:v>610</c:v>
                </c:pt>
                <c:pt idx="95">
                  <c:v>510</c:v>
                </c:pt>
                <c:pt idx="96">
                  <c:v>410</c:v>
                </c:pt>
                <c:pt idx="97">
                  <c:v>310</c:v>
                </c:pt>
                <c:pt idx="98">
                  <c:v>210</c:v>
                </c:pt>
                <c:pt idx="99">
                  <c:v>110</c:v>
                </c:pt>
                <c:pt idx="100">
                  <c:v>2010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0-4472-98C0-5A0420DC151A}"/>
            </c:ext>
          </c:extLst>
        </c:ser>
        <c:ser>
          <c:idx val="1"/>
          <c:order val="1"/>
          <c:tx>
            <c:strRef>
              <c:f>第5题答案!$F$1</c:f>
              <c:strCache>
                <c:ptCount val="1"/>
              </c:strCache>
            </c:strRef>
          </c:tx>
          <c:spPr>
            <a:solidFill>
              <a:srgbClr val="FF000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numRef>
              <c:f>第5题答案!$D$2:$D$102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第5题答案!$F$2:$F$102</c:f>
              <c:numCache>
                <c:formatCode>General</c:formatCode>
                <c:ptCount val="101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810</c:v>
                </c:pt>
                <c:pt idx="13">
                  <c:v>-10</c:v>
                </c:pt>
                <c:pt idx="14">
                  <c:v>-10</c:v>
                </c:pt>
                <c:pt idx="15">
                  <c:v>-10</c:v>
                </c:pt>
                <c:pt idx="16">
                  <c:v>-10</c:v>
                </c:pt>
                <c:pt idx="17">
                  <c:v>-10</c:v>
                </c:pt>
                <c:pt idx="18">
                  <c:v>-10</c:v>
                </c:pt>
                <c:pt idx="19">
                  <c:v>-10</c:v>
                </c:pt>
                <c:pt idx="20">
                  <c:v>-10</c:v>
                </c:pt>
                <c:pt idx="21">
                  <c:v>-10</c:v>
                </c:pt>
                <c:pt idx="22">
                  <c:v>-10</c:v>
                </c:pt>
                <c:pt idx="23">
                  <c:v>-10</c:v>
                </c:pt>
                <c:pt idx="24">
                  <c:v>-10</c:v>
                </c:pt>
                <c:pt idx="25">
                  <c:v>-10</c:v>
                </c:pt>
                <c:pt idx="26">
                  <c:v>-10</c:v>
                </c:pt>
                <c:pt idx="27">
                  <c:v>-10</c:v>
                </c:pt>
                <c:pt idx="28">
                  <c:v>-10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-10</c:v>
                </c:pt>
                <c:pt idx="36">
                  <c:v>-10</c:v>
                </c:pt>
                <c:pt idx="37">
                  <c:v>-10</c:v>
                </c:pt>
                <c:pt idx="38">
                  <c:v>-10</c:v>
                </c:pt>
                <c:pt idx="39">
                  <c:v>-10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-10</c:v>
                </c:pt>
                <c:pt idx="44">
                  <c:v>-10</c:v>
                </c:pt>
                <c:pt idx="45">
                  <c:v>-10</c:v>
                </c:pt>
                <c:pt idx="46">
                  <c:v>-10</c:v>
                </c:pt>
                <c:pt idx="47">
                  <c:v>-10</c:v>
                </c:pt>
                <c:pt idx="48">
                  <c:v>-10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-10</c:v>
                </c:pt>
                <c:pt idx="59">
                  <c:v>-10</c:v>
                </c:pt>
                <c:pt idx="60">
                  <c:v>-10</c:v>
                </c:pt>
                <c:pt idx="61">
                  <c:v>-10</c:v>
                </c:pt>
                <c:pt idx="62">
                  <c:v>-10</c:v>
                </c:pt>
                <c:pt idx="63">
                  <c:v>-10</c:v>
                </c:pt>
                <c:pt idx="64">
                  <c:v>-10</c:v>
                </c:pt>
                <c:pt idx="65">
                  <c:v>-10</c:v>
                </c:pt>
                <c:pt idx="66">
                  <c:v>-10</c:v>
                </c:pt>
                <c:pt idx="67">
                  <c:v>-10</c:v>
                </c:pt>
                <c:pt idx="68">
                  <c:v>-10</c:v>
                </c:pt>
                <c:pt idx="69">
                  <c:v>-10</c:v>
                </c:pt>
                <c:pt idx="70">
                  <c:v>-10</c:v>
                </c:pt>
                <c:pt idx="71">
                  <c:v>-10</c:v>
                </c:pt>
                <c:pt idx="72">
                  <c:v>-10</c:v>
                </c:pt>
                <c:pt idx="73">
                  <c:v>-10</c:v>
                </c:pt>
                <c:pt idx="74">
                  <c:v>-10</c:v>
                </c:pt>
                <c:pt idx="75">
                  <c:v>-10</c:v>
                </c:pt>
                <c:pt idx="76">
                  <c:v>-10</c:v>
                </c:pt>
                <c:pt idx="77">
                  <c:v>-10</c:v>
                </c:pt>
                <c:pt idx="78">
                  <c:v>-10</c:v>
                </c:pt>
                <c:pt idx="79">
                  <c:v>-10</c:v>
                </c:pt>
                <c:pt idx="80">
                  <c:v>-10</c:v>
                </c:pt>
                <c:pt idx="81">
                  <c:v>-10</c:v>
                </c:pt>
                <c:pt idx="82">
                  <c:v>-10</c:v>
                </c:pt>
                <c:pt idx="83">
                  <c:v>-10</c:v>
                </c:pt>
                <c:pt idx="84">
                  <c:v>-10</c:v>
                </c:pt>
                <c:pt idx="85">
                  <c:v>-10</c:v>
                </c:pt>
                <c:pt idx="86">
                  <c:v>-10</c:v>
                </c:pt>
                <c:pt idx="87">
                  <c:v>-10</c:v>
                </c:pt>
                <c:pt idx="88">
                  <c:v>-10</c:v>
                </c:pt>
                <c:pt idx="89">
                  <c:v>-10</c:v>
                </c:pt>
                <c:pt idx="90">
                  <c:v>-10</c:v>
                </c:pt>
                <c:pt idx="91">
                  <c:v>-10</c:v>
                </c:pt>
                <c:pt idx="92">
                  <c:v>-10</c:v>
                </c:pt>
                <c:pt idx="93">
                  <c:v>-10</c:v>
                </c:pt>
                <c:pt idx="94">
                  <c:v>-10</c:v>
                </c:pt>
                <c:pt idx="95">
                  <c:v>-10</c:v>
                </c:pt>
                <c:pt idx="96">
                  <c:v>-10</c:v>
                </c:pt>
                <c:pt idx="97">
                  <c:v>-10</c:v>
                </c:pt>
                <c:pt idx="98">
                  <c:v>-10</c:v>
                </c:pt>
                <c:pt idx="99">
                  <c:v>-10</c:v>
                </c:pt>
                <c:pt idx="100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80-4472-98C0-5A0420DC1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85291280"/>
        <c:axId val="385291672"/>
      </c:barChart>
      <c:lineChart>
        <c:grouping val="standard"/>
        <c:varyColors val="0"/>
        <c:ser>
          <c:idx val="2"/>
          <c:order val="2"/>
          <c:marker>
            <c:symbol val="none"/>
          </c:marker>
          <c:cat>
            <c:numRef>
              <c:f>第5题答案!$D$2:$D$102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第5题答案!$G$2:$G$102</c:f>
              <c:numCache>
                <c:formatCode>General</c:formatCode>
                <c:ptCount val="10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80-4472-98C0-5A0420DC1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291280"/>
        <c:axId val="385291672"/>
      </c:lineChart>
      <c:catAx>
        <c:axId val="3852912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3852916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385291672"/>
        <c:scaling>
          <c:orientation val="minMax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3852912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zh-CN" altLang="en-US" sz="2400"/>
              <a:t>实力与运气的双罐模型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014660170929801"/>
          <c:y val="0.24869380866106772"/>
          <c:w val="0.8350615181777461"/>
          <c:h val="0.57403175678527596"/>
        </c:manualLayout>
      </c:layout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第8题答案!$B$13:$B$33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第8题答案!$D$13:$D$33</c:f>
              <c:numCache>
                <c:formatCode>0.0%</c:formatCode>
                <c:ptCount val="21"/>
                <c:pt idx="0">
                  <c:v>0</c:v>
                </c:pt>
                <c:pt idx="1">
                  <c:v>8.9999999999999993E-3</c:v>
                </c:pt>
                <c:pt idx="2">
                  <c:v>2.1000000000000001E-2</c:v>
                </c:pt>
                <c:pt idx="3">
                  <c:v>3.2000000000000001E-2</c:v>
                </c:pt>
                <c:pt idx="4">
                  <c:v>0.05</c:v>
                </c:pt>
                <c:pt idx="5">
                  <c:v>0.05</c:v>
                </c:pt>
                <c:pt idx="6">
                  <c:v>6.6000000000000003E-2</c:v>
                </c:pt>
                <c:pt idx="7">
                  <c:v>6.2E-2</c:v>
                </c:pt>
                <c:pt idx="8">
                  <c:v>7.0999999999999994E-2</c:v>
                </c:pt>
                <c:pt idx="9">
                  <c:v>7.1999999999999995E-2</c:v>
                </c:pt>
                <c:pt idx="10">
                  <c:v>6.2E-2</c:v>
                </c:pt>
                <c:pt idx="11">
                  <c:v>8.3000000000000004E-2</c:v>
                </c:pt>
                <c:pt idx="12">
                  <c:v>7.9000000000000001E-2</c:v>
                </c:pt>
                <c:pt idx="13">
                  <c:v>6.3E-2</c:v>
                </c:pt>
                <c:pt idx="14">
                  <c:v>6.7000000000000004E-2</c:v>
                </c:pt>
                <c:pt idx="15">
                  <c:v>6.3E-2</c:v>
                </c:pt>
                <c:pt idx="16">
                  <c:v>6.3E-2</c:v>
                </c:pt>
                <c:pt idx="17">
                  <c:v>3.7999999999999999E-2</c:v>
                </c:pt>
                <c:pt idx="18">
                  <c:v>2.3E-2</c:v>
                </c:pt>
                <c:pt idx="19">
                  <c:v>1.7000000000000001E-2</c:v>
                </c:pt>
                <c:pt idx="20">
                  <c:v>8.9999999999999993E-3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63-494D-B346-4371AF9EB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292456"/>
        <c:axId val="457202128"/>
      </c:scatterChart>
      <c:valAx>
        <c:axId val="385292456"/>
        <c:scaling>
          <c:orientation val="minMax"/>
          <c:max val="1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zh-CN" altLang="en-US" sz="1400"/>
                  <a:t>某个人的排名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57202128"/>
        <c:crosses val="autoZero"/>
        <c:crossBetween val="midCat"/>
        <c:majorUnit val="5"/>
      </c:valAx>
      <c:valAx>
        <c:axId val="457202128"/>
        <c:scaling>
          <c:orientation val="minMax"/>
          <c:max val="0.12000000000000001"/>
          <c:min val="0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 sz="1400"/>
                </a:pPr>
                <a:r>
                  <a:rPr lang="zh-CN" altLang="en-US" sz="1400"/>
                  <a:t>某个人的概率</a:t>
                </a:r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crossAx val="385292456"/>
        <c:crosses val="autoZero"/>
        <c:crossBetween val="midCat"/>
        <c:majorUnit val="1.0000000000000002E-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zh-CN" altLang="en-US" sz="2400"/>
              <a:t>实力与运气的双罐模型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014660170929801"/>
          <c:y val="0.24869380866106772"/>
          <c:w val="0.84928304133831889"/>
          <c:h val="0.5740317567852759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830B-4407-8541-78EFA9BAE647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830B-4407-8541-78EFA9BAE647}"/>
              </c:ext>
            </c:extLst>
          </c:dPt>
          <c:cat>
            <c:strRef>
              <c:f>第8题答案!$A$48:$A$58</c:f>
              <c:strCache>
                <c:ptCount val="11"/>
                <c:pt idx="0">
                  <c:v>0-50</c:v>
                </c:pt>
                <c:pt idx="1">
                  <c:v>50-55</c:v>
                </c:pt>
                <c:pt idx="2">
                  <c:v>55-60</c:v>
                </c:pt>
                <c:pt idx="3">
                  <c:v>60-65</c:v>
                </c:pt>
                <c:pt idx="4">
                  <c:v>65-70</c:v>
                </c:pt>
                <c:pt idx="5">
                  <c:v>70-75</c:v>
                </c:pt>
                <c:pt idx="6">
                  <c:v>75-80</c:v>
                </c:pt>
                <c:pt idx="7">
                  <c:v>80-85</c:v>
                </c:pt>
                <c:pt idx="8">
                  <c:v>85-90</c:v>
                </c:pt>
                <c:pt idx="9">
                  <c:v>90-95</c:v>
                </c:pt>
                <c:pt idx="10">
                  <c:v>95-100</c:v>
                </c:pt>
              </c:strCache>
            </c:strRef>
          </c:cat>
          <c:val>
            <c:numRef>
              <c:f>第8题答案!$D$48:$D$58</c:f>
              <c:numCache>
                <c:formatCode>0.0%</c:formatCode>
                <c:ptCount val="11"/>
                <c:pt idx="0">
                  <c:v>3.5999999999999997E-2</c:v>
                </c:pt>
                <c:pt idx="1">
                  <c:v>8.1000000000000003E-2</c:v>
                </c:pt>
                <c:pt idx="2">
                  <c:v>0.10199999999999999</c:v>
                </c:pt>
                <c:pt idx="3">
                  <c:v>8.7999999999999995E-2</c:v>
                </c:pt>
                <c:pt idx="4">
                  <c:v>9.7000000000000003E-2</c:v>
                </c:pt>
                <c:pt idx="5">
                  <c:v>0.1</c:v>
                </c:pt>
                <c:pt idx="6">
                  <c:v>9.1999999999999998E-2</c:v>
                </c:pt>
                <c:pt idx="7">
                  <c:v>0.11600000000000001</c:v>
                </c:pt>
                <c:pt idx="8">
                  <c:v>0.108</c:v>
                </c:pt>
                <c:pt idx="9">
                  <c:v>0.13200000000000001</c:v>
                </c:pt>
                <c:pt idx="10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0B-4407-8541-78EFA9BAE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457202912"/>
        <c:axId val="457203304"/>
      </c:barChart>
      <c:catAx>
        <c:axId val="457202912"/>
        <c:scaling>
          <c:orientation val="minMax"/>
        </c:scaling>
        <c:delete val="0"/>
        <c:axPos val="b"/>
        <c:majorGridlines/>
        <c:title>
          <c:tx>
            <c:strRef>
              <c:f>第8题答案!$B$67</c:f>
              <c:strCache>
                <c:ptCount val="1"/>
                <c:pt idx="0">
                  <c:v>实力水平为95分的人，因为运气因素最终的赢家排名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 sz="1400"/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crossAx val="457203304"/>
        <c:crosses val="autoZero"/>
        <c:auto val="1"/>
        <c:lblAlgn val="ctr"/>
        <c:lblOffset val="100"/>
        <c:noMultiLvlLbl val="0"/>
      </c:catAx>
      <c:valAx>
        <c:axId val="457203304"/>
        <c:scaling>
          <c:orientation val="minMax"/>
          <c:max val="0.12000000000000001"/>
          <c:min val="0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 sz="1400"/>
                </a:pPr>
                <a:r>
                  <a:rPr lang="zh-CN" altLang="en-US" sz="1400"/>
                  <a:t>成功的概率</a:t>
                </a:r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crossAx val="457202912"/>
        <c:crosses val="autoZero"/>
        <c:crossBetween val="between"/>
        <c:majorUnit val="1.0000000000000002E-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6" fmlaLink="$G$3" fmlaRange="$G$4:$G$11" noThreeD="1" sel="1" val="0"/>
</file>

<file path=xl/ctrlProps/ctrlProp2.xml><?xml version="1.0" encoding="utf-8"?>
<formControlPr xmlns="http://schemas.microsoft.com/office/spreadsheetml/2009/9/main" objectType="List" dx="16" fmlaLink="$F$3" fmlaRange="$E$4:$E$6" noThreeD="1" sel="3" val="0"/>
</file>

<file path=xl/ctrlProps/ctrlProp3.xml><?xml version="1.0" encoding="utf-8"?>
<formControlPr xmlns="http://schemas.microsoft.com/office/spreadsheetml/2009/9/main" objectType="Spin" dx="31" fmlaLink="$C$9" inc="10" max="800" min="500" page="10" val="600"/>
</file>

<file path=xl/ctrlProps/ctrlProp4.xml><?xml version="1.0" encoding="utf-8"?>
<formControlPr xmlns="http://schemas.microsoft.com/office/spreadsheetml/2009/9/main" objectType="Spin" dx="16" fmlaLink="$B$4" max="50" min="5" page="10" val="20"/>
</file>

<file path=xl/ctrlProps/ctrlProp5.xml><?xml version="1.0" encoding="utf-8"?>
<formControlPr xmlns="http://schemas.microsoft.com/office/spreadsheetml/2009/9/main" objectType="Spin" dx="16" fmlaLink="$B$8" max="100" page="10" val="12"/>
</file>

<file path=xl/ctrlProps/ctrlProp6.xml><?xml version="1.0" encoding="utf-8"?>
<formControlPr xmlns="http://schemas.microsoft.com/office/spreadsheetml/2009/9/main" objectType="Spin" dx="16" fmlaLink="$A$8" inc="5" max="100" page="10" val="3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452437</xdr:colOff>
      <xdr:row>15</xdr:row>
      <xdr:rowOff>152400</xdr:rowOff>
    </xdr:from>
    <xdr:to>
      <xdr:col>9</xdr:col>
      <xdr:colOff>814387</xdr:colOff>
      <xdr:row>31</xdr:row>
      <xdr:rowOff>152400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322898</xdr:colOff>
      <xdr:row>35</xdr:row>
      <xdr:rowOff>17145</xdr:rowOff>
    </xdr:from>
    <xdr:to>
      <xdr:col>13</xdr:col>
      <xdr:colOff>249556</xdr:colOff>
      <xdr:row>49</xdr:row>
      <xdr:rowOff>55245</xdr:rowOff>
    </xdr:to>
    <xdr:grpSp>
      <xdr:nvGrpSpPr>
        <xdr:cNvPr id="3" name="组合 2"/>
        <xdr:cNvGrpSpPr/>
      </xdr:nvGrpSpPr>
      <xdr:grpSpPr>
        <a:xfrm>
          <a:off x="7542848" y="6017895"/>
          <a:ext cx="4898708" cy="2438400"/>
          <a:chOff x="400050" y="133350"/>
          <a:chExt cx="4867275" cy="2209800"/>
        </a:xfrm>
      </xdr:grpSpPr>
      <xdr:sp macro="" textlink="">
        <xdr:nvSpPr>
          <xdr:cNvPr id="4" name="Text Box 2"/>
          <xdr:cNvSpPr txBox="1">
            <a:spLocks noChangeArrowheads="1"/>
          </xdr:cNvSpPr>
        </xdr:nvSpPr>
        <xdr:spPr bwMode="auto">
          <a:xfrm>
            <a:off x="438149" y="133350"/>
            <a:ext cx="4829175" cy="1152525"/>
          </a:xfrm>
          <a:prstGeom prst="rect">
            <a:avLst/>
          </a:prstGeom>
          <a:solidFill>
            <a:srgbClr val="FFCC9A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题（1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分）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利用Northwind数据库，在本工作表中生成如下图所示的一个数据透视表，其中显示了1997年全年根据各客户所下的订单对客户分类的结果，（订单在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2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0次及以上的归为频繁类，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次及以上的归为一般类，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次以下的归为难得类），同时显示各类客户的订单占总订单的百分比，销售额的平均值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,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以及销售额总计值占总数的百分比，并依据此透视表画图。图中百分比表现为折线，订单数和销售额平均值表现为柱形。</a:t>
            </a:r>
          </a:p>
        </xdr:txBody>
      </xdr:sp>
      <xdr:pic>
        <xdr:nvPicPr>
          <xdr:cNvPr id="5" name="图片 4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0050" y="1304925"/>
            <a:ext cx="4867275" cy="10382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206266</xdr:colOff>
      <xdr:row>1</xdr:row>
      <xdr:rowOff>93277</xdr:rowOff>
    </xdr:from>
    <xdr:to>
      <xdr:col>18</xdr:col>
      <xdr:colOff>515008</xdr:colOff>
      <xdr:row>13</xdr:row>
      <xdr:rowOff>3942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8588266" y="292974"/>
          <a:ext cx="3356742" cy="211783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2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题 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(15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分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)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根据本工作表数据，利用DSUM()函数和模拟运算表，计算公司不同省份、不同类别不同年份净销售额总计值，并绘制如图所示图形，使用窗体中的组合框对类别进行控制，当选择组合框中的不同类别时，图形显示对应类别的净销售额，当选择全部时，显示全部类别的数据，另外制作一个列表框，反映选择年份时图形显示对应年份的净销售额汇总数据，图形中三个红色柱子代表当前最大的三个省份，其它省份用黄色表示，绿色线条表示当前净销售额的平均值。结果如下图所示.</a:t>
          </a:r>
          <a:endParaRPr lang="zh-CN" altLang="en-US"/>
        </a:p>
      </xdr:txBody>
    </xdr:sp>
    <xdr:clientData/>
  </xdr:twoCellAnchor>
  <xdr:twoCellAnchor editAs="oneCell">
    <xdr:from>
      <xdr:col>14</xdr:col>
      <xdr:colOff>264070</xdr:colOff>
      <xdr:row>8</xdr:row>
      <xdr:rowOff>19705</xdr:rowOff>
    </xdr:from>
    <xdr:to>
      <xdr:col>17</xdr:col>
      <xdr:colOff>250935</xdr:colOff>
      <xdr:row>13</xdr:row>
      <xdr:rowOff>27590</xdr:rowOff>
    </xdr:to>
    <xdr:pic>
      <xdr:nvPicPr>
        <xdr:cNvPr id="3" name="图片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5670" y="1506919"/>
          <a:ext cx="1815665" cy="927540"/>
        </a:xfrm>
        <a:prstGeom prst="rect">
          <a:avLst/>
        </a:prstGeom>
      </xdr:spPr>
    </xdr:pic>
    <xdr:clientData/>
  </xdr:twoCellAnchor>
  <xdr:twoCellAnchor>
    <xdr:from>
      <xdr:col>2</xdr:col>
      <xdr:colOff>118241</xdr:colOff>
      <xdr:row>14</xdr:row>
      <xdr:rowOff>76202</xdr:rowOff>
    </xdr:from>
    <xdr:to>
      <xdr:col>8</xdr:col>
      <xdr:colOff>327134</xdr:colOff>
      <xdr:row>27</xdr:row>
      <xdr:rowOff>78172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295275</xdr:colOff>
          <xdr:row>16</xdr:row>
          <xdr:rowOff>114300</xdr:rowOff>
        </xdr:from>
        <xdr:to>
          <xdr:col>7</xdr:col>
          <xdr:colOff>0</xdr:colOff>
          <xdr:row>17</xdr:row>
          <xdr:rowOff>152400</xdr:rowOff>
        </xdr:to>
        <xdr:sp macro="" textlink="">
          <xdr:nvSpPr>
            <xdr:cNvPr id="26625" name="Drop Down 1" hidden="1">
              <a:extLst>
                <a:ext uri="{63B3BB69-23CF-44E3-9099-C40C66FF867C}">
                  <a14:compatExt spid="_x0000_s266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15</xdr:row>
          <xdr:rowOff>142875</xdr:rowOff>
        </xdr:from>
        <xdr:to>
          <xdr:col>8</xdr:col>
          <xdr:colOff>0</xdr:colOff>
          <xdr:row>18</xdr:row>
          <xdr:rowOff>57150</xdr:rowOff>
        </xdr:to>
        <xdr:sp macro="" textlink="">
          <xdr:nvSpPr>
            <xdr:cNvPr id="26626" name="List Box 2" hidden="1">
              <a:extLst>
                <a:ext uri="{63B3BB69-23CF-44E3-9099-C40C66FF867C}">
                  <a14:compatExt spid="_x0000_s266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14</xdr:row>
      <xdr:rowOff>85725</xdr:rowOff>
    </xdr:from>
    <xdr:to>
      <xdr:col>5</xdr:col>
      <xdr:colOff>152400</xdr:colOff>
      <xdr:row>25</xdr:row>
      <xdr:rowOff>171450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95275" y="2859405"/>
          <a:ext cx="3209925" cy="22650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zh-CN" sz="1000" b="0" i="0" baseline="0">
              <a:effectLst/>
              <a:latin typeface="+mn-lt"/>
              <a:ea typeface="+mn-ea"/>
              <a:cs typeface="+mn-cs"/>
            </a:rPr>
            <a:t>【</a:t>
          </a:r>
          <a:r>
            <a:rPr lang="zh-CN" altLang="zh-CN" sz="1000" b="0" i="0" baseline="0"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000" b="0" i="0" baseline="0"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000" b="0" i="0" baseline="0">
              <a:effectLst/>
              <a:latin typeface="+mn-lt"/>
              <a:ea typeface="+mn-ea"/>
              <a:cs typeface="+mn-cs"/>
            </a:rPr>
            <a:t>题</a:t>
          </a:r>
          <a:r>
            <a:rPr lang="en-US" altLang="zh-CN" sz="1000" b="1" i="0" baseline="0">
              <a:effectLst/>
              <a:latin typeface="+mn-lt"/>
              <a:ea typeface="+mn-ea"/>
              <a:cs typeface="+mn-cs"/>
            </a:rPr>
            <a:t>】(12</a:t>
          </a:r>
          <a:r>
            <a:rPr lang="zh-CN" altLang="zh-CN" sz="1000" b="1" i="0" baseline="0">
              <a:effectLst/>
              <a:latin typeface="+mn-lt"/>
              <a:ea typeface="+mn-ea"/>
              <a:cs typeface="+mn-cs"/>
            </a:rPr>
            <a:t>分</a:t>
          </a:r>
          <a:r>
            <a:rPr lang="en-US" altLang="zh-CN" sz="1000" b="1" i="0" baseline="0">
              <a:effectLst/>
              <a:latin typeface="+mn-lt"/>
              <a:ea typeface="+mn-ea"/>
              <a:cs typeface="+mn-cs"/>
            </a:rPr>
            <a:t>)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在单元格A1:B13中给出了人民币对外币在过去12个月中平均汇率,现要求建立指数平滑模型：</a:t>
          </a:r>
        </a:p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1、针对在F1中键入的任意的平滑常数（它可以是在0.1~0.5之间改变的任何正数）在C2:C13中正确的位置上求出各月的指数平滑预测值；</a:t>
          </a:r>
        </a:p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2、在单元格F2中求出这些预测值与对应的汇率实际值之间的均方误差；</a:t>
          </a:r>
        </a:p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3、利用灵敏度分析操作（模拟运算表）所得数据在F4中求出使均方误差达到极小的最优平滑常数；</a:t>
          </a:r>
        </a:p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4、利用最优平滑常数在F5中求出按照指数平滑模型计算的第13个月的汇率预测值。</a:t>
          </a:r>
        </a:p>
        <a:p>
          <a:pPr algn="l" rtl="0">
            <a:lnSpc>
              <a:spcPts val="1100"/>
            </a:lnSpc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540385</xdr:colOff>
      <xdr:row>20</xdr:row>
      <xdr:rowOff>154940</xdr:rowOff>
    </xdr:from>
    <xdr:to>
      <xdr:col>10</xdr:col>
      <xdr:colOff>509905</xdr:colOff>
      <xdr:row>36</xdr:row>
      <xdr:rowOff>48260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22</xdr:row>
          <xdr:rowOff>161925</xdr:rowOff>
        </xdr:from>
        <xdr:to>
          <xdr:col>6</xdr:col>
          <xdr:colOff>295275</xdr:colOff>
          <xdr:row>24</xdr:row>
          <xdr:rowOff>47625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6</xdr:col>
      <xdr:colOff>276860</xdr:colOff>
      <xdr:row>22</xdr:row>
      <xdr:rowOff>160020</xdr:rowOff>
    </xdr:from>
    <xdr:to>
      <xdr:col>8</xdr:col>
      <xdr:colOff>264160</xdr:colOff>
      <xdr:row>24</xdr:row>
      <xdr:rowOff>40640</xdr:rowOff>
    </xdr:to>
    <xdr:sp macro="" textlink="$B$20">
      <xdr:nvSpPr>
        <xdr:cNvPr id="5" name="文本框 4"/>
        <xdr:cNvSpPr txBox="1"/>
      </xdr:nvSpPr>
      <xdr:spPr>
        <a:xfrm>
          <a:off x="3934460" y="4183380"/>
          <a:ext cx="1206500" cy="2463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9019AA1-86C0-43DB-8BF7-C8550F1FD3AE}" type="TxLink">
            <a:rPr lang="zh-CN" altLang="en-US" sz="10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销售价格=600元</a:t>
          </a:fld>
          <a:endParaRPr lang="zh-CN" altLang="en-US" sz="1100"/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20</xdr:col>
      <xdr:colOff>584200</xdr:colOff>
      <xdr:row>27</xdr:row>
      <xdr:rowOff>72390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>
          <a:off x="6560820" y="182880"/>
          <a:ext cx="6070600" cy="48272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just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第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4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题（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12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分）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某公司生产制造并销售一种产品，其销售单价为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6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元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/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件，固定成本为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8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0000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元，当前销量为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5000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件，生产一件产品需要用的工时、电量和原材料分别是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2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小时、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3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千瓦和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6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公斤。单位工时、用电量和原材料的成本分别是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6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元、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2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元和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元。试在本工作表中已建好的模型的基础上输入适当的公式，并要求：</a:t>
          </a:r>
        </a:p>
        <a:p>
          <a:pPr algn="just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、在本工作表中生成必要的数据，然后绘制一个总成本、销售收益和利润随销量变化的图形。</a:t>
          </a:r>
        </a:p>
        <a:p>
          <a:pPr algn="just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、在图中添加一条盈亏平衡参考线，以及该参考线与总成本和销售收益线的交点。</a:t>
          </a:r>
        </a:p>
        <a:p>
          <a:pPr algn="just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、在图中添加一个用于调节销售单价的微调项以及文本框，控件的可调范围为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50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0~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800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元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/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件，步长为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10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元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Arial"/>
              <a:ea typeface="宋体"/>
              <a:cs typeface="Arial"/>
            </a:rPr>
            <a:t>/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件。</a:t>
          </a:r>
        </a:p>
        <a:p>
          <a:pPr algn="just" rtl="0">
            <a:lnSpc>
              <a:spcPts val="12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本题图表如下：</a:t>
          </a:r>
        </a:p>
        <a:p>
          <a:pPr algn="just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  <a:cs typeface="Arial"/>
          </a:endParaRPr>
        </a:p>
        <a:p>
          <a:pPr algn="just" rtl="0">
            <a:lnSpc>
              <a:spcPts val="1200"/>
            </a:lnSpc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12</xdr:col>
      <xdr:colOff>137160</xdr:colOff>
      <xdr:row>12</xdr:row>
      <xdr:rowOff>7620</xdr:rowOff>
    </xdr:from>
    <xdr:to>
      <xdr:col>19</xdr:col>
      <xdr:colOff>574972</xdr:colOff>
      <xdr:row>27</xdr:row>
      <xdr:rowOff>168906</xdr:rowOff>
    </xdr:to>
    <xdr:pic>
      <xdr:nvPicPr>
        <xdr:cNvPr id="10" name="图片 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7580" y="2202180"/>
          <a:ext cx="4705012" cy="2904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1</xdr:row>
      <xdr:rowOff>38100</xdr:rowOff>
    </xdr:from>
    <xdr:to>
      <xdr:col>17</xdr:col>
      <xdr:colOff>19050</xdr:colOff>
      <xdr:row>22</xdr:row>
      <xdr:rowOff>66675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552450</xdr:colOff>
          <xdr:row>1</xdr:row>
          <xdr:rowOff>152400</xdr:rowOff>
        </xdr:from>
        <xdr:to>
          <xdr:col>9</xdr:col>
          <xdr:colOff>66675</xdr:colOff>
          <xdr:row>2</xdr:row>
          <xdr:rowOff>152400</xdr:rowOff>
        </xdr:to>
        <xdr:sp macro="" textlink="">
          <xdr:nvSpPr>
            <xdr:cNvPr id="19457" name="Spinner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9</xdr:col>
      <xdr:colOff>76200</xdr:colOff>
      <xdr:row>1</xdr:row>
      <xdr:rowOff>142875</xdr:rowOff>
    </xdr:from>
    <xdr:to>
      <xdr:col>10</xdr:col>
      <xdr:colOff>285750</xdr:colOff>
      <xdr:row>3</xdr:row>
      <xdr:rowOff>0</xdr:rowOff>
    </xdr:to>
    <xdr:sp macro="" textlink="$A$14">
      <xdr:nvSpPr>
        <xdr:cNvPr id="4" name="Text Box 3"/>
        <xdr:cNvSpPr txBox="1">
          <a:spLocks noChangeArrowheads="1" noTextEdit="1"/>
        </xdr:cNvSpPr>
      </xdr:nvSpPr>
      <xdr:spPr bwMode="auto">
        <a:xfrm>
          <a:off x="6248400" y="340995"/>
          <a:ext cx="895350" cy="2533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fld id="{A3C1EE21-37BA-4707-B245-2B92163E178B}" type="TxLink"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pPr algn="l" rtl="0">
              <a:defRPr sz="1000"/>
            </a:pPr>
            <a:t>订货周期=20</a:t>
          </a:fld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304800</xdr:colOff>
          <xdr:row>2</xdr:row>
          <xdr:rowOff>9525</xdr:rowOff>
        </xdr:from>
        <xdr:to>
          <xdr:col>13</xdr:col>
          <xdr:colOff>504825</xdr:colOff>
          <xdr:row>2</xdr:row>
          <xdr:rowOff>161925</xdr:rowOff>
        </xdr:to>
        <xdr:sp macro="" textlink="">
          <xdr:nvSpPr>
            <xdr:cNvPr id="19458" name="Spinner 2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13</xdr:col>
      <xdr:colOff>514349</xdr:colOff>
      <xdr:row>1</xdr:row>
      <xdr:rowOff>161926</xdr:rowOff>
    </xdr:from>
    <xdr:to>
      <xdr:col>14</xdr:col>
      <xdr:colOff>485774</xdr:colOff>
      <xdr:row>2</xdr:row>
      <xdr:rowOff>161926</xdr:rowOff>
    </xdr:to>
    <xdr:sp macro="" textlink="$A$15">
      <xdr:nvSpPr>
        <xdr:cNvPr id="6" name="Text Box 5"/>
        <xdr:cNvSpPr txBox="1">
          <a:spLocks noChangeArrowheads="1" noTextEdit="1"/>
        </xdr:cNvSpPr>
      </xdr:nvSpPr>
      <xdr:spPr bwMode="auto">
        <a:xfrm>
          <a:off x="9429749" y="360046"/>
          <a:ext cx="657225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fld id="{5C9C5963-569A-4381-B579-BFD5B7F10492}" type="TxLink"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pPr algn="l" rtl="0">
              <a:defRPr sz="1000"/>
            </a:pPr>
            <a:t>第N天=12</a:t>
          </a:fld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17</xdr:row>
      <xdr:rowOff>142875</xdr:rowOff>
    </xdr:from>
    <xdr:to>
      <xdr:col>8</xdr:col>
      <xdr:colOff>171450</xdr:colOff>
      <xdr:row>48</xdr:row>
      <xdr:rowOff>19050</xdr:rowOff>
    </xdr:to>
    <xdr:grpSp>
      <xdr:nvGrpSpPr>
        <xdr:cNvPr id="7" name="组合 6"/>
        <xdr:cNvGrpSpPr/>
      </xdr:nvGrpSpPr>
      <xdr:grpSpPr>
        <a:xfrm>
          <a:off x="0" y="3057525"/>
          <a:ext cx="6905625" cy="5191125"/>
          <a:chOff x="0" y="3057525"/>
          <a:chExt cx="6229350" cy="5191125"/>
        </a:xfrm>
      </xdr:grpSpPr>
      <xdr:sp macro="" textlink="">
        <xdr:nvSpPr>
          <xdr:cNvPr id="8" name="Text Box 7"/>
          <xdr:cNvSpPr txBox="1">
            <a:spLocks noChangeArrowheads="1"/>
          </xdr:cNvSpPr>
        </xdr:nvSpPr>
        <xdr:spPr bwMode="auto">
          <a:xfrm>
            <a:off x="0" y="3057525"/>
            <a:ext cx="6229350" cy="51911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5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题（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15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分）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已知某企业原材料采购的年需求量为36000，一年按360天计算，订货周期为20天。假设初始库存量为10，请在本工作表中完成如下操作：</a:t>
            </a: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1、计算日需求量，一次订货量；</a:t>
            </a: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2、在第N天（假设12）时，计算当时已过去的周期数，本周期已过去的天数，以及这天晚上的库存量；</a:t>
            </a: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3、如样图所示，画出第0-100天的库存模拟变化图，其中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X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轴每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5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天标出；</a:t>
            </a: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4、以微调项调节订货周期在5-50天间以1为步长变化，反映库存的动态变化；</a:t>
            </a:r>
          </a:p>
          <a:p>
            <a:pPr algn="l" rtl="0">
              <a:defRPr sz="1000"/>
            </a:pP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5、以微调项选择0-100天间以1为步长变化的任何一天，如图所示，将当天库存以红色柱形表示；</a:t>
            </a:r>
            <a:endPara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r>
              <a:rPr lang="en-US" altLang="zh-CN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6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、以组合图方式在图中添加代表平均库存的绿色折线。</a:t>
            </a: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  <a:p>
            <a:pPr algn="l" rtl="0">
              <a:lnSpc>
                <a:spcPts val="13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</xdr:txBody>
      </xdr:sp>
      <xdr:pic>
        <xdr:nvPicPr>
          <xdr:cNvPr id="9" name="图片 8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" y="4678022"/>
            <a:ext cx="6088564" cy="3400255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27</xdr:row>
      <xdr:rowOff>76200</xdr:rowOff>
    </xdr:from>
    <xdr:to>
      <xdr:col>3</xdr:col>
      <xdr:colOff>742950</xdr:colOff>
      <xdr:row>64</xdr:row>
      <xdr:rowOff>161926</xdr:rowOff>
    </xdr:to>
    <xdr:grpSp>
      <xdr:nvGrpSpPr>
        <xdr:cNvPr id="2" name="组合 1"/>
        <xdr:cNvGrpSpPr/>
      </xdr:nvGrpSpPr>
      <xdr:grpSpPr>
        <a:xfrm>
          <a:off x="657225" y="4705350"/>
          <a:ext cx="9744075" cy="6429376"/>
          <a:chOff x="581025" y="5505450"/>
          <a:chExt cx="8829675" cy="6429376"/>
        </a:xfrm>
      </xdr:grpSpPr>
      <xdr:sp macro="" textlink="">
        <xdr:nvSpPr>
          <xdr:cNvPr id="3" name="Text Box 1"/>
          <xdr:cNvSpPr txBox="1">
            <a:spLocks noChangeArrowheads="1"/>
          </xdr:cNvSpPr>
        </xdr:nvSpPr>
        <xdr:spPr bwMode="auto">
          <a:xfrm>
            <a:off x="581025" y="5505450"/>
            <a:ext cx="8829675" cy="6429376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200"/>
              </a:lnSpc>
              <a:defRPr sz="1000"/>
            </a:pPr>
            <a:endParaRPr lang="en-US" altLang="zh-CN" sz="1100" b="1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marL="0" marR="0" indent="0" algn="l" defTabSz="914400" rtl="0" eaLnBrk="1" fontAlgn="auto" latinLnBrk="0" hangingPunct="1">
              <a:lnSpc>
                <a:spcPts val="12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zh-CN" altLang="en-US" sz="11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第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6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题（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12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分）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某投资者有两个投资项目可供选择，投资期为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年。项目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A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用于投资房产，商品房总价为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2000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万元，其中首付一笔现金后，向银行贷款，采用每月等额还款法贷款，每月等额还款额为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5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万元，贷款利率为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5%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，期限为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年，计算出购房银行贷款额。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在第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12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个月还款后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遇到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央行宣布降息，贷款年利率为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3%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，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并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从第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13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个月开始实施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，降息后按原每月等额贷款额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5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万元继续还款还有多少个月还清贷款？项目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A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在第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10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年末将房屋售出收入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5000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万元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。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项目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B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进行道路建设投资，初始投资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2000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万，第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年没有收入且继续投资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50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万元，从第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2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年至第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年每年末有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200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万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元的收入，第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年末收入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2800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万元。具体数据如下图所示。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（说明：计算结果必须使用公式）。</a:t>
            </a:r>
            <a:endParaRPr lang="zh-CN" altLang="zh-CN" sz="1100">
              <a:effectLst/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rtl="0"/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要求：</a:t>
            </a:r>
            <a:endParaRPr lang="zh-CN" altLang="zh-CN" sz="1100">
              <a:effectLst/>
              <a:latin typeface="+mn-ea"/>
              <a:ea typeface="+mn-ea"/>
            </a:endParaRPr>
          </a:p>
          <a:p>
            <a:pPr rtl="0"/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、采用每月等额还款法贷款，每月等额还款额为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5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万元，贷款利率为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5%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，期限为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10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年，计算出银行贷款额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及第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0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年首付现金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。</a:t>
            </a:r>
            <a:endParaRPr lang="zh-CN" altLang="zh-CN" sz="1100">
              <a:effectLst/>
              <a:latin typeface="+mn-ea"/>
              <a:ea typeface="+mn-ea"/>
            </a:endParaRPr>
          </a:p>
          <a:p>
            <a:pPr rtl="0" eaLnBrk="1" fontAlgn="auto" latinLnBrk="0" hangingPunct="1"/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2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、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还款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12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个月后，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央行宣布降息，贷款年利率为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3%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，从第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13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个月开始实施。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计算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降息后按原每月等额贷款额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5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万元继续还款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，计算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还有多少个月还清贷款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(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取整数）？</a:t>
            </a:r>
            <a:endParaRPr lang="en-US" altLang="zh-CN" sz="1100" b="0" i="0" baseline="0">
              <a:effectLst/>
              <a:latin typeface="+mn-ea"/>
              <a:ea typeface="+mn-ea"/>
              <a:cs typeface="+mn-cs"/>
            </a:endParaRPr>
          </a:p>
          <a:p>
            <a:pPr rtl="0" eaLnBrk="1" fontAlgn="auto" latinLnBrk="0" hangingPunct="1"/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3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、计算两个项目的净现值。</a:t>
            </a: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4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、计算两个项目的内部报酬率。</a:t>
            </a: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5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、使用附表插值法计算相对的内部报酬率（两个项目净现值相等时的贴现率）。</a:t>
            </a: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6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、使用附表插值法计算相对的内部报酬率（两个项目净现值相等时的贴现率）时的净现值。</a:t>
            </a: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</xdr:txBody>
      </xdr:sp>
      <xdr:pic>
        <xdr:nvPicPr>
          <xdr:cNvPr id="4" name="图片 3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14550" y="6600825"/>
            <a:ext cx="4629150" cy="1771650"/>
          </a:xfrm>
          <a:prstGeom prst="rect">
            <a:avLst/>
          </a:prstGeom>
          <a:solidFill>
            <a:schemeClr val="bg1"/>
          </a:solidFill>
        </xdr:spPr>
      </xdr:pic>
      <xdr:pic>
        <xdr:nvPicPr>
          <xdr:cNvPr id="5" name="图片 4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33600" y="8696325"/>
            <a:ext cx="4629150" cy="1076325"/>
          </a:xfrm>
          <a:prstGeom prst="rect">
            <a:avLst/>
          </a:prstGeom>
          <a:solidFill>
            <a:schemeClr val="bg1"/>
          </a:solidFill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13</xdr:col>
      <xdr:colOff>304800</xdr:colOff>
      <xdr:row>10</xdr:row>
      <xdr:rowOff>133350</xdr:rowOff>
    </xdr:to>
    <xdr:sp macro="" textlink="">
      <xdr:nvSpPr>
        <xdr:cNvPr id="2" name="TextBox 1"/>
        <xdr:cNvSpPr txBox="1">
          <a:spLocks noChangeArrowheads="1"/>
        </xdr:cNvSpPr>
      </xdr:nvSpPr>
      <xdr:spPr bwMode="auto">
        <a:xfrm>
          <a:off x="4876800" y="182880"/>
          <a:ext cx="3352800" cy="17792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zh-CN" sz="1200" b="1" i="0" baseline="0">
              <a:effectLst/>
              <a:latin typeface="+mn-ea"/>
              <a:ea typeface="+mn-ea"/>
              <a:cs typeface="+mn-cs"/>
            </a:rPr>
            <a:t>第</a:t>
          </a:r>
          <a:r>
            <a:rPr lang="en-US" altLang="zh-CN" sz="1200" b="1" i="0" baseline="0">
              <a:effectLst/>
              <a:latin typeface="+mn-ea"/>
              <a:ea typeface="+mn-ea"/>
              <a:cs typeface="+mn-cs"/>
            </a:rPr>
            <a:t>7</a:t>
          </a:r>
          <a:r>
            <a:rPr lang="zh-CN" altLang="zh-CN" sz="1200" b="1" i="0" baseline="0">
              <a:effectLst/>
              <a:latin typeface="+mn-ea"/>
              <a:ea typeface="+mn-ea"/>
              <a:cs typeface="+mn-cs"/>
            </a:rPr>
            <a:t>题（</a:t>
          </a:r>
          <a:r>
            <a:rPr lang="en-US" altLang="zh-CN" sz="1200" b="1" i="0" baseline="0">
              <a:effectLst/>
              <a:latin typeface="+mn-ea"/>
              <a:ea typeface="+mn-ea"/>
              <a:cs typeface="+mn-cs"/>
            </a:rPr>
            <a:t>12</a:t>
          </a:r>
          <a:r>
            <a:rPr lang="zh-CN" altLang="zh-CN" sz="1200" b="1" i="0" baseline="0">
              <a:effectLst/>
              <a:latin typeface="+mn-ea"/>
              <a:ea typeface="+mn-ea"/>
              <a:cs typeface="+mn-cs"/>
            </a:rPr>
            <a:t>分） 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康克建筑材料公司有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1#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和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2#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两个混凝土搅拌站，分别承担了向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A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、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B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、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C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三个建筑工地提供混凝土的任务，两个搅拌站与三个项目工地的单位运费如表所示。已知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1#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和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2#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两个混凝土搅拌站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的日产量分别为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90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吨和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100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吨，三个工地每日的混凝土需求量分别为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55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吨、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75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吨和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50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吨。试用规划求解工具求解两个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混凝土搅拌站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应如何安排运输，才能使总运输成本最小，并保存规划求解模型。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295275</xdr:colOff>
      <xdr:row>0</xdr:row>
      <xdr:rowOff>0</xdr:rowOff>
    </xdr:from>
    <xdr:to>
      <xdr:col>23</xdr:col>
      <xdr:colOff>238125</xdr:colOff>
      <xdr:row>18</xdr:row>
      <xdr:rowOff>28576</xdr:rowOff>
    </xdr:to>
    <xdr:sp macro="" textlink="">
      <xdr:nvSpPr>
        <xdr:cNvPr id="2" name="TextBox 2"/>
        <xdr:cNvSpPr txBox="1"/>
      </xdr:nvSpPr>
      <xdr:spPr>
        <a:xfrm>
          <a:off x="9801225" y="0"/>
          <a:ext cx="7381875" cy="3390901"/>
        </a:xfrm>
        <a:prstGeom prst="rect">
          <a:avLst/>
        </a:prstGeom>
        <a:solidFill>
          <a:srgbClr val="C8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200" b="1" baseline="0"/>
            <a:t>第</a:t>
          </a:r>
          <a:r>
            <a:rPr lang="en-US" altLang="zh-CN" sz="1200" b="1" baseline="0"/>
            <a:t>8</a:t>
          </a:r>
          <a:r>
            <a:rPr lang="zh-CN" altLang="en-US" sz="1200" b="1" baseline="0"/>
            <a:t>题（</a:t>
          </a:r>
          <a:r>
            <a:rPr lang="en-US" altLang="zh-CN" sz="1200" b="1" baseline="0"/>
            <a:t>11</a:t>
          </a:r>
          <a:r>
            <a:rPr lang="zh-CN" altLang="en-US" sz="1200" b="1" baseline="0"/>
            <a:t>分）实力与运气的</a:t>
          </a:r>
          <a:r>
            <a:rPr lang="zh-CN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双罐</a:t>
          </a:r>
          <a:r>
            <a:rPr lang="zh-CN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风险分析</a:t>
          </a:r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模拟</a:t>
          </a:r>
          <a:r>
            <a:rPr lang="zh-CN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模型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。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假设你有两个罐子，里面装满了小球，每个小球都有数字编号。一个罐子中的小球代表实力，另一个罐子中的小球代表运气，小球上的数字越大越好。然后你从两个罐子中分别取出一个小球，将小球上的数字相加。大赢家通常都是因为两个罐子里取出小球的都是最大数字。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）假设，有两个罐子，实力罐子中有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个小球，编号为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，编号越大代表实力越强，运气罐子中也有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个小球，编号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，编号越大代表运气越好，然后分别从两个罐子中取出一个小球，将小球上的数字按实力和运气的权重相加，设实力和运气的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权重之和为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，实力和运气的权重各自为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，数字的加权结果就是赢家排名，数字结果越大排名越靠前。请求出某个人最终赢家排名的概率分布曲线。并且说明此曲线的分布接近什么分布？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）人们常说：一个人的成功，七分靠水平，三分靠运气，如是这样，上面排名的概率分布曲线有何变化？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）若有一个人的实力水平是编号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（实力水平前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的人），如果他的运气很一般（即运气权重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），那么他最终的赢家排名数值超过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（赢家排名前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）的概率是多少？他的赢家排名低于平均水平（即赢家排名数字低于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）的概率是多少？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通过此实力与运气的双罐模型的分析后，你能得出什么重要的结论？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请你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</a:t>
          </a: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工作表上用系统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模拟仿真模型的方法来求解（模拟试验次数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次即可）。</a:t>
          </a: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228598</xdr:colOff>
      <xdr:row>16</xdr:row>
      <xdr:rowOff>104774</xdr:rowOff>
    </xdr:from>
    <xdr:to>
      <xdr:col>22</xdr:col>
      <xdr:colOff>476249</xdr:colOff>
      <xdr:row>38</xdr:row>
      <xdr:rowOff>114299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19050</xdr:colOff>
          <xdr:row>7</xdr:row>
          <xdr:rowOff>28575</xdr:rowOff>
        </xdr:from>
        <xdr:to>
          <xdr:col>3</xdr:col>
          <xdr:colOff>600075</xdr:colOff>
          <xdr:row>8</xdr:row>
          <xdr:rowOff>123825</xdr:rowOff>
        </xdr:to>
        <xdr:sp macro="" textlink="">
          <xdr:nvSpPr>
            <xdr:cNvPr id="15361" name="Spinner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12</xdr:col>
      <xdr:colOff>228600</xdr:colOff>
      <xdr:row>38</xdr:row>
      <xdr:rowOff>152400</xdr:rowOff>
    </xdr:from>
    <xdr:to>
      <xdr:col>22</xdr:col>
      <xdr:colOff>476250</xdr:colOff>
      <xdr:row>60</xdr:row>
      <xdr:rowOff>142876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209549</xdr:colOff>
      <xdr:row>19</xdr:row>
      <xdr:rowOff>104776</xdr:rowOff>
    </xdr:from>
    <xdr:to>
      <xdr:col>19</xdr:col>
      <xdr:colOff>266700</xdr:colOff>
      <xdr:row>20</xdr:row>
      <xdr:rowOff>152400</xdr:rowOff>
    </xdr:to>
    <xdr:sp macro="" textlink="">
      <xdr:nvSpPr>
        <xdr:cNvPr id="6" name="TextBox 1"/>
        <xdr:cNvSpPr txBox="1"/>
      </xdr:nvSpPr>
      <xdr:spPr>
        <a:xfrm>
          <a:off x="9353549" y="3579496"/>
          <a:ext cx="2495551" cy="23050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社会人群赢家排名的最终结果是正态分布</a:t>
          </a:r>
        </a:p>
      </xdr:txBody>
    </xdr:sp>
    <xdr:clientData/>
  </xdr:twoCellAnchor>
  <xdr:twoCellAnchor>
    <xdr:from>
      <xdr:col>12</xdr:col>
      <xdr:colOff>266700</xdr:colOff>
      <xdr:row>39</xdr:row>
      <xdr:rowOff>85725</xdr:rowOff>
    </xdr:from>
    <xdr:to>
      <xdr:col>15</xdr:col>
      <xdr:colOff>171449</xdr:colOff>
      <xdr:row>43</xdr:row>
      <xdr:rowOff>66676</xdr:rowOff>
    </xdr:to>
    <xdr:sp macro="" textlink="">
      <xdr:nvSpPr>
        <xdr:cNvPr id="7" name="TextBox 6"/>
        <xdr:cNvSpPr txBox="1"/>
      </xdr:nvSpPr>
      <xdr:spPr>
        <a:xfrm>
          <a:off x="7581900" y="7218045"/>
          <a:ext cx="1733549" cy="71247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重要结论</a:t>
          </a:r>
          <a:r>
            <a:rPr lang="en-US" altLang="zh-CN" sz="1100"/>
            <a:t>1</a:t>
          </a:r>
          <a:r>
            <a:rPr lang="zh-CN" altLang="en-US" sz="1100"/>
            <a:t>：</a:t>
          </a:r>
          <a:endParaRPr lang="en-US" altLang="zh-CN" sz="1100"/>
        </a:p>
        <a:p>
          <a:r>
            <a:rPr lang="zh-CN" altLang="en-US" sz="1100"/>
            <a:t>实力超群的人，最终赢家排名超前是小概率事件。</a:t>
          </a: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0.31117</cdr:x>
      <cdr:y>0.13418</cdr:y>
    </cdr:from>
    <cdr:to>
      <cdr:x>0.6978</cdr:x>
      <cdr:y>0.19423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211063" y="504825"/>
          <a:ext cx="2747252" cy="2259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1100"/>
            <a:t>实力超群的人最终赢家排名的概率分布</a:t>
          </a:r>
        </a:p>
      </cdr:txBody>
    </cdr:sp>
  </cdr:relSizeAnchor>
  <cdr:relSizeAnchor xmlns:cdr="http://schemas.openxmlformats.org/drawingml/2006/chartDrawing">
    <cdr:from>
      <cdr:x>0.71895</cdr:x>
      <cdr:y>0.02363</cdr:y>
    </cdr:from>
    <cdr:to>
      <cdr:x>0.9933</cdr:x>
      <cdr:y>0.22532</cdr:y>
    </cdr:to>
    <cdr:sp macro="" textlink="">
      <cdr:nvSpPr>
        <cdr:cNvPr id="4" name="TextBox 6"/>
        <cdr:cNvSpPr txBox="1"/>
      </cdr:nvSpPr>
      <cdr:spPr>
        <a:xfrm xmlns:a="http://schemas.openxmlformats.org/drawingml/2006/main">
          <a:off x="5108576" y="88900"/>
          <a:ext cx="1949450" cy="7588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1100"/>
            <a:t>重要结论</a:t>
          </a:r>
          <a:r>
            <a:rPr lang="en-US" altLang="zh-CN" sz="1100"/>
            <a:t>2</a:t>
          </a:r>
          <a:r>
            <a:rPr lang="zh-CN" altLang="en-US" sz="1100"/>
            <a:t>：</a:t>
          </a:r>
          <a:endParaRPr lang="en-US" altLang="zh-CN" sz="1100"/>
        </a:p>
        <a:p xmlns:a="http://schemas.openxmlformats.org/drawingml/2006/main">
          <a:r>
            <a:rPr lang="zh-CN" altLang="en-US" sz="1100"/>
            <a:t>实力超群的人，最终赢家排名低于平均水平也是小概率事件。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&#24037;&#20316;\&#25945;&#23398;\&#35745;&#31639;&#26426;&#24212;&#29992;&#35838;&#20214;\&#35745;&#31639;&#26426;&#24212;&#29992;&#35838;&#20214;\&#27169;&#25311;&#35797;&#21367;&#21442;&#32771;&#31572;&#26696;\&#31532;3&#314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00\2018-2019&#23398;&#24180;-1&#23398;&#26399;-&#35745;&#31639;&#26426;&#24212;&#29992;&#35797;&#21367;\A0401-&#23454;&#32771;60\&#24037;&#20316;\&#25945;&#23398;\&#35745;&#31639;&#26426;&#24212;&#29992;&#35838;&#20214;\&#35745;&#31639;&#26426;&#24212;&#29992;&#35838;&#20214;\&#27169;&#25311;&#35797;&#21367;&#21442;&#32771;&#31572;&#26696;\&#31532;3&#3145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&#25945;&#23398;/&#35745;&#31639;&#26426;&#24212;&#29992;&#35838;&#20214;/&#35745;&#31639;&#26426;&#24212;&#29992;&#35838;&#20214;/&#27169;&#25311;&#35797;&#21367;&#21442;&#32771;&#31572;&#26696;/&#31532;3&#3145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&#24037;&#20316;\&#25945;&#23398;\&#35745;&#31639;&#26426;&#24212;&#29992;&#35838;&#20214;\&#35745;&#31639;&#26426;&#24212;&#29992;&#35838;&#20214;\&#27169;&#25311;&#35797;&#21367;&#21442;&#32771;&#31572;&#26696;\&#27169;&#25311;&#35797;&#21367;11-&#21442;&#32771;&#31572;&#2669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00\2018-2019&#23398;&#24180;-1&#23398;&#26399;-&#35745;&#31639;&#26426;&#24212;&#29992;&#35797;&#21367;\A0401-&#23454;&#32771;60\&#24037;&#20316;\&#25945;&#23398;\&#35745;&#31639;&#26426;&#24212;&#29992;&#35838;&#20214;\&#35745;&#31639;&#26426;&#24212;&#29992;&#35838;&#20214;\&#27169;&#25311;&#35797;&#21367;&#21442;&#32771;&#31572;&#26696;\&#27169;&#25311;&#35797;&#21367;11-&#21442;&#32771;&#31572;&#2669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&#25945;&#23398;/&#35745;&#31639;&#26426;&#24212;&#29992;&#35838;&#20214;/&#35745;&#31639;&#26426;&#24212;&#29992;&#35838;&#20214;/&#27169;&#25311;&#35797;&#21367;&#21442;&#32771;&#31572;&#26696;/&#27169;&#25311;&#35797;&#21367;11-&#21442;&#32771;&#31572;&#2669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&#24037;&#20316;\&#25945;&#23398;\&#35745;&#31639;&#26426;&#24212;&#29992;&#35838;&#20214;\&#35745;&#31639;&#26426;&#24212;&#29992;&#35838;&#20214;\&#27169;&#25311;&#35797;&#21367;&#21442;&#32771;&#31572;&#26696;\Set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00\2018-2019&#23398;&#24180;-1&#23398;&#26399;-&#35745;&#31639;&#26426;&#24212;&#29992;&#35797;&#21367;\A0401-&#23454;&#32771;60\&#24037;&#20316;\&#25945;&#23398;\&#35745;&#31639;&#26426;&#24212;&#29992;&#35838;&#20214;\&#35745;&#31639;&#26426;&#24212;&#29992;&#35838;&#20214;\&#27169;&#25311;&#35797;&#21367;&#21442;&#32771;&#31572;&#26696;\Set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&#25945;&#23398;/&#35745;&#31639;&#26426;&#24212;&#29992;&#35838;&#20214;/&#35745;&#31639;&#26426;&#24212;&#29992;&#35838;&#20214;/&#27169;&#25311;&#35797;&#21367;&#21442;&#32771;&#31572;&#26696;/Set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Rawdata\&#31532;3&#3145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00\2018-2019&#23398;&#24180;-1&#23398;&#26399;-&#35745;&#31639;&#26426;&#24212;&#29992;&#35797;&#21367;\A0401-&#23454;&#32771;60\Rawdata\&#31532;3&#3145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Rawdata/&#31532;3&#3145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&#35838;&#31243;\&#36130;&#32463;&#31649;&#29702;&#35745;&#31639;&#26426;&#24212;&#29992;\200502\D&#20989;&#25968;&#32771;&#3906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00\2018-2019&#23398;&#24180;-1&#23398;&#26399;-&#35745;&#31639;&#26426;&#24212;&#29992;&#35797;&#21367;\A0401-&#23454;&#32771;60\&#35838;&#31243;\&#36130;&#32463;&#31649;&#29702;&#35745;&#31639;&#26426;&#24212;&#29992;\200502\D&#20989;&#25968;&#32771;&#390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1243;/&#36130;&#32463;&#31649;&#29702;&#35745;&#31639;&#26426;&#24212;&#29992;/200502/D&#20989;&#25968;&#32771;&#3906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1243;/&#35745;&#31639;&#26426;&#24212;&#29992;/&#32771;&#39064;/2003-1/2002&#31179;&#35745;&#31639;&#26426;&#32771;&#35797;(C)&#31572;&#26696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&#35838;&#31243;\&#35745;&#31639;&#26426;&#24212;&#29992;\&#32771;&#39064;\2003-1\2002&#31179;&#35745;&#31639;&#26426;&#32771;&#35797;(C)&#31572;&#2669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00\2018-2019&#23398;&#24180;-1&#23398;&#26399;-&#35745;&#31639;&#26426;&#24212;&#29992;&#35797;&#21367;\A0401-&#23454;&#32771;60\&#35838;&#31243;\&#35745;&#31639;&#26426;&#24212;&#29992;\&#32771;&#39064;\2003-1\2002&#31179;&#35745;&#31639;&#26426;&#32771;&#35797;(C)&#31572;&#2669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0wang\Quantitative%20method\Simulation\Simulation%20example%201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00\2018-2019&#23398;&#24180;-1&#23398;&#26399;-&#35745;&#31639;&#26426;&#24212;&#29992;&#35797;&#21367;\A0401-&#23454;&#32771;60\0wang\Quantitative%20method\Simulation\Simulation%20example%201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0wang/Quantitative%20method/Simulation/Simulation%20example%201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2017110637&#33891;&#24605;&#29738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lgl/yy2/&#32771;&#39064;/2002-01&#32771;&#39064;/Teaching/2001Fall/&#36741;&#20462;/&#35797;&#39064;&#31572;&#2669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lgl\yy2\&#32771;&#39064;\2002-01&#32771;&#39064;\Teaching\2001Fall\&#36741;&#20462;\&#35797;&#39064;&#31572;&#2669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00\2018-2019&#23398;&#24180;-1&#23398;&#26399;-&#35745;&#31639;&#26426;&#24212;&#29992;&#35797;&#21367;\A0401-&#23454;&#32771;60\lgl\yy2\&#32771;&#39064;\2002-01&#32771;&#39064;\Teaching\2001Fall\&#36741;&#20462;\&#35797;&#39064;&#31572;&#26696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Teaching/2001Fall/&#36741;&#20462;/&#35797;&#39064;&#31572;&#26696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TF\Lesson\ComputerApplication\&#25945;&#23398;&#21442;&#32771;&#36164;&#26009;\&#22797;&#20064;&#36164;&#26009;\&#32508;&#21512;&#32451;&#20064;a_j&#21442;&#32771;&#35299;&#31572;\&#32508;&#21512;&#32451;&#20064;D&#21442;&#32771;&#35299;&#3157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00\2018-2019&#23398;&#24180;-1&#23398;&#26399;-&#35745;&#31639;&#26426;&#24212;&#29992;&#35797;&#21367;\A0401-&#23454;&#32771;60\TF\Lesson\ComputerApplication\&#25945;&#23398;&#21442;&#32771;&#36164;&#26009;\&#22797;&#20064;&#36164;&#26009;\&#32508;&#21512;&#32451;&#20064;a_j&#21442;&#32771;&#35299;&#31572;\&#32508;&#21512;&#32451;&#20064;D&#21442;&#32771;&#35299;&#3157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TF/Lesson/ComputerApplication/&#25945;&#23398;&#21442;&#32771;&#36164;&#26009;/&#22797;&#20064;&#36164;&#26009;/&#32508;&#21512;&#32451;&#20064;a_j&#21442;&#32771;&#35299;&#31572;/&#32508;&#21512;&#32451;&#20064;D&#21442;&#32771;&#35299;&#31572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2003_2004_2&#32771;&#35797;&#35797;&#39064;&#31532;2&#31295;\2003-2004&#31532;2&#23398;&#26399;&#36130;&#22823;&#35745;&#31639;&#26426;&#24212;&#29992;&#35797;&#39064;\2004-06&#36879;&#35270;&#34920;&#19982;D&#20989;&#25968;&#32771;&#3906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00\2018-2019&#23398;&#24180;-1&#23398;&#26399;-&#35745;&#31639;&#26426;&#24212;&#29992;&#35797;&#21367;\A0401-&#23454;&#32771;60\2003_2004_2&#32771;&#35797;&#35797;&#39064;&#31532;2&#31295;\2003-2004&#31532;2&#23398;&#26399;&#36130;&#22823;&#35745;&#31639;&#26426;&#24212;&#29992;&#35797;&#39064;\2004-06&#36879;&#35270;&#34920;&#19982;D&#20989;&#25968;&#32771;&#39064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2003_2004_2&#32771;&#35797;&#35797;&#39064;&#31532;2&#31295;/2003-2004&#31532;2&#23398;&#26399;&#36130;&#22823;&#35745;&#31639;&#26426;&#24212;&#29992;&#35797;&#39064;/2004-06&#36879;&#35270;&#34920;&#19982;D&#20989;&#25968;&#32771;&#3906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lgl/yy2/&#32771;&#39064;/2001-07&#32771;&#39064;/Exam1/Exam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lgl\yy2\&#32771;&#39064;\2001-07&#32771;&#39064;\Exam1\Exam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00\2018-2019&#23398;&#24180;-1&#23398;&#26399;-&#35745;&#31639;&#26426;&#24212;&#29992;&#35797;&#21367;\A0401-&#23454;&#32771;60\lgl\yy2\&#32771;&#39064;\2001-07&#32771;&#39064;\Exam1\Exam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&#35745;&#31639;&#26426;&#24212;&#29992;\01-02(1)\2001&#31179;&#35745;&#31639;&#26426;&#24212;&#29992;&#35838;&#31243;&#32771;&#35797;&#39064;A&#31572;&#26696;&#24102;&#35780;&#20998;&#32454;&#21017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00\2018-2019&#23398;&#24180;-1&#23398;&#26399;-&#35745;&#31639;&#26426;&#24212;&#29992;&#35797;&#21367;\A0401-&#23454;&#32771;60\&#35745;&#31639;&#26426;&#24212;&#29992;\01-02(1)\2001&#31179;&#35745;&#31639;&#26426;&#24212;&#29992;&#35838;&#31243;&#32771;&#35797;&#39064;A&#31572;&#26696;&#24102;&#35780;&#20998;&#32454;&#21017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745;&#31639;&#26426;&#24212;&#29992;/01-02(1)/2001&#31179;&#35745;&#31639;&#26426;&#24212;&#29992;&#35838;&#31243;&#32771;&#35797;&#39064;A&#31572;&#26696;&#24102;&#35780;&#20998;&#32454;&#21017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Lili\Downloads\2018-2019&#23398;&#24180;-1&#23398;&#26399;-&#35745;&#31639;&#26426;&#24212;&#29992;&#35797;&#21367;\2018-2019&#23398;&#24180;-1&#23398;&#26399;-&#35745;&#31639;&#26426;&#24212;&#29992;&#35797;&#21367;\A0777-&#23454;&#32771;61\&#35838;&#31243;\&#36130;&#32463;&#31649;&#29702;&#35745;&#31639;&#26426;&#24212;&#29992;\&#21382;&#24180;&#32771;&#35797;&#39064;&#30446;\200906\&#21407;E\lesson\&#35745;&#31639;&#26426;&#24212;&#29992;\&#21508;&#24180;&#32771;&#39064;\2008-2009-2\2008-2009-2&#35745;&#31639;&#26426;&#24212;&#29992;_&#31532;3&#39064;\&#21629;&#39064;&#20934;&#22791;\&#20363;4-08%20&#24037;&#21378;&#32435;&#31246;&#23395;&#33410;&#25351;&#25968;&#39044;&#27979;&#27169;&#22411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00\2018-2019&#23398;&#24180;-1&#23398;&#26399;-&#35745;&#31639;&#26426;&#24212;&#29992;&#35797;&#21367;\A0401-&#23454;&#32771;60\&#35838;&#31243;\&#36130;&#32463;&#31649;&#29702;&#35745;&#31639;&#26426;&#24212;&#29992;\&#21382;&#24180;&#32771;&#35797;&#39064;&#30446;\200906\&#21407;E\lesson\&#35745;&#31639;&#26426;&#24212;&#29992;\&#21508;&#24180;&#32771;&#39064;\2008-2009-2\2008-2009-2&#35745;&#31639;&#26426;&#24212;&#29992;_&#31532;3&#39064;\&#21629;&#39064;&#20934;&#22791;\&#20363;4-08%20&#24037;&#21378;&#32435;&#31246;&#23395;&#33410;&#25351;&#25968;&#39044;&#27979;&#27169;&#22411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1243;/&#36130;&#32463;&#31649;&#29702;&#35745;&#31639;&#26426;&#24212;&#29992;/&#21382;&#24180;&#32771;&#35797;&#39064;&#30446;/200906/&#21407;E/lesson/&#35745;&#31639;&#26426;&#24212;&#29992;/&#21508;&#24180;&#32771;&#39064;/2008-2009-2/2008-2009-2&#35745;&#31639;&#26426;&#24212;&#29992;_&#31532;3&#39064;/&#21629;&#39064;&#20934;&#22791;/&#20363;4-08%20&#24037;&#21378;&#32435;&#31246;&#23395;&#33410;&#25351;&#25968;&#39044;&#27979;&#27169;&#2241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分数分布"/>
      <sheetName val="第1题"/>
      <sheetName val="第1题解答"/>
      <sheetName val="第2题"/>
      <sheetName val="第2题解答"/>
      <sheetName val="第3题"/>
      <sheetName val="第3题解答"/>
      <sheetName val="第4题"/>
      <sheetName val="第4题解答"/>
      <sheetName val="第5题"/>
      <sheetName val="第5题解答"/>
      <sheetName val="第6题"/>
      <sheetName val="第6题解答"/>
      <sheetName val="第7题"/>
      <sheetName val="第7题解答"/>
      <sheetName val="第8题"/>
      <sheetName val="第8题解答"/>
      <sheetName val="第9题"/>
      <sheetName val="第9题解答"/>
    </sheetNames>
    <sheetDataSet>
      <sheetData sheetId="0"/>
      <sheetData sheetId="1"/>
      <sheetData sheetId="2"/>
      <sheetData sheetId="3"/>
      <sheetData sheetId="4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分数分布"/>
      <sheetName val="第1题"/>
      <sheetName val="第1题解答"/>
      <sheetName val="第2题"/>
      <sheetName val="第2题解答"/>
      <sheetName val="第3题"/>
      <sheetName val="第3题解答"/>
      <sheetName val="第4题"/>
      <sheetName val="第4题解答"/>
      <sheetName val="第5题"/>
      <sheetName val="第5题解答"/>
      <sheetName val="第6题"/>
      <sheetName val="第6题解答"/>
      <sheetName val="第7题"/>
      <sheetName val="第7题解答"/>
      <sheetName val="第8题"/>
      <sheetName val="第8题解答"/>
      <sheetName val="第9题"/>
      <sheetName val="第9题解答"/>
    </sheetNames>
    <sheetDataSet>
      <sheetData sheetId="0"/>
      <sheetData sheetId="1"/>
      <sheetData sheetId="2"/>
      <sheetData sheetId="3"/>
      <sheetData sheetId="4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分数分布"/>
      <sheetName val="第1题"/>
      <sheetName val="第1题解答"/>
      <sheetName val="第2题"/>
      <sheetName val="第2题解答"/>
      <sheetName val="第3题"/>
      <sheetName val="第3题解答"/>
      <sheetName val="第4题"/>
      <sheetName val="第4题解答"/>
      <sheetName val="第5题"/>
      <sheetName val="第5题解答"/>
      <sheetName val="第6题"/>
      <sheetName val="第6题解答"/>
      <sheetName val="第7题"/>
      <sheetName val="第7题解答"/>
      <sheetName val="第8题"/>
      <sheetName val="第8题解答"/>
      <sheetName val="第9题"/>
      <sheetName val="第9题解答"/>
    </sheetNames>
    <sheetDataSet>
      <sheetData sheetId="0"/>
      <sheetData sheetId="1"/>
      <sheetData sheetId="2"/>
      <sheetData sheetId="3"/>
      <sheetData sheetId="4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2题答案"/>
      <sheetName val="第3题"/>
      <sheetName val="第3题答案"/>
      <sheetName val="第4题"/>
      <sheetName val="第4题答案"/>
      <sheetName val="第5题"/>
      <sheetName val="第6题"/>
      <sheetName val="第6题答案"/>
      <sheetName val="第7题"/>
      <sheetName val="第7题解答"/>
      <sheetName val="第8题"/>
      <sheetName val="第8题答案"/>
      <sheetName val="第9题"/>
      <sheetName val="第9题解答"/>
    </sheetNames>
    <sheetDataSet>
      <sheetData sheetId="0"/>
      <sheetData sheetId="1">
        <row r="1">
          <cell r="A1" t="str">
            <v>订购日期</v>
          </cell>
          <cell r="B1" t="str">
            <v>产品名称</v>
          </cell>
          <cell r="C1" t="str">
            <v>销售数量</v>
          </cell>
          <cell r="D1" t="str">
            <v>销售金额</v>
          </cell>
        </row>
        <row r="2">
          <cell r="A2">
            <v>35254</v>
          </cell>
          <cell r="B2" t="str">
            <v>糯米</v>
          </cell>
          <cell r="C2">
            <v>6</v>
          </cell>
          <cell r="D2">
            <v>100.8</v>
          </cell>
        </row>
        <row r="3">
          <cell r="A3">
            <v>35465</v>
          </cell>
          <cell r="B3" t="str">
            <v>糯米</v>
          </cell>
          <cell r="C3">
            <v>12</v>
          </cell>
          <cell r="D3">
            <v>201.6</v>
          </cell>
        </row>
        <row r="4">
          <cell r="A4">
            <v>35580</v>
          </cell>
          <cell r="B4" t="str">
            <v>糯米</v>
          </cell>
          <cell r="C4">
            <v>24</v>
          </cell>
          <cell r="D4">
            <v>504</v>
          </cell>
        </row>
        <row r="5">
          <cell r="A5">
            <v>35629</v>
          </cell>
          <cell r="B5" t="str">
            <v>糯米</v>
          </cell>
          <cell r="C5">
            <v>48</v>
          </cell>
          <cell r="D5">
            <v>1008</v>
          </cell>
        </row>
        <row r="6">
          <cell r="A6">
            <v>35646</v>
          </cell>
          <cell r="B6" t="str">
            <v>糯米</v>
          </cell>
          <cell r="C6">
            <v>40</v>
          </cell>
          <cell r="D6">
            <v>840</v>
          </cell>
        </row>
        <row r="7">
          <cell r="A7">
            <v>35660</v>
          </cell>
          <cell r="B7" t="str">
            <v>糯米</v>
          </cell>
          <cell r="C7">
            <v>40</v>
          </cell>
          <cell r="D7">
            <v>840</v>
          </cell>
        </row>
        <row r="8">
          <cell r="A8">
            <v>35670</v>
          </cell>
          <cell r="B8" t="str">
            <v>糯米</v>
          </cell>
          <cell r="C8">
            <v>15</v>
          </cell>
          <cell r="D8">
            <v>315</v>
          </cell>
        </row>
        <row r="9">
          <cell r="A9">
            <v>35674</v>
          </cell>
          <cell r="B9" t="str">
            <v>糯米</v>
          </cell>
          <cell r="C9">
            <v>20</v>
          </cell>
          <cell r="D9">
            <v>420</v>
          </cell>
        </row>
        <row r="10">
          <cell r="A10">
            <v>35767</v>
          </cell>
          <cell r="B10" t="str">
            <v>糯米</v>
          </cell>
          <cell r="C10">
            <v>6</v>
          </cell>
          <cell r="D10">
            <v>126</v>
          </cell>
        </row>
        <row r="11">
          <cell r="A11">
            <v>35772</v>
          </cell>
          <cell r="B11" t="str">
            <v>糯米</v>
          </cell>
          <cell r="C11">
            <v>4</v>
          </cell>
          <cell r="D11">
            <v>84</v>
          </cell>
        </row>
        <row r="12">
          <cell r="A12">
            <v>35811</v>
          </cell>
          <cell r="B12" t="str">
            <v>糯米</v>
          </cell>
          <cell r="C12">
            <v>52</v>
          </cell>
          <cell r="D12">
            <v>1092</v>
          </cell>
        </row>
        <row r="13">
          <cell r="A13">
            <v>35816</v>
          </cell>
          <cell r="B13" t="str">
            <v>糯米</v>
          </cell>
          <cell r="C13">
            <v>35</v>
          </cell>
          <cell r="D13">
            <v>735</v>
          </cell>
        </row>
        <row r="14">
          <cell r="A14">
            <v>35865</v>
          </cell>
          <cell r="B14" t="str">
            <v>糯米</v>
          </cell>
          <cell r="C14">
            <v>21</v>
          </cell>
          <cell r="D14">
            <v>441</v>
          </cell>
        </row>
        <row r="15">
          <cell r="A15">
            <v>35891</v>
          </cell>
          <cell r="B15" t="str">
            <v>糯米</v>
          </cell>
          <cell r="C15">
            <v>25</v>
          </cell>
          <cell r="D15">
            <v>525</v>
          </cell>
        </row>
        <row r="16">
          <cell r="A16">
            <v>35362</v>
          </cell>
          <cell r="B16" t="str">
            <v>燕麦</v>
          </cell>
          <cell r="C16">
            <v>40</v>
          </cell>
          <cell r="D16">
            <v>288</v>
          </cell>
        </row>
        <row r="17">
          <cell r="A17">
            <v>35376</v>
          </cell>
          <cell r="B17" t="str">
            <v>燕麦</v>
          </cell>
          <cell r="C17">
            <v>25</v>
          </cell>
          <cell r="D17">
            <v>180</v>
          </cell>
        </row>
        <row r="18">
          <cell r="A18">
            <v>35426</v>
          </cell>
          <cell r="B18" t="str">
            <v>燕麦</v>
          </cell>
          <cell r="C18">
            <v>40</v>
          </cell>
          <cell r="D18">
            <v>288</v>
          </cell>
        </row>
        <row r="19">
          <cell r="A19">
            <v>35432</v>
          </cell>
          <cell r="B19" t="str">
            <v>燕麦</v>
          </cell>
          <cell r="C19">
            <v>60</v>
          </cell>
          <cell r="D19">
            <v>432</v>
          </cell>
        </row>
        <row r="20">
          <cell r="A20">
            <v>35492</v>
          </cell>
          <cell r="B20" t="str">
            <v>燕麦</v>
          </cell>
          <cell r="C20">
            <v>21</v>
          </cell>
          <cell r="D20">
            <v>151.19999999999999</v>
          </cell>
        </row>
        <row r="21">
          <cell r="A21">
            <v>35500</v>
          </cell>
          <cell r="B21" t="str">
            <v>燕麦</v>
          </cell>
          <cell r="C21">
            <v>15</v>
          </cell>
          <cell r="D21">
            <v>108</v>
          </cell>
        </row>
        <row r="22">
          <cell r="A22">
            <v>35523</v>
          </cell>
          <cell r="B22" t="str">
            <v>燕麦</v>
          </cell>
          <cell r="C22">
            <v>10</v>
          </cell>
          <cell r="D22">
            <v>72</v>
          </cell>
        </row>
        <row r="23">
          <cell r="A23">
            <v>35571</v>
          </cell>
          <cell r="B23" t="str">
            <v>燕麦</v>
          </cell>
          <cell r="C23">
            <v>70</v>
          </cell>
          <cell r="D23">
            <v>630</v>
          </cell>
        </row>
        <row r="24">
          <cell r="A24">
            <v>35580</v>
          </cell>
          <cell r="B24" t="str">
            <v>燕麦</v>
          </cell>
          <cell r="C24">
            <v>20</v>
          </cell>
          <cell r="D24">
            <v>180</v>
          </cell>
        </row>
        <row r="25">
          <cell r="A25">
            <v>35647</v>
          </cell>
          <cell r="B25" t="str">
            <v>燕麦</v>
          </cell>
          <cell r="C25">
            <v>10</v>
          </cell>
          <cell r="D25">
            <v>90</v>
          </cell>
        </row>
        <row r="26">
          <cell r="A26">
            <v>35689</v>
          </cell>
          <cell r="B26" t="str">
            <v>燕麦</v>
          </cell>
          <cell r="C26">
            <v>32</v>
          </cell>
          <cell r="D26">
            <v>288</v>
          </cell>
        </row>
        <row r="27">
          <cell r="A27">
            <v>35691</v>
          </cell>
          <cell r="B27" t="str">
            <v>燕麦</v>
          </cell>
          <cell r="C27">
            <v>5</v>
          </cell>
          <cell r="D27">
            <v>45</v>
          </cell>
        </row>
        <row r="28">
          <cell r="A28">
            <v>35754</v>
          </cell>
          <cell r="B28" t="str">
            <v>燕麦</v>
          </cell>
          <cell r="C28">
            <v>44</v>
          </cell>
          <cell r="D28">
            <v>396</v>
          </cell>
        </row>
        <row r="29">
          <cell r="A29">
            <v>35797</v>
          </cell>
          <cell r="B29" t="str">
            <v>燕麦</v>
          </cell>
          <cell r="C29">
            <v>18</v>
          </cell>
          <cell r="D29">
            <v>162</v>
          </cell>
        </row>
        <row r="30">
          <cell r="A30">
            <v>35816</v>
          </cell>
          <cell r="B30" t="str">
            <v>燕麦</v>
          </cell>
          <cell r="C30">
            <v>70</v>
          </cell>
          <cell r="D30">
            <v>630</v>
          </cell>
        </row>
        <row r="31">
          <cell r="A31">
            <v>35830</v>
          </cell>
          <cell r="B31" t="str">
            <v>燕麦</v>
          </cell>
          <cell r="C31">
            <v>50</v>
          </cell>
          <cell r="D31">
            <v>450</v>
          </cell>
        </row>
        <row r="32">
          <cell r="A32">
            <v>35836</v>
          </cell>
          <cell r="B32" t="str">
            <v>燕麦</v>
          </cell>
          <cell r="C32">
            <v>30</v>
          </cell>
          <cell r="D32">
            <v>270</v>
          </cell>
        </row>
        <row r="33">
          <cell r="A33">
            <v>35863</v>
          </cell>
          <cell r="B33" t="str">
            <v>燕麦</v>
          </cell>
          <cell r="C33">
            <v>8</v>
          </cell>
          <cell r="D33">
            <v>72</v>
          </cell>
        </row>
        <row r="34">
          <cell r="A34">
            <v>35894</v>
          </cell>
          <cell r="B34" t="str">
            <v>燕麦</v>
          </cell>
          <cell r="C34">
            <v>10</v>
          </cell>
          <cell r="D34">
            <v>90</v>
          </cell>
        </row>
        <row r="35">
          <cell r="A35">
            <v>35921</v>
          </cell>
          <cell r="B35" t="str">
            <v>燕麦</v>
          </cell>
          <cell r="C35">
            <v>2</v>
          </cell>
          <cell r="D35">
            <v>18</v>
          </cell>
        </row>
        <row r="36">
          <cell r="A36">
            <v>35250</v>
          </cell>
          <cell r="B36" t="str">
            <v>糙米</v>
          </cell>
          <cell r="C36">
            <v>10</v>
          </cell>
          <cell r="D36">
            <v>98</v>
          </cell>
        </row>
        <row r="37">
          <cell r="A37">
            <v>35327</v>
          </cell>
          <cell r="B37" t="str">
            <v>糙米</v>
          </cell>
          <cell r="C37">
            <v>2</v>
          </cell>
          <cell r="D37">
            <v>22.4</v>
          </cell>
        </row>
        <row r="38">
          <cell r="A38">
            <v>35328</v>
          </cell>
          <cell r="B38" t="str">
            <v>糙米</v>
          </cell>
          <cell r="C38">
            <v>6</v>
          </cell>
          <cell r="D38">
            <v>67.2</v>
          </cell>
        </row>
        <row r="39">
          <cell r="A39">
            <v>35355</v>
          </cell>
          <cell r="B39" t="str">
            <v>糙米</v>
          </cell>
          <cell r="C39">
            <v>10</v>
          </cell>
          <cell r="D39">
            <v>112</v>
          </cell>
        </row>
        <row r="40">
          <cell r="A40">
            <v>35373</v>
          </cell>
          <cell r="B40" t="str">
            <v>糙米</v>
          </cell>
          <cell r="C40">
            <v>9</v>
          </cell>
          <cell r="D40">
            <v>100.8</v>
          </cell>
        </row>
        <row r="41">
          <cell r="A41">
            <v>35433</v>
          </cell>
          <cell r="B41" t="str">
            <v>糙米</v>
          </cell>
          <cell r="C41">
            <v>40</v>
          </cell>
          <cell r="D41">
            <v>448</v>
          </cell>
        </row>
        <row r="42">
          <cell r="A42">
            <v>35493</v>
          </cell>
          <cell r="B42" t="str">
            <v>糙米</v>
          </cell>
          <cell r="C42">
            <v>50</v>
          </cell>
          <cell r="D42">
            <v>560</v>
          </cell>
        </row>
        <row r="43">
          <cell r="A43">
            <v>35521</v>
          </cell>
          <cell r="B43" t="str">
            <v>糙米</v>
          </cell>
          <cell r="C43">
            <v>20</v>
          </cell>
          <cell r="D43">
            <v>224</v>
          </cell>
        </row>
        <row r="44">
          <cell r="A44">
            <v>35527</v>
          </cell>
          <cell r="B44" t="str">
            <v>糙米</v>
          </cell>
          <cell r="C44">
            <v>30</v>
          </cell>
          <cell r="D44">
            <v>420</v>
          </cell>
        </row>
        <row r="45">
          <cell r="A45">
            <v>35544</v>
          </cell>
          <cell r="B45" t="str">
            <v>糙米</v>
          </cell>
          <cell r="C45">
            <v>20</v>
          </cell>
          <cell r="D45">
            <v>280</v>
          </cell>
        </row>
        <row r="46">
          <cell r="A46">
            <v>35598</v>
          </cell>
          <cell r="B46" t="str">
            <v>糙米</v>
          </cell>
          <cell r="C46">
            <v>28</v>
          </cell>
          <cell r="D46">
            <v>392</v>
          </cell>
        </row>
        <row r="47">
          <cell r="A47">
            <v>35614</v>
          </cell>
          <cell r="B47" t="str">
            <v>糙米</v>
          </cell>
          <cell r="C47">
            <v>100</v>
          </cell>
          <cell r="D47">
            <v>1400</v>
          </cell>
        </row>
        <row r="48">
          <cell r="A48">
            <v>35650</v>
          </cell>
          <cell r="B48" t="str">
            <v>糙米</v>
          </cell>
          <cell r="C48">
            <v>5</v>
          </cell>
          <cell r="D48">
            <v>70</v>
          </cell>
        </row>
        <row r="49">
          <cell r="A49">
            <v>35674</v>
          </cell>
          <cell r="B49" t="str">
            <v>糙米</v>
          </cell>
          <cell r="C49">
            <v>20</v>
          </cell>
          <cell r="D49">
            <v>280</v>
          </cell>
        </row>
        <row r="50">
          <cell r="A50">
            <v>35683</v>
          </cell>
          <cell r="B50" t="str">
            <v>糙米</v>
          </cell>
          <cell r="C50">
            <v>30</v>
          </cell>
          <cell r="D50">
            <v>420</v>
          </cell>
        </row>
        <row r="51">
          <cell r="A51">
            <v>35691</v>
          </cell>
          <cell r="B51" t="str">
            <v>糙米</v>
          </cell>
          <cell r="C51">
            <v>6</v>
          </cell>
          <cell r="D51">
            <v>84</v>
          </cell>
        </row>
        <row r="52">
          <cell r="A52">
            <v>35697</v>
          </cell>
          <cell r="B52" t="str">
            <v>糙米</v>
          </cell>
          <cell r="C52">
            <v>40</v>
          </cell>
          <cell r="D52">
            <v>560</v>
          </cell>
        </row>
        <row r="53">
          <cell r="A53">
            <v>35753</v>
          </cell>
          <cell r="B53" t="str">
            <v>糙米</v>
          </cell>
          <cell r="C53">
            <v>28</v>
          </cell>
          <cell r="D53">
            <v>392</v>
          </cell>
        </row>
        <row r="54">
          <cell r="A54">
            <v>35769</v>
          </cell>
          <cell r="B54" t="str">
            <v>糙米</v>
          </cell>
          <cell r="C54">
            <v>2</v>
          </cell>
          <cell r="D54">
            <v>28</v>
          </cell>
        </row>
        <row r="55">
          <cell r="A55">
            <v>35779</v>
          </cell>
          <cell r="B55" t="str">
            <v>糙米</v>
          </cell>
          <cell r="C55">
            <v>12</v>
          </cell>
          <cell r="D55">
            <v>168</v>
          </cell>
        </row>
        <row r="56">
          <cell r="A56">
            <v>35779</v>
          </cell>
          <cell r="B56" t="str">
            <v>糙米</v>
          </cell>
          <cell r="C56">
            <v>20</v>
          </cell>
          <cell r="D56">
            <v>280</v>
          </cell>
        </row>
        <row r="57">
          <cell r="A57">
            <v>35816</v>
          </cell>
          <cell r="B57" t="str">
            <v>糙米</v>
          </cell>
          <cell r="C57">
            <v>42</v>
          </cell>
          <cell r="D57">
            <v>588</v>
          </cell>
        </row>
        <row r="58">
          <cell r="A58">
            <v>35823</v>
          </cell>
          <cell r="B58" t="str">
            <v>糙米</v>
          </cell>
          <cell r="C58">
            <v>20</v>
          </cell>
          <cell r="D58">
            <v>280</v>
          </cell>
        </row>
        <row r="59">
          <cell r="A59">
            <v>35837</v>
          </cell>
          <cell r="B59" t="str">
            <v>糙米</v>
          </cell>
          <cell r="C59">
            <v>25</v>
          </cell>
          <cell r="D59">
            <v>350</v>
          </cell>
        </row>
        <row r="60">
          <cell r="A60">
            <v>35857</v>
          </cell>
          <cell r="B60" t="str">
            <v>糙米</v>
          </cell>
          <cell r="C60">
            <v>10</v>
          </cell>
          <cell r="D60">
            <v>140</v>
          </cell>
        </row>
        <row r="61">
          <cell r="A61">
            <v>35887</v>
          </cell>
          <cell r="B61" t="str">
            <v>糙米</v>
          </cell>
          <cell r="C61">
            <v>40</v>
          </cell>
          <cell r="D61">
            <v>560</v>
          </cell>
        </row>
        <row r="62">
          <cell r="A62">
            <v>35891</v>
          </cell>
          <cell r="B62" t="str">
            <v>糙米</v>
          </cell>
          <cell r="C62">
            <v>24</v>
          </cell>
          <cell r="D62">
            <v>336</v>
          </cell>
        </row>
        <row r="63">
          <cell r="A63">
            <v>35893</v>
          </cell>
          <cell r="B63" t="str">
            <v>糙米</v>
          </cell>
          <cell r="C63">
            <v>14</v>
          </cell>
          <cell r="D63">
            <v>196</v>
          </cell>
        </row>
        <row r="64">
          <cell r="A64">
            <v>35894</v>
          </cell>
          <cell r="B64" t="str">
            <v>糙米</v>
          </cell>
          <cell r="C64">
            <v>4</v>
          </cell>
          <cell r="D64">
            <v>56</v>
          </cell>
        </row>
        <row r="65">
          <cell r="A65">
            <v>35905</v>
          </cell>
          <cell r="B65" t="str">
            <v>糙米</v>
          </cell>
          <cell r="C65">
            <v>30</v>
          </cell>
          <cell r="D65">
            <v>420</v>
          </cell>
        </row>
        <row r="66">
          <cell r="A66">
            <v>35342</v>
          </cell>
          <cell r="B66" t="str">
            <v>三合一麦片</v>
          </cell>
          <cell r="C66">
            <v>20</v>
          </cell>
          <cell r="D66">
            <v>112</v>
          </cell>
        </row>
        <row r="67">
          <cell r="A67">
            <v>35359</v>
          </cell>
          <cell r="B67" t="str">
            <v>三合一麦片</v>
          </cell>
          <cell r="C67">
            <v>8</v>
          </cell>
          <cell r="D67">
            <v>44.8</v>
          </cell>
        </row>
        <row r="68">
          <cell r="A68">
            <v>35418</v>
          </cell>
          <cell r="B68" t="str">
            <v>三合一麦片</v>
          </cell>
          <cell r="C68">
            <v>20</v>
          </cell>
          <cell r="D68">
            <v>112</v>
          </cell>
        </row>
        <row r="69">
          <cell r="A69">
            <v>35475</v>
          </cell>
          <cell r="B69" t="str">
            <v>三合一麦片</v>
          </cell>
          <cell r="C69">
            <v>15</v>
          </cell>
          <cell r="D69">
            <v>84</v>
          </cell>
        </row>
        <row r="70">
          <cell r="A70">
            <v>35479</v>
          </cell>
          <cell r="B70" t="str">
            <v>三合一麦片</v>
          </cell>
          <cell r="C70">
            <v>20</v>
          </cell>
          <cell r="D70">
            <v>112</v>
          </cell>
        </row>
        <row r="71">
          <cell r="A71">
            <v>35544</v>
          </cell>
          <cell r="B71" t="str">
            <v>三合一麦片</v>
          </cell>
          <cell r="C71">
            <v>6</v>
          </cell>
          <cell r="D71">
            <v>42</v>
          </cell>
        </row>
        <row r="72">
          <cell r="A72">
            <v>35585</v>
          </cell>
          <cell r="B72" t="str">
            <v>三合一麦片</v>
          </cell>
          <cell r="C72">
            <v>30</v>
          </cell>
          <cell r="D72">
            <v>210</v>
          </cell>
        </row>
        <row r="73">
          <cell r="A73">
            <v>35591</v>
          </cell>
          <cell r="B73" t="str">
            <v>三合一麦片</v>
          </cell>
          <cell r="C73">
            <v>70</v>
          </cell>
          <cell r="D73">
            <v>490</v>
          </cell>
        </row>
        <row r="74">
          <cell r="A74">
            <v>35613</v>
          </cell>
          <cell r="B74" t="str">
            <v>三合一麦片</v>
          </cell>
          <cell r="C74">
            <v>4</v>
          </cell>
          <cell r="D74">
            <v>28</v>
          </cell>
        </row>
        <row r="75">
          <cell r="A75">
            <v>35620</v>
          </cell>
          <cell r="B75" t="str">
            <v>三合一麦片</v>
          </cell>
          <cell r="C75">
            <v>24</v>
          </cell>
          <cell r="D75">
            <v>168</v>
          </cell>
        </row>
        <row r="76">
          <cell r="A76">
            <v>35647</v>
          </cell>
          <cell r="B76" t="str">
            <v>三合一麦片</v>
          </cell>
          <cell r="C76">
            <v>5</v>
          </cell>
          <cell r="D76">
            <v>35</v>
          </cell>
        </row>
        <row r="77">
          <cell r="A77">
            <v>35699</v>
          </cell>
          <cell r="B77" t="str">
            <v>三合一麦片</v>
          </cell>
          <cell r="C77">
            <v>9</v>
          </cell>
          <cell r="D77">
            <v>63</v>
          </cell>
        </row>
        <row r="78">
          <cell r="A78">
            <v>35734</v>
          </cell>
          <cell r="B78" t="str">
            <v>三合一麦片</v>
          </cell>
          <cell r="C78">
            <v>4</v>
          </cell>
          <cell r="D78">
            <v>28</v>
          </cell>
        </row>
        <row r="79">
          <cell r="A79">
            <v>35741</v>
          </cell>
          <cell r="B79" t="str">
            <v>三合一麦片</v>
          </cell>
          <cell r="C79">
            <v>25</v>
          </cell>
          <cell r="D79">
            <v>175</v>
          </cell>
        </row>
        <row r="80">
          <cell r="A80">
            <v>35746</v>
          </cell>
          <cell r="B80" t="str">
            <v>三合一麦片</v>
          </cell>
          <cell r="C80">
            <v>18</v>
          </cell>
          <cell r="D80">
            <v>126</v>
          </cell>
        </row>
        <row r="81">
          <cell r="A81">
            <v>35762</v>
          </cell>
          <cell r="B81" t="str">
            <v>三合一麦片</v>
          </cell>
          <cell r="C81">
            <v>60</v>
          </cell>
          <cell r="D81">
            <v>420</v>
          </cell>
        </row>
        <row r="82">
          <cell r="A82">
            <v>35772</v>
          </cell>
          <cell r="B82" t="str">
            <v>三合一麦片</v>
          </cell>
          <cell r="C82">
            <v>15</v>
          </cell>
          <cell r="D82">
            <v>105</v>
          </cell>
        </row>
        <row r="83">
          <cell r="A83">
            <v>35788</v>
          </cell>
          <cell r="B83" t="str">
            <v>三合一麦片</v>
          </cell>
          <cell r="C83">
            <v>8</v>
          </cell>
          <cell r="D83">
            <v>56</v>
          </cell>
        </row>
        <row r="84">
          <cell r="A84">
            <v>35796</v>
          </cell>
          <cell r="B84" t="str">
            <v>三合一麦片</v>
          </cell>
          <cell r="C84">
            <v>20</v>
          </cell>
          <cell r="D84">
            <v>140</v>
          </cell>
        </row>
        <row r="85">
          <cell r="A85">
            <v>35825</v>
          </cell>
          <cell r="B85" t="str">
            <v>三合一麦片</v>
          </cell>
          <cell r="C85">
            <v>8</v>
          </cell>
          <cell r="D85">
            <v>56</v>
          </cell>
        </row>
        <row r="86">
          <cell r="A86">
            <v>35852</v>
          </cell>
          <cell r="B86" t="str">
            <v>三合一麦片</v>
          </cell>
          <cell r="C86">
            <v>14</v>
          </cell>
          <cell r="D86">
            <v>98</v>
          </cell>
        </row>
        <row r="87">
          <cell r="A87">
            <v>35858</v>
          </cell>
          <cell r="B87" t="str">
            <v>三合一麦片</v>
          </cell>
          <cell r="C87">
            <v>12</v>
          </cell>
          <cell r="D87">
            <v>84</v>
          </cell>
        </row>
        <row r="88">
          <cell r="A88">
            <v>35859</v>
          </cell>
          <cell r="B88" t="str">
            <v>三合一麦片</v>
          </cell>
          <cell r="C88">
            <v>5</v>
          </cell>
          <cell r="D88">
            <v>35</v>
          </cell>
        </row>
        <row r="89">
          <cell r="A89">
            <v>35873</v>
          </cell>
          <cell r="B89" t="str">
            <v>三合一麦片</v>
          </cell>
          <cell r="C89">
            <v>6</v>
          </cell>
          <cell r="D89">
            <v>42</v>
          </cell>
        </row>
        <row r="90">
          <cell r="A90">
            <v>35878</v>
          </cell>
          <cell r="B90" t="str">
            <v>三合一麦片</v>
          </cell>
          <cell r="C90">
            <v>40</v>
          </cell>
          <cell r="D90">
            <v>280</v>
          </cell>
        </row>
        <row r="91">
          <cell r="A91">
            <v>35888</v>
          </cell>
          <cell r="B91" t="str">
            <v>三合一麦片</v>
          </cell>
          <cell r="C91">
            <v>20</v>
          </cell>
          <cell r="D91">
            <v>140</v>
          </cell>
        </row>
        <row r="92">
          <cell r="A92">
            <v>35891</v>
          </cell>
          <cell r="B92" t="str">
            <v>三合一麦片</v>
          </cell>
          <cell r="C92">
            <v>10</v>
          </cell>
          <cell r="D92">
            <v>70</v>
          </cell>
        </row>
        <row r="93">
          <cell r="A93">
            <v>35906</v>
          </cell>
          <cell r="B93" t="str">
            <v>三合一麦片</v>
          </cell>
          <cell r="C93">
            <v>2</v>
          </cell>
          <cell r="D93">
            <v>14</v>
          </cell>
        </row>
        <row r="94">
          <cell r="A94">
            <v>35921</v>
          </cell>
          <cell r="B94" t="str">
            <v>三合一麦片</v>
          </cell>
          <cell r="C94">
            <v>2</v>
          </cell>
          <cell r="D94">
            <v>14</v>
          </cell>
        </row>
        <row r="95">
          <cell r="A95">
            <v>35268</v>
          </cell>
          <cell r="B95" t="str">
            <v>白米</v>
          </cell>
          <cell r="C95">
            <v>2</v>
          </cell>
          <cell r="D95">
            <v>60.8</v>
          </cell>
        </row>
        <row r="96">
          <cell r="A96">
            <v>35310</v>
          </cell>
          <cell r="B96" t="str">
            <v>白米</v>
          </cell>
          <cell r="C96">
            <v>4</v>
          </cell>
          <cell r="D96">
            <v>121.6</v>
          </cell>
        </row>
        <row r="97">
          <cell r="A97">
            <v>35317</v>
          </cell>
          <cell r="B97" t="str">
            <v>白米</v>
          </cell>
          <cell r="C97">
            <v>20</v>
          </cell>
          <cell r="D97">
            <v>608</v>
          </cell>
        </row>
        <row r="98">
          <cell r="A98">
            <v>35353</v>
          </cell>
          <cell r="B98" t="str">
            <v>白米</v>
          </cell>
          <cell r="C98">
            <v>12</v>
          </cell>
          <cell r="D98">
            <v>364.8</v>
          </cell>
        </row>
        <row r="99">
          <cell r="A99">
            <v>35374</v>
          </cell>
          <cell r="B99" t="str">
            <v>白米</v>
          </cell>
          <cell r="C99">
            <v>20</v>
          </cell>
          <cell r="D99">
            <v>608</v>
          </cell>
        </row>
        <row r="100">
          <cell r="A100">
            <v>35401</v>
          </cell>
          <cell r="B100" t="str">
            <v>白米</v>
          </cell>
          <cell r="C100">
            <v>18</v>
          </cell>
          <cell r="D100">
            <v>547.20000000000005</v>
          </cell>
        </row>
        <row r="101">
          <cell r="A101">
            <v>35415</v>
          </cell>
          <cell r="B101" t="str">
            <v>白米</v>
          </cell>
          <cell r="C101">
            <v>20</v>
          </cell>
          <cell r="D101">
            <v>608</v>
          </cell>
        </row>
        <row r="102">
          <cell r="A102">
            <v>35431</v>
          </cell>
          <cell r="B102" t="str">
            <v>白米</v>
          </cell>
          <cell r="C102">
            <v>70</v>
          </cell>
          <cell r="D102">
            <v>2128</v>
          </cell>
        </row>
        <row r="103">
          <cell r="A103">
            <v>35457</v>
          </cell>
          <cell r="B103" t="str">
            <v>白米</v>
          </cell>
          <cell r="C103">
            <v>5</v>
          </cell>
          <cell r="D103">
            <v>152</v>
          </cell>
        </row>
        <row r="104">
          <cell r="A104">
            <v>35460</v>
          </cell>
          <cell r="B104" t="str">
            <v>白米</v>
          </cell>
          <cell r="C104">
            <v>30</v>
          </cell>
          <cell r="D104">
            <v>912</v>
          </cell>
        </row>
        <row r="105">
          <cell r="A105">
            <v>35464</v>
          </cell>
          <cell r="B105" t="str">
            <v>白米</v>
          </cell>
          <cell r="C105">
            <v>28</v>
          </cell>
          <cell r="D105">
            <v>851.2</v>
          </cell>
        </row>
        <row r="106">
          <cell r="A106">
            <v>35466</v>
          </cell>
          <cell r="B106" t="str">
            <v>白米</v>
          </cell>
          <cell r="C106">
            <v>40</v>
          </cell>
          <cell r="D106">
            <v>1216</v>
          </cell>
        </row>
        <row r="107">
          <cell r="A107">
            <v>35487</v>
          </cell>
          <cell r="B107" t="str">
            <v>白米</v>
          </cell>
          <cell r="C107">
            <v>15</v>
          </cell>
          <cell r="D107">
            <v>456</v>
          </cell>
        </row>
        <row r="108">
          <cell r="A108">
            <v>35493</v>
          </cell>
          <cell r="B108" t="str">
            <v>白米</v>
          </cell>
          <cell r="C108">
            <v>30</v>
          </cell>
          <cell r="D108">
            <v>912</v>
          </cell>
        </row>
        <row r="109">
          <cell r="A109">
            <v>35500</v>
          </cell>
          <cell r="B109" t="str">
            <v>白米</v>
          </cell>
          <cell r="C109">
            <v>20</v>
          </cell>
          <cell r="D109">
            <v>608</v>
          </cell>
        </row>
        <row r="110">
          <cell r="A110">
            <v>35522</v>
          </cell>
          <cell r="B110" t="str">
            <v>白米</v>
          </cell>
          <cell r="C110">
            <v>30</v>
          </cell>
          <cell r="D110">
            <v>912</v>
          </cell>
        </row>
        <row r="111">
          <cell r="A111">
            <v>35524</v>
          </cell>
          <cell r="B111" t="str">
            <v>白米</v>
          </cell>
          <cell r="C111">
            <v>14</v>
          </cell>
          <cell r="D111">
            <v>425.6</v>
          </cell>
        </row>
        <row r="112">
          <cell r="A112">
            <v>35542</v>
          </cell>
          <cell r="B112" t="str">
            <v>白米</v>
          </cell>
          <cell r="C112">
            <v>70</v>
          </cell>
          <cell r="D112">
            <v>2660</v>
          </cell>
        </row>
        <row r="113">
          <cell r="A113">
            <v>35548</v>
          </cell>
          <cell r="B113" t="str">
            <v>白米</v>
          </cell>
          <cell r="C113">
            <v>40</v>
          </cell>
          <cell r="D113">
            <v>1520</v>
          </cell>
        </row>
        <row r="114">
          <cell r="A114">
            <v>35555</v>
          </cell>
          <cell r="B114" t="str">
            <v>白米</v>
          </cell>
          <cell r="C114">
            <v>30</v>
          </cell>
          <cell r="D114">
            <v>1140</v>
          </cell>
        </row>
        <row r="115">
          <cell r="A115">
            <v>35583</v>
          </cell>
          <cell r="B115" t="str">
            <v>白米</v>
          </cell>
          <cell r="C115">
            <v>40</v>
          </cell>
          <cell r="D115">
            <v>1520</v>
          </cell>
        </row>
        <row r="116">
          <cell r="A116">
            <v>35598</v>
          </cell>
          <cell r="B116" t="str">
            <v>白米</v>
          </cell>
          <cell r="C116">
            <v>60</v>
          </cell>
          <cell r="D116">
            <v>2280</v>
          </cell>
        </row>
        <row r="117">
          <cell r="A117">
            <v>35622</v>
          </cell>
          <cell r="B117" t="str">
            <v>白米</v>
          </cell>
          <cell r="C117">
            <v>5</v>
          </cell>
          <cell r="D117">
            <v>190</v>
          </cell>
        </row>
        <row r="118">
          <cell r="A118">
            <v>35634</v>
          </cell>
          <cell r="B118" t="str">
            <v>白米</v>
          </cell>
          <cell r="C118">
            <v>28</v>
          </cell>
          <cell r="D118">
            <v>1064</v>
          </cell>
        </row>
        <row r="119">
          <cell r="A119">
            <v>35642</v>
          </cell>
          <cell r="B119" t="str">
            <v>白米</v>
          </cell>
          <cell r="C119">
            <v>14</v>
          </cell>
          <cell r="D119">
            <v>532</v>
          </cell>
        </row>
        <row r="120">
          <cell r="A120">
            <v>35643</v>
          </cell>
          <cell r="B120" t="str">
            <v>白米</v>
          </cell>
          <cell r="C120">
            <v>20</v>
          </cell>
          <cell r="D120">
            <v>760</v>
          </cell>
        </row>
        <row r="121">
          <cell r="A121">
            <v>35661</v>
          </cell>
          <cell r="B121" t="str">
            <v>白米</v>
          </cell>
          <cell r="C121">
            <v>60</v>
          </cell>
          <cell r="D121">
            <v>2280</v>
          </cell>
        </row>
        <row r="122">
          <cell r="A122">
            <v>35677</v>
          </cell>
          <cell r="B122" t="str">
            <v>白米</v>
          </cell>
          <cell r="C122">
            <v>45</v>
          </cell>
          <cell r="D122">
            <v>1710</v>
          </cell>
        </row>
        <row r="123">
          <cell r="A123">
            <v>35683</v>
          </cell>
          <cell r="B123" t="str">
            <v>白米</v>
          </cell>
          <cell r="C123">
            <v>12</v>
          </cell>
          <cell r="D123">
            <v>456</v>
          </cell>
        </row>
        <row r="124">
          <cell r="A124">
            <v>35705</v>
          </cell>
          <cell r="B124" t="str">
            <v>白米</v>
          </cell>
          <cell r="C124">
            <v>20</v>
          </cell>
          <cell r="D124">
            <v>760</v>
          </cell>
        </row>
        <row r="125">
          <cell r="A125">
            <v>35724</v>
          </cell>
          <cell r="B125" t="str">
            <v>白米</v>
          </cell>
          <cell r="C125">
            <v>30</v>
          </cell>
          <cell r="D125">
            <v>1140</v>
          </cell>
        </row>
        <row r="126">
          <cell r="A126">
            <v>35725</v>
          </cell>
          <cell r="B126" t="str">
            <v>白米</v>
          </cell>
          <cell r="C126">
            <v>18</v>
          </cell>
          <cell r="D126">
            <v>684</v>
          </cell>
        </row>
        <row r="127">
          <cell r="A127">
            <v>35737</v>
          </cell>
          <cell r="B127" t="str">
            <v>白米</v>
          </cell>
          <cell r="C127">
            <v>10</v>
          </cell>
          <cell r="D127">
            <v>380</v>
          </cell>
        </row>
        <row r="128">
          <cell r="A128">
            <v>35747</v>
          </cell>
          <cell r="B128" t="str">
            <v>白米</v>
          </cell>
          <cell r="C128">
            <v>14</v>
          </cell>
          <cell r="D128">
            <v>532</v>
          </cell>
        </row>
        <row r="129">
          <cell r="A129">
            <v>35754</v>
          </cell>
          <cell r="B129" t="str">
            <v>白米</v>
          </cell>
          <cell r="C129">
            <v>28</v>
          </cell>
          <cell r="D129">
            <v>1064</v>
          </cell>
        </row>
        <row r="130">
          <cell r="A130">
            <v>35754</v>
          </cell>
          <cell r="B130" t="str">
            <v>白米</v>
          </cell>
          <cell r="C130">
            <v>15</v>
          </cell>
          <cell r="D130">
            <v>570</v>
          </cell>
        </row>
        <row r="131">
          <cell r="A131">
            <v>35760</v>
          </cell>
          <cell r="B131" t="str">
            <v>白米</v>
          </cell>
          <cell r="C131">
            <v>30</v>
          </cell>
          <cell r="D131">
            <v>1140</v>
          </cell>
        </row>
        <row r="132">
          <cell r="A132">
            <v>35766</v>
          </cell>
          <cell r="B132" t="str">
            <v>白米</v>
          </cell>
          <cell r="C132">
            <v>60</v>
          </cell>
          <cell r="D132">
            <v>2280</v>
          </cell>
        </row>
        <row r="133">
          <cell r="A133">
            <v>35781</v>
          </cell>
          <cell r="B133" t="str">
            <v>白米</v>
          </cell>
          <cell r="C133">
            <v>20</v>
          </cell>
          <cell r="D133">
            <v>760</v>
          </cell>
        </row>
        <row r="134">
          <cell r="A134">
            <v>35786</v>
          </cell>
          <cell r="B134" t="str">
            <v>白米</v>
          </cell>
          <cell r="C134">
            <v>20</v>
          </cell>
          <cell r="D134">
            <v>760</v>
          </cell>
        </row>
        <row r="135">
          <cell r="A135">
            <v>35796</v>
          </cell>
          <cell r="B135" t="str">
            <v>白米</v>
          </cell>
          <cell r="C135">
            <v>20</v>
          </cell>
          <cell r="D135">
            <v>760</v>
          </cell>
        </row>
        <row r="136">
          <cell r="A136">
            <v>35802</v>
          </cell>
          <cell r="B136" t="str">
            <v>白米</v>
          </cell>
          <cell r="C136">
            <v>30</v>
          </cell>
          <cell r="D136">
            <v>1140</v>
          </cell>
        </row>
        <row r="137">
          <cell r="A137">
            <v>35815</v>
          </cell>
          <cell r="B137" t="str">
            <v>白米</v>
          </cell>
          <cell r="C137">
            <v>30</v>
          </cell>
          <cell r="D137">
            <v>1140</v>
          </cell>
        </row>
        <row r="138">
          <cell r="A138">
            <v>35822</v>
          </cell>
          <cell r="B138" t="str">
            <v>白米</v>
          </cell>
          <cell r="C138">
            <v>24</v>
          </cell>
          <cell r="D138">
            <v>912</v>
          </cell>
        </row>
        <row r="139">
          <cell r="A139">
            <v>35838</v>
          </cell>
          <cell r="B139" t="str">
            <v>白米</v>
          </cell>
          <cell r="C139">
            <v>21</v>
          </cell>
          <cell r="D139">
            <v>798</v>
          </cell>
        </row>
        <row r="140">
          <cell r="A140">
            <v>35845</v>
          </cell>
          <cell r="B140" t="str">
            <v>白米</v>
          </cell>
          <cell r="C140">
            <v>16</v>
          </cell>
          <cell r="D140">
            <v>608</v>
          </cell>
        </row>
        <row r="141">
          <cell r="A141">
            <v>35866</v>
          </cell>
          <cell r="B141" t="str">
            <v>白米</v>
          </cell>
          <cell r="C141">
            <v>18</v>
          </cell>
          <cell r="D141">
            <v>684</v>
          </cell>
        </row>
        <row r="142">
          <cell r="A142">
            <v>35870</v>
          </cell>
          <cell r="B142" t="str">
            <v>白米</v>
          </cell>
          <cell r="C142">
            <v>1</v>
          </cell>
          <cell r="D142">
            <v>38</v>
          </cell>
        </row>
        <row r="143">
          <cell r="A143">
            <v>35874</v>
          </cell>
          <cell r="B143" t="str">
            <v>白米</v>
          </cell>
          <cell r="C143">
            <v>12</v>
          </cell>
          <cell r="D143">
            <v>456</v>
          </cell>
        </row>
        <row r="144">
          <cell r="A144">
            <v>35898</v>
          </cell>
          <cell r="B144" t="str">
            <v>白米</v>
          </cell>
          <cell r="C144">
            <v>5</v>
          </cell>
          <cell r="D144">
            <v>190</v>
          </cell>
        </row>
        <row r="145">
          <cell r="A145">
            <v>35901</v>
          </cell>
          <cell r="B145" t="str">
            <v>白米</v>
          </cell>
          <cell r="C145">
            <v>20</v>
          </cell>
          <cell r="D145">
            <v>760</v>
          </cell>
        </row>
        <row r="146">
          <cell r="A146">
            <v>35254</v>
          </cell>
          <cell r="B146" t="str">
            <v>小米</v>
          </cell>
          <cell r="C146">
            <v>15</v>
          </cell>
          <cell r="D146">
            <v>234</v>
          </cell>
        </row>
        <row r="147">
          <cell r="A147">
            <v>35265</v>
          </cell>
          <cell r="B147" t="str">
            <v>小米</v>
          </cell>
          <cell r="C147">
            <v>50</v>
          </cell>
          <cell r="D147">
            <v>780</v>
          </cell>
        </row>
        <row r="148">
          <cell r="A148">
            <v>35292</v>
          </cell>
          <cell r="B148" t="str">
            <v>小米</v>
          </cell>
          <cell r="C148">
            <v>2</v>
          </cell>
          <cell r="D148">
            <v>31.2</v>
          </cell>
        </row>
        <row r="149">
          <cell r="A149">
            <v>35348</v>
          </cell>
          <cell r="B149" t="str">
            <v>小米</v>
          </cell>
          <cell r="C149">
            <v>16</v>
          </cell>
          <cell r="D149">
            <v>249.6</v>
          </cell>
        </row>
        <row r="150">
          <cell r="A150">
            <v>35384</v>
          </cell>
          <cell r="B150" t="str">
            <v>小米</v>
          </cell>
          <cell r="C150">
            <v>25</v>
          </cell>
          <cell r="D150">
            <v>390</v>
          </cell>
        </row>
        <row r="151">
          <cell r="A151">
            <v>35398</v>
          </cell>
          <cell r="B151" t="str">
            <v>小米</v>
          </cell>
          <cell r="C151">
            <v>25</v>
          </cell>
          <cell r="D151">
            <v>390</v>
          </cell>
        </row>
        <row r="152">
          <cell r="A152">
            <v>35446</v>
          </cell>
          <cell r="B152" t="str">
            <v>小米</v>
          </cell>
          <cell r="C152">
            <v>20</v>
          </cell>
          <cell r="D152">
            <v>312</v>
          </cell>
        </row>
        <row r="153">
          <cell r="A153">
            <v>35467</v>
          </cell>
          <cell r="B153" t="str">
            <v>小米</v>
          </cell>
          <cell r="C153">
            <v>15</v>
          </cell>
          <cell r="D153">
            <v>234</v>
          </cell>
        </row>
        <row r="154">
          <cell r="A154">
            <v>35563</v>
          </cell>
          <cell r="B154" t="str">
            <v>小米</v>
          </cell>
          <cell r="C154">
            <v>5</v>
          </cell>
          <cell r="D154">
            <v>97.5</v>
          </cell>
        </row>
        <row r="155">
          <cell r="A155">
            <v>35605</v>
          </cell>
          <cell r="B155" t="str">
            <v>小米</v>
          </cell>
          <cell r="C155">
            <v>6</v>
          </cell>
          <cell r="D155">
            <v>117</v>
          </cell>
        </row>
        <row r="156">
          <cell r="A156">
            <v>35608</v>
          </cell>
          <cell r="B156" t="str">
            <v>小米</v>
          </cell>
          <cell r="C156">
            <v>4</v>
          </cell>
          <cell r="D156">
            <v>78</v>
          </cell>
        </row>
        <row r="157">
          <cell r="A157">
            <v>35622</v>
          </cell>
          <cell r="B157" t="str">
            <v>小米</v>
          </cell>
          <cell r="C157">
            <v>20</v>
          </cell>
          <cell r="D157">
            <v>390</v>
          </cell>
        </row>
        <row r="158">
          <cell r="A158">
            <v>35719</v>
          </cell>
          <cell r="B158" t="str">
            <v>小米</v>
          </cell>
          <cell r="C158">
            <v>40</v>
          </cell>
          <cell r="D158">
            <v>780</v>
          </cell>
        </row>
        <row r="159">
          <cell r="A159">
            <v>35760</v>
          </cell>
          <cell r="B159" t="str">
            <v>小米</v>
          </cell>
          <cell r="C159">
            <v>14</v>
          </cell>
          <cell r="D159">
            <v>273</v>
          </cell>
        </row>
        <row r="160">
          <cell r="A160">
            <v>35804</v>
          </cell>
          <cell r="B160" t="str">
            <v>小米</v>
          </cell>
          <cell r="C160">
            <v>15</v>
          </cell>
          <cell r="D160">
            <v>292.5</v>
          </cell>
        </row>
        <row r="161">
          <cell r="A161">
            <v>35807</v>
          </cell>
          <cell r="B161" t="str">
            <v>小米</v>
          </cell>
          <cell r="C161">
            <v>15</v>
          </cell>
          <cell r="D161">
            <v>292.5</v>
          </cell>
        </row>
        <row r="162">
          <cell r="A162">
            <v>35811</v>
          </cell>
          <cell r="B162" t="str">
            <v>小米</v>
          </cell>
          <cell r="C162">
            <v>24</v>
          </cell>
          <cell r="D162">
            <v>468</v>
          </cell>
        </row>
        <row r="163">
          <cell r="A163">
            <v>35821</v>
          </cell>
          <cell r="B163" t="str">
            <v>小米</v>
          </cell>
          <cell r="C163">
            <v>10</v>
          </cell>
          <cell r="D163">
            <v>195</v>
          </cell>
        </row>
        <row r="164">
          <cell r="A164">
            <v>35853</v>
          </cell>
          <cell r="B164" t="str">
            <v>小米</v>
          </cell>
          <cell r="C164">
            <v>20</v>
          </cell>
          <cell r="D164">
            <v>390</v>
          </cell>
        </row>
        <row r="165">
          <cell r="A165">
            <v>35860</v>
          </cell>
          <cell r="B165" t="str">
            <v>小米</v>
          </cell>
          <cell r="C165">
            <v>30</v>
          </cell>
          <cell r="D165">
            <v>585</v>
          </cell>
        </row>
        <row r="166">
          <cell r="A166">
            <v>35881</v>
          </cell>
          <cell r="B166" t="str">
            <v>小米</v>
          </cell>
          <cell r="C166">
            <v>15</v>
          </cell>
          <cell r="D166">
            <v>292.5</v>
          </cell>
        </row>
        <row r="167">
          <cell r="A167">
            <v>35906</v>
          </cell>
          <cell r="B167" t="str">
            <v>小米</v>
          </cell>
          <cell r="C167">
            <v>28</v>
          </cell>
          <cell r="D167">
            <v>546</v>
          </cell>
        </row>
        <row r="168">
          <cell r="A168">
            <v>35913</v>
          </cell>
          <cell r="B168" t="str">
            <v>小米</v>
          </cell>
          <cell r="C168">
            <v>20</v>
          </cell>
          <cell r="D168">
            <v>390</v>
          </cell>
        </row>
        <row r="169">
          <cell r="A169">
            <v>35303</v>
          </cell>
          <cell r="B169" t="str">
            <v>黄豆</v>
          </cell>
          <cell r="C169">
            <v>9</v>
          </cell>
          <cell r="D169">
            <v>239.4</v>
          </cell>
        </row>
        <row r="170">
          <cell r="A170">
            <v>35369</v>
          </cell>
          <cell r="B170" t="str">
            <v>黄豆</v>
          </cell>
          <cell r="C170">
            <v>50</v>
          </cell>
          <cell r="D170">
            <v>1330</v>
          </cell>
        </row>
        <row r="171">
          <cell r="A171">
            <v>35398</v>
          </cell>
          <cell r="B171" t="str">
            <v>黄豆</v>
          </cell>
          <cell r="C171">
            <v>35</v>
          </cell>
          <cell r="D171">
            <v>931</v>
          </cell>
        </row>
        <row r="172">
          <cell r="A172">
            <v>35402</v>
          </cell>
          <cell r="B172" t="str">
            <v>黄豆</v>
          </cell>
          <cell r="C172">
            <v>30</v>
          </cell>
          <cell r="D172">
            <v>798</v>
          </cell>
        </row>
        <row r="173">
          <cell r="A173">
            <v>35457</v>
          </cell>
          <cell r="B173" t="str">
            <v>黄豆</v>
          </cell>
          <cell r="C173">
            <v>7</v>
          </cell>
          <cell r="D173">
            <v>186.2</v>
          </cell>
        </row>
        <row r="174">
          <cell r="A174">
            <v>35466</v>
          </cell>
          <cell r="B174" t="str">
            <v>黄豆</v>
          </cell>
          <cell r="C174">
            <v>30</v>
          </cell>
          <cell r="D174">
            <v>798</v>
          </cell>
        </row>
        <row r="175">
          <cell r="A175">
            <v>35468</v>
          </cell>
          <cell r="B175" t="str">
            <v>黄豆</v>
          </cell>
          <cell r="C175">
            <v>6</v>
          </cell>
          <cell r="D175">
            <v>159.6</v>
          </cell>
        </row>
        <row r="176">
          <cell r="A176">
            <v>35480</v>
          </cell>
          <cell r="B176" t="str">
            <v>黄豆</v>
          </cell>
          <cell r="C176">
            <v>35</v>
          </cell>
          <cell r="D176">
            <v>931</v>
          </cell>
        </row>
        <row r="177">
          <cell r="A177">
            <v>35500</v>
          </cell>
          <cell r="B177" t="str">
            <v>黄豆</v>
          </cell>
          <cell r="C177">
            <v>8</v>
          </cell>
          <cell r="D177">
            <v>212.8</v>
          </cell>
        </row>
        <row r="178">
          <cell r="A178">
            <v>35508</v>
          </cell>
          <cell r="B178" t="str">
            <v>黄豆</v>
          </cell>
          <cell r="C178">
            <v>30</v>
          </cell>
          <cell r="D178">
            <v>798</v>
          </cell>
        </row>
        <row r="179">
          <cell r="A179">
            <v>35584</v>
          </cell>
          <cell r="B179" t="str">
            <v>黄豆</v>
          </cell>
          <cell r="C179">
            <v>30</v>
          </cell>
          <cell r="D179">
            <v>997.5</v>
          </cell>
        </row>
        <row r="180">
          <cell r="A180">
            <v>35592</v>
          </cell>
          <cell r="B180" t="str">
            <v>黄豆</v>
          </cell>
          <cell r="C180">
            <v>18</v>
          </cell>
          <cell r="D180">
            <v>598.5</v>
          </cell>
        </row>
        <row r="181">
          <cell r="A181">
            <v>35600</v>
          </cell>
          <cell r="B181" t="str">
            <v>黄豆</v>
          </cell>
          <cell r="C181">
            <v>6</v>
          </cell>
          <cell r="D181">
            <v>199.5</v>
          </cell>
        </row>
        <row r="182">
          <cell r="A182">
            <v>35654</v>
          </cell>
          <cell r="B182" t="str">
            <v>黄豆</v>
          </cell>
          <cell r="C182">
            <v>9</v>
          </cell>
          <cell r="D182">
            <v>299.25</v>
          </cell>
        </row>
        <row r="183">
          <cell r="A183">
            <v>35688</v>
          </cell>
          <cell r="B183" t="str">
            <v>黄豆</v>
          </cell>
          <cell r="C183">
            <v>15</v>
          </cell>
          <cell r="D183">
            <v>498.75</v>
          </cell>
        </row>
        <row r="184">
          <cell r="A184">
            <v>35698</v>
          </cell>
          <cell r="B184" t="str">
            <v>黄豆</v>
          </cell>
          <cell r="C184">
            <v>28</v>
          </cell>
          <cell r="D184">
            <v>931</v>
          </cell>
        </row>
        <row r="185">
          <cell r="A185">
            <v>35761</v>
          </cell>
          <cell r="B185" t="str">
            <v>黄豆</v>
          </cell>
          <cell r="C185">
            <v>24</v>
          </cell>
          <cell r="D185">
            <v>798</v>
          </cell>
        </row>
        <row r="186">
          <cell r="A186">
            <v>35789</v>
          </cell>
          <cell r="B186" t="str">
            <v>黄豆</v>
          </cell>
          <cell r="C186">
            <v>35</v>
          </cell>
          <cell r="D186">
            <v>1163.75</v>
          </cell>
        </row>
        <row r="187">
          <cell r="A187">
            <v>35809</v>
          </cell>
          <cell r="B187" t="str">
            <v>黄豆</v>
          </cell>
          <cell r="C187">
            <v>3</v>
          </cell>
          <cell r="D187">
            <v>99.75</v>
          </cell>
        </row>
        <row r="188">
          <cell r="A188">
            <v>35811</v>
          </cell>
          <cell r="B188" t="str">
            <v>黄豆</v>
          </cell>
          <cell r="C188">
            <v>30</v>
          </cell>
          <cell r="D188">
            <v>997.5</v>
          </cell>
        </row>
        <row r="189">
          <cell r="A189">
            <v>35816</v>
          </cell>
          <cell r="B189" t="str">
            <v>黄豆</v>
          </cell>
          <cell r="C189">
            <v>48</v>
          </cell>
          <cell r="D189">
            <v>1596</v>
          </cell>
        </row>
        <row r="190">
          <cell r="A190">
            <v>35824</v>
          </cell>
          <cell r="B190" t="str">
            <v>黄豆</v>
          </cell>
          <cell r="C190">
            <v>30</v>
          </cell>
          <cell r="D190">
            <v>997.5</v>
          </cell>
        </row>
        <row r="191">
          <cell r="A191">
            <v>35831</v>
          </cell>
          <cell r="B191" t="str">
            <v>黄豆</v>
          </cell>
          <cell r="C191">
            <v>15</v>
          </cell>
          <cell r="D191">
            <v>498.75</v>
          </cell>
        </row>
        <row r="192">
          <cell r="A192">
            <v>35835</v>
          </cell>
          <cell r="B192" t="str">
            <v>黄豆</v>
          </cell>
          <cell r="C192">
            <v>20</v>
          </cell>
          <cell r="D192">
            <v>665</v>
          </cell>
        </row>
        <row r="193">
          <cell r="A193">
            <v>35872</v>
          </cell>
          <cell r="B193" t="str">
            <v>黄豆</v>
          </cell>
          <cell r="C193">
            <v>8</v>
          </cell>
          <cell r="D193">
            <v>266</v>
          </cell>
        </row>
        <row r="194">
          <cell r="A194">
            <v>35877</v>
          </cell>
          <cell r="B194" t="str">
            <v>黄豆</v>
          </cell>
          <cell r="C194">
            <v>4</v>
          </cell>
          <cell r="D194">
            <v>133</v>
          </cell>
        </row>
        <row r="195">
          <cell r="A195">
            <v>35902</v>
          </cell>
          <cell r="B195" t="str">
            <v>黄豆</v>
          </cell>
          <cell r="C195">
            <v>20</v>
          </cell>
          <cell r="D195">
            <v>665</v>
          </cell>
        </row>
        <row r="196">
          <cell r="A196">
            <v>35912</v>
          </cell>
          <cell r="B196" t="str">
            <v>黄豆</v>
          </cell>
          <cell r="C196">
            <v>25</v>
          </cell>
          <cell r="D196">
            <v>831.25</v>
          </cell>
        </row>
        <row r="197">
          <cell r="A197">
            <v>35920</v>
          </cell>
          <cell r="B197" t="str">
            <v>黄豆</v>
          </cell>
          <cell r="C197">
            <v>130</v>
          </cell>
          <cell r="D197">
            <v>4322.5</v>
          </cell>
        </row>
        <row r="198">
          <cell r="A198">
            <v>35921</v>
          </cell>
          <cell r="B198" t="str">
            <v>黄豆</v>
          </cell>
          <cell r="C198">
            <v>2</v>
          </cell>
          <cell r="D198">
            <v>66.5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2题答案"/>
      <sheetName val="第3题"/>
      <sheetName val="第3题答案"/>
      <sheetName val="第4题"/>
      <sheetName val="第4题答案"/>
      <sheetName val="第5题"/>
      <sheetName val="第6题"/>
      <sheetName val="第6题答案"/>
      <sheetName val="第7题"/>
      <sheetName val="第7题解答"/>
      <sheetName val="第8题"/>
      <sheetName val="第8题答案"/>
      <sheetName val="第9题"/>
      <sheetName val="第9题解答"/>
    </sheetNames>
    <sheetDataSet>
      <sheetData sheetId="0"/>
      <sheetData sheetId="1">
        <row r="1">
          <cell r="A1" t="str">
            <v>订购日期</v>
          </cell>
          <cell r="B1" t="str">
            <v>产品名称</v>
          </cell>
          <cell r="C1" t="str">
            <v>销售数量</v>
          </cell>
          <cell r="D1" t="str">
            <v>销售金额</v>
          </cell>
        </row>
        <row r="2">
          <cell r="A2">
            <v>35254</v>
          </cell>
          <cell r="B2" t="str">
            <v>糯米</v>
          </cell>
          <cell r="C2">
            <v>6</v>
          </cell>
          <cell r="D2">
            <v>100.8</v>
          </cell>
        </row>
        <row r="3">
          <cell r="A3">
            <v>35465</v>
          </cell>
          <cell r="B3" t="str">
            <v>糯米</v>
          </cell>
          <cell r="C3">
            <v>12</v>
          </cell>
          <cell r="D3">
            <v>201.6</v>
          </cell>
        </row>
        <row r="4">
          <cell r="A4">
            <v>35580</v>
          </cell>
          <cell r="B4" t="str">
            <v>糯米</v>
          </cell>
          <cell r="C4">
            <v>24</v>
          </cell>
          <cell r="D4">
            <v>504</v>
          </cell>
        </row>
        <row r="5">
          <cell r="A5">
            <v>35629</v>
          </cell>
          <cell r="B5" t="str">
            <v>糯米</v>
          </cell>
          <cell r="C5">
            <v>48</v>
          </cell>
          <cell r="D5">
            <v>1008</v>
          </cell>
        </row>
        <row r="6">
          <cell r="A6">
            <v>35646</v>
          </cell>
          <cell r="B6" t="str">
            <v>糯米</v>
          </cell>
          <cell r="C6">
            <v>40</v>
          </cell>
          <cell r="D6">
            <v>840</v>
          </cell>
        </row>
        <row r="7">
          <cell r="A7">
            <v>35660</v>
          </cell>
          <cell r="B7" t="str">
            <v>糯米</v>
          </cell>
          <cell r="C7">
            <v>40</v>
          </cell>
          <cell r="D7">
            <v>840</v>
          </cell>
        </row>
        <row r="8">
          <cell r="A8">
            <v>35670</v>
          </cell>
          <cell r="B8" t="str">
            <v>糯米</v>
          </cell>
          <cell r="C8">
            <v>15</v>
          </cell>
          <cell r="D8">
            <v>315</v>
          </cell>
        </row>
        <row r="9">
          <cell r="A9">
            <v>35674</v>
          </cell>
          <cell r="B9" t="str">
            <v>糯米</v>
          </cell>
          <cell r="C9">
            <v>20</v>
          </cell>
          <cell r="D9">
            <v>420</v>
          </cell>
        </row>
        <row r="10">
          <cell r="A10">
            <v>35767</v>
          </cell>
          <cell r="B10" t="str">
            <v>糯米</v>
          </cell>
          <cell r="C10">
            <v>6</v>
          </cell>
          <cell r="D10">
            <v>126</v>
          </cell>
        </row>
        <row r="11">
          <cell r="A11">
            <v>35772</v>
          </cell>
          <cell r="B11" t="str">
            <v>糯米</v>
          </cell>
          <cell r="C11">
            <v>4</v>
          </cell>
          <cell r="D11">
            <v>84</v>
          </cell>
        </row>
        <row r="12">
          <cell r="A12">
            <v>35811</v>
          </cell>
          <cell r="B12" t="str">
            <v>糯米</v>
          </cell>
          <cell r="C12">
            <v>52</v>
          </cell>
          <cell r="D12">
            <v>1092</v>
          </cell>
        </row>
        <row r="13">
          <cell r="A13">
            <v>35816</v>
          </cell>
          <cell r="B13" t="str">
            <v>糯米</v>
          </cell>
          <cell r="C13">
            <v>35</v>
          </cell>
          <cell r="D13">
            <v>735</v>
          </cell>
        </row>
        <row r="14">
          <cell r="A14">
            <v>35865</v>
          </cell>
          <cell r="B14" t="str">
            <v>糯米</v>
          </cell>
          <cell r="C14">
            <v>21</v>
          </cell>
          <cell r="D14">
            <v>441</v>
          </cell>
        </row>
        <row r="15">
          <cell r="A15">
            <v>35891</v>
          </cell>
          <cell r="B15" t="str">
            <v>糯米</v>
          </cell>
          <cell r="C15">
            <v>25</v>
          </cell>
          <cell r="D15">
            <v>525</v>
          </cell>
        </row>
        <row r="16">
          <cell r="A16">
            <v>35362</v>
          </cell>
          <cell r="B16" t="str">
            <v>燕麦</v>
          </cell>
          <cell r="C16">
            <v>40</v>
          </cell>
          <cell r="D16">
            <v>288</v>
          </cell>
        </row>
        <row r="17">
          <cell r="A17">
            <v>35376</v>
          </cell>
          <cell r="B17" t="str">
            <v>燕麦</v>
          </cell>
          <cell r="C17">
            <v>25</v>
          </cell>
          <cell r="D17">
            <v>180</v>
          </cell>
        </row>
        <row r="18">
          <cell r="A18">
            <v>35426</v>
          </cell>
          <cell r="B18" t="str">
            <v>燕麦</v>
          </cell>
          <cell r="C18">
            <v>40</v>
          </cell>
          <cell r="D18">
            <v>288</v>
          </cell>
        </row>
        <row r="19">
          <cell r="A19">
            <v>35432</v>
          </cell>
          <cell r="B19" t="str">
            <v>燕麦</v>
          </cell>
          <cell r="C19">
            <v>60</v>
          </cell>
          <cell r="D19">
            <v>432</v>
          </cell>
        </row>
        <row r="20">
          <cell r="A20">
            <v>35492</v>
          </cell>
          <cell r="B20" t="str">
            <v>燕麦</v>
          </cell>
          <cell r="C20">
            <v>21</v>
          </cell>
          <cell r="D20">
            <v>151.19999999999999</v>
          </cell>
        </row>
        <row r="21">
          <cell r="A21">
            <v>35500</v>
          </cell>
          <cell r="B21" t="str">
            <v>燕麦</v>
          </cell>
          <cell r="C21">
            <v>15</v>
          </cell>
          <cell r="D21">
            <v>108</v>
          </cell>
        </row>
        <row r="22">
          <cell r="A22">
            <v>35523</v>
          </cell>
          <cell r="B22" t="str">
            <v>燕麦</v>
          </cell>
          <cell r="C22">
            <v>10</v>
          </cell>
          <cell r="D22">
            <v>72</v>
          </cell>
        </row>
        <row r="23">
          <cell r="A23">
            <v>35571</v>
          </cell>
          <cell r="B23" t="str">
            <v>燕麦</v>
          </cell>
          <cell r="C23">
            <v>70</v>
          </cell>
          <cell r="D23">
            <v>630</v>
          </cell>
        </row>
        <row r="24">
          <cell r="A24">
            <v>35580</v>
          </cell>
          <cell r="B24" t="str">
            <v>燕麦</v>
          </cell>
          <cell r="C24">
            <v>20</v>
          </cell>
          <cell r="D24">
            <v>180</v>
          </cell>
        </row>
        <row r="25">
          <cell r="A25">
            <v>35647</v>
          </cell>
          <cell r="B25" t="str">
            <v>燕麦</v>
          </cell>
          <cell r="C25">
            <v>10</v>
          </cell>
          <cell r="D25">
            <v>90</v>
          </cell>
        </row>
        <row r="26">
          <cell r="A26">
            <v>35689</v>
          </cell>
          <cell r="B26" t="str">
            <v>燕麦</v>
          </cell>
          <cell r="C26">
            <v>32</v>
          </cell>
          <cell r="D26">
            <v>288</v>
          </cell>
        </row>
        <row r="27">
          <cell r="A27">
            <v>35691</v>
          </cell>
          <cell r="B27" t="str">
            <v>燕麦</v>
          </cell>
          <cell r="C27">
            <v>5</v>
          </cell>
          <cell r="D27">
            <v>45</v>
          </cell>
        </row>
        <row r="28">
          <cell r="A28">
            <v>35754</v>
          </cell>
          <cell r="B28" t="str">
            <v>燕麦</v>
          </cell>
          <cell r="C28">
            <v>44</v>
          </cell>
          <cell r="D28">
            <v>396</v>
          </cell>
        </row>
        <row r="29">
          <cell r="A29">
            <v>35797</v>
          </cell>
          <cell r="B29" t="str">
            <v>燕麦</v>
          </cell>
          <cell r="C29">
            <v>18</v>
          </cell>
          <cell r="D29">
            <v>162</v>
          </cell>
        </row>
        <row r="30">
          <cell r="A30">
            <v>35816</v>
          </cell>
          <cell r="B30" t="str">
            <v>燕麦</v>
          </cell>
          <cell r="C30">
            <v>70</v>
          </cell>
          <cell r="D30">
            <v>630</v>
          </cell>
        </row>
        <row r="31">
          <cell r="A31">
            <v>35830</v>
          </cell>
          <cell r="B31" t="str">
            <v>燕麦</v>
          </cell>
          <cell r="C31">
            <v>50</v>
          </cell>
          <cell r="D31">
            <v>450</v>
          </cell>
        </row>
        <row r="32">
          <cell r="A32">
            <v>35836</v>
          </cell>
          <cell r="B32" t="str">
            <v>燕麦</v>
          </cell>
          <cell r="C32">
            <v>30</v>
          </cell>
          <cell r="D32">
            <v>270</v>
          </cell>
        </row>
        <row r="33">
          <cell r="A33">
            <v>35863</v>
          </cell>
          <cell r="B33" t="str">
            <v>燕麦</v>
          </cell>
          <cell r="C33">
            <v>8</v>
          </cell>
          <cell r="D33">
            <v>72</v>
          </cell>
        </row>
        <row r="34">
          <cell r="A34">
            <v>35894</v>
          </cell>
          <cell r="B34" t="str">
            <v>燕麦</v>
          </cell>
          <cell r="C34">
            <v>10</v>
          </cell>
          <cell r="D34">
            <v>90</v>
          </cell>
        </row>
        <row r="35">
          <cell r="A35">
            <v>35921</v>
          </cell>
          <cell r="B35" t="str">
            <v>燕麦</v>
          </cell>
          <cell r="C35">
            <v>2</v>
          </cell>
          <cell r="D35">
            <v>18</v>
          </cell>
        </row>
        <row r="36">
          <cell r="A36">
            <v>35250</v>
          </cell>
          <cell r="B36" t="str">
            <v>糙米</v>
          </cell>
          <cell r="C36">
            <v>10</v>
          </cell>
          <cell r="D36">
            <v>98</v>
          </cell>
        </row>
        <row r="37">
          <cell r="A37">
            <v>35327</v>
          </cell>
          <cell r="B37" t="str">
            <v>糙米</v>
          </cell>
          <cell r="C37">
            <v>2</v>
          </cell>
          <cell r="D37">
            <v>22.4</v>
          </cell>
        </row>
        <row r="38">
          <cell r="A38">
            <v>35328</v>
          </cell>
          <cell r="B38" t="str">
            <v>糙米</v>
          </cell>
          <cell r="C38">
            <v>6</v>
          </cell>
          <cell r="D38">
            <v>67.2</v>
          </cell>
        </row>
        <row r="39">
          <cell r="A39">
            <v>35355</v>
          </cell>
          <cell r="B39" t="str">
            <v>糙米</v>
          </cell>
          <cell r="C39">
            <v>10</v>
          </cell>
          <cell r="D39">
            <v>112</v>
          </cell>
        </row>
        <row r="40">
          <cell r="A40">
            <v>35373</v>
          </cell>
          <cell r="B40" t="str">
            <v>糙米</v>
          </cell>
          <cell r="C40">
            <v>9</v>
          </cell>
          <cell r="D40">
            <v>100.8</v>
          </cell>
        </row>
        <row r="41">
          <cell r="A41">
            <v>35433</v>
          </cell>
          <cell r="B41" t="str">
            <v>糙米</v>
          </cell>
          <cell r="C41">
            <v>40</v>
          </cell>
          <cell r="D41">
            <v>448</v>
          </cell>
        </row>
        <row r="42">
          <cell r="A42">
            <v>35493</v>
          </cell>
          <cell r="B42" t="str">
            <v>糙米</v>
          </cell>
          <cell r="C42">
            <v>50</v>
          </cell>
          <cell r="D42">
            <v>560</v>
          </cell>
        </row>
        <row r="43">
          <cell r="A43">
            <v>35521</v>
          </cell>
          <cell r="B43" t="str">
            <v>糙米</v>
          </cell>
          <cell r="C43">
            <v>20</v>
          </cell>
          <cell r="D43">
            <v>224</v>
          </cell>
        </row>
        <row r="44">
          <cell r="A44">
            <v>35527</v>
          </cell>
          <cell r="B44" t="str">
            <v>糙米</v>
          </cell>
          <cell r="C44">
            <v>30</v>
          </cell>
          <cell r="D44">
            <v>420</v>
          </cell>
        </row>
        <row r="45">
          <cell r="A45">
            <v>35544</v>
          </cell>
          <cell r="B45" t="str">
            <v>糙米</v>
          </cell>
          <cell r="C45">
            <v>20</v>
          </cell>
          <cell r="D45">
            <v>280</v>
          </cell>
        </row>
        <row r="46">
          <cell r="A46">
            <v>35598</v>
          </cell>
          <cell r="B46" t="str">
            <v>糙米</v>
          </cell>
          <cell r="C46">
            <v>28</v>
          </cell>
          <cell r="D46">
            <v>392</v>
          </cell>
        </row>
        <row r="47">
          <cell r="A47">
            <v>35614</v>
          </cell>
          <cell r="B47" t="str">
            <v>糙米</v>
          </cell>
          <cell r="C47">
            <v>100</v>
          </cell>
          <cell r="D47">
            <v>1400</v>
          </cell>
        </row>
        <row r="48">
          <cell r="A48">
            <v>35650</v>
          </cell>
          <cell r="B48" t="str">
            <v>糙米</v>
          </cell>
          <cell r="C48">
            <v>5</v>
          </cell>
          <cell r="D48">
            <v>70</v>
          </cell>
        </row>
        <row r="49">
          <cell r="A49">
            <v>35674</v>
          </cell>
          <cell r="B49" t="str">
            <v>糙米</v>
          </cell>
          <cell r="C49">
            <v>20</v>
          </cell>
          <cell r="D49">
            <v>280</v>
          </cell>
        </row>
        <row r="50">
          <cell r="A50">
            <v>35683</v>
          </cell>
          <cell r="B50" t="str">
            <v>糙米</v>
          </cell>
          <cell r="C50">
            <v>30</v>
          </cell>
          <cell r="D50">
            <v>420</v>
          </cell>
        </row>
        <row r="51">
          <cell r="A51">
            <v>35691</v>
          </cell>
          <cell r="B51" t="str">
            <v>糙米</v>
          </cell>
          <cell r="C51">
            <v>6</v>
          </cell>
          <cell r="D51">
            <v>84</v>
          </cell>
        </row>
        <row r="52">
          <cell r="A52">
            <v>35697</v>
          </cell>
          <cell r="B52" t="str">
            <v>糙米</v>
          </cell>
          <cell r="C52">
            <v>40</v>
          </cell>
          <cell r="D52">
            <v>560</v>
          </cell>
        </row>
        <row r="53">
          <cell r="A53">
            <v>35753</v>
          </cell>
          <cell r="B53" t="str">
            <v>糙米</v>
          </cell>
          <cell r="C53">
            <v>28</v>
          </cell>
          <cell r="D53">
            <v>392</v>
          </cell>
        </row>
        <row r="54">
          <cell r="A54">
            <v>35769</v>
          </cell>
          <cell r="B54" t="str">
            <v>糙米</v>
          </cell>
          <cell r="C54">
            <v>2</v>
          </cell>
          <cell r="D54">
            <v>28</v>
          </cell>
        </row>
        <row r="55">
          <cell r="A55">
            <v>35779</v>
          </cell>
          <cell r="B55" t="str">
            <v>糙米</v>
          </cell>
          <cell r="C55">
            <v>12</v>
          </cell>
          <cell r="D55">
            <v>168</v>
          </cell>
        </row>
        <row r="56">
          <cell r="A56">
            <v>35779</v>
          </cell>
          <cell r="B56" t="str">
            <v>糙米</v>
          </cell>
          <cell r="C56">
            <v>20</v>
          </cell>
          <cell r="D56">
            <v>280</v>
          </cell>
        </row>
        <row r="57">
          <cell r="A57">
            <v>35816</v>
          </cell>
          <cell r="B57" t="str">
            <v>糙米</v>
          </cell>
          <cell r="C57">
            <v>42</v>
          </cell>
          <cell r="D57">
            <v>588</v>
          </cell>
        </row>
        <row r="58">
          <cell r="A58">
            <v>35823</v>
          </cell>
          <cell r="B58" t="str">
            <v>糙米</v>
          </cell>
          <cell r="C58">
            <v>20</v>
          </cell>
          <cell r="D58">
            <v>280</v>
          </cell>
        </row>
        <row r="59">
          <cell r="A59">
            <v>35837</v>
          </cell>
          <cell r="B59" t="str">
            <v>糙米</v>
          </cell>
          <cell r="C59">
            <v>25</v>
          </cell>
          <cell r="D59">
            <v>350</v>
          </cell>
        </row>
        <row r="60">
          <cell r="A60">
            <v>35857</v>
          </cell>
          <cell r="B60" t="str">
            <v>糙米</v>
          </cell>
          <cell r="C60">
            <v>10</v>
          </cell>
          <cell r="D60">
            <v>140</v>
          </cell>
        </row>
        <row r="61">
          <cell r="A61">
            <v>35887</v>
          </cell>
          <cell r="B61" t="str">
            <v>糙米</v>
          </cell>
          <cell r="C61">
            <v>40</v>
          </cell>
          <cell r="D61">
            <v>560</v>
          </cell>
        </row>
        <row r="62">
          <cell r="A62">
            <v>35891</v>
          </cell>
          <cell r="B62" t="str">
            <v>糙米</v>
          </cell>
          <cell r="C62">
            <v>24</v>
          </cell>
          <cell r="D62">
            <v>336</v>
          </cell>
        </row>
        <row r="63">
          <cell r="A63">
            <v>35893</v>
          </cell>
          <cell r="B63" t="str">
            <v>糙米</v>
          </cell>
          <cell r="C63">
            <v>14</v>
          </cell>
          <cell r="D63">
            <v>196</v>
          </cell>
        </row>
        <row r="64">
          <cell r="A64">
            <v>35894</v>
          </cell>
          <cell r="B64" t="str">
            <v>糙米</v>
          </cell>
          <cell r="C64">
            <v>4</v>
          </cell>
          <cell r="D64">
            <v>56</v>
          </cell>
        </row>
        <row r="65">
          <cell r="A65">
            <v>35905</v>
          </cell>
          <cell r="B65" t="str">
            <v>糙米</v>
          </cell>
          <cell r="C65">
            <v>30</v>
          </cell>
          <cell r="D65">
            <v>420</v>
          </cell>
        </row>
        <row r="66">
          <cell r="A66">
            <v>35342</v>
          </cell>
          <cell r="B66" t="str">
            <v>三合一麦片</v>
          </cell>
          <cell r="C66">
            <v>20</v>
          </cell>
          <cell r="D66">
            <v>112</v>
          </cell>
        </row>
        <row r="67">
          <cell r="A67">
            <v>35359</v>
          </cell>
          <cell r="B67" t="str">
            <v>三合一麦片</v>
          </cell>
          <cell r="C67">
            <v>8</v>
          </cell>
          <cell r="D67">
            <v>44.8</v>
          </cell>
        </row>
        <row r="68">
          <cell r="A68">
            <v>35418</v>
          </cell>
          <cell r="B68" t="str">
            <v>三合一麦片</v>
          </cell>
          <cell r="C68">
            <v>20</v>
          </cell>
          <cell r="D68">
            <v>112</v>
          </cell>
        </row>
        <row r="69">
          <cell r="A69">
            <v>35475</v>
          </cell>
          <cell r="B69" t="str">
            <v>三合一麦片</v>
          </cell>
          <cell r="C69">
            <v>15</v>
          </cell>
          <cell r="D69">
            <v>84</v>
          </cell>
        </row>
        <row r="70">
          <cell r="A70">
            <v>35479</v>
          </cell>
          <cell r="B70" t="str">
            <v>三合一麦片</v>
          </cell>
          <cell r="C70">
            <v>20</v>
          </cell>
          <cell r="D70">
            <v>112</v>
          </cell>
        </row>
        <row r="71">
          <cell r="A71">
            <v>35544</v>
          </cell>
          <cell r="B71" t="str">
            <v>三合一麦片</v>
          </cell>
          <cell r="C71">
            <v>6</v>
          </cell>
          <cell r="D71">
            <v>42</v>
          </cell>
        </row>
        <row r="72">
          <cell r="A72">
            <v>35585</v>
          </cell>
          <cell r="B72" t="str">
            <v>三合一麦片</v>
          </cell>
          <cell r="C72">
            <v>30</v>
          </cell>
          <cell r="D72">
            <v>210</v>
          </cell>
        </row>
        <row r="73">
          <cell r="A73">
            <v>35591</v>
          </cell>
          <cell r="B73" t="str">
            <v>三合一麦片</v>
          </cell>
          <cell r="C73">
            <v>70</v>
          </cell>
          <cell r="D73">
            <v>490</v>
          </cell>
        </row>
        <row r="74">
          <cell r="A74">
            <v>35613</v>
          </cell>
          <cell r="B74" t="str">
            <v>三合一麦片</v>
          </cell>
          <cell r="C74">
            <v>4</v>
          </cell>
          <cell r="D74">
            <v>28</v>
          </cell>
        </row>
        <row r="75">
          <cell r="A75">
            <v>35620</v>
          </cell>
          <cell r="B75" t="str">
            <v>三合一麦片</v>
          </cell>
          <cell r="C75">
            <v>24</v>
          </cell>
          <cell r="D75">
            <v>168</v>
          </cell>
        </row>
        <row r="76">
          <cell r="A76">
            <v>35647</v>
          </cell>
          <cell r="B76" t="str">
            <v>三合一麦片</v>
          </cell>
          <cell r="C76">
            <v>5</v>
          </cell>
          <cell r="D76">
            <v>35</v>
          </cell>
        </row>
        <row r="77">
          <cell r="A77">
            <v>35699</v>
          </cell>
          <cell r="B77" t="str">
            <v>三合一麦片</v>
          </cell>
          <cell r="C77">
            <v>9</v>
          </cell>
          <cell r="D77">
            <v>63</v>
          </cell>
        </row>
        <row r="78">
          <cell r="A78">
            <v>35734</v>
          </cell>
          <cell r="B78" t="str">
            <v>三合一麦片</v>
          </cell>
          <cell r="C78">
            <v>4</v>
          </cell>
          <cell r="D78">
            <v>28</v>
          </cell>
        </row>
        <row r="79">
          <cell r="A79">
            <v>35741</v>
          </cell>
          <cell r="B79" t="str">
            <v>三合一麦片</v>
          </cell>
          <cell r="C79">
            <v>25</v>
          </cell>
          <cell r="D79">
            <v>175</v>
          </cell>
        </row>
        <row r="80">
          <cell r="A80">
            <v>35746</v>
          </cell>
          <cell r="B80" t="str">
            <v>三合一麦片</v>
          </cell>
          <cell r="C80">
            <v>18</v>
          </cell>
          <cell r="D80">
            <v>126</v>
          </cell>
        </row>
        <row r="81">
          <cell r="A81">
            <v>35762</v>
          </cell>
          <cell r="B81" t="str">
            <v>三合一麦片</v>
          </cell>
          <cell r="C81">
            <v>60</v>
          </cell>
          <cell r="D81">
            <v>420</v>
          </cell>
        </row>
        <row r="82">
          <cell r="A82">
            <v>35772</v>
          </cell>
          <cell r="B82" t="str">
            <v>三合一麦片</v>
          </cell>
          <cell r="C82">
            <v>15</v>
          </cell>
          <cell r="D82">
            <v>105</v>
          </cell>
        </row>
        <row r="83">
          <cell r="A83">
            <v>35788</v>
          </cell>
          <cell r="B83" t="str">
            <v>三合一麦片</v>
          </cell>
          <cell r="C83">
            <v>8</v>
          </cell>
          <cell r="D83">
            <v>56</v>
          </cell>
        </row>
        <row r="84">
          <cell r="A84">
            <v>35796</v>
          </cell>
          <cell r="B84" t="str">
            <v>三合一麦片</v>
          </cell>
          <cell r="C84">
            <v>20</v>
          </cell>
          <cell r="D84">
            <v>140</v>
          </cell>
        </row>
        <row r="85">
          <cell r="A85">
            <v>35825</v>
          </cell>
          <cell r="B85" t="str">
            <v>三合一麦片</v>
          </cell>
          <cell r="C85">
            <v>8</v>
          </cell>
          <cell r="D85">
            <v>56</v>
          </cell>
        </row>
        <row r="86">
          <cell r="A86">
            <v>35852</v>
          </cell>
          <cell r="B86" t="str">
            <v>三合一麦片</v>
          </cell>
          <cell r="C86">
            <v>14</v>
          </cell>
          <cell r="D86">
            <v>98</v>
          </cell>
        </row>
        <row r="87">
          <cell r="A87">
            <v>35858</v>
          </cell>
          <cell r="B87" t="str">
            <v>三合一麦片</v>
          </cell>
          <cell r="C87">
            <v>12</v>
          </cell>
          <cell r="D87">
            <v>84</v>
          </cell>
        </row>
        <row r="88">
          <cell r="A88">
            <v>35859</v>
          </cell>
          <cell r="B88" t="str">
            <v>三合一麦片</v>
          </cell>
          <cell r="C88">
            <v>5</v>
          </cell>
          <cell r="D88">
            <v>35</v>
          </cell>
        </row>
        <row r="89">
          <cell r="A89">
            <v>35873</v>
          </cell>
          <cell r="B89" t="str">
            <v>三合一麦片</v>
          </cell>
          <cell r="C89">
            <v>6</v>
          </cell>
          <cell r="D89">
            <v>42</v>
          </cell>
        </row>
        <row r="90">
          <cell r="A90">
            <v>35878</v>
          </cell>
          <cell r="B90" t="str">
            <v>三合一麦片</v>
          </cell>
          <cell r="C90">
            <v>40</v>
          </cell>
          <cell r="D90">
            <v>280</v>
          </cell>
        </row>
        <row r="91">
          <cell r="A91">
            <v>35888</v>
          </cell>
          <cell r="B91" t="str">
            <v>三合一麦片</v>
          </cell>
          <cell r="C91">
            <v>20</v>
          </cell>
          <cell r="D91">
            <v>140</v>
          </cell>
        </row>
        <row r="92">
          <cell r="A92">
            <v>35891</v>
          </cell>
          <cell r="B92" t="str">
            <v>三合一麦片</v>
          </cell>
          <cell r="C92">
            <v>10</v>
          </cell>
          <cell r="D92">
            <v>70</v>
          </cell>
        </row>
        <row r="93">
          <cell r="A93">
            <v>35906</v>
          </cell>
          <cell r="B93" t="str">
            <v>三合一麦片</v>
          </cell>
          <cell r="C93">
            <v>2</v>
          </cell>
          <cell r="D93">
            <v>14</v>
          </cell>
        </row>
        <row r="94">
          <cell r="A94">
            <v>35921</v>
          </cell>
          <cell r="B94" t="str">
            <v>三合一麦片</v>
          </cell>
          <cell r="C94">
            <v>2</v>
          </cell>
          <cell r="D94">
            <v>14</v>
          </cell>
        </row>
        <row r="95">
          <cell r="A95">
            <v>35268</v>
          </cell>
          <cell r="B95" t="str">
            <v>白米</v>
          </cell>
          <cell r="C95">
            <v>2</v>
          </cell>
          <cell r="D95">
            <v>60.8</v>
          </cell>
        </row>
        <row r="96">
          <cell r="A96">
            <v>35310</v>
          </cell>
          <cell r="B96" t="str">
            <v>白米</v>
          </cell>
          <cell r="C96">
            <v>4</v>
          </cell>
          <cell r="D96">
            <v>121.6</v>
          </cell>
        </row>
        <row r="97">
          <cell r="A97">
            <v>35317</v>
          </cell>
          <cell r="B97" t="str">
            <v>白米</v>
          </cell>
          <cell r="C97">
            <v>20</v>
          </cell>
          <cell r="D97">
            <v>608</v>
          </cell>
        </row>
        <row r="98">
          <cell r="A98">
            <v>35353</v>
          </cell>
          <cell r="B98" t="str">
            <v>白米</v>
          </cell>
          <cell r="C98">
            <v>12</v>
          </cell>
          <cell r="D98">
            <v>364.8</v>
          </cell>
        </row>
        <row r="99">
          <cell r="A99">
            <v>35374</v>
          </cell>
          <cell r="B99" t="str">
            <v>白米</v>
          </cell>
          <cell r="C99">
            <v>20</v>
          </cell>
          <cell r="D99">
            <v>608</v>
          </cell>
        </row>
        <row r="100">
          <cell r="A100">
            <v>35401</v>
          </cell>
          <cell r="B100" t="str">
            <v>白米</v>
          </cell>
          <cell r="C100">
            <v>18</v>
          </cell>
          <cell r="D100">
            <v>547.20000000000005</v>
          </cell>
        </row>
        <row r="101">
          <cell r="A101">
            <v>35415</v>
          </cell>
          <cell r="B101" t="str">
            <v>白米</v>
          </cell>
          <cell r="C101">
            <v>20</v>
          </cell>
          <cell r="D101">
            <v>608</v>
          </cell>
        </row>
        <row r="102">
          <cell r="A102">
            <v>35431</v>
          </cell>
          <cell r="B102" t="str">
            <v>白米</v>
          </cell>
          <cell r="C102">
            <v>70</v>
          </cell>
          <cell r="D102">
            <v>2128</v>
          </cell>
        </row>
        <row r="103">
          <cell r="A103">
            <v>35457</v>
          </cell>
          <cell r="B103" t="str">
            <v>白米</v>
          </cell>
          <cell r="C103">
            <v>5</v>
          </cell>
          <cell r="D103">
            <v>152</v>
          </cell>
        </row>
        <row r="104">
          <cell r="A104">
            <v>35460</v>
          </cell>
          <cell r="B104" t="str">
            <v>白米</v>
          </cell>
          <cell r="C104">
            <v>30</v>
          </cell>
          <cell r="D104">
            <v>912</v>
          </cell>
        </row>
        <row r="105">
          <cell r="A105">
            <v>35464</v>
          </cell>
          <cell r="B105" t="str">
            <v>白米</v>
          </cell>
          <cell r="C105">
            <v>28</v>
          </cell>
          <cell r="D105">
            <v>851.2</v>
          </cell>
        </row>
        <row r="106">
          <cell r="A106">
            <v>35466</v>
          </cell>
          <cell r="B106" t="str">
            <v>白米</v>
          </cell>
          <cell r="C106">
            <v>40</v>
          </cell>
          <cell r="D106">
            <v>1216</v>
          </cell>
        </row>
        <row r="107">
          <cell r="A107">
            <v>35487</v>
          </cell>
          <cell r="B107" t="str">
            <v>白米</v>
          </cell>
          <cell r="C107">
            <v>15</v>
          </cell>
          <cell r="D107">
            <v>456</v>
          </cell>
        </row>
        <row r="108">
          <cell r="A108">
            <v>35493</v>
          </cell>
          <cell r="B108" t="str">
            <v>白米</v>
          </cell>
          <cell r="C108">
            <v>30</v>
          </cell>
          <cell r="D108">
            <v>912</v>
          </cell>
        </row>
        <row r="109">
          <cell r="A109">
            <v>35500</v>
          </cell>
          <cell r="B109" t="str">
            <v>白米</v>
          </cell>
          <cell r="C109">
            <v>20</v>
          </cell>
          <cell r="D109">
            <v>608</v>
          </cell>
        </row>
        <row r="110">
          <cell r="A110">
            <v>35522</v>
          </cell>
          <cell r="B110" t="str">
            <v>白米</v>
          </cell>
          <cell r="C110">
            <v>30</v>
          </cell>
          <cell r="D110">
            <v>912</v>
          </cell>
        </row>
        <row r="111">
          <cell r="A111">
            <v>35524</v>
          </cell>
          <cell r="B111" t="str">
            <v>白米</v>
          </cell>
          <cell r="C111">
            <v>14</v>
          </cell>
          <cell r="D111">
            <v>425.6</v>
          </cell>
        </row>
        <row r="112">
          <cell r="A112">
            <v>35542</v>
          </cell>
          <cell r="B112" t="str">
            <v>白米</v>
          </cell>
          <cell r="C112">
            <v>70</v>
          </cell>
          <cell r="D112">
            <v>2660</v>
          </cell>
        </row>
        <row r="113">
          <cell r="A113">
            <v>35548</v>
          </cell>
          <cell r="B113" t="str">
            <v>白米</v>
          </cell>
          <cell r="C113">
            <v>40</v>
          </cell>
          <cell r="D113">
            <v>1520</v>
          </cell>
        </row>
        <row r="114">
          <cell r="A114">
            <v>35555</v>
          </cell>
          <cell r="B114" t="str">
            <v>白米</v>
          </cell>
          <cell r="C114">
            <v>30</v>
          </cell>
          <cell r="D114">
            <v>1140</v>
          </cell>
        </row>
        <row r="115">
          <cell r="A115">
            <v>35583</v>
          </cell>
          <cell r="B115" t="str">
            <v>白米</v>
          </cell>
          <cell r="C115">
            <v>40</v>
          </cell>
          <cell r="D115">
            <v>1520</v>
          </cell>
        </row>
        <row r="116">
          <cell r="A116">
            <v>35598</v>
          </cell>
          <cell r="B116" t="str">
            <v>白米</v>
          </cell>
          <cell r="C116">
            <v>60</v>
          </cell>
          <cell r="D116">
            <v>2280</v>
          </cell>
        </row>
        <row r="117">
          <cell r="A117">
            <v>35622</v>
          </cell>
          <cell r="B117" t="str">
            <v>白米</v>
          </cell>
          <cell r="C117">
            <v>5</v>
          </cell>
          <cell r="D117">
            <v>190</v>
          </cell>
        </row>
        <row r="118">
          <cell r="A118">
            <v>35634</v>
          </cell>
          <cell r="B118" t="str">
            <v>白米</v>
          </cell>
          <cell r="C118">
            <v>28</v>
          </cell>
          <cell r="D118">
            <v>1064</v>
          </cell>
        </row>
        <row r="119">
          <cell r="A119">
            <v>35642</v>
          </cell>
          <cell r="B119" t="str">
            <v>白米</v>
          </cell>
          <cell r="C119">
            <v>14</v>
          </cell>
          <cell r="D119">
            <v>532</v>
          </cell>
        </row>
        <row r="120">
          <cell r="A120">
            <v>35643</v>
          </cell>
          <cell r="B120" t="str">
            <v>白米</v>
          </cell>
          <cell r="C120">
            <v>20</v>
          </cell>
          <cell r="D120">
            <v>760</v>
          </cell>
        </row>
        <row r="121">
          <cell r="A121">
            <v>35661</v>
          </cell>
          <cell r="B121" t="str">
            <v>白米</v>
          </cell>
          <cell r="C121">
            <v>60</v>
          </cell>
          <cell r="D121">
            <v>2280</v>
          </cell>
        </row>
        <row r="122">
          <cell r="A122">
            <v>35677</v>
          </cell>
          <cell r="B122" t="str">
            <v>白米</v>
          </cell>
          <cell r="C122">
            <v>45</v>
          </cell>
          <cell r="D122">
            <v>1710</v>
          </cell>
        </row>
        <row r="123">
          <cell r="A123">
            <v>35683</v>
          </cell>
          <cell r="B123" t="str">
            <v>白米</v>
          </cell>
          <cell r="C123">
            <v>12</v>
          </cell>
          <cell r="D123">
            <v>456</v>
          </cell>
        </row>
        <row r="124">
          <cell r="A124">
            <v>35705</v>
          </cell>
          <cell r="B124" t="str">
            <v>白米</v>
          </cell>
          <cell r="C124">
            <v>20</v>
          </cell>
          <cell r="D124">
            <v>760</v>
          </cell>
        </row>
        <row r="125">
          <cell r="A125">
            <v>35724</v>
          </cell>
          <cell r="B125" t="str">
            <v>白米</v>
          </cell>
          <cell r="C125">
            <v>30</v>
          </cell>
          <cell r="D125">
            <v>1140</v>
          </cell>
        </row>
        <row r="126">
          <cell r="A126">
            <v>35725</v>
          </cell>
          <cell r="B126" t="str">
            <v>白米</v>
          </cell>
          <cell r="C126">
            <v>18</v>
          </cell>
          <cell r="D126">
            <v>684</v>
          </cell>
        </row>
        <row r="127">
          <cell r="A127">
            <v>35737</v>
          </cell>
          <cell r="B127" t="str">
            <v>白米</v>
          </cell>
          <cell r="C127">
            <v>10</v>
          </cell>
          <cell r="D127">
            <v>380</v>
          </cell>
        </row>
        <row r="128">
          <cell r="A128">
            <v>35747</v>
          </cell>
          <cell r="B128" t="str">
            <v>白米</v>
          </cell>
          <cell r="C128">
            <v>14</v>
          </cell>
          <cell r="D128">
            <v>532</v>
          </cell>
        </row>
        <row r="129">
          <cell r="A129">
            <v>35754</v>
          </cell>
          <cell r="B129" t="str">
            <v>白米</v>
          </cell>
          <cell r="C129">
            <v>28</v>
          </cell>
          <cell r="D129">
            <v>1064</v>
          </cell>
        </row>
        <row r="130">
          <cell r="A130">
            <v>35754</v>
          </cell>
          <cell r="B130" t="str">
            <v>白米</v>
          </cell>
          <cell r="C130">
            <v>15</v>
          </cell>
          <cell r="D130">
            <v>570</v>
          </cell>
        </row>
        <row r="131">
          <cell r="A131">
            <v>35760</v>
          </cell>
          <cell r="B131" t="str">
            <v>白米</v>
          </cell>
          <cell r="C131">
            <v>30</v>
          </cell>
          <cell r="D131">
            <v>1140</v>
          </cell>
        </row>
        <row r="132">
          <cell r="A132">
            <v>35766</v>
          </cell>
          <cell r="B132" t="str">
            <v>白米</v>
          </cell>
          <cell r="C132">
            <v>60</v>
          </cell>
          <cell r="D132">
            <v>2280</v>
          </cell>
        </row>
        <row r="133">
          <cell r="A133">
            <v>35781</v>
          </cell>
          <cell r="B133" t="str">
            <v>白米</v>
          </cell>
          <cell r="C133">
            <v>20</v>
          </cell>
          <cell r="D133">
            <v>760</v>
          </cell>
        </row>
        <row r="134">
          <cell r="A134">
            <v>35786</v>
          </cell>
          <cell r="B134" t="str">
            <v>白米</v>
          </cell>
          <cell r="C134">
            <v>20</v>
          </cell>
          <cell r="D134">
            <v>760</v>
          </cell>
        </row>
        <row r="135">
          <cell r="A135">
            <v>35796</v>
          </cell>
          <cell r="B135" t="str">
            <v>白米</v>
          </cell>
          <cell r="C135">
            <v>20</v>
          </cell>
          <cell r="D135">
            <v>760</v>
          </cell>
        </row>
        <row r="136">
          <cell r="A136">
            <v>35802</v>
          </cell>
          <cell r="B136" t="str">
            <v>白米</v>
          </cell>
          <cell r="C136">
            <v>30</v>
          </cell>
          <cell r="D136">
            <v>1140</v>
          </cell>
        </row>
        <row r="137">
          <cell r="A137">
            <v>35815</v>
          </cell>
          <cell r="B137" t="str">
            <v>白米</v>
          </cell>
          <cell r="C137">
            <v>30</v>
          </cell>
          <cell r="D137">
            <v>1140</v>
          </cell>
        </row>
        <row r="138">
          <cell r="A138">
            <v>35822</v>
          </cell>
          <cell r="B138" t="str">
            <v>白米</v>
          </cell>
          <cell r="C138">
            <v>24</v>
          </cell>
          <cell r="D138">
            <v>912</v>
          </cell>
        </row>
        <row r="139">
          <cell r="A139">
            <v>35838</v>
          </cell>
          <cell r="B139" t="str">
            <v>白米</v>
          </cell>
          <cell r="C139">
            <v>21</v>
          </cell>
          <cell r="D139">
            <v>798</v>
          </cell>
        </row>
        <row r="140">
          <cell r="A140">
            <v>35845</v>
          </cell>
          <cell r="B140" t="str">
            <v>白米</v>
          </cell>
          <cell r="C140">
            <v>16</v>
          </cell>
          <cell r="D140">
            <v>608</v>
          </cell>
        </row>
        <row r="141">
          <cell r="A141">
            <v>35866</v>
          </cell>
          <cell r="B141" t="str">
            <v>白米</v>
          </cell>
          <cell r="C141">
            <v>18</v>
          </cell>
          <cell r="D141">
            <v>684</v>
          </cell>
        </row>
        <row r="142">
          <cell r="A142">
            <v>35870</v>
          </cell>
          <cell r="B142" t="str">
            <v>白米</v>
          </cell>
          <cell r="C142">
            <v>1</v>
          </cell>
          <cell r="D142">
            <v>38</v>
          </cell>
        </row>
        <row r="143">
          <cell r="A143">
            <v>35874</v>
          </cell>
          <cell r="B143" t="str">
            <v>白米</v>
          </cell>
          <cell r="C143">
            <v>12</v>
          </cell>
          <cell r="D143">
            <v>456</v>
          </cell>
        </row>
        <row r="144">
          <cell r="A144">
            <v>35898</v>
          </cell>
          <cell r="B144" t="str">
            <v>白米</v>
          </cell>
          <cell r="C144">
            <v>5</v>
          </cell>
          <cell r="D144">
            <v>190</v>
          </cell>
        </row>
        <row r="145">
          <cell r="A145">
            <v>35901</v>
          </cell>
          <cell r="B145" t="str">
            <v>白米</v>
          </cell>
          <cell r="C145">
            <v>20</v>
          </cell>
          <cell r="D145">
            <v>760</v>
          </cell>
        </row>
        <row r="146">
          <cell r="A146">
            <v>35254</v>
          </cell>
          <cell r="B146" t="str">
            <v>小米</v>
          </cell>
          <cell r="C146">
            <v>15</v>
          </cell>
          <cell r="D146">
            <v>234</v>
          </cell>
        </row>
        <row r="147">
          <cell r="A147">
            <v>35265</v>
          </cell>
          <cell r="B147" t="str">
            <v>小米</v>
          </cell>
          <cell r="C147">
            <v>50</v>
          </cell>
          <cell r="D147">
            <v>780</v>
          </cell>
        </row>
        <row r="148">
          <cell r="A148">
            <v>35292</v>
          </cell>
          <cell r="B148" t="str">
            <v>小米</v>
          </cell>
          <cell r="C148">
            <v>2</v>
          </cell>
          <cell r="D148">
            <v>31.2</v>
          </cell>
        </row>
        <row r="149">
          <cell r="A149">
            <v>35348</v>
          </cell>
          <cell r="B149" t="str">
            <v>小米</v>
          </cell>
          <cell r="C149">
            <v>16</v>
          </cell>
          <cell r="D149">
            <v>249.6</v>
          </cell>
        </row>
        <row r="150">
          <cell r="A150">
            <v>35384</v>
          </cell>
          <cell r="B150" t="str">
            <v>小米</v>
          </cell>
          <cell r="C150">
            <v>25</v>
          </cell>
          <cell r="D150">
            <v>390</v>
          </cell>
        </row>
        <row r="151">
          <cell r="A151">
            <v>35398</v>
          </cell>
          <cell r="B151" t="str">
            <v>小米</v>
          </cell>
          <cell r="C151">
            <v>25</v>
          </cell>
          <cell r="D151">
            <v>390</v>
          </cell>
        </row>
        <row r="152">
          <cell r="A152">
            <v>35446</v>
          </cell>
          <cell r="B152" t="str">
            <v>小米</v>
          </cell>
          <cell r="C152">
            <v>20</v>
          </cell>
          <cell r="D152">
            <v>312</v>
          </cell>
        </row>
        <row r="153">
          <cell r="A153">
            <v>35467</v>
          </cell>
          <cell r="B153" t="str">
            <v>小米</v>
          </cell>
          <cell r="C153">
            <v>15</v>
          </cell>
          <cell r="D153">
            <v>234</v>
          </cell>
        </row>
        <row r="154">
          <cell r="A154">
            <v>35563</v>
          </cell>
          <cell r="B154" t="str">
            <v>小米</v>
          </cell>
          <cell r="C154">
            <v>5</v>
          </cell>
          <cell r="D154">
            <v>97.5</v>
          </cell>
        </row>
        <row r="155">
          <cell r="A155">
            <v>35605</v>
          </cell>
          <cell r="B155" t="str">
            <v>小米</v>
          </cell>
          <cell r="C155">
            <v>6</v>
          </cell>
          <cell r="D155">
            <v>117</v>
          </cell>
        </row>
        <row r="156">
          <cell r="A156">
            <v>35608</v>
          </cell>
          <cell r="B156" t="str">
            <v>小米</v>
          </cell>
          <cell r="C156">
            <v>4</v>
          </cell>
          <cell r="D156">
            <v>78</v>
          </cell>
        </row>
        <row r="157">
          <cell r="A157">
            <v>35622</v>
          </cell>
          <cell r="B157" t="str">
            <v>小米</v>
          </cell>
          <cell r="C157">
            <v>20</v>
          </cell>
          <cell r="D157">
            <v>390</v>
          </cell>
        </row>
        <row r="158">
          <cell r="A158">
            <v>35719</v>
          </cell>
          <cell r="B158" t="str">
            <v>小米</v>
          </cell>
          <cell r="C158">
            <v>40</v>
          </cell>
          <cell r="D158">
            <v>780</v>
          </cell>
        </row>
        <row r="159">
          <cell r="A159">
            <v>35760</v>
          </cell>
          <cell r="B159" t="str">
            <v>小米</v>
          </cell>
          <cell r="C159">
            <v>14</v>
          </cell>
          <cell r="D159">
            <v>273</v>
          </cell>
        </row>
        <row r="160">
          <cell r="A160">
            <v>35804</v>
          </cell>
          <cell r="B160" t="str">
            <v>小米</v>
          </cell>
          <cell r="C160">
            <v>15</v>
          </cell>
          <cell r="D160">
            <v>292.5</v>
          </cell>
        </row>
        <row r="161">
          <cell r="A161">
            <v>35807</v>
          </cell>
          <cell r="B161" t="str">
            <v>小米</v>
          </cell>
          <cell r="C161">
            <v>15</v>
          </cell>
          <cell r="D161">
            <v>292.5</v>
          </cell>
        </row>
        <row r="162">
          <cell r="A162">
            <v>35811</v>
          </cell>
          <cell r="B162" t="str">
            <v>小米</v>
          </cell>
          <cell r="C162">
            <v>24</v>
          </cell>
          <cell r="D162">
            <v>468</v>
          </cell>
        </row>
        <row r="163">
          <cell r="A163">
            <v>35821</v>
          </cell>
          <cell r="B163" t="str">
            <v>小米</v>
          </cell>
          <cell r="C163">
            <v>10</v>
          </cell>
          <cell r="D163">
            <v>195</v>
          </cell>
        </row>
        <row r="164">
          <cell r="A164">
            <v>35853</v>
          </cell>
          <cell r="B164" t="str">
            <v>小米</v>
          </cell>
          <cell r="C164">
            <v>20</v>
          </cell>
          <cell r="D164">
            <v>390</v>
          </cell>
        </row>
        <row r="165">
          <cell r="A165">
            <v>35860</v>
          </cell>
          <cell r="B165" t="str">
            <v>小米</v>
          </cell>
          <cell r="C165">
            <v>30</v>
          </cell>
          <cell r="D165">
            <v>585</v>
          </cell>
        </row>
        <row r="166">
          <cell r="A166">
            <v>35881</v>
          </cell>
          <cell r="B166" t="str">
            <v>小米</v>
          </cell>
          <cell r="C166">
            <v>15</v>
          </cell>
          <cell r="D166">
            <v>292.5</v>
          </cell>
        </row>
        <row r="167">
          <cell r="A167">
            <v>35906</v>
          </cell>
          <cell r="B167" t="str">
            <v>小米</v>
          </cell>
          <cell r="C167">
            <v>28</v>
          </cell>
          <cell r="D167">
            <v>546</v>
          </cell>
        </row>
        <row r="168">
          <cell r="A168">
            <v>35913</v>
          </cell>
          <cell r="B168" t="str">
            <v>小米</v>
          </cell>
          <cell r="C168">
            <v>20</v>
          </cell>
          <cell r="D168">
            <v>390</v>
          </cell>
        </row>
        <row r="169">
          <cell r="A169">
            <v>35303</v>
          </cell>
          <cell r="B169" t="str">
            <v>黄豆</v>
          </cell>
          <cell r="C169">
            <v>9</v>
          </cell>
          <cell r="D169">
            <v>239.4</v>
          </cell>
        </row>
        <row r="170">
          <cell r="A170">
            <v>35369</v>
          </cell>
          <cell r="B170" t="str">
            <v>黄豆</v>
          </cell>
          <cell r="C170">
            <v>50</v>
          </cell>
          <cell r="D170">
            <v>1330</v>
          </cell>
        </row>
        <row r="171">
          <cell r="A171">
            <v>35398</v>
          </cell>
          <cell r="B171" t="str">
            <v>黄豆</v>
          </cell>
          <cell r="C171">
            <v>35</v>
          </cell>
          <cell r="D171">
            <v>931</v>
          </cell>
        </row>
        <row r="172">
          <cell r="A172">
            <v>35402</v>
          </cell>
          <cell r="B172" t="str">
            <v>黄豆</v>
          </cell>
          <cell r="C172">
            <v>30</v>
          </cell>
          <cell r="D172">
            <v>798</v>
          </cell>
        </row>
        <row r="173">
          <cell r="A173">
            <v>35457</v>
          </cell>
          <cell r="B173" t="str">
            <v>黄豆</v>
          </cell>
          <cell r="C173">
            <v>7</v>
          </cell>
          <cell r="D173">
            <v>186.2</v>
          </cell>
        </row>
        <row r="174">
          <cell r="A174">
            <v>35466</v>
          </cell>
          <cell r="B174" t="str">
            <v>黄豆</v>
          </cell>
          <cell r="C174">
            <v>30</v>
          </cell>
          <cell r="D174">
            <v>798</v>
          </cell>
        </row>
        <row r="175">
          <cell r="A175">
            <v>35468</v>
          </cell>
          <cell r="B175" t="str">
            <v>黄豆</v>
          </cell>
          <cell r="C175">
            <v>6</v>
          </cell>
          <cell r="D175">
            <v>159.6</v>
          </cell>
        </row>
        <row r="176">
          <cell r="A176">
            <v>35480</v>
          </cell>
          <cell r="B176" t="str">
            <v>黄豆</v>
          </cell>
          <cell r="C176">
            <v>35</v>
          </cell>
          <cell r="D176">
            <v>931</v>
          </cell>
        </row>
        <row r="177">
          <cell r="A177">
            <v>35500</v>
          </cell>
          <cell r="B177" t="str">
            <v>黄豆</v>
          </cell>
          <cell r="C177">
            <v>8</v>
          </cell>
          <cell r="D177">
            <v>212.8</v>
          </cell>
        </row>
        <row r="178">
          <cell r="A178">
            <v>35508</v>
          </cell>
          <cell r="B178" t="str">
            <v>黄豆</v>
          </cell>
          <cell r="C178">
            <v>30</v>
          </cell>
          <cell r="D178">
            <v>798</v>
          </cell>
        </row>
        <row r="179">
          <cell r="A179">
            <v>35584</v>
          </cell>
          <cell r="B179" t="str">
            <v>黄豆</v>
          </cell>
          <cell r="C179">
            <v>30</v>
          </cell>
          <cell r="D179">
            <v>997.5</v>
          </cell>
        </row>
        <row r="180">
          <cell r="A180">
            <v>35592</v>
          </cell>
          <cell r="B180" t="str">
            <v>黄豆</v>
          </cell>
          <cell r="C180">
            <v>18</v>
          </cell>
          <cell r="D180">
            <v>598.5</v>
          </cell>
        </row>
        <row r="181">
          <cell r="A181">
            <v>35600</v>
          </cell>
          <cell r="B181" t="str">
            <v>黄豆</v>
          </cell>
          <cell r="C181">
            <v>6</v>
          </cell>
          <cell r="D181">
            <v>199.5</v>
          </cell>
        </row>
        <row r="182">
          <cell r="A182">
            <v>35654</v>
          </cell>
          <cell r="B182" t="str">
            <v>黄豆</v>
          </cell>
          <cell r="C182">
            <v>9</v>
          </cell>
          <cell r="D182">
            <v>299.25</v>
          </cell>
        </row>
        <row r="183">
          <cell r="A183">
            <v>35688</v>
          </cell>
          <cell r="B183" t="str">
            <v>黄豆</v>
          </cell>
          <cell r="C183">
            <v>15</v>
          </cell>
          <cell r="D183">
            <v>498.75</v>
          </cell>
        </row>
        <row r="184">
          <cell r="A184">
            <v>35698</v>
          </cell>
          <cell r="B184" t="str">
            <v>黄豆</v>
          </cell>
          <cell r="C184">
            <v>28</v>
          </cell>
          <cell r="D184">
            <v>931</v>
          </cell>
        </row>
        <row r="185">
          <cell r="A185">
            <v>35761</v>
          </cell>
          <cell r="B185" t="str">
            <v>黄豆</v>
          </cell>
          <cell r="C185">
            <v>24</v>
          </cell>
          <cell r="D185">
            <v>798</v>
          </cell>
        </row>
        <row r="186">
          <cell r="A186">
            <v>35789</v>
          </cell>
          <cell r="B186" t="str">
            <v>黄豆</v>
          </cell>
          <cell r="C186">
            <v>35</v>
          </cell>
          <cell r="D186">
            <v>1163.75</v>
          </cell>
        </row>
        <row r="187">
          <cell r="A187">
            <v>35809</v>
          </cell>
          <cell r="B187" t="str">
            <v>黄豆</v>
          </cell>
          <cell r="C187">
            <v>3</v>
          </cell>
          <cell r="D187">
            <v>99.75</v>
          </cell>
        </row>
        <row r="188">
          <cell r="A188">
            <v>35811</v>
          </cell>
          <cell r="B188" t="str">
            <v>黄豆</v>
          </cell>
          <cell r="C188">
            <v>30</v>
          </cell>
          <cell r="D188">
            <v>997.5</v>
          </cell>
        </row>
        <row r="189">
          <cell r="A189">
            <v>35816</v>
          </cell>
          <cell r="B189" t="str">
            <v>黄豆</v>
          </cell>
          <cell r="C189">
            <v>48</v>
          </cell>
          <cell r="D189">
            <v>1596</v>
          </cell>
        </row>
        <row r="190">
          <cell r="A190">
            <v>35824</v>
          </cell>
          <cell r="B190" t="str">
            <v>黄豆</v>
          </cell>
          <cell r="C190">
            <v>30</v>
          </cell>
          <cell r="D190">
            <v>997.5</v>
          </cell>
        </row>
        <row r="191">
          <cell r="A191">
            <v>35831</v>
          </cell>
          <cell r="B191" t="str">
            <v>黄豆</v>
          </cell>
          <cell r="C191">
            <v>15</v>
          </cell>
          <cell r="D191">
            <v>498.75</v>
          </cell>
        </row>
        <row r="192">
          <cell r="A192">
            <v>35835</v>
          </cell>
          <cell r="B192" t="str">
            <v>黄豆</v>
          </cell>
          <cell r="C192">
            <v>20</v>
          </cell>
          <cell r="D192">
            <v>665</v>
          </cell>
        </row>
        <row r="193">
          <cell r="A193">
            <v>35872</v>
          </cell>
          <cell r="B193" t="str">
            <v>黄豆</v>
          </cell>
          <cell r="C193">
            <v>8</v>
          </cell>
          <cell r="D193">
            <v>266</v>
          </cell>
        </row>
        <row r="194">
          <cell r="A194">
            <v>35877</v>
          </cell>
          <cell r="B194" t="str">
            <v>黄豆</v>
          </cell>
          <cell r="C194">
            <v>4</v>
          </cell>
          <cell r="D194">
            <v>133</v>
          </cell>
        </row>
        <row r="195">
          <cell r="A195">
            <v>35902</v>
          </cell>
          <cell r="B195" t="str">
            <v>黄豆</v>
          </cell>
          <cell r="C195">
            <v>20</v>
          </cell>
          <cell r="D195">
            <v>665</v>
          </cell>
        </row>
        <row r="196">
          <cell r="A196">
            <v>35912</v>
          </cell>
          <cell r="B196" t="str">
            <v>黄豆</v>
          </cell>
          <cell r="C196">
            <v>25</v>
          </cell>
          <cell r="D196">
            <v>831.25</v>
          </cell>
        </row>
        <row r="197">
          <cell r="A197">
            <v>35920</v>
          </cell>
          <cell r="B197" t="str">
            <v>黄豆</v>
          </cell>
          <cell r="C197">
            <v>130</v>
          </cell>
          <cell r="D197">
            <v>4322.5</v>
          </cell>
        </row>
        <row r="198">
          <cell r="A198">
            <v>35921</v>
          </cell>
          <cell r="B198" t="str">
            <v>黄豆</v>
          </cell>
          <cell r="C198">
            <v>2</v>
          </cell>
          <cell r="D198">
            <v>66.5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2题答案"/>
      <sheetName val="第3题"/>
      <sheetName val="第3题答案"/>
      <sheetName val="第4题"/>
      <sheetName val="第4题答案"/>
      <sheetName val="第5题"/>
      <sheetName val="第6题"/>
      <sheetName val="第6题答案"/>
      <sheetName val="第7题"/>
      <sheetName val="第7题解答"/>
      <sheetName val="第8题"/>
      <sheetName val="第8题答案"/>
      <sheetName val="第9题"/>
      <sheetName val="第9题解答"/>
    </sheetNames>
    <sheetDataSet>
      <sheetData sheetId="0"/>
      <sheetData sheetId="1">
        <row r="1">
          <cell r="A1" t="str">
            <v>订购日期</v>
          </cell>
          <cell r="B1" t="str">
            <v>产品名称</v>
          </cell>
          <cell r="C1" t="str">
            <v>销售数量</v>
          </cell>
          <cell r="D1" t="str">
            <v>销售金额</v>
          </cell>
        </row>
        <row r="2">
          <cell r="A2">
            <v>35254</v>
          </cell>
          <cell r="B2" t="str">
            <v>糯米</v>
          </cell>
          <cell r="C2">
            <v>6</v>
          </cell>
          <cell r="D2">
            <v>100.8</v>
          </cell>
        </row>
        <row r="3">
          <cell r="A3">
            <v>35465</v>
          </cell>
          <cell r="B3" t="str">
            <v>糯米</v>
          </cell>
          <cell r="C3">
            <v>12</v>
          </cell>
          <cell r="D3">
            <v>201.6</v>
          </cell>
        </row>
        <row r="4">
          <cell r="A4">
            <v>35580</v>
          </cell>
          <cell r="B4" t="str">
            <v>糯米</v>
          </cell>
          <cell r="C4">
            <v>24</v>
          </cell>
          <cell r="D4">
            <v>504</v>
          </cell>
        </row>
        <row r="5">
          <cell r="A5">
            <v>35629</v>
          </cell>
          <cell r="B5" t="str">
            <v>糯米</v>
          </cell>
          <cell r="C5">
            <v>48</v>
          </cell>
          <cell r="D5">
            <v>1008</v>
          </cell>
        </row>
        <row r="6">
          <cell r="A6">
            <v>35646</v>
          </cell>
          <cell r="B6" t="str">
            <v>糯米</v>
          </cell>
          <cell r="C6">
            <v>40</v>
          </cell>
          <cell r="D6">
            <v>840</v>
          </cell>
        </row>
        <row r="7">
          <cell r="A7">
            <v>35660</v>
          </cell>
          <cell r="B7" t="str">
            <v>糯米</v>
          </cell>
          <cell r="C7">
            <v>40</v>
          </cell>
          <cell r="D7">
            <v>840</v>
          </cell>
        </row>
        <row r="8">
          <cell r="A8">
            <v>35670</v>
          </cell>
          <cell r="B8" t="str">
            <v>糯米</v>
          </cell>
          <cell r="C8">
            <v>15</v>
          </cell>
          <cell r="D8">
            <v>315</v>
          </cell>
        </row>
        <row r="9">
          <cell r="A9">
            <v>35674</v>
          </cell>
          <cell r="B9" t="str">
            <v>糯米</v>
          </cell>
          <cell r="C9">
            <v>20</v>
          </cell>
          <cell r="D9">
            <v>420</v>
          </cell>
        </row>
        <row r="10">
          <cell r="A10">
            <v>35767</v>
          </cell>
          <cell r="B10" t="str">
            <v>糯米</v>
          </cell>
          <cell r="C10">
            <v>6</v>
          </cell>
          <cell r="D10">
            <v>126</v>
          </cell>
        </row>
        <row r="11">
          <cell r="A11">
            <v>35772</v>
          </cell>
          <cell r="B11" t="str">
            <v>糯米</v>
          </cell>
          <cell r="C11">
            <v>4</v>
          </cell>
          <cell r="D11">
            <v>84</v>
          </cell>
        </row>
        <row r="12">
          <cell r="A12">
            <v>35811</v>
          </cell>
          <cell r="B12" t="str">
            <v>糯米</v>
          </cell>
          <cell r="C12">
            <v>52</v>
          </cell>
          <cell r="D12">
            <v>1092</v>
          </cell>
        </row>
        <row r="13">
          <cell r="A13">
            <v>35816</v>
          </cell>
          <cell r="B13" t="str">
            <v>糯米</v>
          </cell>
          <cell r="C13">
            <v>35</v>
          </cell>
          <cell r="D13">
            <v>735</v>
          </cell>
        </row>
        <row r="14">
          <cell r="A14">
            <v>35865</v>
          </cell>
          <cell r="B14" t="str">
            <v>糯米</v>
          </cell>
          <cell r="C14">
            <v>21</v>
          </cell>
          <cell r="D14">
            <v>441</v>
          </cell>
        </row>
        <row r="15">
          <cell r="A15">
            <v>35891</v>
          </cell>
          <cell r="B15" t="str">
            <v>糯米</v>
          </cell>
          <cell r="C15">
            <v>25</v>
          </cell>
          <cell r="D15">
            <v>525</v>
          </cell>
        </row>
        <row r="16">
          <cell r="A16">
            <v>35362</v>
          </cell>
          <cell r="B16" t="str">
            <v>燕麦</v>
          </cell>
          <cell r="C16">
            <v>40</v>
          </cell>
          <cell r="D16">
            <v>288</v>
          </cell>
        </row>
        <row r="17">
          <cell r="A17">
            <v>35376</v>
          </cell>
          <cell r="B17" t="str">
            <v>燕麦</v>
          </cell>
          <cell r="C17">
            <v>25</v>
          </cell>
          <cell r="D17">
            <v>180</v>
          </cell>
        </row>
        <row r="18">
          <cell r="A18">
            <v>35426</v>
          </cell>
          <cell r="B18" t="str">
            <v>燕麦</v>
          </cell>
          <cell r="C18">
            <v>40</v>
          </cell>
          <cell r="D18">
            <v>288</v>
          </cell>
        </row>
        <row r="19">
          <cell r="A19">
            <v>35432</v>
          </cell>
          <cell r="B19" t="str">
            <v>燕麦</v>
          </cell>
          <cell r="C19">
            <v>60</v>
          </cell>
          <cell r="D19">
            <v>432</v>
          </cell>
        </row>
        <row r="20">
          <cell r="A20">
            <v>35492</v>
          </cell>
          <cell r="B20" t="str">
            <v>燕麦</v>
          </cell>
          <cell r="C20">
            <v>21</v>
          </cell>
          <cell r="D20">
            <v>151.19999999999999</v>
          </cell>
        </row>
        <row r="21">
          <cell r="A21">
            <v>35500</v>
          </cell>
          <cell r="B21" t="str">
            <v>燕麦</v>
          </cell>
          <cell r="C21">
            <v>15</v>
          </cell>
          <cell r="D21">
            <v>108</v>
          </cell>
        </row>
        <row r="22">
          <cell r="A22">
            <v>35523</v>
          </cell>
          <cell r="B22" t="str">
            <v>燕麦</v>
          </cell>
          <cell r="C22">
            <v>10</v>
          </cell>
          <cell r="D22">
            <v>72</v>
          </cell>
        </row>
        <row r="23">
          <cell r="A23">
            <v>35571</v>
          </cell>
          <cell r="B23" t="str">
            <v>燕麦</v>
          </cell>
          <cell r="C23">
            <v>70</v>
          </cell>
          <cell r="D23">
            <v>630</v>
          </cell>
        </row>
        <row r="24">
          <cell r="A24">
            <v>35580</v>
          </cell>
          <cell r="B24" t="str">
            <v>燕麦</v>
          </cell>
          <cell r="C24">
            <v>20</v>
          </cell>
          <cell r="D24">
            <v>180</v>
          </cell>
        </row>
        <row r="25">
          <cell r="A25">
            <v>35647</v>
          </cell>
          <cell r="B25" t="str">
            <v>燕麦</v>
          </cell>
          <cell r="C25">
            <v>10</v>
          </cell>
          <cell r="D25">
            <v>90</v>
          </cell>
        </row>
        <row r="26">
          <cell r="A26">
            <v>35689</v>
          </cell>
          <cell r="B26" t="str">
            <v>燕麦</v>
          </cell>
          <cell r="C26">
            <v>32</v>
          </cell>
          <cell r="D26">
            <v>288</v>
          </cell>
        </row>
        <row r="27">
          <cell r="A27">
            <v>35691</v>
          </cell>
          <cell r="B27" t="str">
            <v>燕麦</v>
          </cell>
          <cell r="C27">
            <v>5</v>
          </cell>
          <cell r="D27">
            <v>45</v>
          </cell>
        </row>
        <row r="28">
          <cell r="A28">
            <v>35754</v>
          </cell>
          <cell r="B28" t="str">
            <v>燕麦</v>
          </cell>
          <cell r="C28">
            <v>44</v>
          </cell>
          <cell r="D28">
            <v>396</v>
          </cell>
        </row>
        <row r="29">
          <cell r="A29">
            <v>35797</v>
          </cell>
          <cell r="B29" t="str">
            <v>燕麦</v>
          </cell>
          <cell r="C29">
            <v>18</v>
          </cell>
          <cell r="D29">
            <v>162</v>
          </cell>
        </row>
        <row r="30">
          <cell r="A30">
            <v>35816</v>
          </cell>
          <cell r="B30" t="str">
            <v>燕麦</v>
          </cell>
          <cell r="C30">
            <v>70</v>
          </cell>
          <cell r="D30">
            <v>630</v>
          </cell>
        </row>
        <row r="31">
          <cell r="A31">
            <v>35830</v>
          </cell>
          <cell r="B31" t="str">
            <v>燕麦</v>
          </cell>
          <cell r="C31">
            <v>50</v>
          </cell>
          <cell r="D31">
            <v>450</v>
          </cell>
        </row>
        <row r="32">
          <cell r="A32">
            <v>35836</v>
          </cell>
          <cell r="B32" t="str">
            <v>燕麦</v>
          </cell>
          <cell r="C32">
            <v>30</v>
          </cell>
          <cell r="D32">
            <v>270</v>
          </cell>
        </row>
        <row r="33">
          <cell r="A33">
            <v>35863</v>
          </cell>
          <cell r="B33" t="str">
            <v>燕麦</v>
          </cell>
          <cell r="C33">
            <v>8</v>
          </cell>
          <cell r="D33">
            <v>72</v>
          </cell>
        </row>
        <row r="34">
          <cell r="A34">
            <v>35894</v>
          </cell>
          <cell r="B34" t="str">
            <v>燕麦</v>
          </cell>
          <cell r="C34">
            <v>10</v>
          </cell>
          <cell r="D34">
            <v>90</v>
          </cell>
        </row>
        <row r="35">
          <cell r="A35">
            <v>35921</v>
          </cell>
          <cell r="B35" t="str">
            <v>燕麦</v>
          </cell>
          <cell r="C35">
            <v>2</v>
          </cell>
          <cell r="D35">
            <v>18</v>
          </cell>
        </row>
        <row r="36">
          <cell r="A36">
            <v>35250</v>
          </cell>
          <cell r="B36" t="str">
            <v>糙米</v>
          </cell>
          <cell r="C36">
            <v>10</v>
          </cell>
          <cell r="D36">
            <v>98</v>
          </cell>
        </row>
        <row r="37">
          <cell r="A37">
            <v>35327</v>
          </cell>
          <cell r="B37" t="str">
            <v>糙米</v>
          </cell>
          <cell r="C37">
            <v>2</v>
          </cell>
          <cell r="D37">
            <v>22.4</v>
          </cell>
        </row>
        <row r="38">
          <cell r="A38">
            <v>35328</v>
          </cell>
          <cell r="B38" t="str">
            <v>糙米</v>
          </cell>
          <cell r="C38">
            <v>6</v>
          </cell>
          <cell r="D38">
            <v>67.2</v>
          </cell>
        </row>
        <row r="39">
          <cell r="A39">
            <v>35355</v>
          </cell>
          <cell r="B39" t="str">
            <v>糙米</v>
          </cell>
          <cell r="C39">
            <v>10</v>
          </cell>
          <cell r="D39">
            <v>112</v>
          </cell>
        </row>
        <row r="40">
          <cell r="A40">
            <v>35373</v>
          </cell>
          <cell r="B40" t="str">
            <v>糙米</v>
          </cell>
          <cell r="C40">
            <v>9</v>
          </cell>
          <cell r="D40">
            <v>100.8</v>
          </cell>
        </row>
        <row r="41">
          <cell r="A41">
            <v>35433</v>
          </cell>
          <cell r="B41" t="str">
            <v>糙米</v>
          </cell>
          <cell r="C41">
            <v>40</v>
          </cell>
          <cell r="D41">
            <v>448</v>
          </cell>
        </row>
        <row r="42">
          <cell r="A42">
            <v>35493</v>
          </cell>
          <cell r="B42" t="str">
            <v>糙米</v>
          </cell>
          <cell r="C42">
            <v>50</v>
          </cell>
          <cell r="D42">
            <v>560</v>
          </cell>
        </row>
        <row r="43">
          <cell r="A43">
            <v>35521</v>
          </cell>
          <cell r="B43" t="str">
            <v>糙米</v>
          </cell>
          <cell r="C43">
            <v>20</v>
          </cell>
          <cell r="D43">
            <v>224</v>
          </cell>
        </row>
        <row r="44">
          <cell r="A44">
            <v>35527</v>
          </cell>
          <cell r="B44" t="str">
            <v>糙米</v>
          </cell>
          <cell r="C44">
            <v>30</v>
          </cell>
          <cell r="D44">
            <v>420</v>
          </cell>
        </row>
        <row r="45">
          <cell r="A45">
            <v>35544</v>
          </cell>
          <cell r="B45" t="str">
            <v>糙米</v>
          </cell>
          <cell r="C45">
            <v>20</v>
          </cell>
          <cell r="D45">
            <v>280</v>
          </cell>
        </row>
        <row r="46">
          <cell r="A46">
            <v>35598</v>
          </cell>
          <cell r="B46" t="str">
            <v>糙米</v>
          </cell>
          <cell r="C46">
            <v>28</v>
          </cell>
          <cell r="D46">
            <v>392</v>
          </cell>
        </row>
        <row r="47">
          <cell r="A47">
            <v>35614</v>
          </cell>
          <cell r="B47" t="str">
            <v>糙米</v>
          </cell>
          <cell r="C47">
            <v>100</v>
          </cell>
          <cell r="D47">
            <v>1400</v>
          </cell>
        </row>
        <row r="48">
          <cell r="A48">
            <v>35650</v>
          </cell>
          <cell r="B48" t="str">
            <v>糙米</v>
          </cell>
          <cell r="C48">
            <v>5</v>
          </cell>
          <cell r="D48">
            <v>70</v>
          </cell>
        </row>
        <row r="49">
          <cell r="A49">
            <v>35674</v>
          </cell>
          <cell r="B49" t="str">
            <v>糙米</v>
          </cell>
          <cell r="C49">
            <v>20</v>
          </cell>
          <cell r="D49">
            <v>280</v>
          </cell>
        </row>
        <row r="50">
          <cell r="A50">
            <v>35683</v>
          </cell>
          <cell r="B50" t="str">
            <v>糙米</v>
          </cell>
          <cell r="C50">
            <v>30</v>
          </cell>
          <cell r="D50">
            <v>420</v>
          </cell>
        </row>
        <row r="51">
          <cell r="A51">
            <v>35691</v>
          </cell>
          <cell r="B51" t="str">
            <v>糙米</v>
          </cell>
          <cell r="C51">
            <v>6</v>
          </cell>
          <cell r="D51">
            <v>84</v>
          </cell>
        </row>
        <row r="52">
          <cell r="A52">
            <v>35697</v>
          </cell>
          <cell r="B52" t="str">
            <v>糙米</v>
          </cell>
          <cell r="C52">
            <v>40</v>
          </cell>
          <cell r="D52">
            <v>560</v>
          </cell>
        </row>
        <row r="53">
          <cell r="A53">
            <v>35753</v>
          </cell>
          <cell r="B53" t="str">
            <v>糙米</v>
          </cell>
          <cell r="C53">
            <v>28</v>
          </cell>
          <cell r="D53">
            <v>392</v>
          </cell>
        </row>
        <row r="54">
          <cell r="A54">
            <v>35769</v>
          </cell>
          <cell r="B54" t="str">
            <v>糙米</v>
          </cell>
          <cell r="C54">
            <v>2</v>
          </cell>
          <cell r="D54">
            <v>28</v>
          </cell>
        </row>
        <row r="55">
          <cell r="A55">
            <v>35779</v>
          </cell>
          <cell r="B55" t="str">
            <v>糙米</v>
          </cell>
          <cell r="C55">
            <v>12</v>
          </cell>
          <cell r="D55">
            <v>168</v>
          </cell>
        </row>
        <row r="56">
          <cell r="A56">
            <v>35779</v>
          </cell>
          <cell r="B56" t="str">
            <v>糙米</v>
          </cell>
          <cell r="C56">
            <v>20</v>
          </cell>
          <cell r="D56">
            <v>280</v>
          </cell>
        </row>
        <row r="57">
          <cell r="A57">
            <v>35816</v>
          </cell>
          <cell r="B57" t="str">
            <v>糙米</v>
          </cell>
          <cell r="C57">
            <v>42</v>
          </cell>
          <cell r="D57">
            <v>588</v>
          </cell>
        </row>
        <row r="58">
          <cell r="A58">
            <v>35823</v>
          </cell>
          <cell r="B58" t="str">
            <v>糙米</v>
          </cell>
          <cell r="C58">
            <v>20</v>
          </cell>
          <cell r="D58">
            <v>280</v>
          </cell>
        </row>
        <row r="59">
          <cell r="A59">
            <v>35837</v>
          </cell>
          <cell r="B59" t="str">
            <v>糙米</v>
          </cell>
          <cell r="C59">
            <v>25</v>
          </cell>
          <cell r="D59">
            <v>350</v>
          </cell>
        </row>
        <row r="60">
          <cell r="A60">
            <v>35857</v>
          </cell>
          <cell r="B60" t="str">
            <v>糙米</v>
          </cell>
          <cell r="C60">
            <v>10</v>
          </cell>
          <cell r="D60">
            <v>140</v>
          </cell>
        </row>
        <row r="61">
          <cell r="A61">
            <v>35887</v>
          </cell>
          <cell r="B61" t="str">
            <v>糙米</v>
          </cell>
          <cell r="C61">
            <v>40</v>
          </cell>
          <cell r="D61">
            <v>560</v>
          </cell>
        </row>
        <row r="62">
          <cell r="A62">
            <v>35891</v>
          </cell>
          <cell r="B62" t="str">
            <v>糙米</v>
          </cell>
          <cell r="C62">
            <v>24</v>
          </cell>
          <cell r="D62">
            <v>336</v>
          </cell>
        </row>
        <row r="63">
          <cell r="A63">
            <v>35893</v>
          </cell>
          <cell r="B63" t="str">
            <v>糙米</v>
          </cell>
          <cell r="C63">
            <v>14</v>
          </cell>
          <cell r="D63">
            <v>196</v>
          </cell>
        </row>
        <row r="64">
          <cell r="A64">
            <v>35894</v>
          </cell>
          <cell r="B64" t="str">
            <v>糙米</v>
          </cell>
          <cell r="C64">
            <v>4</v>
          </cell>
          <cell r="D64">
            <v>56</v>
          </cell>
        </row>
        <row r="65">
          <cell r="A65">
            <v>35905</v>
          </cell>
          <cell r="B65" t="str">
            <v>糙米</v>
          </cell>
          <cell r="C65">
            <v>30</v>
          </cell>
          <cell r="D65">
            <v>420</v>
          </cell>
        </row>
        <row r="66">
          <cell r="A66">
            <v>35342</v>
          </cell>
          <cell r="B66" t="str">
            <v>三合一麦片</v>
          </cell>
          <cell r="C66">
            <v>20</v>
          </cell>
          <cell r="D66">
            <v>112</v>
          </cell>
        </row>
        <row r="67">
          <cell r="A67">
            <v>35359</v>
          </cell>
          <cell r="B67" t="str">
            <v>三合一麦片</v>
          </cell>
          <cell r="C67">
            <v>8</v>
          </cell>
          <cell r="D67">
            <v>44.8</v>
          </cell>
        </row>
        <row r="68">
          <cell r="A68">
            <v>35418</v>
          </cell>
          <cell r="B68" t="str">
            <v>三合一麦片</v>
          </cell>
          <cell r="C68">
            <v>20</v>
          </cell>
          <cell r="D68">
            <v>112</v>
          </cell>
        </row>
        <row r="69">
          <cell r="A69">
            <v>35475</v>
          </cell>
          <cell r="B69" t="str">
            <v>三合一麦片</v>
          </cell>
          <cell r="C69">
            <v>15</v>
          </cell>
          <cell r="D69">
            <v>84</v>
          </cell>
        </row>
        <row r="70">
          <cell r="A70">
            <v>35479</v>
          </cell>
          <cell r="B70" t="str">
            <v>三合一麦片</v>
          </cell>
          <cell r="C70">
            <v>20</v>
          </cell>
          <cell r="D70">
            <v>112</v>
          </cell>
        </row>
        <row r="71">
          <cell r="A71">
            <v>35544</v>
          </cell>
          <cell r="B71" t="str">
            <v>三合一麦片</v>
          </cell>
          <cell r="C71">
            <v>6</v>
          </cell>
          <cell r="D71">
            <v>42</v>
          </cell>
        </row>
        <row r="72">
          <cell r="A72">
            <v>35585</v>
          </cell>
          <cell r="B72" t="str">
            <v>三合一麦片</v>
          </cell>
          <cell r="C72">
            <v>30</v>
          </cell>
          <cell r="D72">
            <v>210</v>
          </cell>
        </row>
        <row r="73">
          <cell r="A73">
            <v>35591</v>
          </cell>
          <cell r="B73" t="str">
            <v>三合一麦片</v>
          </cell>
          <cell r="C73">
            <v>70</v>
          </cell>
          <cell r="D73">
            <v>490</v>
          </cell>
        </row>
        <row r="74">
          <cell r="A74">
            <v>35613</v>
          </cell>
          <cell r="B74" t="str">
            <v>三合一麦片</v>
          </cell>
          <cell r="C74">
            <v>4</v>
          </cell>
          <cell r="D74">
            <v>28</v>
          </cell>
        </row>
        <row r="75">
          <cell r="A75">
            <v>35620</v>
          </cell>
          <cell r="B75" t="str">
            <v>三合一麦片</v>
          </cell>
          <cell r="C75">
            <v>24</v>
          </cell>
          <cell r="D75">
            <v>168</v>
          </cell>
        </row>
        <row r="76">
          <cell r="A76">
            <v>35647</v>
          </cell>
          <cell r="B76" t="str">
            <v>三合一麦片</v>
          </cell>
          <cell r="C76">
            <v>5</v>
          </cell>
          <cell r="D76">
            <v>35</v>
          </cell>
        </row>
        <row r="77">
          <cell r="A77">
            <v>35699</v>
          </cell>
          <cell r="B77" t="str">
            <v>三合一麦片</v>
          </cell>
          <cell r="C77">
            <v>9</v>
          </cell>
          <cell r="D77">
            <v>63</v>
          </cell>
        </row>
        <row r="78">
          <cell r="A78">
            <v>35734</v>
          </cell>
          <cell r="B78" t="str">
            <v>三合一麦片</v>
          </cell>
          <cell r="C78">
            <v>4</v>
          </cell>
          <cell r="D78">
            <v>28</v>
          </cell>
        </row>
        <row r="79">
          <cell r="A79">
            <v>35741</v>
          </cell>
          <cell r="B79" t="str">
            <v>三合一麦片</v>
          </cell>
          <cell r="C79">
            <v>25</v>
          </cell>
          <cell r="D79">
            <v>175</v>
          </cell>
        </row>
        <row r="80">
          <cell r="A80">
            <v>35746</v>
          </cell>
          <cell r="B80" t="str">
            <v>三合一麦片</v>
          </cell>
          <cell r="C80">
            <v>18</v>
          </cell>
          <cell r="D80">
            <v>126</v>
          </cell>
        </row>
        <row r="81">
          <cell r="A81">
            <v>35762</v>
          </cell>
          <cell r="B81" t="str">
            <v>三合一麦片</v>
          </cell>
          <cell r="C81">
            <v>60</v>
          </cell>
          <cell r="D81">
            <v>420</v>
          </cell>
        </row>
        <row r="82">
          <cell r="A82">
            <v>35772</v>
          </cell>
          <cell r="B82" t="str">
            <v>三合一麦片</v>
          </cell>
          <cell r="C82">
            <v>15</v>
          </cell>
          <cell r="D82">
            <v>105</v>
          </cell>
        </row>
        <row r="83">
          <cell r="A83">
            <v>35788</v>
          </cell>
          <cell r="B83" t="str">
            <v>三合一麦片</v>
          </cell>
          <cell r="C83">
            <v>8</v>
          </cell>
          <cell r="D83">
            <v>56</v>
          </cell>
        </row>
        <row r="84">
          <cell r="A84">
            <v>35796</v>
          </cell>
          <cell r="B84" t="str">
            <v>三合一麦片</v>
          </cell>
          <cell r="C84">
            <v>20</v>
          </cell>
          <cell r="D84">
            <v>140</v>
          </cell>
        </row>
        <row r="85">
          <cell r="A85">
            <v>35825</v>
          </cell>
          <cell r="B85" t="str">
            <v>三合一麦片</v>
          </cell>
          <cell r="C85">
            <v>8</v>
          </cell>
          <cell r="D85">
            <v>56</v>
          </cell>
        </row>
        <row r="86">
          <cell r="A86">
            <v>35852</v>
          </cell>
          <cell r="B86" t="str">
            <v>三合一麦片</v>
          </cell>
          <cell r="C86">
            <v>14</v>
          </cell>
          <cell r="D86">
            <v>98</v>
          </cell>
        </row>
        <row r="87">
          <cell r="A87">
            <v>35858</v>
          </cell>
          <cell r="B87" t="str">
            <v>三合一麦片</v>
          </cell>
          <cell r="C87">
            <v>12</v>
          </cell>
          <cell r="D87">
            <v>84</v>
          </cell>
        </row>
        <row r="88">
          <cell r="A88">
            <v>35859</v>
          </cell>
          <cell r="B88" t="str">
            <v>三合一麦片</v>
          </cell>
          <cell r="C88">
            <v>5</v>
          </cell>
          <cell r="D88">
            <v>35</v>
          </cell>
        </row>
        <row r="89">
          <cell r="A89">
            <v>35873</v>
          </cell>
          <cell r="B89" t="str">
            <v>三合一麦片</v>
          </cell>
          <cell r="C89">
            <v>6</v>
          </cell>
          <cell r="D89">
            <v>42</v>
          </cell>
        </row>
        <row r="90">
          <cell r="A90">
            <v>35878</v>
          </cell>
          <cell r="B90" t="str">
            <v>三合一麦片</v>
          </cell>
          <cell r="C90">
            <v>40</v>
          </cell>
          <cell r="D90">
            <v>280</v>
          </cell>
        </row>
        <row r="91">
          <cell r="A91">
            <v>35888</v>
          </cell>
          <cell r="B91" t="str">
            <v>三合一麦片</v>
          </cell>
          <cell r="C91">
            <v>20</v>
          </cell>
          <cell r="D91">
            <v>140</v>
          </cell>
        </row>
        <row r="92">
          <cell r="A92">
            <v>35891</v>
          </cell>
          <cell r="B92" t="str">
            <v>三合一麦片</v>
          </cell>
          <cell r="C92">
            <v>10</v>
          </cell>
          <cell r="D92">
            <v>70</v>
          </cell>
        </row>
        <row r="93">
          <cell r="A93">
            <v>35906</v>
          </cell>
          <cell r="B93" t="str">
            <v>三合一麦片</v>
          </cell>
          <cell r="C93">
            <v>2</v>
          </cell>
          <cell r="D93">
            <v>14</v>
          </cell>
        </row>
        <row r="94">
          <cell r="A94">
            <v>35921</v>
          </cell>
          <cell r="B94" t="str">
            <v>三合一麦片</v>
          </cell>
          <cell r="C94">
            <v>2</v>
          </cell>
          <cell r="D94">
            <v>14</v>
          </cell>
        </row>
        <row r="95">
          <cell r="A95">
            <v>35268</v>
          </cell>
          <cell r="B95" t="str">
            <v>白米</v>
          </cell>
          <cell r="C95">
            <v>2</v>
          </cell>
          <cell r="D95">
            <v>60.8</v>
          </cell>
        </row>
        <row r="96">
          <cell r="A96">
            <v>35310</v>
          </cell>
          <cell r="B96" t="str">
            <v>白米</v>
          </cell>
          <cell r="C96">
            <v>4</v>
          </cell>
          <cell r="D96">
            <v>121.6</v>
          </cell>
        </row>
        <row r="97">
          <cell r="A97">
            <v>35317</v>
          </cell>
          <cell r="B97" t="str">
            <v>白米</v>
          </cell>
          <cell r="C97">
            <v>20</v>
          </cell>
          <cell r="D97">
            <v>608</v>
          </cell>
        </row>
        <row r="98">
          <cell r="A98">
            <v>35353</v>
          </cell>
          <cell r="B98" t="str">
            <v>白米</v>
          </cell>
          <cell r="C98">
            <v>12</v>
          </cell>
          <cell r="D98">
            <v>364.8</v>
          </cell>
        </row>
        <row r="99">
          <cell r="A99">
            <v>35374</v>
          </cell>
          <cell r="B99" t="str">
            <v>白米</v>
          </cell>
          <cell r="C99">
            <v>20</v>
          </cell>
          <cell r="D99">
            <v>608</v>
          </cell>
        </row>
        <row r="100">
          <cell r="A100">
            <v>35401</v>
          </cell>
          <cell r="B100" t="str">
            <v>白米</v>
          </cell>
          <cell r="C100">
            <v>18</v>
          </cell>
          <cell r="D100">
            <v>547.20000000000005</v>
          </cell>
        </row>
        <row r="101">
          <cell r="A101">
            <v>35415</v>
          </cell>
          <cell r="B101" t="str">
            <v>白米</v>
          </cell>
          <cell r="C101">
            <v>20</v>
          </cell>
          <cell r="D101">
            <v>608</v>
          </cell>
        </row>
        <row r="102">
          <cell r="A102">
            <v>35431</v>
          </cell>
          <cell r="B102" t="str">
            <v>白米</v>
          </cell>
          <cell r="C102">
            <v>70</v>
          </cell>
          <cell r="D102">
            <v>2128</v>
          </cell>
        </row>
        <row r="103">
          <cell r="A103">
            <v>35457</v>
          </cell>
          <cell r="B103" t="str">
            <v>白米</v>
          </cell>
          <cell r="C103">
            <v>5</v>
          </cell>
          <cell r="D103">
            <v>152</v>
          </cell>
        </row>
        <row r="104">
          <cell r="A104">
            <v>35460</v>
          </cell>
          <cell r="B104" t="str">
            <v>白米</v>
          </cell>
          <cell r="C104">
            <v>30</v>
          </cell>
          <cell r="D104">
            <v>912</v>
          </cell>
        </row>
        <row r="105">
          <cell r="A105">
            <v>35464</v>
          </cell>
          <cell r="B105" t="str">
            <v>白米</v>
          </cell>
          <cell r="C105">
            <v>28</v>
          </cell>
          <cell r="D105">
            <v>851.2</v>
          </cell>
        </row>
        <row r="106">
          <cell r="A106">
            <v>35466</v>
          </cell>
          <cell r="B106" t="str">
            <v>白米</v>
          </cell>
          <cell r="C106">
            <v>40</v>
          </cell>
          <cell r="D106">
            <v>1216</v>
          </cell>
        </row>
        <row r="107">
          <cell r="A107">
            <v>35487</v>
          </cell>
          <cell r="B107" t="str">
            <v>白米</v>
          </cell>
          <cell r="C107">
            <v>15</v>
          </cell>
          <cell r="D107">
            <v>456</v>
          </cell>
        </row>
        <row r="108">
          <cell r="A108">
            <v>35493</v>
          </cell>
          <cell r="B108" t="str">
            <v>白米</v>
          </cell>
          <cell r="C108">
            <v>30</v>
          </cell>
          <cell r="D108">
            <v>912</v>
          </cell>
        </row>
        <row r="109">
          <cell r="A109">
            <v>35500</v>
          </cell>
          <cell r="B109" t="str">
            <v>白米</v>
          </cell>
          <cell r="C109">
            <v>20</v>
          </cell>
          <cell r="D109">
            <v>608</v>
          </cell>
        </row>
        <row r="110">
          <cell r="A110">
            <v>35522</v>
          </cell>
          <cell r="B110" t="str">
            <v>白米</v>
          </cell>
          <cell r="C110">
            <v>30</v>
          </cell>
          <cell r="D110">
            <v>912</v>
          </cell>
        </row>
        <row r="111">
          <cell r="A111">
            <v>35524</v>
          </cell>
          <cell r="B111" t="str">
            <v>白米</v>
          </cell>
          <cell r="C111">
            <v>14</v>
          </cell>
          <cell r="D111">
            <v>425.6</v>
          </cell>
        </row>
        <row r="112">
          <cell r="A112">
            <v>35542</v>
          </cell>
          <cell r="B112" t="str">
            <v>白米</v>
          </cell>
          <cell r="C112">
            <v>70</v>
          </cell>
          <cell r="D112">
            <v>2660</v>
          </cell>
        </row>
        <row r="113">
          <cell r="A113">
            <v>35548</v>
          </cell>
          <cell r="B113" t="str">
            <v>白米</v>
          </cell>
          <cell r="C113">
            <v>40</v>
          </cell>
          <cell r="D113">
            <v>1520</v>
          </cell>
        </row>
        <row r="114">
          <cell r="A114">
            <v>35555</v>
          </cell>
          <cell r="B114" t="str">
            <v>白米</v>
          </cell>
          <cell r="C114">
            <v>30</v>
          </cell>
          <cell r="D114">
            <v>1140</v>
          </cell>
        </row>
        <row r="115">
          <cell r="A115">
            <v>35583</v>
          </cell>
          <cell r="B115" t="str">
            <v>白米</v>
          </cell>
          <cell r="C115">
            <v>40</v>
          </cell>
          <cell r="D115">
            <v>1520</v>
          </cell>
        </row>
        <row r="116">
          <cell r="A116">
            <v>35598</v>
          </cell>
          <cell r="B116" t="str">
            <v>白米</v>
          </cell>
          <cell r="C116">
            <v>60</v>
          </cell>
          <cell r="D116">
            <v>2280</v>
          </cell>
        </row>
        <row r="117">
          <cell r="A117">
            <v>35622</v>
          </cell>
          <cell r="B117" t="str">
            <v>白米</v>
          </cell>
          <cell r="C117">
            <v>5</v>
          </cell>
          <cell r="D117">
            <v>190</v>
          </cell>
        </row>
        <row r="118">
          <cell r="A118">
            <v>35634</v>
          </cell>
          <cell r="B118" t="str">
            <v>白米</v>
          </cell>
          <cell r="C118">
            <v>28</v>
          </cell>
          <cell r="D118">
            <v>1064</v>
          </cell>
        </row>
        <row r="119">
          <cell r="A119">
            <v>35642</v>
          </cell>
          <cell r="B119" t="str">
            <v>白米</v>
          </cell>
          <cell r="C119">
            <v>14</v>
          </cell>
          <cell r="D119">
            <v>532</v>
          </cell>
        </row>
        <row r="120">
          <cell r="A120">
            <v>35643</v>
          </cell>
          <cell r="B120" t="str">
            <v>白米</v>
          </cell>
          <cell r="C120">
            <v>20</v>
          </cell>
          <cell r="D120">
            <v>760</v>
          </cell>
        </row>
        <row r="121">
          <cell r="A121">
            <v>35661</v>
          </cell>
          <cell r="B121" t="str">
            <v>白米</v>
          </cell>
          <cell r="C121">
            <v>60</v>
          </cell>
          <cell r="D121">
            <v>2280</v>
          </cell>
        </row>
        <row r="122">
          <cell r="A122">
            <v>35677</v>
          </cell>
          <cell r="B122" t="str">
            <v>白米</v>
          </cell>
          <cell r="C122">
            <v>45</v>
          </cell>
          <cell r="D122">
            <v>1710</v>
          </cell>
        </row>
        <row r="123">
          <cell r="A123">
            <v>35683</v>
          </cell>
          <cell r="B123" t="str">
            <v>白米</v>
          </cell>
          <cell r="C123">
            <v>12</v>
          </cell>
          <cell r="D123">
            <v>456</v>
          </cell>
        </row>
        <row r="124">
          <cell r="A124">
            <v>35705</v>
          </cell>
          <cell r="B124" t="str">
            <v>白米</v>
          </cell>
          <cell r="C124">
            <v>20</v>
          </cell>
          <cell r="D124">
            <v>760</v>
          </cell>
        </row>
        <row r="125">
          <cell r="A125">
            <v>35724</v>
          </cell>
          <cell r="B125" t="str">
            <v>白米</v>
          </cell>
          <cell r="C125">
            <v>30</v>
          </cell>
          <cell r="D125">
            <v>1140</v>
          </cell>
        </row>
        <row r="126">
          <cell r="A126">
            <v>35725</v>
          </cell>
          <cell r="B126" t="str">
            <v>白米</v>
          </cell>
          <cell r="C126">
            <v>18</v>
          </cell>
          <cell r="D126">
            <v>684</v>
          </cell>
        </row>
        <row r="127">
          <cell r="A127">
            <v>35737</v>
          </cell>
          <cell r="B127" t="str">
            <v>白米</v>
          </cell>
          <cell r="C127">
            <v>10</v>
          </cell>
          <cell r="D127">
            <v>380</v>
          </cell>
        </row>
        <row r="128">
          <cell r="A128">
            <v>35747</v>
          </cell>
          <cell r="B128" t="str">
            <v>白米</v>
          </cell>
          <cell r="C128">
            <v>14</v>
          </cell>
          <cell r="D128">
            <v>532</v>
          </cell>
        </row>
        <row r="129">
          <cell r="A129">
            <v>35754</v>
          </cell>
          <cell r="B129" t="str">
            <v>白米</v>
          </cell>
          <cell r="C129">
            <v>28</v>
          </cell>
          <cell r="D129">
            <v>1064</v>
          </cell>
        </row>
        <row r="130">
          <cell r="A130">
            <v>35754</v>
          </cell>
          <cell r="B130" t="str">
            <v>白米</v>
          </cell>
          <cell r="C130">
            <v>15</v>
          </cell>
          <cell r="D130">
            <v>570</v>
          </cell>
        </row>
        <row r="131">
          <cell r="A131">
            <v>35760</v>
          </cell>
          <cell r="B131" t="str">
            <v>白米</v>
          </cell>
          <cell r="C131">
            <v>30</v>
          </cell>
          <cell r="D131">
            <v>1140</v>
          </cell>
        </row>
        <row r="132">
          <cell r="A132">
            <v>35766</v>
          </cell>
          <cell r="B132" t="str">
            <v>白米</v>
          </cell>
          <cell r="C132">
            <v>60</v>
          </cell>
          <cell r="D132">
            <v>2280</v>
          </cell>
        </row>
        <row r="133">
          <cell r="A133">
            <v>35781</v>
          </cell>
          <cell r="B133" t="str">
            <v>白米</v>
          </cell>
          <cell r="C133">
            <v>20</v>
          </cell>
          <cell r="D133">
            <v>760</v>
          </cell>
        </row>
        <row r="134">
          <cell r="A134">
            <v>35786</v>
          </cell>
          <cell r="B134" t="str">
            <v>白米</v>
          </cell>
          <cell r="C134">
            <v>20</v>
          </cell>
          <cell r="D134">
            <v>760</v>
          </cell>
        </row>
        <row r="135">
          <cell r="A135">
            <v>35796</v>
          </cell>
          <cell r="B135" t="str">
            <v>白米</v>
          </cell>
          <cell r="C135">
            <v>20</v>
          </cell>
          <cell r="D135">
            <v>760</v>
          </cell>
        </row>
        <row r="136">
          <cell r="A136">
            <v>35802</v>
          </cell>
          <cell r="B136" t="str">
            <v>白米</v>
          </cell>
          <cell r="C136">
            <v>30</v>
          </cell>
          <cell r="D136">
            <v>1140</v>
          </cell>
        </row>
        <row r="137">
          <cell r="A137">
            <v>35815</v>
          </cell>
          <cell r="B137" t="str">
            <v>白米</v>
          </cell>
          <cell r="C137">
            <v>30</v>
          </cell>
          <cell r="D137">
            <v>1140</v>
          </cell>
        </row>
        <row r="138">
          <cell r="A138">
            <v>35822</v>
          </cell>
          <cell r="B138" t="str">
            <v>白米</v>
          </cell>
          <cell r="C138">
            <v>24</v>
          </cell>
          <cell r="D138">
            <v>912</v>
          </cell>
        </row>
        <row r="139">
          <cell r="A139">
            <v>35838</v>
          </cell>
          <cell r="B139" t="str">
            <v>白米</v>
          </cell>
          <cell r="C139">
            <v>21</v>
          </cell>
          <cell r="D139">
            <v>798</v>
          </cell>
        </row>
        <row r="140">
          <cell r="A140">
            <v>35845</v>
          </cell>
          <cell r="B140" t="str">
            <v>白米</v>
          </cell>
          <cell r="C140">
            <v>16</v>
          </cell>
          <cell r="D140">
            <v>608</v>
          </cell>
        </row>
        <row r="141">
          <cell r="A141">
            <v>35866</v>
          </cell>
          <cell r="B141" t="str">
            <v>白米</v>
          </cell>
          <cell r="C141">
            <v>18</v>
          </cell>
          <cell r="D141">
            <v>684</v>
          </cell>
        </row>
        <row r="142">
          <cell r="A142">
            <v>35870</v>
          </cell>
          <cell r="B142" t="str">
            <v>白米</v>
          </cell>
          <cell r="C142">
            <v>1</v>
          </cell>
          <cell r="D142">
            <v>38</v>
          </cell>
        </row>
        <row r="143">
          <cell r="A143">
            <v>35874</v>
          </cell>
          <cell r="B143" t="str">
            <v>白米</v>
          </cell>
          <cell r="C143">
            <v>12</v>
          </cell>
          <cell r="D143">
            <v>456</v>
          </cell>
        </row>
        <row r="144">
          <cell r="A144">
            <v>35898</v>
          </cell>
          <cell r="B144" t="str">
            <v>白米</v>
          </cell>
          <cell r="C144">
            <v>5</v>
          </cell>
          <cell r="D144">
            <v>190</v>
          </cell>
        </row>
        <row r="145">
          <cell r="A145">
            <v>35901</v>
          </cell>
          <cell r="B145" t="str">
            <v>白米</v>
          </cell>
          <cell r="C145">
            <v>20</v>
          </cell>
          <cell r="D145">
            <v>760</v>
          </cell>
        </row>
        <row r="146">
          <cell r="A146">
            <v>35254</v>
          </cell>
          <cell r="B146" t="str">
            <v>小米</v>
          </cell>
          <cell r="C146">
            <v>15</v>
          </cell>
          <cell r="D146">
            <v>234</v>
          </cell>
        </row>
        <row r="147">
          <cell r="A147">
            <v>35265</v>
          </cell>
          <cell r="B147" t="str">
            <v>小米</v>
          </cell>
          <cell r="C147">
            <v>50</v>
          </cell>
          <cell r="D147">
            <v>780</v>
          </cell>
        </row>
        <row r="148">
          <cell r="A148">
            <v>35292</v>
          </cell>
          <cell r="B148" t="str">
            <v>小米</v>
          </cell>
          <cell r="C148">
            <v>2</v>
          </cell>
          <cell r="D148">
            <v>31.2</v>
          </cell>
        </row>
        <row r="149">
          <cell r="A149">
            <v>35348</v>
          </cell>
          <cell r="B149" t="str">
            <v>小米</v>
          </cell>
          <cell r="C149">
            <v>16</v>
          </cell>
          <cell r="D149">
            <v>249.6</v>
          </cell>
        </row>
        <row r="150">
          <cell r="A150">
            <v>35384</v>
          </cell>
          <cell r="B150" t="str">
            <v>小米</v>
          </cell>
          <cell r="C150">
            <v>25</v>
          </cell>
          <cell r="D150">
            <v>390</v>
          </cell>
        </row>
        <row r="151">
          <cell r="A151">
            <v>35398</v>
          </cell>
          <cell r="B151" t="str">
            <v>小米</v>
          </cell>
          <cell r="C151">
            <v>25</v>
          </cell>
          <cell r="D151">
            <v>390</v>
          </cell>
        </row>
        <row r="152">
          <cell r="A152">
            <v>35446</v>
          </cell>
          <cell r="B152" t="str">
            <v>小米</v>
          </cell>
          <cell r="C152">
            <v>20</v>
          </cell>
          <cell r="D152">
            <v>312</v>
          </cell>
        </row>
        <row r="153">
          <cell r="A153">
            <v>35467</v>
          </cell>
          <cell r="B153" t="str">
            <v>小米</v>
          </cell>
          <cell r="C153">
            <v>15</v>
          </cell>
          <cell r="D153">
            <v>234</v>
          </cell>
        </row>
        <row r="154">
          <cell r="A154">
            <v>35563</v>
          </cell>
          <cell r="B154" t="str">
            <v>小米</v>
          </cell>
          <cell r="C154">
            <v>5</v>
          </cell>
          <cell r="D154">
            <v>97.5</v>
          </cell>
        </row>
        <row r="155">
          <cell r="A155">
            <v>35605</v>
          </cell>
          <cell r="B155" t="str">
            <v>小米</v>
          </cell>
          <cell r="C155">
            <v>6</v>
          </cell>
          <cell r="D155">
            <v>117</v>
          </cell>
        </row>
        <row r="156">
          <cell r="A156">
            <v>35608</v>
          </cell>
          <cell r="B156" t="str">
            <v>小米</v>
          </cell>
          <cell r="C156">
            <v>4</v>
          </cell>
          <cell r="D156">
            <v>78</v>
          </cell>
        </row>
        <row r="157">
          <cell r="A157">
            <v>35622</v>
          </cell>
          <cell r="B157" t="str">
            <v>小米</v>
          </cell>
          <cell r="C157">
            <v>20</v>
          </cell>
          <cell r="D157">
            <v>390</v>
          </cell>
        </row>
        <row r="158">
          <cell r="A158">
            <v>35719</v>
          </cell>
          <cell r="B158" t="str">
            <v>小米</v>
          </cell>
          <cell r="C158">
            <v>40</v>
          </cell>
          <cell r="D158">
            <v>780</v>
          </cell>
        </row>
        <row r="159">
          <cell r="A159">
            <v>35760</v>
          </cell>
          <cell r="B159" t="str">
            <v>小米</v>
          </cell>
          <cell r="C159">
            <v>14</v>
          </cell>
          <cell r="D159">
            <v>273</v>
          </cell>
        </row>
        <row r="160">
          <cell r="A160">
            <v>35804</v>
          </cell>
          <cell r="B160" t="str">
            <v>小米</v>
          </cell>
          <cell r="C160">
            <v>15</v>
          </cell>
          <cell r="D160">
            <v>292.5</v>
          </cell>
        </row>
        <row r="161">
          <cell r="A161">
            <v>35807</v>
          </cell>
          <cell r="B161" t="str">
            <v>小米</v>
          </cell>
          <cell r="C161">
            <v>15</v>
          </cell>
          <cell r="D161">
            <v>292.5</v>
          </cell>
        </row>
        <row r="162">
          <cell r="A162">
            <v>35811</v>
          </cell>
          <cell r="B162" t="str">
            <v>小米</v>
          </cell>
          <cell r="C162">
            <v>24</v>
          </cell>
          <cell r="D162">
            <v>468</v>
          </cell>
        </row>
        <row r="163">
          <cell r="A163">
            <v>35821</v>
          </cell>
          <cell r="B163" t="str">
            <v>小米</v>
          </cell>
          <cell r="C163">
            <v>10</v>
          </cell>
          <cell r="D163">
            <v>195</v>
          </cell>
        </row>
        <row r="164">
          <cell r="A164">
            <v>35853</v>
          </cell>
          <cell r="B164" t="str">
            <v>小米</v>
          </cell>
          <cell r="C164">
            <v>20</v>
          </cell>
          <cell r="D164">
            <v>390</v>
          </cell>
        </row>
        <row r="165">
          <cell r="A165">
            <v>35860</v>
          </cell>
          <cell r="B165" t="str">
            <v>小米</v>
          </cell>
          <cell r="C165">
            <v>30</v>
          </cell>
          <cell r="D165">
            <v>585</v>
          </cell>
        </row>
        <row r="166">
          <cell r="A166">
            <v>35881</v>
          </cell>
          <cell r="B166" t="str">
            <v>小米</v>
          </cell>
          <cell r="C166">
            <v>15</v>
          </cell>
          <cell r="D166">
            <v>292.5</v>
          </cell>
        </row>
        <row r="167">
          <cell r="A167">
            <v>35906</v>
          </cell>
          <cell r="B167" t="str">
            <v>小米</v>
          </cell>
          <cell r="C167">
            <v>28</v>
          </cell>
          <cell r="D167">
            <v>546</v>
          </cell>
        </row>
        <row r="168">
          <cell r="A168">
            <v>35913</v>
          </cell>
          <cell r="B168" t="str">
            <v>小米</v>
          </cell>
          <cell r="C168">
            <v>20</v>
          </cell>
          <cell r="D168">
            <v>390</v>
          </cell>
        </row>
        <row r="169">
          <cell r="A169">
            <v>35303</v>
          </cell>
          <cell r="B169" t="str">
            <v>黄豆</v>
          </cell>
          <cell r="C169">
            <v>9</v>
          </cell>
          <cell r="D169">
            <v>239.4</v>
          </cell>
        </row>
        <row r="170">
          <cell r="A170">
            <v>35369</v>
          </cell>
          <cell r="B170" t="str">
            <v>黄豆</v>
          </cell>
          <cell r="C170">
            <v>50</v>
          </cell>
          <cell r="D170">
            <v>1330</v>
          </cell>
        </row>
        <row r="171">
          <cell r="A171">
            <v>35398</v>
          </cell>
          <cell r="B171" t="str">
            <v>黄豆</v>
          </cell>
          <cell r="C171">
            <v>35</v>
          </cell>
          <cell r="D171">
            <v>931</v>
          </cell>
        </row>
        <row r="172">
          <cell r="A172">
            <v>35402</v>
          </cell>
          <cell r="B172" t="str">
            <v>黄豆</v>
          </cell>
          <cell r="C172">
            <v>30</v>
          </cell>
          <cell r="D172">
            <v>798</v>
          </cell>
        </row>
        <row r="173">
          <cell r="A173">
            <v>35457</v>
          </cell>
          <cell r="B173" t="str">
            <v>黄豆</v>
          </cell>
          <cell r="C173">
            <v>7</v>
          </cell>
          <cell r="D173">
            <v>186.2</v>
          </cell>
        </row>
        <row r="174">
          <cell r="A174">
            <v>35466</v>
          </cell>
          <cell r="B174" t="str">
            <v>黄豆</v>
          </cell>
          <cell r="C174">
            <v>30</v>
          </cell>
          <cell r="D174">
            <v>798</v>
          </cell>
        </row>
        <row r="175">
          <cell r="A175">
            <v>35468</v>
          </cell>
          <cell r="B175" t="str">
            <v>黄豆</v>
          </cell>
          <cell r="C175">
            <v>6</v>
          </cell>
          <cell r="D175">
            <v>159.6</v>
          </cell>
        </row>
        <row r="176">
          <cell r="A176">
            <v>35480</v>
          </cell>
          <cell r="B176" t="str">
            <v>黄豆</v>
          </cell>
          <cell r="C176">
            <v>35</v>
          </cell>
          <cell r="D176">
            <v>931</v>
          </cell>
        </row>
        <row r="177">
          <cell r="A177">
            <v>35500</v>
          </cell>
          <cell r="B177" t="str">
            <v>黄豆</v>
          </cell>
          <cell r="C177">
            <v>8</v>
          </cell>
          <cell r="D177">
            <v>212.8</v>
          </cell>
        </row>
        <row r="178">
          <cell r="A178">
            <v>35508</v>
          </cell>
          <cell r="B178" t="str">
            <v>黄豆</v>
          </cell>
          <cell r="C178">
            <v>30</v>
          </cell>
          <cell r="D178">
            <v>798</v>
          </cell>
        </row>
        <row r="179">
          <cell r="A179">
            <v>35584</v>
          </cell>
          <cell r="B179" t="str">
            <v>黄豆</v>
          </cell>
          <cell r="C179">
            <v>30</v>
          </cell>
          <cell r="D179">
            <v>997.5</v>
          </cell>
        </row>
        <row r="180">
          <cell r="A180">
            <v>35592</v>
          </cell>
          <cell r="B180" t="str">
            <v>黄豆</v>
          </cell>
          <cell r="C180">
            <v>18</v>
          </cell>
          <cell r="D180">
            <v>598.5</v>
          </cell>
        </row>
        <row r="181">
          <cell r="A181">
            <v>35600</v>
          </cell>
          <cell r="B181" t="str">
            <v>黄豆</v>
          </cell>
          <cell r="C181">
            <v>6</v>
          </cell>
          <cell r="D181">
            <v>199.5</v>
          </cell>
        </row>
        <row r="182">
          <cell r="A182">
            <v>35654</v>
          </cell>
          <cell r="B182" t="str">
            <v>黄豆</v>
          </cell>
          <cell r="C182">
            <v>9</v>
          </cell>
          <cell r="D182">
            <v>299.25</v>
          </cell>
        </row>
        <row r="183">
          <cell r="A183">
            <v>35688</v>
          </cell>
          <cell r="B183" t="str">
            <v>黄豆</v>
          </cell>
          <cell r="C183">
            <v>15</v>
          </cell>
          <cell r="D183">
            <v>498.75</v>
          </cell>
        </row>
        <row r="184">
          <cell r="A184">
            <v>35698</v>
          </cell>
          <cell r="B184" t="str">
            <v>黄豆</v>
          </cell>
          <cell r="C184">
            <v>28</v>
          </cell>
          <cell r="D184">
            <v>931</v>
          </cell>
        </row>
        <row r="185">
          <cell r="A185">
            <v>35761</v>
          </cell>
          <cell r="B185" t="str">
            <v>黄豆</v>
          </cell>
          <cell r="C185">
            <v>24</v>
          </cell>
          <cell r="D185">
            <v>798</v>
          </cell>
        </row>
        <row r="186">
          <cell r="A186">
            <v>35789</v>
          </cell>
          <cell r="B186" t="str">
            <v>黄豆</v>
          </cell>
          <cell r="C186">
            <v>35</v>
          </cell>
          <cell r="D186">
            <v>1163.75</v>
          </cell>
        </row>
        <row r="187">
          <cell r="A187">
            <v>35809</v>
          </cell>
          <cell r="B187" t="str">
            <v>黄豆</v>
          </cell>
          <cell r="C187">
            <v>3</v>
          </cell>
          <cell r="D187">
            <v>99.75</v>
          </cell>
        </row>
        <row r="188">
          <cell r="A188">
            <v>35811</v>
          </cell>
          <cell r="B188" t="str">
            <v>黄豆</v>
          </cell>
          <cell r="C188">
            <v>30</v>
          </cell>
          <cell r="D188">
            <v>997.5</v>
          </cell>
        </row>
        <row r="189">
          <cell r="A189">
            <v>35816</v>
          </cell>
          <cell r="B189" t="str">
            <v>黄豆</v>
          </cell>
          <cell r="C189">
            <v>48</v>
          </cell>
          <cell r="D189">
            <v>1596</v>
          </cell>
        </row>
        <row r="190">
          <cell r="A190">
            <v>35824</v>
          </cell>
          <cell r="B190" t="str">
            <v>黄豆</v>
          </cell>
          <cell r="C190">
            <v>30</v>
          </cell>
          <cell r="D190">
            <v>997.5</v>
          </cell>
        </row>
        <row r="191">
          <cell r="A191">
            <v>35831</v>
          </cell>
          <cell r="B191" t="str">
            <v>黄豆</v>
          </cell>
          <cell r="C191">
            <v>15</v>
          </cell>
          <cell r="D191">
            <v>498.75</v>
          </cell>
        </row>
        <row r="192">
          <cell r="A192">
            <v>35835</v>
          </cell>
          <cell r="B192" t="str">
            <v>黄豆</v>
          </cell>
          <cell r="C192">
            <v>20</v>
          </cell>
          <cell r="D192">
            <v>665</v>
          </cell>
        </row>
        <row r="193">
          <cell r="A193">
            <v>35872</v>
          </cell>
          <cell r="B193" t="str">
            <v>黄豆</v>
          </cell>
          <cell r="C193">
            <v>8</v>
          </cell>
          <cell r="D193">
            <v>266</v>
          </cell>
        </row>
        <row r="194">
          <cell r="A194">
            <v>35877</v>
          </cell>
          <cell r="B194" t="str">
            <v>黄豆</v>
          </cell>
          <cell r="C194">
            <v>4</v>
          </cell>
          <cell r="D194">
            <v>133</v>
          </cell>
        </row>
        <row r="195">
          <cell r="A195">
            <v>35902</v>
          </cell>
          <cell r="B195" t="str">
            <v>黄豆</v>
          </cell>
          <cell r="C195">
            <v>20</v>
          </cell>
          <cell r="D195">
            <v>665</v>
          </cell>
        </row>
        <row r="196">
          <cell r="A196">
            <v>35912</v>
          </cell>
          <cell r="B196" t="str">
            <v>黄豆</v>
          </cell>
          <cell r="C196">
            <v>25</v>
          </cell>
          <cell r="D196">
            <v>831.25</v>
          </cell>
        </row>
        <row r="197">
          <cell r="A197">
            <v>35920</v>
          </cell>
          <cell r="B197" t="str">
            <v>黄豆</v>
          </cell>
          <cell r="C197">
            <v>130</v>
          </cell>
          <cell r="D197">
            <v>4322.5</v>
          </cell>
        </row>
        <row r="198">
          <cell r="A198">
            <v>35921</v>
          </cell>
          <cell r="B198" t="str">
            <v>黄豆</v>
          </cell>
          <cell r="C198">
            <v>2</v>
          </cell>
          <cell r="D198">
            <v>66.5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/>
      <sheetData sheetId="2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3"/>
      <sheetData sheetId="4"/>
      <sheetData sheetId="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/>
      <sheetData sheetId="2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3"/>
      <sheetData sheetId="4"/>
      <sheetData sheetId="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/>
      <sheetData sheetId="2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3"/>
      <sheetData sheetId="4"/>
      <sheetData sheetId="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须知"/>
      <sheetName val="第1题"/>
      <sheetName val="第2题"/>
      <sheetName val="第3题"/>
      <sheetName val="第4题"/>
      <sheetName val="第5题"/>
      <sheetName val="第5题透视表"/>
      <sheetName val="第5题控制"/>
      <sheetName val="第6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须知"/>
      <sheetName val="第1题"/>
      <sheetName val="第2题"/>
      <sheetName val="第3题"/>
      <sheetName val="第4题"/>
      <sheetName val="第5题"/>
      <sheetName val="第5题透视表"/>
      <sheetName val="第5题控制"/>
      <sheetName val="第6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须知"/>
      <sheetName val="第1题"/>
      <sheetName val="第2题"/>
      <sheetName val="第3题"/>
      <sheetName val="第4题"/>
      <sheetName val="第5题"/>
      <sheetName val="第5题透视表"/>
      <sheetName val="第5题控制"/>
      <sheetName val="第6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the simulation model"/>
      <sheetName val="ProbTable"/>
      <sheetName val="Simulation"/>
      <sheetName val="Simulation (2)"/>
    </sheetNames>
    <sheetDataSet>
      <sheetData sheetId="0" refreshError="1"/>
      <sheetData sheetId="1" refreshError="1"/>
      <sheetData sheetId="2" refreshError="1"/>
      <sheetData sheetId="3">
        <row r="3">
          <cell r="D3">
            <v>3800</v>
          </cell>
          <cell r="K3">
            <v>3640.6</v>
          </cell>
          <cell r="L3">
            <v>996.6</v>
          </cell>
          <cell r="M3">
            <v>113.4</v>
          </cell>
          <cell r="N3">
            <v>156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the simulation model"/>
      <sheetName val="ProbTable"/>
      <sheetName val="Simulation"/>
      <sheetName val="Simulation (2)"/>
    </sheetNames>
    <sheetDataSet>
      <sheetData sheetId="0" refreshError="1"/>
      <sheetData sheetId="1" refreshError="1"/>
      <sheetData sheetId="2" refreshError="1"/>
      <sheetData sheetId="3">
        <row r="3">
          <cell r="D3">
            <v>3800</v>
          </cell>
          <cell r="K3">
            <v>3640.6</v>
          </cell>
          <cell r="L3">
            <v>996.6</v>
          </cell>
          <cell r="M3">
            <v>113.4</v>
          </cell>
          <cell r="N3">
            <v>156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the simulation model"/>
      <sheetName val="ProbTable"/>
      <sheetName val="Simulation"/>
      <sheetName val="Simulation (2)"/>
    </sheetNames>
    <sheetDataSet>
      <sheetData sheetId="0" refreshError="1"/>
      <sheetData sheetId="1" refreshError="1"/>
      <sheetData sheetId="2" refreshError="1"/>
      <sheetData sheetId="3">
        <row r="3">
          <cell r="D3">
            <v>3800</v>
          </cell>
          <cell r="K3">
            <v>3640.6</v>
          </cell>
          <cell r="L3">
            <v>996.6</v>
          </cell>
          <cell r="M3">
            <v>113.4</v>
          </cell>
          <cell r="N3">
            <v>156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须知"/>
      <sheetName val="第1题"/>
      <sheetName val="第2题"/>
      <sheetName val="第3题"/>
      <sheetName val="第4题"/>
      <sheetName val="第5题"/>
      <sheetName val="第6题"/>
      <sheetName val="第7题"/>
      <sheetName val="第8题"/>
    </sheetNames>
    <sheetDataSet>
      <sheetData sheetId="0" refreshError="1"/>
      <sheetData sheetId="1" refreshError="1"/>
      <sheetData sheetId="2">
        <row r="1">
          <cell r="A1" t="str">
            <v>日期</v>
          </cell>
          <cell r="B1" t="str">
            <v>省份</v>
          </cell>
          <cell r="C1" t="str">
            <v>类别</v>
          </cell>
          <cell r="D1" t="str">
            <v>净销售额</v>
          </cell>
        </row>
        <row r="2">
          <cell r="A2">
            <v>34335</v>
          </cell>
          <cell r="B2" t="str">
            <v>山东</v>
          </cell>
          <cell r="C2" t="str">
            <v>艺术品</v>
          </cell>
          <cell r="D2">
            <v>17</v>
          </cell>
          <cell r="I2" t="str">
            <v>日期</v>
          </cell>
          <cell r="J2" t="str">
            <v>日期</v>
          </cell>
          <cell r="K2" t="str">
            <v>类别</v>
          </cell>
          <cell r="L2" t="str">
            <v>省份</v>
          </cell>
        </row>
        <row r="3">
          <cell r="A3">
            <v>34335</v>
          </cell>
          <cell r="B3" t="str">
            <v>山东</v>
          </cell>
          <cell r="C3" t="str">
            <v>艺术品</v>
          </cell>
          <cell r="D3">
            <v>90</v>
          </cell>
          <cell r="I3" t="str">
            <v>&gt;=1996/1/1</v>
          </cell>
          <cell r="J3" t="str">
            <v>&lt;=1996/12/31</v>
          </cell>
          <cell r="K3" t="str">
            <v/>
          </cell>
          <cell r="L3" t="str">
            <v>山东</v>
          </cell>
        </row>
        <row r="4">
          <cell r="A4">
            <v>34335</v>
          </cell>
          <cell r="B4" t="str">
            <v>山东</v>
          </cell>
          <cell r="C4" t="str">
            <v>艺术品</v>
          </cell>
          <cell r="D4">
            <v>69</v>
          </cell>
        </row>
        <row r="5">
          <cell r="A5">
            <v>34335</v>
          </cell>
          <cell r="B5" t="str">
            <v>山东</v>
          </cell>
          <cell r="C5" t="str">
            <v>艺术品</v>
          </cell>
          <cell r="D5">
            <v>68</v>
          </cell>
        </row>
        <row r="6">
          <cell r="A6">
            <v>34335</v>
          </cell>
          <cell r="B6" t="str">
            <v>山东</v>
          </cell>
          <cell r="C6" t="str">
            <v>自行车</v>
          </cell>
          <cell r="D6">
            <v>99</v>
          </cell>
        </row>
        <row r="7">
          <cell r="A7">
            <v>34335</v>
          </cell>
          <cell r="B7" t="str">
            <v>山东</v>
          </cell>
          <cell r="C7" t="str">
            <v>自行车</v>
          </cell>
          <cell r="D7">
            <v>70</v>
          </cell>
        </row>
        <row r="8">
          <cell r="A8">
            <v>34335</v>
          </cell>
          <cell r="B8" t="str">
            <v>山东</v>
          </cell>
          <cell r="C8" t="str">
            <v>自行车</v>
          </cell>
          <cell r="D8">
            <v>77</v>
          </cell>
        </row>
        <row r="9">
          <cell r="A9">
            <v>34335</v>
          </cell>
          <cell r="B9" t="str">
            <v>山东</v>
          </cell>
          <cell r="C9" t="str">
            <v>自行车</v>
          </cell>
          <cell r="D9">
            <v>79</v>
          </cell>
        </row>
        <row r="10">
          <cell r="A10">
            <v>34335</v>
          </cell>
          <cell r="B10" t="str">
            <v>山东</v>
          </cell>
          <cell r="C10" t="str">
            <v>服装</v>
          </cell>
          <cell r="D10">
            <v>61</v>
          </cell>
        </row>
        <row r="11">
          <cell r="A11">
            <v>34335</v>
          </cell>
          <cell r="B11" t="str">
            <v>山东</v>
          </cell>
          <cell r="C11" t="str">
            <v>服装</v>
          </cell>
          <cell r="D11">
            <v>110</v>
          </cell>
        </row>
        <row r="12">
          <cell r="A12">
            <v>34335</v>
          </cell>
          <cell r="B12" t="str">
            <v>山东</v>
          </cell>
          <cell r="C12" t="str">
            <v>服装</v>
          </cell>
          <cell r="D12">
            <v>113</v>
          </cell>
        </row>
        <row r="13">
          <cell r="A13">
            <v>34335</v>
          </cell>
          <cell r="B13" t="str">
            <v>山东</v>
          </cell>
          <cell r="C13" t="str">
            <v>服装</v>
          </cell>
          <cell r="D13">
            <v>68</v>
          </cell>
        </row>
        <row r="14">
          <cell r="A14">
            <v>34335</v>
          </cell>
          <cell r="B14" t="str">
            <v>山东</v>
          </cell>
          <cell r="C14" t="str">
            <v>服装</v>
          </cell>
          <cell r="D14">
            <v>63</v>
          </cell>
        </row>
        <row r="15">
          <cell r="A15">
            <v>34335</v>
          </cell>
          <cell r="B15" t="str">
            <v>山东</v>
          </cell>
          <cell r="C15" t="str">
            <v>食品</v>
          </cell>
          <cell r="D15">
            <v>158</v>
          </cell>
        </row>
        <row r="16">
          <cell r="A16">
            <v>34335</v>
          </cell>
          <cell r="B16" t="str">
            <v>山东</v>
          </cell>
          <cell r="C16" t="str">
            <v>食品</v>
          </cell>
          <cell r="D16">
            <v>79</v>
          </cell>
        </row>
        <row r="17">
          <cell r="A17">
            <v>34335</v>
          </cell>
          <cell r="B17" t="str">
            <v>山东</v>
          </cell>
          <cell r="C17" t="str">
            <v>食品</v>
          </cell>
          <cell r="D17">
            <v>53</v>
          </cell>
        </row>
        <row r="18">
          <cell r="A18">
            <v>34335</v>
          </cell>
          <cell r="B18" t="str">
            <v>山东</v>
          </cell>
          <cell r="C18" t="str">
            <v>食品</v>
          </cell>
          <cell r="D18">
            <v>175</v>
          </cell>
        </row>
        <row r="19">
          <cell r="A19">
            <v>34366</v>
          </cell>
          <cell r="B19" t="str">
            <v>山东</v>
          </cell>
          <cell r="C19" t="str">
            <v>艺术品</v>
          </cell>
          <cell r="D19">
            <v>83</v>
          </cell>
        </row>
        <row r="20">
          <cell r="A20">
            <v>34366</v>
          </cell>
          <cell r="B20" t="str">
            <v>山东</v>
          </cell>
          <cell r="C20" t="str">
            <v>艺术品</v>
          </cell>
          <cell r="D20">
            <v>79</v>
          </cell>
        </row>
        <row r="21">
          <cell r="A21">
            <v>34366</v>
          </cell>
          <cell r="B21" t="str">
            <v>山东</v>
          </cell>
          <cell r="C21" t="str">
            <v>艺术品</v>
          </cell>
          <cell r="D21">
            <v>28</v>
          </cell>
        </row>
        <row r="22">
          <cell r="A22">
            <v>34366</v>
          </cell>
          <cell r="B22" t="str">
            <v>山东</v>
          </cell>
          <cell r="C22" t="str">
            <v>艺术品</v>
          </cell>
          <cell r="D22">
            <v>122</v>
          </cell>
        </row>
        <row r="23">
          <cell r="A23">
            <v>34366</v>
          </cell>
          <cell r="B23" t="str">
            <v>山东</v>
          </cell>
          <cell r="C23" t="str">
            <v>自行车</v>
          </cell>
          <cell r="D23">
            <v>105</v>
          </cell>
        </row>
        <row r="24">
          <cell r="A24">
            <v>34366</v>
          </cell>
          <cell r="B24" t="str">
            <v>山东</v>
          </cell>
          <cell r="C24" t="str">
            <v>自行车</v>
          </cell>
          <cell r="D24">
            <v>112</v>
          </cell>
        </row>
        <row r="25">
          <cell r="A25">
            <v>34366</v>
          </cell>
          <cell r="B25" t="str">
            <v>山东</v>
          </cell>
          <cell r="C25" t="str">
            <v>自行车</v>
          </cell>
          <cell r="D25">
            <v>113</v>
          </cell>
        </row>
        <row r="26">
          <cell r="A26">
            <v>34366</v>
          </cell>
          <cell r="B26" t="str">
            <v>山东</v>
          </cell>
          <cell r="C26" t="str">
            <v>自行车</v>
          </cell>
          <cell r="D26">
            <v>99</v>
          </cell>
        </row>
        <row r="27">
          <cell r="A27">
            <v>34366</v>
          </cell>
          <cell r="B27" t="str">
            <v>山东</v>
          </cell>
          <cell r="C27" t="str">
            <v>服装</v>
          </cell>
          <cell r="D27">
            <v>88</v>
          </cell>
        </row>
        <row r="28">
          <cell r="A28">
            <v>34366</v>
          </cell>
          <cell r="B28" t="str">
            <v>山东</v>
          </cell>
          <cell r="C28" t="str">
            <v>服装</v>
          </cell>
          <cell r="D28">
            <v>70</v>
          </cell>
        </row>
        <row r="29">
          <cell r="A29">
            <v>34366</v>
          </cell>
          <cell r="B29" t="str">
            <v>山东</v>
          </cell>
          <cell r="C29" t="str">
            <v>服装</v>
          </cell>
          <cell r="D29">
            <v>99</v>
          </cell>
        </row>
        <row r="30">
          <cell r="A30">
            <v>34366</v>
          </cell>
          <cell r="B30" t="str">
            <v>山东</v>
          </cell>
          <cell r="C30" t="str">
            <v>服装</v>
          </cell>
          <cell r="D30">
            <v>90</v>
          </cell>
        </row>
        <row r="31">
          <cell r="A31">
            <v>34366</v>
          </cell>
          <cell r="B31" t="str">
            <v>山东</v>
          </cell>
          <cell r="C31" t="str">
            <v>服装</v>
          </cell>
          <cell r="D31">
            <v>179</v>
          </cell>
        </row>
        <row r="32">
          <cell r="A32">
            <v>34366</v>
          </cell>
          <cell r="B32" t="str">
            <v>山东</v>
          </cell>
          <cell r="C32" t="str">
            <v>食品</v>
          </cell>
          <cell r="D32">
            <v>101</v>
          </cell>
        </row>
        <row r="33">
          <cell r="A33">
            <v>34366</v>
          </cell>
          <cell r="B33" t="str">
            <v>山东</v>
          </cell>
          <cell r="C33" t="str">
            <v>食品</v>
          </cell>
          <cell r="D33">
            <v>175</v>
          </cell>
        </row>
        <row r="34">
          <cell r="A34">
            <v>34366</v>
          </cell>
          <cell r="B34" t="str">
            <v>山东</v>
          </cell>
          <cell r="C34" t="str">
            <v>食品</v>
          </cell>
          <cell r="D34">
            <v>158</v>
          </cell>
        </row>
        <row r="35">
          <cell r="A35">
            <v>34366</v>
          </cell>
          <cell r="B35" t="str">
            <v>山东</v>
          </cell>
          <cell r="C35" t="str">
            <v>食品</v>
          </cell>
          <cell r="D35">
            <v>61</v>
          </cell>
        </row>
        <row r="36">
          <cell r="A36">
            <v>34394</v>
          </cell>
          <cell r="B36" t="str">
            <v>山东</v>
          </cell>
          <cell r="C36" t="str">
            <v>艺术品</v>
          </cell>
          <cell r="D36">
            <v>55</v>
          </cell>
        </row>
        <row r="37">
          <cell r="A37">
            <v>34394</v>
          </cell>
          <cell r="B37" t="str">
            <v>山东</v>
          </cell>
          <cell r="C37" t="str">
            <v>艺术品</v>
          </cell>
          <cell r="D37">
            <v>138</v>
          </cell>
        </row>
        <row r="38">
          <cell r="A38">
            <v>34394</v>
          </cell>
          <cell r="B38" t="str">
            <v>安徽</v>
          </cell>
          <cell r="C38" t="str">
            <v>艺术品</v>
          </cell>
          <cell r="D38">
            <v>2738</v>
          </cell>
        </row>
        <row r="39">
          <cell r="A39">
            <v>34394</v>
          </cell>
          <cell r="B39" t="str">
            <v>山东</v>
          </cell>
          <cell r="C39" t="str">
            <v>艺术品</v>
          </cell>
          <cell r="D39">
            <v>169</v>
          </cell>
        </row>
        <row r="40">
          <cell r="A40">
            <v>34394</v>
          </cell>
          <cell r="B40" t="str">
            <v>安徽</v>
          </cell>
          <cell r="C40" t="str">
            <v>艺术品</v>
          </cell>
          <cell r="D40">
            <v>1682</v>
          </cell>
        </row>
        <row r="41">
          <cell r="A41">
            <v>34394</v>
          </cell>
          <cell r="B41" t="str">
            <v>山东</v>
          </cell>
          <cell r="C41" t="str">
            <v>艺术品</v>
          </cell>
          <cell r="D41">
            <v>203</v>
          </cell>
        </row>
        <row r="42">
          <cell r="A42">
            <v>34394</v>
          </cell>
          <cell r="B42" t="str">
            <v>山东</v>
          </cell>
          <cell r="C42" t="str">
            <v>自行车</v>
          </cell>
          <cell r="D42">
            <v>140</v>
          </cell>
        </row>
        <row r="43">
          <cell r="A43">
            <v>34394</v>
          </cell>
          <cell r="B43" t="str">
            <v>安徽</v>
          </cell>
          <cell r="C43" t="str">
            <v>自行车</v>
          </cell>
          <cell r="D43">
            <v>101</v>
          </cell>
        </row>
        <row r="44">
          <cell r="A44">
            <v>34394</v>
          </cell>
          <cell r="B44" t="str">
            <v>山东</v>
          </cell>
          <cell r="C44" t="str">
            <v>自行车</v>
          </cell>
          <cell r="D44">
            <v>53</v>
          </cell>
        </row>
        <row r="45">
          <cell r="A45">
            <v>34394</v>
          </cell>
          <cell r="B45" t="str">
            <v>安徽</v>
          </cell>
          <cell r="C45" t="str">
            <v>自行车</v>
          </cell>
          <cell r="D45">
            <v>61</v>
          </cell>
        </row>
        <row r="46">
          <cell r="A46">
            <v>34394</v>
          </cell>
          <cell r="B46" t="str">
            <v>山东</v>
          </cell>
          <cell r="C46" t="str">
            <v>自行车</v>
          </cell>
          <cell r="D46">
            <v>101</v>
          </cell>
        </row>
        <row r="47">
          <cell r="A47">
            <v>34394</v>
          </cell>
          <cell r="B47" t="str">
            <v>山东</v>
          </cell>
          <cell r="C47" t="str">
            <v>自行车</v>
          </cell>
          <cell r="D47">
            <v>90</v>
          </cell>
        </row>
        <row r="48">
          <cell r="A48">
            <v>34394</v>
          </cell>
          <cell r="B48" t="str">
            <v>山东</v>
          </cell>
          <cell r="C48" t="str">
            <v>服装</v>
          </cell>
          <cell r="D48">
            <v>210</v>
          </cell>
        </row>
        <row r="49">
          <cell r="A49">
            <v>34394</v>
          </cell>
          <cell r="B49" t="str">
            <v>山东</v>
          </cell>
          <cell r="C49" t="str">
            <v>服装</v>
          </cell>
          <cell r="D49">
            <v>113</v>
          </cell>
        </row>
        <row r="50">
          <cell r="A50">
            <v>34394</v>
          </cell>
          <cell r="B50" t="str">
            <v>山东</v>
          </cell>
          <cell r="C50" t="str">
            <v>服装</v>
          </cell>
          <cell r="D50">
            <v>179</v>
          </cell>
        </row>
        <row r="51">
          <cell r="A51">
            <v>34394</v>
          </cell>
          <cell r="B51" t="str">
            <v>山东</v>
          </cell>
          <cell r="C51" t="str">
            <v>服装</v>
          </cell>
          <cell r="D51">
            <v>90</v>
          </cell>
        </row>
        <row r="52">
          <cell r="A52">
            <v>34394</v>
          </cell>
          <cell r="B52" t="str">
            <v>山东</v>
          </cell>
          <cell r="C52" t="str">
            <v>服装</v>
          </cell>
          <cell r="D52">
            <v>77</v>
          </cell>
        </row>
        <row r="53">
          <cell r="A53">
            <v>34394</v>
          </cell>
          <cell r="B53" t="str">
            <v>安徽</v>
          </cell>
          <cell r="C53" t="str">
            <v>食品</v>
          </cell>
          <cell r="D53">
            <v>113</v>
          </cell>
        </row>
        <row r="54">
          <cell r="A54">
            <v>34394</v>
          </cell>
          <cell r="B54" t="str">
            <v>山东</v>
          </cell>
          <cell r="C54" t="str">
            <v>食品</v>
          </cell>
          <cell r="D54">
            <v>180</v>
          </cell>
        </row>
        <row r="55">
          <cell r="A55">
            <v>34394</v>
          </cell>
          <cell r="B55" t="str">
            <v>山东</v>
          </cell>
          <cell r="C55" t="str">
            <v>食品</v>
          </cell>
          <cell r="D55">
            <v>113</v>
          </cell>
        </row>
        <row r="56">
          <cell r="A56">
            <v>34394</v>
          </cell>
          <cell r="B56" t="str">
            <v>山东</v>
          </cell>
          <cell r="C56" t="str">
            <v>食品</v>
          </cell>
          <cell r="D56">
            <v>114</v>
          </cell>
        </row>
        <row r="57">
          <cell r="A57">
            <v>34394</v>
          </cell>
          <cell r="B57" t="str">
            <v>安徽</v>
          </cell>
          <cell r="C57" t="str">
            <v>食品</v>
          </cell>
          <cell r="D57">
            <v>149</v>
          </cell>
        </row>
        <row r="58">
          <cell r="A58">
            <v>34394</v>
          </cell>
          <cell r="B58" t="str">
            <v>山东</v>
          </cell>
          <cell r="C58" t="str">
            <v>食品</v>
          </cell>
          <cell r="D58">
            <v>140</v>
          </cell>
        </row>
        <row r="59">
          <cell r="A59">
            <v>34425</v>
          </cell>
          <cell r="B59" t="str">
            <v>山东</v>
          </cell>
          <cell r="C59" t="str">
            <v>艺术品</v>
          </cell>
          <cell r="D59">
            <v>206</v>
          </cell>
        </row>
        <row r="60">
          <cell r="A60">
            <v>34425</v>
          </cell>
          <cell r="B60" t="str">
            <v>安徽</v>
          </cell>
          <cell r="C60" t="str">
            <v>艺术品</v>
          </cell>
          <cell r="D60">
            <v>1968</v>
          </cell>
        </row>
        <row r="61">
          <cell r="A61">
            <v>34425</v>
          </cell>
          <cell r="B61" t="str">
            <v>安徽</v>
          </cell>
          <cell r="C61" t="str">
            <v>艺术品</v>
          </cell>
          <cell r="D61">
            <v>3850</v>
          </cell>
        </row>
        <row r="62">
          <cell r="A62">
            <v>34425</v>
          </cell>
          <cell r="B62" t="str">
            <v>山东</v>
          </cell>
          <cell r="C62" t="str">
            <v>艺术品</v>
          </cell>
          <cell r="D62">
            <v>180</v>
          </cell>
        </row>
        <row r="63">
          <cell r="A63">
            <v>34425</v>
          </cell>
          <cell r="B63" t="str">
            <v>山东</v>
          </cell>
          <cell r="C63" t="str">
            <v>艺术品</v>
          </cell>
          <cell r="D63">
            <v>158</v>
          </cell>
        </row>
        <row r="64">
          <cell r="A64">
            <v>34425</v>
          </cell>
          <cell r="B64" t="str">
            <v>山东</v>
          </cell>
          <cell r="C64" t="str">
            <v>艺术品</v>
          </cell>
          <cell r="D64">
            <v>110</v>
          </cell>
        </row>
        <row r="65">
          <cell r="A65">
            <v>34425</v>
          </cell>
          <cell r="B65" t="str">
            <v>山东</v>
          </cell>
          <cell r="C65" t="str">
            <v>自行车</v>
          </cell>
          <cell r="D65">
            <v>113</v>
          </cell>
        </row>
        <row r="66">
          <cell r="A66">
            <v>34425</v>
          </cell>
          <cell r="B66" t="str">
            <v>安徽</v>
          </cell>
          <cell r="C66" t="str">
            <v>自行车</v>
          </cell>
          <cell r="D66">
            <v>113</v>
          </cell>
        </row>
        <row r="67">
          <cell r="A67">
            <v>34425</v>
          </cell>
          <cell r="B67" t="str">
            <v>山东</v>
          </cell>
          <cell r="C67" t="str">
            <v>自行车</v>
          </cell>
          <cell r="D67">
            <v>113</v>
          </cell>
        </row>
        <row r="68">
          <cell r="A68">
            <v>34425</v>
          </cell>
          <cell r="B68" t="str">
            <v>山东</v>
          </cell>
          <cell r="C68" t="str">
            <v>自行车</v>
          </cell>
          <cell r="D68">
            <v>44</v>
          </cell>
        </row>
        <row r="69">
          <cell r="A69">
            <v>34425</v>
          </cell>
          <cell r="B69" t="str">
            <v>安徽</v>
          </cell>
          <cell r="C69" t="str">
            <v>自行车</v>
          </cell>
          <cell r="D69">
            <v>44</v>
          </cell>
        </row>
        <row r="70">
          <cell r="A70">
            <v>34425</v>
          </cell>
          <cell r="B70" t="str">
            <v>山东</v>
          </cell>
          <cell r="C70" t="str">
            <v>自行车</v>
          </cell>
          <cell r="D70">
            <v>221</v>
          </cell>
        </row>
        <row r="71">
          <cell r="A71">
            <v>34425</v>
          </cell>
          <cell r="B71" t="str">
            <v>山东</v>
          </cell>
          <cell r="C71" t="str">
            <v>服装</v>
          </cell>
          <cell r="D71">
            <v>442</v>
          </cell>
        </row>
        <row r="72">
          <cell r="A72">
            <v>34425</v>
          </cell>
          <cell r="B72" t="str">
            <v>山东</v>
          </cell>
          <cell r="C72" t="str">
            <v>服装</v>
          </cell>
          <cell r="D72">
            <v>193</v>
          </cell>
        </row>
        <row r="73">
          <cell r="A73">
            <v>34425</v>
          </cell>
          <cell r="B73" t="str">
            <v>山东</v>
          </cell>
          <cell r="C73" t="str">
            <v>服装</v>
          </cell>
          <cell r="D73">
            <v>59</v>
          </cell>
        </row>
        <row r="74">
          <cell r="A74">
            <v>34425</v>
          </cell>
          <cell r="B74" t="str">
            <v>山东</v>
          </cell>
          <cell r="C74" t="str">
            <v>服装</v>
          </cell>
          <cell r="D74">
            <v>79</v>
          </cell>
        </row>
        <row r="75">
          <cell r="A75">
            <v>34425</v>
          </cell>
          <cell r="B75" t="str">
            <v>山东</v>
          </cell>
          <cell r="C75" t="str">
            <v>服装</v>
          </cell>
          <cell r="D75">
            <v>70</v>
          </cell>
        </row>
        <row r="76">
          <cell r="A76">
            <v>34425</v>
          </cell>
          <cell r="B76" t="str">
            <v>山东</v>
          </cell>
          <cell r="C76" t="str">
            <v>食品</v>
          </cell>
          <cell r="D76">
            <v>123</v>
          </cell>
        </row>
        <row r="77">
          <cell r="A77">
            <v>34425</v>
          </cell>
          <cell r="B77" t="str">
            <v>安徽</v>
          </cell>
          <cell r="C77" t="str">
            <v>食品</v>
          </cell>
          <cell r="D77">
            <v>146</v>
          </cell>
        </row>
        <row r="78">
          <cell r="A78">
            <v>34425</v>
          </cell>
          <cell r="B78" t="str">
            <v>山东</v>
          </cell>
          <cell r="C78" t="str">
            <v>食品</v>
          </cell>
          <cell r="D78">
            <v>146</v>
          </cell>
        </row>
        <row r="79">
          <cell r="A79">
            <v>34425</v>
          </cell>
          <cell r="B79" t="str">
            <v>安徽</v>
          </cell>
          <cell r="C79" t="str">
            <v>食品</v>
          </cell>
          <cell r="D79">
            <v>131</v>
          </cell>
        </row>
        <row r="80">
          <cell r="A80">
            <v>34425</v>
          </cell>
          <cell r="B80" t="str">
            <v>山东</v>
          </cell>
          <cell r="C80" t="str">
            <v>食品</v>
          </cell>
          <cell r="D80">
            <v>158</v>
          </cell>
        </row>
        <row r="81">
          <cell r="A81">
            <v>34425</v>
          </cell>
          <cell r="B81" t="str">
            <v>山东</v>
          </cell>
          <cell r="C81" t="str">
            <v>食品</v>
          </cell>
          <cell r="D81">
            <v>180</v>
          </cell>
        </row>
        <row r="82">
          <cell r="A82">
            <v>34455</v>
          </cell>
          <cell r="B82" t="str">
            <v>安徽</v>
          </cell>
          <cell r="C82" t="str">
            <v>艺术品</v>
          </cell>
          <cell r="D82">
            <v>2172</v>
          </cell>
        </row>
        <row r="83">
          <cell r="A83">
            <v>34455</v>
          </cell>
          <cell r="B83" t="str">
            <v>山东</v>
          </cell>
          <cell r="C83" t="str">
            <v>艺术品</v>
          </cell>
          <cell r="D83">
            <v>194</v>
          </cell>
        </row>
        <row r="84">
          <cell r="A84">
            <v>34455</v>
          </cell>
          <cell r="B84" t="str">
            <v>山东</v>
          </cell>
          <cell r="C84" t="str">
            <v>艺术品</v>
          </cell>
          <cell r="D84">
            <v>259</v>
          </cell>
        </row>
        <row r="85">
          <cell r="A85">
            <v>34455</v>
          </cell>
          <cell r="B85" t="str">
            <v>山东</v>
          </cell>
          <cell r="C85" t="str">
            <v>艺术品</v>
          </cell>
          <cell r="D85">
            <v>193</v>
          </cell>
        </row>
        <row r="86">
          <cell r="A86">
            <v>34455</v>
          </cell>
          <cell r="B86" t="str">
            <v>山东</v>
          </cell>
          <cell r="C86" t="str">
            <v>艺术品</v>
          </cell>
          <cell r="D86">
            <v>154</v>
          </cell>
        </row>
        <row r="87">
          <cell r="A87">
            <v>34455</v>
          </cell>
          <cell r="B87" t="str">
            <v>安徽</v>
          </cell>
          <cell r="C87" t="str">
            <v>艺术品</v>
          </cell>
          <cell r="D87">
            <v>1804</v>
          </cell>
        </row>
        <row r="88">
          <cell r="A88">
            <v>34455</v>
          </cell>
          <cell r="B88" t="str">
            <v>山东</v>
          </cell>
          <cell r="C88" t="str">
            <v>自行车</v>
          </cell>
          <cell r="D88">
            <v>308</v>
          </cell>
        </row>
        <row r="89">
          <cell r="A89">
            <v>34455</v>
          </cell>
          <cell r="B89" t="str">
            <v>山东</v>
          </cell>
          <cell r="C89" t="str">
            <v>自行车</v>
          </cell>
          <cell r="D89">
            <v>18</v>
          </cell>
        </row>
        <row r="90">
          <cell r="A90">
            <v>34455</v>
          </cell>
          <cell r="B90" t="str">
            <v>山东</v>
          </cell>
          <cell r="C90" t="str">
            <v>自行车</v>
          </cell>
          <cell r="D90">
            <v>104</v>
          </cell>
        </row>
        <row r="91">
          <cell r="A91">
            <v>34455</v>
          </cell>
          <cell r="B91" t="str">
            <v>安徽</v>
          </cell>
          <cell r="C91" t="str">
            <v>自行车</v>
          </cell>
          <cell r="D91">
            <v>53</v>
          </cell>
        </row>
        <row r="92">
          <cell r="A92">
            <v>34455</v>
          </cell>
          <cell r="B92" t="str">
            <v>安徽</v>
          </cell>
          <cell r="C92" t="str">
            <v>自行车</v>
          </cell>
          <cell r="D92">
            <v>79</v>
          </cell>
        </row>
        <row r="93">
          <cell r="A93">
            <v>34455</v>
          </cell>
          <cell r="B93" t="str">
            <v>山东</v>
          </cell>
          <cell r="C93" t="str">
            <v>自行车</v>
          </cell>
          <cell r="D93">
            <v>135</v>
          </cell>
        </row>
        <row r="94">
          <cell r="A94">
            <v>34455</v>
          </cell>
          <cell r="B94" t="str">
            <v>山东</v>
          </cell>
          <cell r="C94" t="str">
            <v>服装</v>
          </cell>
          <cell r="D94">
            <v>385</v>
          </cell>
        </row>
        <row r="95">
          <cell r="A95">
            <v>34455</v>
          </cell>
          <cell r="B95" t="str">
            <v>山东</v>
          </cell>
          <cell r="C95" t="str">
            <v>服装</v>
          </cell>
          <cell r="D95">
            <v>81</v>
          </cell>
        </row>
        <row r="96">
          <cell r="A96">
            <v>34455</v>
          </cell>
          <cell r="B96" t="str">
            <v>山东</v>
          </cell>
          <cell r="C96" t="str">
            <v>服装</v>
          </cell>
          <cell r="D96">
            <v>371</v>
          </cell>
        </row>
        <row r="97">
          <cell r="A97">
            <v>34455</v>
          </cell>
          <cell r="B97" t="str">
            <v>山东</v>
          </cell>
          <cell r="C97" t="str">
            <v>服装</v>
          </cell>
          <cell r="D97">
            <v>90</v>
          </cell>
        </row>
        <row r="98">
          <cell r="A98">
            <v>34455</v>
          </cell>
          <cell r="B98" t="str">
            <v>山东</v>
          </cell>
          <cell r="C98" t="str">
            <v>服装</v>
          </cell>
          <cell r="D98">
            <v>53</v>
          </cell>
        </row>
        <row r="99">
          <cell r="A99">
            <v>34455</v>
          </cell>
          <cell r="B99" t="str">
            <v>山东</v>
          </cell>
          <cell r="C99" t="str">
            <v>食品</v>
          </cell>
          <cell r="D99">
            <v>114</v>
          </cell>
        </row>
        <row r="100">
          <cell r="A100">
            <v>34455</v>
          </cell>
          <cell r="B100" t="str">
            <v>山东</v>
          </cell>
          <cell r="C100" t="str">
            <v>食品</v>
          </cell>
          <cell r="D100">
            <v>225</v>
          </cell>
        </row>
        <row r="101">
          <cell r="A101">
            <v>34455</v>
          </cell>
          <cell r="B101" t="str">
            <v>山东</v>
          </cell>
          <cell r="C101" t="str">
            <v>食品</v>
          </cell>
          <cell r="D101">
            <v>146</v>
          </cell>
        </row>
        <row r="102">
          <cell r="A102">
            <v>34455</v>
          </cell>
          <cell r="B102" t="str">
            <v>山东</v>
          </cell>
          <cell r="C102" t="str">
            <v>食品</v>
          </cell>
          <cell r="D102">
            <v>158</v>
          </cell>
        </row>
        <row r="103">
          <cell r="A103">
            <v>34455</v>
          </cell>
          <cell r="B103" t="str">
            <v>安徽</v>
          </cell>
          <cell r="C103" t="str">
            <v>食品</v>
          </cell>
          <cell r="D103">
            <v>169</v>
          </cell>
        </row>
        <row r="104">
          <cell r="A104">
            <v>34455</v>
          </cell>
          <cell r="B104" t="str">
            <v>安徽</v>
          </cell>
          <cell r="C104" t="str">
            <v>食品</v>
          </cell>
          <cell r="D104">
            <v>123</v>
          </cell>
        </row>
        <row r="105">
          <cell r="A105">
            <v>34455</v>
          </cell>
          <cell r="B105" t="str">
            <v>山东</v>
          </cell>
          <cell r="C105" t="str">
            <v>儿童用品</v>
          </cell>
          <cell r="D105">
            <v>360</v>
          </cell>
        </row>
        <row r="106">
          <cell r="A106">
            <v>34455</v>
          </cell>
          <cell r="B106" t="str">
            <v>安徽</v>
          </cell>
          <cell r="C106" t="str">
            <v>儿童用品</v>
          </cell>
          <cell r="D106">
            <v>113</v>
          </cell>
        </row>
        <row r="107">
          <cell r="A107">
            <v>34455</v>
          </cell>
          <cell r="B107" t="str">
            <v>山东</v>
          </cell>
          <cell r="C107" t="str">
            <v>儿童用品</v>
          </cell>
          <cell r="D107">
            <v>406</v>
          </cell>
        </row>
        <row r="108">
          <cell r="A108">
            <v>34455</v>
          </cell>
          <cell r="B108" t="str">
            <v>山东</v>
          </cell>
          <cell r="C108" t="str">
            <v>儿童用品</v>
          </cell>
          <cell r="D108">
            <v>90</v>
          </cell>
        </row>
        <row r="109">
          <cell r="A109">
            <v>34455</v>
          </cell>
          <cell r="B109" t="str">
            <v>安徽</v>
          </cell>
          <cell r="C109" t="str">
            <v>儿童用品</v>
          </cell>
          <cell r="D109">
            <v>96</v>
          </cell>
        </row>
        <row r="110">
          <cell r="A110">
            <v>34455</v>
          </cell>
          <cell r="B110" t="str">
            <v>山东</v>
          </cell>
          <cell r="C110" t="str">
            <v>儿童用品</v>
          </cell>
          <cell r="D110">
            <v>53</v>
          </cell>
        </row>
        <row r="111">
          <cell r="A111">
            <v>34486</v>
          </cell>
          <cell r="B111" t="str">
            <v>安徽</v>
          </cell>
          <cell r="C111" t="str">
            <v>艺术品</v>
          </cell>
          <cell r="D111">
            <v>4489</v>
          </cell>
        </row>
        <row r="112">
          <cell r="A112">
            <v>34486</v>
          </cell>
          <cell r="B112" t="str">
            <v>安徽</v>
          </cell>
          <cell r="C112" t="str">
            <v>艺术品</v>
          </cell>
          <cell r="D112">
            <v>2273</v>
          </cell>
        </row>
        <row r="113">
          <cell r="A113">
            <v>34486</v>
          </cell>
          <cell r="B113" t="str">
            <v>山东</v>
          </cell>
          <cell r="C113" t="str">
            <v>艺术品</v>
          </cell>
          <cell r="D113">
            <v>220</v>
          </cell>
        </row>
        <row r="114">
          <cell r="A114">
            <v>34486</v>
          </cell>
          <cell r="B114" t="str">
            <v>山东</v>
          </cell>
          <cell r="C114" t="str">
            <v>艺术品</v>
          </cell>
          <cell r="D114">
            <v>149</v>
          </cell>
        </row>
        <row r="115">
          <cell r="A115">
            <v>34486</v>
          </cell>
          <cell r="B115" t="str">
            <v>山东</v>
          </cell>
          <cell r="C115" t="str">
            <v>艺术品</v>
          </cell>
          <cell r="D115">
            <v>338</v>
          </cell>
        </row>
        <row r="116">
          <cell r="A116">
            <v>34486</v>
          </cell>
          <cell r="B116" t="str">
            <v>山东</v>
          </cell>
          <cell r="C116" t="str">
            <v>艺术品</v>
          </cell>
          <cell r="D116">
            <v>338</v>
          </cell>
        </row>
        <row r="117">
          <cell r="A117">
            <v>34486</v>
          </cell>
          <cell r="B117" t="str">
            <v>山东</v>
          </cell>
          <cell r="C117" t="str">
            <v>自行车</v>
          </cell>
          <cell r="D117">
            <v>180</v>
          </cell>
        </row>
        <row r="118">
          <cell r="A118">
            <v>34486</v>
          </cell>
          <cell r="B118" t="str">
            <v>安徽</v>
          </cell>
          <cell r="C118" t="str">
            <v>自行车</v>
          </cell>
          <cell r="D118">
            <v>53</v>
          </cell>
        </row>
        <row r="119">
          <cell r="A119">
            <v>34486</v>
          </cell>
          <cell r="B119" t="str">
            <v>山东</v>
          </cell>
          <cell r="C119" t="str">
            <v>自行车</v>
          </cell>
          <cell r="D119">
            <v>392</v>
          </cell>
        </row>
        <row r="120">
          <cell r="A120">
            <v>34486</v>
          </cell>
          <cell r="B120" t="str">
            <v>山东</v>
          </cell>
          <cell r="C120" t="str">
            <v>自行车</v>
          </cell>
          <cell r="D120">
            <v>113</v>
          </cell>
        </row>
        <row r="121">
          <cell r="A121">
            <v>34486</v>
          </cell>
          <cell r="B121" t="str">
            <v>安徽</v>
          </cell>
          <cell r="C121" t="str">
            <v>自行车</v>
          </cell>
          <cell r="D121">
            <v>113</v>
          </cell>
        </row>
        <row r="122">
          <cell r="A122">
            <v>34486</v>
          </cell>
          <cell r="B122" t="str">
            <v>山东</v>
          </cell>
          <cell r="C122" t="str">
            <v>自行车</v>
          </cell>
          <cell r="D122">
            <v>26</v>
          </cell>
        </row>
        <row r="123">
          <cell r="A123">
            <v>34486</v>
          </cell>
          <cell r="B123" t="str">
            <v>山东</v>
          </cell>
          <cell r="C123" t="str">
            <v>服装</v>
          </cell>
          <cell r="D123">
            <v>46</v>
          </cell>
        </row>
        <row r="124">
          <cell r="A124">
            <v>34486</v>
          </cell>
          <cell r="B124" t="str">
            <v>山东</v>
          </cell>
          <cell r="C124" t="str">
            <v>服装</v>
          </cell>
          <cell r="D124">
            <v>45</v>
          </cell>
        </row>
        <row r="125">
          <cell r="A125">
            <v>34486</v>
          </cell>
          <cell r="B125" t="str">
            <v>山东</v>
          </cell>
          <cell r="C125" t="str">
            <v>服装</v>
          </cell>
          <cell r="D125">
            <v>45</v>
          </cell>
        </row>
        <row r="126">
          <cell r="A126">
            <v>34486</v>
          </cell>
          <cell r="B126" t="str">
            <v>山东</v>
          </cell>
          <cell r="C126" t="str">
            <v>服装</v>
          </cell>
          <cell r="D126">
            <v>620</v>
          </cell>
        </row>
        <row r="127">
          <cell r="A127">
            <v>34486</v>
          </cell>
          <cell r="B127" t="str">
            <v>山东</v>
          </cell>
          <cell r="C127" t="str">
            <v>服装</v>
          </cell>
          <cell r="D127">
            <v>428</v>
          </cell>
        </row>
        <row r="128">
          <cell r="A128">
            <v>34486</v>
          </cell>
          <cell r="B128" t="str">
            <v>安徽</v>
          </cell>
          <cell r="C128" t="str">
            <v>食品</v>
          </cell>
          <cell r="D128">
            <v>236</v>
          </cell>
        </row>
        <row r="129">
          <cell r="A129">
            <v>34486</v>
          </cell>
          <cell r="B129" t="str">
            <v>山东</v>
          </cell>
          <cell r="C129" t="str">
            <v>食品</v>
          </cell>
          <cell r="D129">
            <v>166</v>
          </cell>
        </row>
        <row r="130">
          <cell r="A130">
            <v>34486</v>
          </cell>
          <cell r="B130" t="str">
            <v>山东</v>
          </cell>
          <cell r="C130" t="str">
            <v>食品</v>
          </cell>
          <cell r="D130">
            <v>158</v>
          </cell>
        </row>
        <row r="131">
          <cell r="A131">
            <v>34486</v>
          </cell>
          <cell r="B131" t="str">
            <v>山东</v>
          </cell>
          <cell r="C131" t="str">
            <v>食品</v>
          </cell>
          <cell r="D131">
            <v>146</v>
          </cell>
        </row>
        <row r="132">
          <cell r="A132">
            <v>34486</v>
          </cell>
          <cell r="B132" t="str">
            <v>安徽</v>
          </cell>
          <cell r="C132" t="str">
            <v>食品</v>
          </cell>
          <cell r="D132">
            <v>114</v>
          </cell>
        </row>
        <row r="133">
          <cell r="A133">
            <v>34486</v>
          </cell>
          <cell r="B133" t="str">
            <v>山东</v>
          </cell>
          <cell r="C133" t="str">
            <v>食品</v>
          </cell>
          <cell r="D133">
            <v>203</v>
          </cell>
        </row>
        <row r="134">
          <cell r="A134">
            <v>34486</v>
          </cell>
          <cell r="B134" t="str">
            <v>山东</v>
          </cell>
          <cell r="C134" t="str">
            <v>儿童用品</v>
          </cell>
          <cell r="D134">
            <v>56</v>
          </cell>
        </row>
        <row r="135">
          <cell r="A135">
            <v>34486</v>
          </cell>
          <cell r="B135" t="str">
            <v>山东</v>
          </cell>
          <cell r="C135" t="str">
            <v>儿童用品</v>
          </cell>
          <cell r="D135">
            <v>26</v>
          </cell>
        </row>
        <row r="136">
          <cell r="A136">
            <v>34486</v>
          </cell>
          <cell r="B136" t="str">
            <v>安徽</v>
          </cell>
          <cell r="C136" t="str">
            <v>儿童用品</v>
          </cell>
          <cell r="D136">
            <v>140</v>
          </cell>
        </row>
        <row r="137">
          <cell r="A137">
            <v>34486</v>
          </cell>
          <cell r="B137" t="str">
            <v>安徽</v>
          </cell>
          <cell r="C137" t="str">
            <v>儿童用品</v>
          </cell>
          <cell r="D137">
            <v>191</v>
          </cell>
        </row>
        <row r="138">
          <cell r="A138">
            <v>34486</v>
          </cell>
          <cell r="B138" t="str">
            <v>山东</v>
          </cell>
          <cell r="C138" t="str">
            <v>儿童用品</v>
          </cell>
          <cell r="D138">
            <v>469</v>
          </cell>
        </row>
        <row r="139">
          <cell r="A139">
            <v>34486</v>
          </cell>
          <cell r="B139" t="str">
            <v>山东</v>
          </cell>
          <cell r="C139" t="str">
            <v>儿童用品</v>
          </cell>
          <cell r="D139">
            <v>149</v>
          </cell>
        </row>
        <row r="140">
          <cell r="A140">
            <v>34516</v>
          </cell>
          <cell r="B140" t="str">
            <v>安徽</v>
          </cell>
          <cell r="C140" t="str">
            <v>艺术品</v>
          </cell>
          <cell r="D140">
            <v>3697</v>
          </cell>
        </row>
        <row r="141">
          <cell r="A141">
            <v>34516</v>
          </cell>
          <cell r="B141" t="str">
            <v>山东</v>
          </cell>
          <cell r="C141" t="str">
            <v>艺术品</v>
          </cell>
          <cell r="D141">
            <v>206</v>
          </cell>
        </row>
        <row r="142">
          <cell r="A142">
            <v>34516</v>
          </cell>
          <cell r="B142" t="str">
            <v>安徽</v>
          </cell>
          <cell r="C142" t="str">
            <v>艺术品</v>
          </cell>
          <cell r="D142">
            <v>2156</v>
          </cell>
        </row>
        <row r="143">
          <cell r="A143">
            <v>34516</v>
          </cell>
          <cell r="B143" t="str">
            <v>安徽</v>
          </cell>
          <cell r="C143" t="str">
            <v>艺术品</v>
          </cell>
          <cell r="D143">
            <v>659</v>
          </cell>
        </row>
        <row r="144">
          <cell r="A144">
            <v>34516</v>
          </cell>
          <cell r="B144" t="str">
            <v>山东</v>
          </cell>
          <cell r="C144" t="str">
            <v>艺术品</v>
          </cell>
          <cell r="D144">
            <v>204</v>
          </cell>
        </row>
        <row r="145">
          <cell r="A145">
            <v>34516</v>
          </cell>
          <cell r="B145" t="str">
            <v>安徽</v>
          </cell>
          <cell r="C145" t="str">
            <v>艺术品</v>
          </cell>
          <cell r="D145">
            <v>358</v>
          </cell>
        </row>
        <row r="146">
          <cell r="A146">
            <v>34516</v>
          </cell>
          <cell r="B146" t="str">
            <v>山东</v>
          </cell>
          <cell r="C146" t="str">
            <v>艺术品</v>
          </cell>
          <cell r="D146">
            <v>270</v>
          </cell>
        </row>
        <row r="147">
          <cell r="A147">
            <v>34516</v>
          </cell>
          <cell r="B147" t="str">
            <v>山东</v>
          </cell>
          <cell r="C147" t="str">
            <v>艺术品</v>
          </cell>
          <cell r="D147">
            <v>212</v>
          </cell>
        </row>
        <row r="148">
          <cell r="A148">
            <v>34516</v>
          </cell>
          <cell r="B148" t="str">
            <v>山东</v>
          </cell>
          <cell r="C148" t="str">
            <v>自行车</v>
          </cell>
          <cell r="D148">
            <v>53</v>
          </cell>
        </row>
        <row r="149">
          <cell r="A149">
            <v>34516</v>
          </cell>
          <cell r="B149" t="str">
            <v>山东</v>
          </cell>
          <cell r="C149" t="str">
            <v>自行车</v>
          </cell>
          <cell r="D149">
            <v>167</v>
          </cell>
        </row>
        <row r="150">
          <cell r="A150">
            <v>34516</v>
          </cell>
          <cell r="B150" t="str">
            <v>安徽</v>
          </cell>
          <cell r="C150" t="str">
            <v>自行车</v>
          </cell>
          <cell r="D150">
            <v>298</v>
          </cell>
        </row>
        <row r="151">
          <cell r="A151">
            <v>34516</v>
          </cell>
          <cell r="B151" t="str">
            <v>安徽</v>
          </cell>
          <cell r="C151" t="str">
            <v>自行车</v>
          </cell>
          <cell r="D151">
            <v>135</v>
          </cell>
        </row>
        <row r="152">
          <cell r="A152">
            <v>34516</v>
          </cell>
          <cell r="B152" t="str">
            <v>山东</v>
          </cell>
          <cell r="C152" t="str">
            <v>自行车</v>
          </cell>
          <cell r="D152">
            <v>304</v>
          </cell>
        </row>
        <row r="153">
          <cell r="A153">
            <v>34516</v>
          </cell>
          <cell r="B153" t="str">
            <v>安徽</v>
          </cell>
          <cell r="C153" t="str">
            <v>自行车</v>
          </cell>
          <cell r="D153">
            <v>473</v>
          </cell>
        </row>
        <row r="154">
          <cell r="A154">
            <v>34516</v>
          </cell>
          <cell r="B154" t="str">
            <v>安徽</v>
          </cell>
          <cell r="C154" t="str">
            <v>自行车</v>
          </cell>
          <cell r="D154">
            <v>61</v>
          </cell>
        </row>
        <row r="155">
          <cell r="A155">
            <v>34516</v>
          </cell>
          <cell r="B155" t="str">
            <v>山东</v>
          </cell>
          <cell r="C155" t="str">
            <v>自行车</v>
          </cell>
          <cell r="D155">
            <v>427</v>
          </cell>
        </row>
        <row r="156">
          <cell r="A156">
            <v>34516</v>
          </cell>
          <cell r="B156" t="str">
            <v>安徽</v>
          </cell>
          <cell r="C156" t="str">
            <v>服装</v>
          </cell>
          <cell r="D156">
            <v>146</v>
          </cell>
        </row>
        <row r="157">
          <cell r="A157">
            <v>34516</v>
          </cell>
          <cell r="B157" t="str">
            <v>山东</v>
          </cell>
          <cell r="C157" t="str">
            <v>服装</v>
          </cell>
          <cell r="D157">
            <v>32</v>
          </cell>
        </row>
        <row r="158">
          <cell r="A158">
            <v>34516</v>
          </cell>
          <cell r="B158" t="str">
            <v>安徽</v>
          </cell>
          <cell r="C158" t="str">
            <v>服装</v>
          </cell>
          <cell r="D158">
            <v>193</v>
          </cell>
        </row>
        <row r="159">
          <cell r="A159">
            <v>34516</v>
          </cell>
          <cell r="B159" t="str">
            <v>山东</v>
          </cell>
          <cell r="C159" t="str">
            <v>服装</v>
          </cell>
          <cell r="D159">
            <v>79</v>
          </cell>
        </row>
        <row r="160">
          <cell r="A160">
            <v>34516</v>
          </cell>
          <cell r="B160" t="str">
            <v>安徽</v>
          </cell>
          <cell r="C160" t="str">
            <v>服装</v>
          </cell>
          <cell r="D160">
            <v>114</v>
          </cell>
        </row>
        <row r="161">
          <cell r="A161">
            <v>34516</v>
          </cell>
          <cell r="B161" t="str">
            <v>山东</v>
          </cell>
          <cell r="C161" t="str">
            <v>服装</v>
          </cell>
          <cell r="D161">
            <v>72</v>
          </cell>
        </row>
        <row r="162">
          <cell r="A162">
            <v>34516</v>
          </cell>
          <cell r="B162" t="str">
            <v>安徽</v>
          </cell>
          <cell r="C162" t="str">
            <v>服装</v>
          </cell>
          <cell r="D162">
            <v>138</v>
          </cell>
        </row>
        <row r="163">
          <cell r="A163">
            <v>34516</v>
          </cell>
          <cell r="B163" t="str">
            <v>山东</v>
          </cell>
          <cell r="C163" t="str">
            <v>服装</v>
          </cell>
          <cell r="D163">
            <v>53</v>
          </cell>
        </row>
        <row r="164">
          <cell r="A164">
            <v>34516</v>
          </cell>
          <cell r="B164" t="str">
            <v>安徽</v>
          </cell>
          <cell r="C164" t="str">
            <v>服装</v>
          </cell>
          <cell r="D164">
            <v>203</v>
          </cell>
        </row>
        <row r="165">
          <cell r="A165">
            <v>34516</v>
          </cell>
          <cell r="B165" t="str">
            <v>安徽</v>
          </cell>
          <cell r="C165" t="str">
            <v>服装</v>
          </cell>
          <cell r="D165">
            <v>854</v>
          </cell>
        </row>
        <row r="166">
          <cell r="A166">
            <v>34516</v>
          </cell>
          <cell r="B166" t="str">
            <v>山东</v>
          </cell>
          <cell r="C166" t="str">
            <v>服装</v>
          </cell>
          <cell r="D166">
            <v>694</v>
          </cell>
        </row>
        <row r="167">
          <cell r="A167">
            <v>34516</v>
          </cell>
          <cell r="B167" t="str">
            <v>山东</v>
          </cell>
          <cell r="C167" t="str">
            <v>服装</v>
          </cell>
          <cell r="D167">
            <v>705</v>
          </cell>
        </row>
        <row r="168">
          <cell r="A168">
            <v>34516</v>
          </cell>
          <cell r="B168" t="str">
            <v>安徽</v>
          </cell>
          <cell r="C168" t="str">
            <v>食品</v>
          </cell>
          <cell r="D168">
            <v>1422</v>
          </cell>
        </row>
        <row r="169">
          <cell r="A169">
            <v>34516</v>
          </cell>
          <cell r="B169" t="str">
            <v>安徽</v>
          </cell>
          <cell r="C169" t="str">
            <v>食品</v>
          </cell>
          <cell r="D169">
            <v>149</v>
          </cell>
        </row>
        <row r="170">
          <cell r="A170">
            <v>34516</v>
          </cell>
          <cell r="B170" t="str">
            <v>山东</v>
          </cell>
          <cell r="C170" t="str">
            <v>食品</v>
          </cell>
          <cell r="D170">
            <v>175</v>
          </cell>
        </row>
        <row r="171">
          <cell r="A171">
            <v>34516</v>
          </cell>
          <cell r="B171" t="str">
            <v>安徽</v>
          </cell>
          <cell r="C171" t="str">
            <v>食品</v>
          </cell>
          <cell r="D171">
            <v>169</v>
          </cell>
        </row>
        <row r="172">
          <cell r="A172">
            <v>34516</v>
          </cell>
          <cell r="B172" t="str">
            <v>山东</v>
          </cell>
          <cell r="C172" t="str">
            <v>食品</v>
          </cell>
          <cell r="D172">
            <v>210</v>
          </cell>
        </row>
        <row r="173">
          <cell r="A173">
            <v>34516</v>
          </cell>
          <cell r="B173" t="str">
            <v>安徽</v>
          </cell>
          <cell r="C173" t="str">
            <v>食品</v>
          </cell>
          <cell r="D173">
            <v>591</v>
          </cell>
        </row>
        <row r="174">
          <cell r="A174">
            <v>34516</v>
          </cell>
          <cell r="B174" t="str">
            <v>山东</v>
          </cell>
          <cell r="C174" t="str">
            <v>食品</v>
          </cell>
          <cell r="D174">
            <v>203</v>
          </cell>
        </row>
        <row r="175">
          <cell r="A175">
            <v>34516</v>
          </cell>
          <cell r="B175" t="str">
            <v>山东</v>
          </cell>
          <cell r="C175" t="str">
            <v>食品</v>
          </cell>
          <cell r="D175">
            <v>135</v>
          </cell>
        </row>
        <row r="176">
          <cell r="A176">
            <v>34516</v>
          </cell>
          <cell r="B176" t="str">
            <v>安徽</v>
          </cell>
          <cell r="C176" t="str">
            <v>儿童用品</v>
          </cell>
          <cell r="D176">
            <v>1468</v>
          </cell>
        </row>
        <row r="177">
          <cell r="A177">
            <v>34516</v>
          </cell>
          <cell r="B177" t="str">
            <v>安徽</v>
          </cell>
          <cell r="C177" t="str">
            <v>儿童用品</v>
          </cell>
          <cell r="D177">
            <v>306</v>
          </cell>
        </row>
        <row r="178">
          <cell r="A178">
            <v>34516</v>
          </cell>
          <cell r="B178" t="str">
            <v>安徽</v>
          </cell>
          <cell r="C178" t="str">
            <v>儿童用品</v>
          </cell>
          <cell r="D178">
            <v>326</v>
          </cell>
        </row>
        <row r="179">
          <cell r="A179">
            <v>34516</v>
          </cell>
          <cell r="B179" t="str">
            <v>山东</v>
          </cell>
          <cell r="C179" t="str">
            <v>儿童用品</v>
          </cell>
          <cell r="D179">
            <v>378</v>
          </cell>
        </row>
        <row r="180">
          <cell r="A180">
            <v>34516</v>
          </cell>
          <cell r="B180" t="str">
            <v>山东</v>
          </cell>
          <cell r="C180" t="str">
            <v>儿童用品</v>
          </cell>
          <cell r="D180">
            <v>56</v>
          </cell>
        </row>
        <row r="181">
          <cell r="A181">
            <v>34516</v>
          </cell>
          <cell r="B181" t="str">
            <v>安徽</v>
          </cell>
          <cell r="C181" t="str">
            <v>儿童用品</v>
          </cell>
          <cell r="D181">
            <v>997</v>
          </cell>
        </row>
        <row r="182">
          <cell r="A182">
            <v>34516</v>
          </cell>
          <cell r="B182" t="str">
            <v>山东</v>
          </cell>
          <cell r="C182" t="str">
            <v>儿童用品</v>
          </cell>
          <cell r="D182">
            <v>35</v>
          </cell>
        </row>
        <row r="183">
          <cell r="A183">
            <v>34516</v>
          </cell>
          <cell r="B183" t="str">
            <v>山东</v>
          </cell>
          <cell r="C183" t="str">
            <v>儿童用品</v>
          </cell>
          <cell r="D183">
            <v>410</v>
          </cell>
        </row>
        <row r="184">
          <cell r="A184">
            <v>34547</v>
          </cell>
          <cell r="B184" t="str">
            <v>安徽</v>
          </cell>
          <cell r="C184" t="str">
            <v>艺术品</v>
          </cell>
          <cell r="D184">
            <v>1982</v>
          </cell>
        </row>
        <row r="185">
          <cell r="A185">
            <v>34547</v>
          </cell>
          <cell r="B185" t="str">
            <v>安徽</v>
          </cell>
          <cell r="C185" t="str">
            <v>艺术品</v>
          </cell>
          <cell r="D185">
            <v>1974</v>
          </cell>
        </row>
        <row r="186">
          <cell r="A186">
            <v>34547</v>
          </cell>
          <cell r="B186" t="str">
            <v>安徽</v>
          </cell>
          <cell r="C186" t="str">
            <v>艺术品</v>
          </cell>
          <cell r="D186">
            <v>413</v>
          </cell>
        </row>
        <row r="187">
          <cell r="A187">
            <v>34547</v>
          </cell>
          <cell r="B187" t="str">
            <v>安徽</v>
          </cell>
          <cell r="C187" t="str">
            <v>艺术品</v>
          </cell>
          <cell r="D187">
            <v>293</v>
          </cell>
        </row>
        <row r="188">
          <cell r="A188">
            <v>34547</v>
          </cell>
          <cell r="B188" t="str">
            <v>山东</v>
          </cell>
          <cell r="C188" t="str">
            <v>艺术品</v>
          </cell>
          <cell r="D188">
            <v>286</v>
          </cell>
        </row>
        <row r="189">
          <cell r="A189">
            <v>34547</v>
          </cell>
          <cell r="B189" t="str">
            <v>山东</v>
          </cell>
          <cell r="C189" t="str">
            <v>艺术品</v>
          </cell>
          <cell r="D189">
            <v>270</v>
          </cell>
        </row>
        <row r="190">
          <cell r="A190">
            <v>34547</v>
          </cell>
          <cell r="B190" t="str">
            <v>山东</v>
          </cell>
          <cell r="C190" t="str">
            <v>艺术品</v>
          </cell>
          <cell r="D190">
            <v>193</v>
          </cell>
        </row>
        <row r="191">
          <cell r="A191">
            <v>34547</v>
          </cell>
          <cell r="B191" t="str">
            <v>山东</v>
          </cell>
          <cell r="C191" t="str">
            <v>艺术品</v>
          </cell>
          <cell r="D191">
            <v>169</v>
          </cell>
        </row>
        <row r="192">
          <cell r="A192">
            <v>34547</v>
          </cell>
          <cell r="B192" t="str">
            <v>山东</v>
          </cell>
          <cell r="C192" t="str">
            <v>自行车</v>
          </cell>
          <cell r="D192">
            <v>105</v>
          </cell>
        </row>
        <row r="193">
          <cell r="A193">
            <v>34547</v>
          </cell>
          <cell r="B193" t="str">
            <v>山东</v>
          </cell>
          <cell r="C193" t="str">
            <v>自行车</v>
          </cell>
          <cell r="D193">
            <v>571</v>
          </cell>
        </row>
        <row r="194">
          <cell r="A194">
            <v>34547</v>
          </cell>
          <cell r="B194" t="str">
            <v>安徽</v>
          </cell>
          <cell r="C194" t="str">
            <v>自行车</v>
          </cell>
          <cell r="D194">
            <v>158</v>
          </cell>
        </row>
        <row r="195">
          <cell r="A195">
            <v>34547</v>
          </cell>
          <cell r="B195" t="str">
            <v>山东</v>
          </cell>
          <cell r="C195" t="str">
            <v>自行车</v>
          </cell>
          <cell r="D195">
            <v>270</v>
          </cell>
        </row>
        <row r="196">
          <cell r="A196">
            <v>34547</v>
          </cell>
          <cell r="B196" t="str">
            <v>山东</v>
          </cell>
          <cell r="C196" t="str">
            <v>自行车</v>
          </cell>
          <cell r="D196">
            <v>203</v>
          </cell>
        </row>
        <row r="197">
          <cell r="A197">
            <v>34547</v>
          </cell>
          <cell r="B197" t="str">
            <v>安徽</v>
          </cell>
          <cell r="C197" t="str">
            <v>自行车</v>
          </cell>
          <cell r="D197">
            <v>525</v>
          </cell>
        </row>
        <row r="198">
          <cell r="A198">
            <v>34547</v>
          </cell>
          <cell r="B198" t="str">
            <v>安徽</v>
          </cell>
          <cell r="C198" t="str">
            <v>自行车</v>
          </cell>
          <cell r="D198">
            <v>70</v>
          </cell>
        </row>
        <row r="199">
          <cell r="A199">
            <v>34547</v>
          </cell>
          <cell r="B199" t="str">
            <v>安徽</v>
          </cell>
          <cell r="C199" t="str">
            <v>自行车</v>
          </cell>
          <cell r="D199">
            <v>495</v>
          </cell>
        </row>
        <row r="200">
          <cell r="A200">
            <v>34547</v>
          </cell>
          <cell r="B200" t="str">
            <v>安徽</v>
          </cell>
          <cell r="C200" t="str">
            <v>服装</v>
          </cell>
          <cell r="D200">
            <v>931</v>
          </cell>
        </row>
        <row r="201">
          <cell r="A201">
            <v>34547</v>
          </cell>
          <cell r="B201" t="str">
            <v>山东</v>
          </cell>
          <cell r="C201" t="str">
            <v>服装</v>
          </cell>
          <cell r="D201">
            <v>939</v>
          </cell>
        </row>
        <row r="202">
          <cell r="A202">
            <v>34547</v>
          </cell>
          <cell r="B202" t="str">
            <v>山东</v>
          </cell>
          <cell r="C202" t="str">
            <v>服装</v>
          </cell>
          <cell r="D202">
            <v>761</v>
          </cell>
        </row>
        <row r="203">
          <cell r="A203">
            <v>34547</v>
          </cell>
          <cell r="B203" t="str">
            <v>山东</v>
          </cell>
          <cell r="C203" t="str">
            <v>服装</v>
          </cell>
          <cell r="D203">
            <v>56</v>
          </cell>
        </row>
        <row r="204">
          <cell r="A204">
            <v>34547</v>
          </cell>
          <cell r="B204" t="str">
            <v>安徽</v>
          </cell>
          <cell r="C204" t="str">
            <v>服装</v>
          </cell>
          <cell r="D204">
            <v>158</v>
          </cell>
        </row>
        <row r="205">
          <cell r="A205">
            <v>34547</v>
          </cell>
          <cell r="B205" t="str">
            <v>安徽</v>
          </cell>
          <cell r="C205" t="str">
            <v>服装</v>
          </cell>
          <cell r="D205">
            <v>151</v>
          </cell>
        </row>
        <row r="206">
          <cell r="A206">
            <v>34547</v>
          </cell>
          <cell r="B206" t="str">
            <v>山东</v>
          </cell>
          <cell r="C206" t="str">
            <v>服装</v>
          </cell>
          <cell r="D206">
            <v>81</v>
          </cell>
        </row>
        <row r="207">
          <cell r="A207">
            <v>34547</v>
          </cell>
          <cell r="B207" t="str">
            <v>安徽</v>
          </cell>
          <cell r="C207" t="str">
            <v>服装</v>
          </cell>
          <cell r="D207">
            <v>79</v>
          </cell>
        </row>
        <row r="208">
          <cell r="A208">
            <v>34547</v>
          </cell>
          <cell r="B208" t="str">
            <v>山东</v>
          </cell>
          <cell r="C208" t="str">
            <v>服装</v>
          </cell>
          <cell r="D208">
            <v>39</v>
          </cell>
        </row>
        <row r="209">
          <cell r="A209">
            <v>34547</v>
          </cell>
          <cell r="B209" t="str">
            <v>山东</v>
          </cell>
          <cell r="C209" t="str">
            <v>服装</v>
          </cell>
          <cell r="D209">
            <v>53</v>
          </cell>
        </row>
        <row r="210">
          <cell r="A210">
            <v>34547</v>
          </cell>
          <cell r="B210" t="str">
            <v>安徽</v>
          </cell>
          <cell r="C210" t="str">
            <v>服装</v>
          </cell>
          <cell r="D210">
            <v>175</v>
          </cell>
        </row>
        <row r="211">
          <cell r="A211">
            <v>34547</v>
          </cell>
          <cell r="B211" t="str">
            <v>安徽</v>
          </cell>
          <cell r="C211" t="str">
            <v>服装</v>
          </cell>
          <cell r="D211">
            <v>203</v>
          </cell>
        </row>
        <row r="212">
          <cell r="A212">
            <v>34547</v>
          </cell>
          <cell r="B212" t="str">
            <v>安徽</v>
          </cell>
          <cell r="C212" t="str">
            <v>食品</v>
          </cell>
          <cell r="D212">
            <v>1340</v>
          </cell>
        </row>
        <row r="213">
          <cell r="A213">
            <v>34547</v>
          </cell>
          <cell r="B213" t="str">
            <v>山东</v>
          </cell>
          <cell r="C213" t="str">
            <v>食品</v>
          </cell>
          <cell r="D213">
            <v>203</v>
          </cell>
        </row>
        <row r="214">
          <cell r="A214">
            <v>34547</v>
          </cell>
          <cell r="B214" t="str">
            <v>山东</v>
          </cell>
          <cell r="C214" t="str">
            <v>食品</v>
          </cell>
          <cell r="D214">
            <v>193</v>
          </cell>
        </row>
        <row r="215">
          <cell r="A215">
            <v>34547</v>
          </cell>
          <cell r="B215" t="str">
            <v>山东</v>
          </cell>
          <cell r="C215" t="str">
            <v>食品</v>
          </cell>
          <cell r="D215">
            <v>169</v>
          </cell>
        </row>
        <row r="216">
          <cell r="A216">
            <v>34547</v>
          </cell>
          <cell r="B216" t="str">
            <v>山东</v>
          </cell>
          <cell r="C216" t="str">
            <v>食品</v>
          </cell>
          <cell r="D216">
            <v>333</v>
          </cell>
        </row>
        <row r="217">
          <cell r="A217">
            <v>34547</v>
          </cell>
          <cell r="B217" t="str">
            <v>安徽</v>
          </cell>
          <cell r="C217" t="str">
            <v>食品</v>
          </cell>
          <cell r="D217">
            <v>326</v>
          </cell>
        </row>
        <row r="218">
          <cell r="A218">
            <v>34547</v>
          </cell>
          <cell r="B218" t="str">
            <v>安徽</v>
          </cell>
          <cell r="C218" t="str">
            <v>食品</v>
          </cell>
          <cell r="D218">
            <v>569</v>
          </cell>
        </row>
        <row r="219">
          <cell r="A219">
            <v>34547</v>
          </cell>
          <cell r="B219" t="str">
            <v>安徽</v>
          </cell>
          <cell r="C219" t="str">
            <v>食品</v>
          </cell>
          <cell r="D219">
            <v>149</v>
          </cell>
        </row>
        <row r="220">
          <cell r="A220">
            <v>34547</v>
          </cell>
          <cell r="B220" t="str">
            <v>安徽</v>
          </cell>
          <cell r="C220" t="str">
            <v>儿童用品</v>
          </cell>
          <cell r="D220">
            <v>568</v>
          </cell>
        </row>
        <row r="221">
          <cell r="A221">
            <v>34547</v>
          </cell>
          <cell r="B221" t="str">
            <v>山东</v>
          </cell>
          <cell r="C221" t="str">
            <v>儿童用品</v>
          </cell>
          <cell r="D221">
            <v>529</v>
          </cell>
        </row>
        <row r="222">
          <cell r="A222">
            <v>34547</v>
          </cell>
          <cell r="B222" t="str">
            <v>山东</v>
          </cell>
          <cell r="C222" t="str">
            <v>儿童用品</v>
          </cell>
          <cell r="D222">
            <v>26</v>
          </cell>
        </row>
        <row r="223">
          <cell r="A223">
            <v>34547</v>
          </cell>
          <cell r="B223" t="str">
            <v>山东</v>
          </cell>
          <cell r="C223" t="str">
            <v>儿童用品</v>
          </cell>
          <cell r="D223">
            <v>45</v>
          </cell>
        </row>
        <row r="224">
          <cell r="A224">
            <v>34547</v>
          </cell>
          <cell r="B224" t="str">
            <v>山东</v>
          </cell>
          <cell r="C224" t="str">
            <v>儿童用品</v>
          </cell>
          <cell r="D224">
            <v>716</v>
          </cell>
        </row>
        <row r="225">
          <cell r="A225">
            <v>34547</v>
          </cell>
          <cell r="B225" t="str">
            <v>安徽</v>
          </cell>
          <cell r="C225" t="str">
            <v>儿童用品</v>
          </cell>
          <cell r="D225">
            <v>663</v>
          </cell>
        </row>
        <row r="226">
          <cell r="A226">
            <v>34547</v>
          </cell>
          <cell r="B226" t="str">
            <v>安徽</v>
          </cell>
          <cell r="C226" t="str">
            <v>儿童用品</v>
          </cell>
          <cell r="D226">
            <v>971</v>
          </cell>
        </row>
        <row r="227">
          <cell r="A227">
            <v>34547</v>
          </cell>
          <cell r="B227" t="str">
            <v>安徽</v>
          </cell>
          <cell r="C227" t="str">
            <v>儿童用品</v>
          </cell>
          <cell r="D227">
            <v>1351</v>
          </cell>
        </row>
        <row r="228">
          <cell r="A228">
            <v>34578</v>
          </cell>
          <cell r="B228" t="str">
            <v>山东</v>
          </cell>
          <cell r="C228" t="str">
            <v>艺术品</v>
          </cell>
          <cell r="D228">
            <v>124</v>
          </cell>
        </row>
        <row r="229">
          <cell r="A229">
            <v>34578</v>
          </cell>
          <cell r="B229" t="str">
            <v>安徽</v>
          </cell>
          <cell r="C229" t="str">
            <v>艺术品</v>
          </cell>
          <cell r="D229">
            <v>2811</v>
          </cell>
        </row>
        <row r="230">
          <cell r="A230">
            <v>34578</v>
          </cell>
          <cell r="B230" t="str">
            <v>安徽</v>
          </cell>
          <cell r="C230" t="str">
            <v>艺术品</v>
          </cell>
          <cell r="D230">
            <v>2454</v>
          </cell>
        </row>
        <row r="231">
          <cell r="A231">
            <v>34578</v>
          </cell>
          <cell r="B231" t="str">
            <v>山东</v>
          </cell>
          <cell r="C231" t="str">
            <v>艺术品</v>
          </cell>
          <cell r="D231">
            <v>151</v>
          </cell>
        </row>
        <row r="232">
          <cell r="A232">
            <v>34578</v>
          </cell>
          <cell r="B232" t="str">
            <v>山东</v>
          </cell>
          <cell r="C232" t="str">
            <v>艺术品</v>
          </cell>
          <cell r="D232">
            <v>292</v>
          </cell>
        </row>
        <row r="233">
          <cell r="A233">
            <v>34578</v>
          </cell>
          <cell r="B233" t="str">
            <v>山东</v>
          </cell>
          <cell r="C233" t="str">
            <v>艺术品</v>
          </cell>
          <cell r="D233">
            <v>270</v>
          </cell>
        </row>
        <row r="234">
          <cell r="A234">
            <v>34578</v>
          </cell>
          <cell r="B234" t="str">
            <v>安徽</v>
          </cell>
          <cell r="C234" t="str">
            <v>艺术品</v>
          </cell>
          <cell r="D234">
            <v>203</v>
          </cell>
        </row>
        <row r="235">
          <cell r="A235">
            <v>34578</v>
          </cell>
          <cell r="B235" t="str">
            <v>安徽</v>
          </cell>
          <cell r="C235" t="str">
            <v>艺术品</v>
          </cell>
          <cell r="D235">
            <v>385</v>
          </cell>
        </row>
        <row r="236">
          <cell r="A236">
            <v>34578</v>
          </cell>
          <cell r="B236" t="str">
            <v>山东</v>
          </cell>
          <cell r="C236" t="str">
            <v>自行车</v>
          </cell>
          <cell r="D236">
            <v>149</v>
          </cell>
        </row>
        <row r="237">
          <cell r="A237">
            <v>34578</v>
          </cell>
          <cell r="B237" t="str">
            <v>安徽</v>
          </cell>
          <cell r="C237" t="str">
            <v>自行车</v>
          </cell>
          <cell r="D237">
            <v>710</v>
          </cell>
        </row>
        <row r="238">
          <cell r="A238">
            <v>34578</v>
          </cell>
          <cell r="B238" t="str">
            <v>山东</v>
          </cell>
          <cell r="C238" t="str">
            <v>自行车</v>
          </cell>
          <cell r="D238">
            <v>216</v>
          </cell>
        </row>
        <row r="239">
          <cell r="A239">
            <v>34578</v>
          </cell>
          <cell r="B239" t="str">
            <v>安徽</v>
          </cell>
          <cell r="C239" t="str">
            <v>自行车</v>
          </cell>
          <cell r="D239">
            <v>113</v>
          </cell>
        </row>
        <row r="240">
          <cell r="A240">
            <v>34578</v>
          </cell>
          <cell r="B240" t="str">
            <v>安徽</v>
          </cell>
          <cell r="C240" t="str">
            <v>自行车</v>
          </cell>
          <cell r="D240">
            <v>135</v>
          </cell>
        </row>
        <row r="241">
          <cell r="A241">
            <v>34578</v>
          </cell>
          <cell r="B241" t="str">
            <v>山东</v>
          </cell>
          <cell r="C241" t="str">
            <v>自行车</v>
          </cell>
          <cell r="D241">
            <v>293</v>
          </cell>
        </row>
        <row r="242">
          <cell r="A242">
            <v>34578</v>
          </cell>
          <cell r="B242" t="str">
            <v>安徽</v>
          </cell>
          <cell r="C242" t="str">
            <v>自行车</v>
          </cell>
          <cell r="D242">
            <v>70</v>
          </cell>
        </row>
        <row r="243">
          <cell r="A243">
            <v>34578</v>
          </cell>
          <cell r="B243" t="str">
            <v>山东</v>
          </cell>
          <cell r="C243" t="str">
            <v>自行车</v>
          </cell>
          <cell r="D243">
            <v>522</v>
          </cell>
        </row>
        <row r="244">
          <cell r="A244">
            <v>34578</v>
          </cell>
          <cell r="B244" t="str">
            <v>山东</v>
          </cell>
          <cell r="C244" t="str">
            <v>服装</v>
          </cell>
          <cell r="D244">
            <v>544</v>
          </cell>
        </row>
        <row r="245">
          <cell r="A245">
            <v>34578</v>
          </cell>
          <cell r="B245" t="str">
            <v>安徽</v>
          </cell>
          <cell r="C245" t="str">
            <v>服装</v>
          </cell>
          <cell r="D245">
            <v>981</v>
          </cell>
        </row>
        <row r="246">
          <cell r="A246">
            <v>34578</v>
          </cell>
          <cell r="B246" t="str">
            <v>山东</v>
          </cell>
          <cell r="C246" t="str">
            <v>服装</v>
          </cell>
          <cell r="D246">
            <v>804</v>
          </cell>
        </row>
        <row r="247">
          <cell r="A247">
            <v>34578</v>
          </cell>
          <cell r="B247" t="str">
            <v>山东</v>
          </cell>
          <cell r="C247" t="str">
            <v>服装</v>
          </cell>
          <cell r="D247">
            <v>99</v>
          </cell>
        </row>
        <row r="248">
          <cell r="A248">
            <v>34578</v>
          </cell>
          <cell r="B248" t="str">
            <v>安徽</v>
          </cell>
          <cell r="C248" t="str">
            <v>服装</v>
          </cell>
          <cell r="D248">
            <v>61</v>
          </cell>
        </row>
        <row r="249">
          <cell r="A249">
            <v>34578</v>
          </cell>
          <cell r="B249" t="str">
            <v>山东</v>
          </cell>
          <cell r="C249" t="str">
            <v>服装</v>
          </cell>
          <cell r="D249">
            <v>63</v>
          </cell>
        </row>
        <row r="250">
          <cell r="A250">
            <v>34578</v>
          </cell>
          <cell r="B250" t="str">
            <v>山东</v>
          </cell>
          <cell r="C250" t="str">
            <v>服装</v>
          </cell>
          <cell r="D250">
            <v>66</v>
          </cell>
        </row>
        <row r="251">
          <cell r="A251">
            <v>34578</v>
          </cell>
          <cell r="B251" t="str">
            <v>安徽</v>
          </cell>
          <cell r="C251" t="str">
            <v>服装</v>
          </cell>
          <cell r="D251">
            <v>151</v>
          </cell>
        </row>
        <row r="252">
          <cell r="A252">
            <v>34578</v>
          </cell>
          <cell r="B252" t="str">
            <v>山东</v>
          </cell>
          <cell r="C252" t="str">
            <v>服装</v>
          </cell>
          <cell r="D252">
            <v>34</v>
          </cell>
        </row>
        <row r="253">
          <cell r="A253">
            <v>34578</v>
          </cell>
          <cell r="B253" t="str">
            <v>安徽</v>
          </cell>
          <cell r="C253" t="str">
            <v>服装</v>
          </cell>
          <cell r="D253">
            <v>191</v>
          </cell>
        </row>
        <row r="254">
          <cell r="A254">
            <v>34578</v>
          </cell>
          <cell r="B254" t="str">
            <v>安徽</v>
          </cell>
          <cell r="C254" t="str">
            <v>服装</v>
          </cell>
          <cell r="D254">
            <v>193</v>
          </cell>
        </row>
        <row r="255">
          <cell r="A255">
            <v>34578</v>
          </cell>
          <cell r="B255" t="str">
            <v>安徽</v>
          </cell>
          <cell r="C255" t="str">
            <v>服装</v>
          </cell>
          <cell r="D255">
            <v>180</v>
          </cell>
        </row>
        <row r="256">
          <cell r="A256">
            <v>34578</v>
          </cell>
          <cell r="B256" t="str">
            <v>山东</v>
          </cell>
          <cell r="C256" t="str">
            <v>食品</v>
          </cell>
          <cell r="D256">
            <v>210</v>
          </cell>
        </row>
        <row r="257">
          <cell r="A257">
            <v>34578</v>
          </cell>
          <cell r="B257" t="str">
            <v>山东</v>
          </cell>
          <cell r="C257" t="str">
            <v>食品</v>
          </cell>
          <cell r="D257">
            <v>158</v>
          </cell>
        </row>
        <row r="258">
          <cell r="A258">
            <v>34578</v>
          </cell>
          <cell r="B258" t="str">
            <v>山东</v>
          </cell>
          <cell r="C258" t="str">
            <v>食品</v>
          </cell>
          <cell r="D258">
            <v>180</v>
          </cell>
        </row>
        <row r="259">
          <cell r="A259">
            <v>34578</v>
          </cell>
          <cell r="B259" t="str">
            <v>山东</v>
          </cell>
          <cell r="C259" t="str">
            <v>食品</v>
          </cell>
          <cell r="D259">
            <v>450</v>
          </cell>
        </row>
        <row r="260">
          <cell r="A260">
            <v>34578</v>
          </cell>
          <cell r="B260" t="str">
            <v>安徽</v>
          </cell>
          <cell r="C260" t="str">
            <v>食品</v>
          </cell>
          <cell r="D260">
            <v>140</v>
          </cell>
        </row>
        <row r="261">
          <cell r="A261">
            <v>34578</v>
          </cell>
          <cell r="B261" t="str">
            <v>安徽</v>
          </cell>
          <cell r="C261" t="str">
            <v>食品</v>
          </cell>
          <cell r="D261">
            <v>304</v>
          </cell>
        </row>
        <row r="262">
          <cell r="A262">
            <v>34578</v>
          </cell>
          <cell r="B262" t="str">
            <v>安徽</v>
          </cell>
          <cell r="C262" t="str">
            <v>食品</v>
          </cell>
          <cell r="D262">
            <v>1345</v>
          </cell>
        </row>
        <row r="263">
          <cell r="A263">
            <v>34578</v>
          </cell>
          <cell r="B263" t="str">
            <v>安徽</v>
          </cell>
          <cell r="C263" t="str">
            <v>食品</v>
          </cell>
          <cell r="D263">
            <v>576</v>
          </cell>
        </row>
        <row r="264">
          <cell r="A264">
            <v>34578</v>
          </cell>
          <cell r="B264" t="str">
            <v>山东</v>
          </cell>
          <cell r="C264" t="str">
            <v>儿童用品</v>
          </cell>
          <cell r="D264">
            <v>18</v>
          </cell>
        </row>
        <row r="265">
          <cell r="A265">
            <v>34578</v>
          </cell>
          <cell r="B265" t="str">
            <v>安徽</v>
          </cell>
          <cell r="C265" t="str">
            <v>儿童用品</v>
          </cell>
          <cell r="D265">
            <v>1366</v>
          </cell>
        </row>
        <row r="266">
          <cell r="A266">
            <v>34578</v>
          </cell>
          <cell r="B266" t="str">
            <v>山东</v>
          </cell>
          <cell r="C266" t="str">
            <v>儿童用品</v>
          </cell>
          <cell r="D266">
            <v>483</v>
          </cell>
        </row>
        <row r="267">
          <cell r="A267">
            <v>34578</v>
          </cell>
          <cell r="B267" t="str">
            <v>安徽</v>
          </cell>
          <cell r="C267" t="str">
            <v>儿童用品</v>
          </cell>
          <cell r="D267">
            <v>1160</v>
          </cell>
        </row>
        <row r="268">
          <cell r="A268">
            <v>34578</v>
          </cell>
          <cell r="B268" t="str">
            <v>安徽</v>
          </cell>
          <cell r="C268" t="str">
            <v>儿童用品</v>
          </cell>
          <cell r="D268">
            <v>587</v>
          </cell>
        </row>
        <row r="269">
          <cell r="A269">
            <v>34578</v>
          </cell>
          <cell r="B269" t="str">
            <v>安徽</v>
          </cell>
          <cell r="C269" t="str">
            <v>儿童用品</v>
          </cell>
          <cell r="D269">
            <v>349</v>
          </cell>
        </row>
        <row r="270">
          <cell r="A270">
            <v>34578</v>
          </cell>
          <cell r="B270" t="str">
            <v>山东</v>
          </cell>
          <cell r="C270" t="str">
            <v>儿童用品</v>
          </cell>
          <cell r="D270">
            <v>45</v>
          </cell>
        </row>
        <row r="271">
          <cell r="A271">
            <v>34578</v>
          </cell>
          <cell r="B271" t="str">
            <v>山东</v>
          </cell>
          <cell r="C271" t="str">
            <v>儿童用品</v>
          </cell>
          <cell r="D271">
            <v>275</v>
          </cell>
        </row>
        <row r="272">
          <cell r="A272">
            <v>34608</v>
          </cell>
          <cell r="B272" t="str">
            <v>山东</v>
          </cell>
          <cell r="C272" t="str">
            <v>艺术品</v>
          </cell>
          <cell r="D272">
            <v>179</v>
          </cell>
        </row>
        <row r="273">
          <cell r="A273">
            <v>34608</v>
          </cell>
          <cell r="B273" t="str">
            <v>山东</v>
          </cell>
          <cell r="C273" t="str">
            <v>艺术品</v>
          </cell>
          <cell r="D273">
            <v>169</v>
          </cell>
        </row>
        <row r="274">
          <cell r="A274">
            <v>34608</v>
          </cell>
          <cell r="B274" t="str">
            <v>安徽</v>
          </cell>
          <cell r="C274" t="str">
            <v>艺术品</v>
          </cell>
          <cell r="D274">
            <v>2266</v>
          </cell>
        </row>
        <row r="275">
          <cell r="A275">
            <v>34608</v>
          </cell>
          <cell r="B275" t="str">
            <v>江西</v>
          </cell>
          <cell r="C275" t="str">
            <v>艺术品</v>
          </cell>
          <cell r="D275">
            <v>1271</v>
          </cell>
        </row>
        <row r="276">
          <cell r="A276">
            <v>34608</v>
          </cell>
          <cell r="B276" t="str">
            <v>安徽</v>
          </cell>
          <cell r="C276" t="str">
            <v>艺术品</v>
          </cell>
          <cell r="D276">
            <v>1219</v>
          </cell>
        </row>
        <row r="277">
          <cell r="A277">
            <v>34608</v>
          </cell>
          <cell r="B277" t="str">
            <v>安徽</v>
          </cell>
          <cell r="C277" t="str">
            <v>艺术品</v>
          </cell>
          <cell r="D277">
            <v>504</v>
          </cell>
        </row>
        <row r="278">
          <cell r="A278">
            <v>34608</v>
          </cell>
          <cell r="B278" t="str">
            <v>江西</v>
          </cell>
          <cell r="C278" t="str">
            <v>艺术品</v>
          </cell>
          <cell r="D278">
            <v>413</v>
          </cell>
        </row>
        <row r="279">
          <cell r="A279">
            <v>34608</v>
          </cell>
          <cell r="B279" t="str">
            <v>山东</v>
          </cell>
          <cell r="C279" t="str">
            <v>艺术品</v>
          </cell>
          <cell r="D279">
            <v>347</v>
          </cell>
        </row>
        <row r="280">
          <cell r="A280">
            <v>34608</v>
          </cell>
          <cell r="B280" t="str">
            <v>山东</v>
          </cell>
          <cell r="C280" t="str">
            <v>艺术品</v>
          </cell>
          <cell r="D280">
            <v>347</v>
          </cell>
        </row>
        <row r="281">
          <cell r="A281">
            <v>34608</v>
          </cell>
          <cell r="B281" t="str">
            <v>安徽</v>
          </cell>
          <cell r="C281" t="str">
            <v>艺术品</v>
          </cell>
          <cell r="D281">
            <v>293</v>
          </cell>
        </row>
        <row r="282">
          <cell r="A282">
            <v>34608</v>
          </cell>
          <cell r="B282" t="str">
            <v>安徽</v>
          </cell>
          <cell r="C282" t="str">
            <v>自行车</v>
          </cell>
          <cell r="D282">
            <v>135</v>
          </cell>
        </row>
        <row r="283">
          <cell r="A283">
            <v>34608</v>
          </cell>
          <cell r="B283" t="str">
            <v>安徽</v>
          </cell>
          <cell r="C283" t="str">
            <v>自行车</v>
          </cell>
          <cell r="D283">
            <v>124</v>
          </cell>
        </row>
        <row r="284">
          <cell r="A284">
            <v>34608</v>
          </cell>
          <cell r="B284" t="str">
            <v>山东</v>
          </cell>
          <cell r="C284" t="str">
            <v>自行车</v>
          </cell>
          <cell r="D284">
            <v>140</v>
          </cell>
        </row>
        <row r="285">
          <cell r="A285">
            <v>34608</v>
          </cell>
          <cell r="B285" t="str">
            <v>安徽</v>
          </cell>
          <cell r="C285" t="str">
            <v>自行车</v>
          </cell>
          <cell r="D285">
            <v>70</v>
          </cell>
        </row>
        <row r="286">
          <cell r="A286">
            <v>34608</v>
          </cell>
          <cell r="B286" t="str">
            <v>山东</v>
          </cell>
          <cell r="C286" t="str">
            <v>自行车</v>
          </cell>
          <cell r="D286">
            <v>279</v>
          </cell>
        </row>
        <row r="287">
          <cell r="A287">
            <v>34608</v>
          </cell>
          <cell r="B287" t="str">
            <v>安徽</v>
          </cell>
          <cell r="C287" t="str">
            <v>自行车</v>
          </cell>
          <cell r="D287">
            <v>683</v>
          </cell>
        </row>
        <row r="288">
          <cell r="A288">
            <v>34608</v>
          </cell>
          <cell r="B288" t="str">
            <v>山东</v>
          </cell>
          <cell r="C288" t="str">
            <v>自行车</v>
          </cell>
          <cell r="D288">
            <v>619</v>
          </cell>
        </row>
        <row r="289">
          <cell r="A289">
            <v>34608</v>
          </cell>
          <cell r="B289" t="str">
            <v>江西</v>
          </cell>
          <cell r="C289" t="str">
            <v>自行车</v>
          </cell>
          <cell r="D289">
            <v>491</v>
          </cell>
        </row>
        <row r="290">
          <cell r="A290">
            <v>34608</v>
          </cell>
          <cell r="B290" t="str">
            <v>江西</v>
          </cell>
          <cell r="C290" t="str">
            <v>自行车</v>
          </cell>
          <cell r="D290">
            <v>420</v>
          </cell>
        </row>
        <row r="291">
          <cell r="A291">
            <v>34608</v>
          </cell>
          <cell r="B291" t="str">
            <v>山东</v>
          </cell>
          <cell r="C291" t="str">
            <v>自行车</v>
          </cell>
          <cell r="D291">
            <v>492</v>
          </cell>
        </row>
        <row r="292">
          <cell r="A292">
            <v>34608</v>
          </cell>
          <cell r="B292" t="str">
            <v>安徽</v>
          </cell>
          <cell r="C292" t="str">
            <v>服装</v>
          </cell>
          <cell r="D292">
            <v>101</v>
          </cell>
        </row>
        <row r="293">
          <cell r="A293">
            <v>34608</v>
          </cell>
          <cell r="B293" t="str">
            <v>安徽</v>
          </cell>
          <cell r="C293" t="str">
            <v>服装</v>
          </cell>
          <cell r="D293">
            <v>135</v>
          </cell>
        </row>
        <row r="294">
          <cell r="A294">
            <v>34608</v>
          </cell>
          <cell r="B294" t="str">
            <v>山东</v>
          </cell>
          <cell r="C294" t="str">
            <v>服装</v>
          </cell>
          <cell r="D294">
            <v>228</v>
          </cell>
        </row>
        <row r="295">
          <cell r="A295">
            <v>34608</v>
          </cell>
          <cell r="B295" t="str">
            <v>安徽</v>
          </cell>
          <cell r="C295" t="str">
            <v>服装</v>
          </cell>
          <cell r="D295">
            <v>210</v>
          </cell>
        </row>
        <row r="296">
          <cell r="A296">
            <v>34608</v>
          </cell>
          <cell r="B296" t="str">
            <v>安徽</v>
          </cell>
          <cell r="C296" t="str">
            <v>服装</v>
          </cell>
          <cell r="D296">
            <v>53</v>
          </cell>
        </row>
        <row r="297">
          <cell r="A297">
            <v>34608</v>
          </cell>
          <cell r="B297" t="str">
            <v>安徽</v>
          </cell>
          <cell r="C297" t="str">
            <v>服装</v>
          </cell>
          <cell r="D297">
            <v>206</v>
          </cell>
        </row>
        <row r="298">
          <cell r="A298">
            <v>34608</v>
          </cell>
          <cell r="B298" t="str">
            <v>山东</v>
          </cell>
          <cell r="C298" t="str">
            <v>服装</v>
          </cell>
          <cell r="D298">
            <v>81</v>
          </cell>
        </row>
        <row r="299">
          <cell r="A299">
            <v>34608</v>
          </cell>
          <cell r="B299" t="str">
            <v>山东</v>
          </cell>
          <cell r="C299" t="str">
            <v>服装</v>
          </cell>
          <cell r="D299">
            <v>1215</v>
          </cell>
        </row>
        <row r="300">
          <cell r="A300">
            <v>34608</v>
          </cell>
          <cell r="B300" t="str">
            <v>山东</v>
          </cell>
          <cell r="C300" t="str">
            <v>服装</v>
          </cell>
          <cell r="D300">
            <v>53</v>
          </cell>
        </row>
        <row r="301">
          <cell r="A301">
            <v>34608</v>
          </cell>
          <cell r="B301" t="str">
            <v>山东</v>
          </cell>
          <cell r="C301" t="str">
            <v>服装</v>
          </cell>
          <cell r="D301">
            <v>44</v>
          </cell>
        </row>
        <row r="302">
          <cell r="A302">
            <v>34608</v>
          </cell>
          <cell r="B302" t="str">
            <v>安徽</v>
          </cell>
          <cell r="C302" t="str">
            <v>服装</v>
          </cell>
          <cell r="D302">
            <v>1041</v>
          </cell>
        </row>
        <row r="303">
          <cell r="A303">
            <v>34608</v>
          </cell>
          <cell r="B303" t="str">
            <v>山东</v>
          </cell>
          <cell r="C303" t="str">
            <v>服装</v>
          </cell>
          <cell r="D303">
            <v>34</v>
          </cell>
        </row>
        <row r="304">
          <cell r="A304">
            <v>34608</v>
          </cell>
          <cell r="B304" t="str">
            <v>山东</v>
          </cell>
          <cell r="C304" t="str">
            <v>食品</v>
          </cell>
          <cell r="D304">
            <v>569</v>
          </cell>
        </row>
        <row r="305">
          <cell r="A305">
            <v>34608</v>
          </cell>
          <cell r="B305" t="str">
            <v>安徽</v>
          </cell>
          <cell r="C305" t="str">
            <v>食品</v>
          </cell>
          <cell r="D305">
            <v>131</v>
          </cell>
        </row>
        <row r="306">
          <cell r="A306">
            <v>34608</v>
          </cell>
          <cell r="B306" t="str">
            <v>山东</v>
          </cell>
          <cell r="C306" t="str">
            <v>食品</v>
          </cell>
          <cell r="D306">
            <v>135</v>
          </cell>
        </row>
        <row r="307">
          <cell r="A307">
            <v>34608</v>
          </cell>
          <cell r="B307" t="str">
            <v>安徽</v>
          </cell>
          <cell r="C307" t="str">
            <v>食品</v>
          </cell>
          <cell r="D307">
            <v>692</v>
          </cell>
        </row>
        <row r="308">
          <cell r="A308">
            <v>34608</v>
          </cell>
          <cell r="B308" t="str">
            <v>山东</v>
          </cell>
          <cell r="C308" t="str">
            <v>食品</v>
          </cell>
          <cell r="D308">
            <v>193</v>
          </cell>
        </row>
        <row r="309">
          <cell r="A309">
            <v>34608</v>
          </cell>
          <cell r="B309" t="str">
            <v>安徽</v>
          </cell>
          <cell r="C309" t="str">
            <v>食品</v>
          </cell>
          <cell r="D309">
            <v>281</v>
          </cell>
        </row>
        <row r="310">
          <cell r="A310">
            <v>34608</v>
          </cell>
          <cell r="B310" t="str">
            <v>山东</v>
          </cell>
          <cell r="C310" t="str">
            <v>食品</v>
          </cell>
          <cell r="D310">
            <v>169</v>
          </cell>
        </row>
        <row r="311">
          <cell r="A311">
            <v>34608</v>
          </cell>
          <cell r="B311" t="str">
            <v>江西</v>
          </cell>
          <cell r="C311" t="str">
            <v>食品</v>
          </cell>
          <cell r="D311">
            <v>426</v>
          </cell>
        </row>
        <row r="312">
          <cell r="A312">
            <v>34608</v>
          </cell>
          <cell r="B312" t="str">
            <v>江西</v>
          </cell>
          <cell r="C312" t="str">
            <v>食品</v>
          </cell>
          <cell r="D312">
            <v>315</v>
          </cell>
        </row>
        <row r="313">
          <cell r="A313">
            <v>34608</v>
          </cell>
          <cell r="B313" t="str">
            <v>安徽</v>
          </cell>
          <cell r="C313" t="str">
            <v>食品</v>
          </cell>
          <cell r="D313">
            <v>1990</v>
          </cell>
        </row>
        <row r="314">
          <cell r="A314">
            <v>34608</v>
          </cell>
          <cell r="B314" t="str">
            <v>安徽</v>
          </cell>
          <cell r="C314" t="str">
            <v>儿童用品</v>
          </cell>
          <cell r="D314">
            <v>383</v>
          </cell>
        </row>
        <row r="315">
          <cell r="A315">
            <v>34608</v>
          </cell>
          <cell r="B315" t="str">
            <v>安徽</v>
          </cell>
          <cell r="C315" t="str">
            <v>儿童用品</v>
          </cell>
          <cell r="D315">
            <v>921</v>
          </cell>
        </row>
        <row r="316">
          <cell r="A316">
            <v>34608</v>
          </cell>
          <cell r="B316" t="str">
            <v>江西</v>
          </cell>
          <cell r="C316" t="str">
            <v>儿童用品</v>
          </cell>
          <cell r="D316">
            <v>61</v>
          </cell>
        </row>
        <row r="317">
          <cell r="A317">
            <v>34608</v>
          </cell>
          <cell r="B317" t="str">
            <v>安徽</v>
          </cell>
          <cell r="C317" t="str">
            <v>儿童用品</v>
          </cell>
          <cell r="D317">
            <v>81</v>
          </cell>
        </row>
        <row r="318">
          <cell r="A318">
            <v>34608</v>
          </cell>
          <cell r="B318" t="str">
            <v>山东</v>
          </cell>
          <cell r="C318" t="str">
            <v>儿童用品</v>
          </cell>
          <cell r="D318">
            <v>679</v>
          </cell>
        </row>
        <row r="319">
          <cell r="A319">
            <v>34608</v>
          </cell>
          <cell r="B319" t="str">
            <v>山东</v>
          </cell>
          <cell r="C319" t="str">
            <v>儿童用品</v>
          </cell>
          <cell r="D319">
            <v>35</v>
          </cell>
        </row>
        <row r="320">
          <cell r="A320">
            <v>34608</v>
          </cell>
          <cell r="B320" t="str">
            <v>山东</v>
          </cell>
          <cell r="C320" t="str">
            <v>儿童用品</v>
          </cell>
          <cell r="D320">
            <v>34</v>
          </cell>
        </row>
        <row r="321">
          <cell r="A321">
            <v>34608</v>
          </cell>
          <cell r="B321" t="str">
            <v>山东</v>
          </cell>
          <cell r="C321" t="str">
            <v>儿童用品</v>
          </cell>
          <cell r="D321">
            <v>525</v>
          </cell>
        </row>
        <row r="322">
          <cell r="A322">
            <v>34608</v>
          </cell>
          <cell r="B322" t="str">
            <v>江西</v>
          </cell>
          <cell r="C322" t="str">
            <v>儿童用品</v>
          </cell>
          <cell r="D322">
            <v>1006</v>
          </cell>
        </row>
        <row r="323">
          <cell r="A323">
            <v>34608</v>
          </cell>
          <cell r="B323" t="str">
            <v>安徽</v>
          </cell>
          <cell r="C323" t="str">
            <v>儿童用品</v>
          </cell>
          <cell r="D323">
            <v>1080</v>
          </cell>
        </row>
        <row r="324">
          <cell r="A324">
            <v>34639</v>
          </cell>
          <cell r="B324" t="str">
            <v>山东</v>
          </cell>
          <cell r="C324" t="str">
            <v>艺术品</v>
          </cell>
          <cell r="D324">
            <v>330</v>
          </cell>
        </row>
        <row r="325">
          <cell r="A325">
            <v>34639</v>
          </cell>
          <cell r="B325" t="str">
            <v>山东</v>
          </cell>
          <cell r="C325" t="str">
            <v>艺术品</v>
          </cell>
          <cell r="D325">
            <v>326</v>
          </cell>
        </row>
        <row r="326">
          <cell r="A326">
            <v>34639</v>
          </cell>
          <cell r="B326" t="str">
            <v>山东</v>
          </cell>
          <cell r="C326" t="str">
            <v>艺术品</v>
          </cell>
          <cell r="D326">
            <v>315</v>
          </cell>
        </row>
        <row r="327">
          <cell r="A327">
            <v>34639</v>
          </cell>
          <cell r="B327" t="str">
            <v>山东</v>
          </cell>
          <cell r="C327" t="str">
            <v>艺术品</v>
          </cell>
          <cell r="D327">
            <v>275</v>
          </cell>
        </row>
        <row r="328">
          <cell r="A328">
            <v>34639</v>
          </cell>
          <cell r="B328" t="str">
            <v>安徽</v>
          </cell>
          <cell r="C328" t="str">
            <v>艺术品</v>
          </cell>
          <cell r="D328">
            <v>270</v>
          </cell>
        </row>
        <row r="329">
          <cell r="A329">
            <v>34639</v>
          </cell>
          <cell r="B329" t="str">
            <v>江西</v>
          </cell>
          <cell r="C329" t="str">
            <v>艺术品</v>
          </cell>
          <cell r="D329">
            <v>413</v>
          </cell>
        </row>
        <row r="330">
          <cell r="A330">
            <v>34639</v>
          </cell>
          <cell r="B330" t="str">
            <v>安徽</v>
          </cell>
          <cell r="C330" t="str">
            <v>艺术品</v>
          </cell>
          <cell r="D330">
            <v>385</v>
          </cell>
        </row>
        <row r="331">
          <cell r="A331">
            <v>34639</v>
          </cell>
          <cell r="B331" t="str">
            <v>安徽</v>
          </cell>
          <cell r="C331" t="str">
            <v>艺术品</v>
          </cell>
          <cell r="D331">
            <v>4001</v>
          </cell>
        </row>
        <row r="332">
          <cell r="A332">
            <v>34639</v>
          </cell>
          <cell r="B332" t="str">
            <v>安徽</v>
          </cell>
          <cell r="C332" t="str">
            <v>艺术品</v>
          </cell>
          <cell r="D332">
            <v>2110</v>
          </cell>
        </row>
        <row r="333">
          <cell r="A333">
            <v>34639</v>
          </cell>
          <cell r="B333" t="str">
            <v>江西</v>
          </cell>
          <cell r="C333" t="str">
            <v>艺术品</v>
          </cell>
          <cell r="D333">
            <v>1272</v>
          </cell>
        </row>
        <row r="334">
          <cell r="A334">
            <v>34639</v>
          </cell>
          <cell r="B334" t="str">
            <v>山东</v>
          </cell>
          <cell r="C334" t="str">
            <v>自行车</v>
          </cell>
          <cell r="D334">
            <v>507</v>
          </cell>
        </row>
        <row r="335">
          <cell r="A335">
            <v>34639</v>
          </cell>
          <cell r="B335" t="str">
            <v>安徽</v>
          </cell>
          <cell r="C335" t="str">
            <v>自行车</v>
          </cell>
          <cell r="D335">
            <v>113</v>
          </cell>
        </row>
        <row r="336">
          <cell r="A336">
            <v>34639</v>
          </cell>
          <cell r="B336" t="str">
            <v>江西</v>
          </cell>
          <cell r="C336" t="str">
            <v>自行车</v>
          </cell>
          <cell r="D336">
            <v>368</v>
          </cell>
        </row>
        <row r="337">
          <cell r="A337">
            <v>34639</v>
          </cell>
          <cell r="B337" t="str">
            <v>江西</v>
          </cell>
          <cell r="C337" t="str">
            <v>自行车</v>
          </cell>
          <cell r="D337">
            <v>524</v>
          </cell>
        </row>
        <row r="338">
          <cell r="A338">
            <v>34639</v>
          </cell>
          <cell r="B338" t="str">
            <v>安徽</v>
          </cell>
          <cell r="C338" t="str">
            <v>自行车</v>
          </cell>
          <cell r="D338">
            <v>79</v>
          </cell>
        </row>
        <row r="339">
          <cell r="A339">
            <v>34639</v>
          </cell>
          <cell r="B339" t="str">
            <v>山东</v>
          </cell>
          <cell r="C339" t="str">
            <v>自行车</v>
          </cell>
          <cell r="D339">
            <v>193</v>
          </cell>
        </row>
        <row r="340">
          <cell r="A340">
            <v>34639</v>
          </cell>
          <cell r="B340" t="str">
            <v>山东</v>
          </cell>
          <cell r="C340" t="str">
            <v>自行车</v>
          </cell>
          <cell r="D340">
            <v>315</v>
          </cell>
        </row>
        <row r="341">
          <cell r="A341">
            <v>34639</v>
          </cell>
          <cell r="B341" t="str">
            <v>山东</v>
          </cell>
          <cell r="C341" t="str">
            <v>自行车</v>
          </cell>
          <cell r="D341">
            <v>189</v>
          </cell>
        </row>
        <row r="342">
          <cell r="A342">
            <v>34639</v>
          </cell>
          <cell r="B342" t="str">
            <v>安徽</v>
          </cell>
          <cell r="C342" t="str">
            <v>自行车</v>
          </cell>
          <cell r="D342">
            <v>225</v>
          </cell>
        </row>
        <row r="343">
          <cell r="A343">
            <v>34639</v>
          </cell>
          <cell r="B343" t="str">
            <v>安徽</v>
          </cell>
          <cell r="C343" t="str">
            <v>自行车</v>
          </cell>
          <cell r="D343">
            <v>930</v>
          </cell>
        </row>
        <row r="344">
          <cell r="A344">
            <v>34639</v>
          </cell>
          <cell r="B344" t="str">
            <v>安徽</v>
          </cell>
          <cell r="C344" t="str">
            <v>服装</v>
          </cell>
          <cell r="D344">
            <v>175</v>
          </cell>
        </row>
        <row r="345">
          <cell r="A345">
            <v>34639</v>
          </cell>
          <cell r="B345" t="str">
            <v>安徽</v>
          </cell>
          <cell r="C345" t="str">
            <v>服装</v>
          </cell>
          <cell r="D345">
            <v>113</v>
          </cell>
        </row>
        <row r="346">
          <cell r="A346">
            <v>34639</v>
          </cell>
          <cell r="B346" t="str">
            <v>山东</v>
          </cell>
          <cell r="C346" t="str">
            <v>服装</v>
          </cell>
          <cell r="D346">
            <v>60</v>
          </cell>
        </row>
        <row r="347">
          <cell r="A347">
            <v>34639</v>
          </cell>
          <cell r="B347" t="str">
            <v>山东</v>
          </cell>
          <cell r="C347" t="str">
            <v>服装</v>
          </cell>
          <cell r="D347">
            <v>90</v>
          </cell>
        </row>
        <row r="348">
          <cell r="A348">
            <v>34639</v>
          </cell>
          <cell r="B348" t="str">
            <v>山东</v>
          </cell>
          <cell r="C348" t="str">
            <v>服装</v>
          </cell>
          <cell r="D348">
            <v>56</v>
          </cell>
        </row>
        <row r="349">
          <cell r="A349">
            <v>34639</v>
          </cell>
          <cell r="B349" t="str">
            <v>山东</v>
          </cell>
          <cell r="C349" t="str">
            <v>服装</v>
          </cell>
          <cell r="D349">
            <v>28</v>
          </cell>
        </row>
        <row r="350">
          <cell r="A350">
            <v>34639</v>
          </cell>
          <cell r="B350" t="str">
            <v>安徽</v>
          </cell>
          <cell r="C350" t="str">
            <v>服装</v>
          </cell>
          <cell r="D350">
            <v>225</v>
          </cell>
        </row>
        <row r="351">
          <cell r="A351">
            <v>34639</v>
          </cell>
          <cell r="B351" t="str">
            <v>安徽</v>
          </cell>
          <cell r="C351" t="str">
            <v>服装</v>
          </cell>
          <cell r="D351">
            <v>105</v>
          </cell>
        </row>
        <row r="352">
          <cell r="A352">
            <v>34639</v>
          </cell>
          <cell r="B352" t="str">
            <v>安徽</v>
          </cell>
          <cell r="C352" t="str">
            <v>服装</v>
          </cell>
          <cell r="D352">
            <v>1011</v>
          </cell>
        </row>
        <row r="353">
          <cell r="A353">
            <v>34639</v>
          </cell>
          <cell r="B353" t="str">
            <v>山东</v>
          </cell>
          <cell r="C353" t="str">
            <v>服装</v>
          </cell>
          <cell r="D353">
            <v>801</v>
          </cell>
        </row>
        <row r="354">
          <cell r="A354">
            <v>34639</v>
          </cell>
          <cell r="B354" t="str">
            <v>山东</v>
          </cell>
          <cell r="C354" t="str">
            <v>服装</v>
          </cell>
          <cell r="D354">
            <v>570</v>
          </cell>
        </row>
        <row r="355">
          <cell r="A355">
            <v>34639</v>
          </cell>
          <cell r="B355" t="str">
            <v>安徽</v>
          </cell>
          <cell r="C355" t="str">
            <v>服装</v>
          </cell>
          <cell r="D355">
            <v>124</v>
          </cell>
        </row>
        <row r="356">
          <cell r="A356">
            <v>34639</v>
          </cell>
          <cell r="B356" t="str">
            <v>安徽</v>
          </cell>
          <cell r="C356" t="str">
            <v>食品</v>
          </cell>
          <cell r="D356">
            <v>2130</v>
          </cell>
        </row>
        <row r="357">
          <cell r="A357">
            <v>34639</v>
          </cell>
          <cell r="B357" t="str">
            <v>山东</v>
          </cell>
          <cell r="C357" t="str">
            <v>食品</v>
          </cell>
          <cell r="D357">
            <v>620</v>
          </cell>
        </row>
        <row r="358">
          <cell r="A358">
            <v>34639</v>
          </cell>
          <cell r="B358" t="str">
            <v>安徽</v>
          </cell>
          <cell r="C358" t="str">
            <v>食品</v>
          </cell>
          <cell r="D358">
            <v>601</v>
          </cell>
        </row>
        <row r="359">
          <cell r="A359">
            <v>34639</v>
          </cell>
          <cell r="B359" t="str">
            <v>江西</v>
          </cell>
          <cell r="C359" t="str">
            <v>食品</v>
          </cell>
          <cell r="D359">
            <v>371</v>
          </cell>
        </row>
        <row r="360">
          <cell r="A360">
            <v>34639</v>
          </cell>
          <cell r="B360" t="str">
            <v>安徽</v>
          </cell>
          <cell r="C360" t="str">
            <v>食品</v>
          </cell>
          <cell r="D360">
            <v>149</v>
          </cell>
        </row>
        <row r="361">
          <cell r="A361">
            <v>34639</v>
          </cell>
          <cell r="B361" t="str">
            <v>安徽</v>
          </cell>
          <cell r="C361" t="str">
            <v>食品</v>
          </cell>
          <cell r="D361">
            <v>304</v>
          </cell>
        </row>
        <row r="362">
          <cell r="A362">
            <v>34639</v>
          </cell>
          <cell r="B362" t="str">
            <v>江西</v>
          </cell>
          <cell r="C362" t="str">
            <v>食品</v>
          </cell>
          <cell r="D362">
            <v>289</v>
          </cell>
        </row>
        <row r="363">
          <cell r="A363">
            <v>34639</v>
          </cell>
          <cell r="B363" t="str">
            <v>山东</v>
          </cell>
          <cell r="C363" t="str">
            <v>食品</v>
          </cell>
          <cell r="D363">
            <v>248</v>
          </cell>
        </row>
        <row r="364">
          <cell r="A364">
            <v>34639</v>
          </cell>
          <cell r="B364" t="str">
            <v>山东</v>
          </cell>
          <cell r="C364" t="str">
            <v>食品</v>
          </cell>
          <cell r="D364">
            <v>225</v>
          </cell>
        </row>
        <row r="365">
          <cell r="A365">
            <v>34639</v>
          </cell>
          <cell r="B365" t="str">
            <v>山东</v>
          </cell>
          <cell r="C365" t="str">
            <v>食品</v>
          </cell>
          <cell r="D365">
            <v>210</v>
          </cell>
        </row>
        <row r="366">
          <cell r="A366">
            <v>34639</v>
          </cell>
          <cell r="B366" t="str">
            <v>安徽</v>
          </cell>
          <cell r="C366" t="str">
            <v>儿童用品</v>
          </cell>
          <cell r="D366">
            <v>293</v>
          </cell>
        </row>
        <row r="367">
          <cell r="A367">
            <v>34639</v>
          </cell>
          <cell r="B367" t="str">
            <v>安徽</v>
          </cell>
          <cell r="C367" t="str">
            <v>儿童用品</v>
          </cell>
          <cell r="D367">
            <v>1443</v>
          </cell>
        </row>
        <row r="368">
          <cell r="A368">
            <v>34639</v>
          </cell>
          <cell r="B368" t="str">
            <v>山东</v>
          </cell>
          <cell r="C368" t="str">
            <v>儿童用品</v>
          </cell>
          <cell r="D368">
            <v>1153</v>
          </cell>
        </row>
        <row r="369">
          <cell r="A369">
            <v>34639</v>
          </cell>
          <cell r="B369" t="str">
            <v>山东</v>
          </cell>
          <cell r="C369" t="str">
            <v>儿童用品</v>
          </cell>
          <cell r="D369">
            <v>546</v>
          </cell>
        </row>
        <row r="370">
          <cell r="A370">
            <v>34639</v>
          </cell>
          <cell r="B370" t="str">
            <v>江西</v>
          </cell>
          <cell r="C370" t="str">
            <v>儿童用品</v>
          </cell>
          <cell r="D370">
            <v>393</v>
          </cell>
        </row>
        <row r="371">
          <cell r="A371">
            <v>34639</v>
          </cell>
          <cell r="B371" t="str">
            <v>安徽</v>
          </cell>
          <cell r="C371" t="str">
            <v>儿童用品</v>
          </cell>
          <cell r="D371">
            <v>748</v>
          </cell>
        </row>
        <row r="372">
          <cell r="A372">
            <v>34639</v>
          </cell>
          <cell r="B372" t="str">
            <v>江西</v>
          </cell>
          <cell r="C372" t="str">
            <v>儿童用品</v>
          </cell>
          <cell r="D372">
            <v>833</v>
          </cell>
        </row>
        <row r="373">
          <cell r="A373">
            <v>34639</v>
          </cell>
          <cell r="B373" t="str">
            <v>山东</v>
          </cell>
          <cell r="C373" t="str">
            <v>儿童用品</v>
          </cell>
          <cell r="D373">
            <v>18</v>
          </cell>
        </row>
        <row r="374">
          <cell r="A374">
            <v>34639</v>
          </cell>
          <cell r="B374" t="str">
            <v>山东</v>
          </cell>
          <cell r="C374" t="str">
            <v>儿童用品</v>
          </cell>
          <cell r="D374">
            <v>34</v>
          </cell>
        </row>
        <row r="375">
          <cell r="A375">
            <v>34639</v>
          </cell>
          <cell r="B375" t="str">
            <v>安徽</v>
          </cell>
          <cell r="C375" t="str">
            <v>儿童用品</v>
          </cell>
          <cell r="D375">
            <v>91</v>
          </cell>
        </row>
        <row r="376">
          <cell r="A376">
            <v>34669</v>
          </cell>
          <cell r="B376" t="str">
            <v>安徽</v>
          </cell>
          <cell r="C376" t="str">
            <v>艺术品</v>
          </cell>
          <cell r="D376">
            <v>2049</v>
          </cell>
        </row>
        <row r="377">
          <cell r="A377">
            <v>34669</v>
          </cell>
          <cell r="B377" t="str">
            <v>江西</v>
          </cell>
          <cell r="C377" t="str">
            <v>艺术品</v>
          </cell>
          <cell r="D377">
            <v>1399</v>
          </cell>
        </row>
        <row r="378">
          <cell r="A378">
            <v>34669</v>
          </cell>
          <cell r="B378" t="str">
            <v>江西</v>
          </cell>
          <cell r="C378" t="str">
            <v>艺术品</v>
          </cell>
          <cell r="D378">
            <v>441</v>
          </cell>
        </row>
        <row r="379">
          <cell r="A379">
            <v>34669</v>
          </cell>
          <cell r="B379" t="str">
            <v>山东</v>
          </cell>
          <cell r="C379" t="str">
            <v>艺术品</v>
          </cell>
          <cell r="D379">
            <v>414</v>
          </cell>
        </row>
        <row r="380">
          <cell r="A380">
            <v>34669</v>
          </cell>
          <cell r="B380" t="str">
            <v>山东</v>
          </cell>
          <cell r="C380" t="str">
            <v>艺术品</v>
          </cell>
          <cell r="D380">
            <v>405</v>
          </cell>
        </row>
        <row r="381">
          <cell r="A381">
            <v>34669</v>
          </cell>
          <cell r="B381" t="str">
            <v>山东</v>
          </cell>
          <cell r="C381" t="str">
            <v>艺术品</v>
          </cell>
          <cell r="D381">
            <v>374</v>
          </cell>
        </row>
        <row r="382">
          <cell r="A382">
            <v>34669</v>
          </cell>
          <cell r="B382" t="str">
            <v>安徽</v>
          </cell>
          <cell r="C382" t="str">
            <v>艺术品</v>
          </cell>
          <cell r="D382">
            <v>338</v>
          </cell>
        </row>
        <row r="383">
          <cell r="A383">
            <v>34669</v>
          </cell>
          <cell r="B383" t="str">
            <v>山东</v>
          </cell>
          <cell r="C383" t="str">
            <v>艺术品</v>
          </cell>
          <cell r="D383">
            <v>292</v>
          </cell>
        </row>
        <row r="384">
          <cell r="A384">
            <v>34669</v>
          </cell>
          <cell r="B384" t="str">
            <v>安徽</v>
          </cell>
          <cell r="C384" t="str">
            <v>艺术品</v>
          </cell>
          <cell r="D384">
            <v>4193</v>
          </cell>
        </row>
        <row r="385">
          <cell r="A385">
            <v>34669</v>
          </cell>
          <cell r="B385" t="str">
            <v>安徽</v>
          </cell>
          <cell r="C385" t="str">
            <v>艺术品</v>
          </cell>
          <cell r="D385">
            <v>330</v>
          </cell>
        </row>
        <row r="386">
          <cell r="A386">
            <v>34669</v>
          </cell>
          <cell r="B386" t="str">
            <v>安徽</v>
          </cell>
          <cell r="C386" t="str">
            <v>自行车</v>
          </cell>
          <cell r="D386">
            <v>821</v>
          </cell>
        </row>
        <row r="387">
          <cell r="A387">
            <v>34669</v>
          </cell>
          <cell r="B387" t="str">
            <v>山东</v>
          </cell>
          <cell r="C387" t="str">
            <v>自行车</v>
          </cell>
          <cell r="D387">
            <v>602</v>
          </cell>
        </row>
        <row r="388">
          <cell r="A388">
            <v>34669</v>
          </cell>
          <cell r="B388" t="str">
            <v>江西</v>
          </cell>
          <cell r="C388" t="str">
            <v>自行车</v>
          </cell>
          <cell r="D388">
            <v>525</v>
          </cell>
        </row>
        <row r="389">
          <cell r="A389">
            <v>34669</v>
          </cell>
          <cell r="B389" t="str">
            <v>江西</v>
          </cell>
          <cell r="C389" t="str">
            <v>自行车</v>
          </cell>
          <cell r="D389">
            <v>394</v>
          </cell>
        </row>
        <row r="390">
          <cell r="A390">
            <v>34669</v>
          </cell>
          <cell r="B390" t="str">
            <v>山东</v>
          </cell>
          <cell r="C390" t="str">
            <v>自行车</v>
          </cell>
          <cell r="D390">
            <v>393</v>
          </cell>
        </row>
        <row r="391">
          <cell r="A391">
            <v>34669</v>
          </cell>
          <cell r="B391" t="str">
            <v>安徽</v>
          </cell>
          <cell r="C391" t="str">
            <v>自行车</v>
          </cell>
          <cell r="D391">
            <v>124</v>
          </cell>
        </row>
        <row r="392">
          <cell r="A392">
            <v>34669</v>
          </cell>
          <cell r="B392" t="str">
            <v>安徽</v>
          </cell>
          <cell r="C392" t="str">
            <v>自行车</v>
          </cell>
          <cell r="D392">
            <v>79</v>
          </cell>
        </row>
        <row r="393">
          <cell r="A393">
            <v>34669</v>
          </cell>
          <cell r="B393" t="str">
            <v>山东</v>
          </cell>
          <cell r="C393" t="str">
            <v>自行车</v>
          </cell>
          <cell r="D393">
            <v>158</v>
          </cell>
        </row>
        <row r="394">
          <cell r="A394">
            <v>34669</v>
          </cell>
          <cell r="B394" t="str">
            <v>安徽</v>
          </cell>
          <cell r="C394" t="str">
            <v>自行车</v>
          </cell>
          <cell r="D394">
            <v>338</v>
          </cell>
        </row>
        <row r="395">
          <cell r="A395">
            <v>34669</v>
          </cell>
          <cell r="B395" t="str">
            <v>山东</v>
          </cell>
          <cell r="C395" t="str">
            <v>自行车</v>
          </cell>
          <cell r="D395">
            <v>271</v>
          </cell>
        </row>
        <row r="396">
          <cell r="A396">
            <v>34669</v>
          </cell>
          <cell r="B396" t="str">
            <v>山东</v>
          </cell>
          <cell r="C396" t="str">
            <v>服装</v>
          </cell>
          <cell r="D396">
            <v>1049</v>
          </cell>
        </row>
        <row r="397">
          <cell r="A397">
            <v>34669</v>
          </cell>
          <cell r="B397" t="str">
            <v>山东</v>
          </cell>
          <cell r="C397" t="str">
            <v>服装</v>
          </cell>
          <cell r="D397">
            <v>1115</v>
          </cell>
        </row>
        <row r="398">
          <cell r="A398">
            <v>34669</v>
          </cell>
          <cell r="B398" t="str">
            <v>安徽</v>
          </cell>
          <cell r="C398" t="str">
            <v>服装</v>
          </cell>
          <cell r="D398">
            <v>849</v>
          </cell>
        </row>
        <row r="399">
          <cell r="A399">
            <v>34669</v>
          </cell>
          <cell r="B399" t="str">
            <v>安徽</v>
          </cell>
          <cell r="C399" t="str">
            <v>服装</v>
          </cell>
          <cell r="D399">
            <v>151</v>
          </cell>
        </row>
        <row r="400">
          <cell r="A400">
            <v>34669</v>
          </cell>
          <cell r="B400" t="str">
            <v>山东</v>
          </cell>
          <cell r="C400" t="str">
            <v>服装</v>
          </cell>
          <cell r="D400">
            <v>77</v>
          </cell>
        </row>
        <row r="401">
          <cell r="A401">
            <v>34669</v>
          </cell>
          <cell r="B401" t="str">
            <v>山东</v>
          </cell>
          <cell r="C401" t="str">
            <v>服装</v>
          </cell>
          <cell r="D401">
            <v>68</v>
          </cell>
        </row>
        <row r="402">
          <cell r="A402">
            <v>34669</v>
          </cell>
          <cell r="B402" t="str">
            <v>安徽</v>
          </cell>
          <cell r="C402" t="str">
            <v>服装</v>
          </cell>
          <cell r="D402">
            <v>248</v>
          </cell>
        </row>
        <row r="403">
          <cell r="A403">
            <v>34669</v>
          </cell>
          <cell r="B403" t="str">
            <v>安徽</v>
          </cell>
          <cell r="C403" t="str">
            <v>服装</v>
          </cell>
          <cell r="D403">
            <v>135</v>
          </cell>
        </row>
        <row r="404">
          <cell r="A404">
            <v>34669</v>
          </cell>
          <cell r="B404" t="str">
            <v>安徽</v>
          </cell>
          <cell r="C404" t="str">
            <v>服装</v>
          </cell>
          <cell r="D404">
            <v>140</v>
          </cell>
        </row>
        <row r="405">
          <cell r="A405">
            <v>34669</v>
          </cell>
          <cell r="B405" t="str">
            <v>山东</v>
          </cell>
          <cell r="C405" t="str">
            <v>服装</v>
          </cell>
          <cell r="D405">
            <v>99</v>
          </cell>
        </row>
        <row r="406">
          <cell r="A406">
            <v>34669</v>
          </cell>
          <cell r="B406" t="str">
            <v>安徽</v>
          </cell>
          <cell r="C406" t="str">
            <v>服装</v>
          </cell>
          <cell r="D406">
            <v>123</v>
          </cell>
        </row>
        <row r="407">
          <cell r="A407">
            <v>34669</v>
          </cell>
          <cell r="B407" t="str">
            <v>山东</v>
          </cell>
          <cell r="C407" t="str">
            <v>服装</v>
          </cell>
          <cell r="D407">
            <v>28</v>
          </cell>
        </row>
        <row r="408">
          <cell r="A408">
            <v>34669</v>
          </cell>
          <cell r="B408" t="str">
            <v>山东</v>
          </cell>
          <cell r="C408" t="str">
            <v>食品</v>
          </cell>
          <cell r="D408">
            <v>210</v>
          </cell>
        </row>
        <row r="409">
          <cell r="A409">
            <v>34669</v>
          </cell>
          <cell r="B409" t="str">
            <v>安徽</v>
          </cell>
          <cell r="C409" t="str">
            <v>食品</v>
          </cell>
          <cell r="D409">
            <v>131</v>
          </cell>
        </row>
        <row r="410">
          <cell r="A410">
            <v>34669</v>
          </cell>
          <cell r="B410" t="str">
            <v>山东</v>
          </cell>
          <cell r="C410" t="str">
            <v>食品</v>
          </cell>
          <cell r="D410">
            <v>304</v>
          </cell>
        </row>
        <row r="411">
          <cell r="A411">
            <v>34669</v>
          </cell>
          <cell r="B411" t="str">
            <v>山东</v>
          </cell>
          <cell r="C411" t="str">
            <v>食品</v>
          </cell>
          <cell r="D411">
            <v>248</v>
          </cell>
        </row>
        <row r="412">
          <cell r="A412">
            <v>34669</v>
          </cell>
          <cell r="B412" t="str">
            <v>江西</v>
          </cell>
          <cell r="C412" t="str">
            <v>食品</v>
          </cell>
          <cell r="D412">
            <v>338</v>
          </cell>
        </row>
        <row r="413">
          <cell r="A413">
            <v>34669</v>
          </cell>
          <cell r="B413" t="str">
            <v>安徽</v>
          </cell>
          <cell r="C413" t="str">
            <v>食品</v>
          </cell>
          <cell r="D413">
            <v>888</v>
          </cell>
        </row>
        <row r="414">
          <cell r="A414">
            <v>34669</v>
          </cell>
          <cell r="B414" t="str">
            <v>山东</v>
          </cell>
          <cell r="C414" t="str">
            <v>食品</v>
          </cell>
          <cell r="D414">
            <v>808</v>
          </cell>
        </row>
        <row r="415">
          <cell r="A415">
            <v>34669</v>
          </cell>
          <cell r="B415" t="str">
            <v>安徽</v>
          </cell>
          <cell r="C415" t="str">
            <v>食品</v>
          </cell>
          <cell r="D415">
            <v>371</v>
          </cell>
        </row>
        <row r="416">
          <cell r="A416">
            <v>34669</v>
          </cell>
          <cell r="B416" t="str">
            <v>江西</v>
          </cell>
          <cell r="C416" t="str">
            <v>食品</v>
          </cell>
          <cell r="D416">
            <v>341</v>
          </cell>
        </row>
        <row r="417">
          <cell r="A417">
            <v>34669</v>
          </cell>
          <cell r="B417" t="str">
            <v>安徽</v>
          </cell>
          <cell r="C417" t="str">
            <v>食品</v>
          </cell>
          <cell r="D417">
            <v>2110</v>
          </cell>
        </row>
        <row r="418">
          <cell r="A418">
            <v>34669</v>
          </cell>
          <cell r="B418" t="str">
            <v>山东</v>
          </cell>
          <cell r="C418" t="str">
            <v>儿童用品</v>
          </cell>
          <cell r="D418">
            <v>18</v>
          </cell>
        </row>
        <row r="419">
          <cell r="A419">
            <v>34669</v>
          </cell>
          <cell r="B419" t="str">
            <v>安徽</v>
          </cell>
          <cell r="C419" t="str">
            <v>儿童用品</v>
          </cell>
          <cell r="D419">
            <v>1875</v>
          </cell>
        </row>
        <row r="420">
          <cell r="A420">
            <v>34669</v>
          </cell>
          <cell r="B420" t="str">
            <v>山东</v>
          </cell>
          <cell r="C420" t="str">
            <v>儿童用品</v>
          </cell>
          <cell r="D420">
            <v>56</v>
          </cell>
        </row>
        <row r="421">
          <cell r="A421">
            <v>34669</v>
          </cell>
          <cell r="B421" t="str">
            <v>山东</v>
          </cell>
          <cell r="C421" t="str">
            <v>儿童用品</v>
          </cell>
          <cell r="D421">
            <v>1281</v>
          </cell>
        </row>
        <row r="422">
          <cell r="A422">
            <v>34669</v>
          </cell>
          <cell r="B422" t="str">
            <v>安徽</v>
          </cell>
          <cell r="C422" t="str">
            <v>儿童用品</v>
          </cell>
          <cell r="D422">
            <v>172</v>
          </cell>
        </row>
        <row r="423">
          <cell r="A423">
            <v>34669</v>
          </cell>
          <cell r="B423" t="str">
            <v>江西</v>
          </cell>
          <cell r="C423" t="str">
            <v>儿童用品</v>
          </cell>
          <cell r="D423">
            <v>1315</v>
          </cell>
        </row>
        <row r="424">
          <cell r="A424">
            <v>34669</v>
          </cell>
          <cell r="B424" t="str">
            <v>安徽</v>
          </cell>
          <cell r="C424" t="str">
            <v>儿童用品</v>
          </cell>
          <cell r="D424">
            <v>360</v>
          </cell>
        </row>
        <row r="425">
          <cell r="A425">
            <v>34669</v>
          </cell>
          <cell r="B425" t="str">
            <v>山东</v>
          </cell>
          <cell r="C425" t="str">
            <v>儿童用品</v>
          </cell>
          <cell r="D425">
            <v>454</v>
          </cell>
        </row>
        <row r="426">
          <cell r="A426">
            <v>34669</v>
          </cell>
          <cell r="B426" t="str">
            <v>安徽</v>
          </cell>
          <cell r="C426" t="str">
            <v>儿童用品</v>
          </cell>
          <cell r="D426">
            <v>517</v>
          </cell>
        </row>
        <row r="427">
          <cell r="A427">
            <v>34669</v>
          </cell>
          <cell r="B427" t="str">
            <v>江西</v>
          </cell>
          <cell r="C427" t="str">
            <v>儿童用品</v>
          </cell>
          <cell r="D427">
            <v>1006</v>
          </cell>
        </row>
        <row r="428">
          <cell r="A428">
            <v>34700</v>
          </cell>
          <cell r="B428" t="str">
            <v>江西</v>
          </cell>
          <cell r="C428" t="str">
            <v>艺术品</v>
          </cell>
          <cell r="D428">
            <v>561</v>
          </cell>
        </row>
        <row r="429">
          <cell r="A429">
            <v>34700</v>
          </cell>
          <cell r="B429" t="str">
            <v>安徽</v>
          </cell>
          <cell r="C429" t="str">
            <v>艺术品</v>
          </cell>
          <cell r="D429">
            <v>3730</v>
          </cell>
        </row>
        <row r="430">
          <cell r="A430">
            <v>34700</v>
          </cell>
          <cell r="B430" t="str">
            <v>安徽</v>
          </cell>
          <cell r="C430" t="str">
            <v>艺术品</v>
          </cell>
          <cell r="D430">
            <v>2244</v>
          </cell>
        </row>
        <row r="431">
          <cell r="A431">
            <v>34700</v>
          </cell>
          <cell r="B431" t="str">
            <v>江西</v>
          </cell>
          <cell r="C431" t="str">
            <v>艺术品</v>
          </cell>
          <cell r="D431">
            <v>1418</v>
          </cell>
        </row>
        <row r="432">
          <cell r="A432">
            <v>34700</v>
          </cell>
          <cell r="B432" t="str">
            <v>江西</v>
          </cell>
          <cell r="C432" t="str">
            <v>艺术品</v>
          </cell>
          <cell r="D432">
            <v>1399</v>
          </cell>
        </row>
        <row r="433">
          <cell r="A433">
            <v>34700</v>
          </cell>
          <cell r="B433" t="str">
            <v>江西</v>
          </cell>
          <cell r="C433" t="str">
            <v>艺术品</v>
          </cell>
          <cell r="D433">
            <v>836</v>
          </cell>
        </row>
        <row r="434">
          <cell r="A434">
            <v>34700</v>
          </cell>
          <cell r="B434" t="str">
            <v>安徽</v>
          </cell>
          <cell r="C434" t="str">
            <v>艺术品</v>
          </cell>
          <cell r="D434">
            <v>413</v>
          </cell>
        </row>
        <row r="435">
          <cell r="A435">
            <v>34700</v>
          </cell>
          <cell r="B435" t="str">
            <v>山东</v>
          </cell>
          <cell r="C435" t="str">
            <v>艺术品</v>
          </cell>
          <cell r="D435">
            <v>405</v>
          </cell>
        </row>
        <row r="436">
          <cell r="A436">
            <v>34700</v>
          </cell>
          <cell r="B436" t="str">
            <v>山东</v>
          </cell>
          <cell r="C436" t="str">
            <v>艺术品</v>
          </cell>
          <cell r="D436">
            <v>400</v>
          </cell>
        </row>
        <row r="437">
          <cell r="A437">
            <v>34700</v>
          </cell>
          <cell r="B437" t="str">
            <v>安徽</v>
          </cell>
          <cell r="C437" t="str">
            <v>艺术品</v>
          </cell>
          <cell r="D437">
            <v>383</v>
          </cell>
        </row>
        <row r="438">
          <cell r="A438">
            <v>34700</v>
          </cell>
          <cell r="B438" t="str">
            <v>山东</v>
          </cell>
          <cell r="C438" t="str">
            <v>艺术品</v>
          </cell>
          <cell r="D438">
            <v>369</v>
          </cell>
        </row>
        <row r="439">
          <cell r="A439">
            <v>34700</v>
          </cell>
          <cell r="B439" t="str">
            <v>山东</v>
          </cell>
          <cell r="C439" t="str">
            <v>艺术品</v>
          </cell>
          <cell r="D439">
            <v>303</v>
          </cell>
        </row>
        <row r="440">
          <cell r="A440">
            <v>34700</v>
          </cell>
          <cell r="B440" t="str">
            <v>江西</v>
          </cell>
          <cell r="C440" t="str">
            <v>自行车</v>
          </cell>
          <cell r="D440">
            <v>315</v>
          </cell>
        </row>
        <row r="441">
          <cell r="A441">
            <v>34700</v>
          </cell>
          <cell r="B441" t="str">
            <v>安徽</v>
          </cell>
          <cell r="C441" t="str">
            <v>自行车</v>
          </cell>
          <cell r="D441">
            <v>315</v>
          </cell>
        </row>
        <row r="442">
          <cell r="A442">
            <v>34700</v>
          </cell>
          <cell r="B442" t="str">
            <v>山东</v>
          </cell>
          <cell r="C442" t="str">
            <v>自行车</v>
          </cell>
          <cell r="D442">
            <v>564</v>
          </cell>
        </row>
        <row r="443">
          <cell r="A443">
            <v>34700</v>
          </cell>
          <cell r="B443" t="str">
            <v>山东</v>
          </cell>
          <cell r="C443" t="str">
            <v>自行车</v>
          </cell>
          <cell r="D443">
            <v>405</v>
          </cell>
        </row>
        <row r="444">
          <cell r="A444">
            <v>34700</v>
          </cell>
          <cell r="B444" t="str">
            <v>江西</v>
          </cell>
          <cell r="C444" t="str">
            <v>自行车</v>
          </cell>
          <cell r="D444">
            <v>405</v>
          </cell>
        </row>
        <row r="445">
          <cell r="A445">
            <v>34700</v>
          </cell>
          <cell r="B445" t="str">
            <v>江西</v>
          </cell>
          <cell r="C445" t="str">
            <v>自行车</v>
          </cell>
          <cell r="D445">
            <v>394</v>
          </cell>
        </row>
        <row r="446">
          <cell r="A446">
            <v>34700</v>
          </cell>
          <cell r="B446" t="str">
            <v>山东</v>
          </cell>
          <cell r="C446" t="str">
            <v>自行车</v>
          </cell>
          <cell r="D446">
            <v>171</v>
          </cell>
        </row>
        <row r="447">
          <cell r="A447">
            <v>34700</v>
          </cell>
          <cell r="B447" t="str">
            <v>安徽</v>
          </cell>
          <cell r="C447" t="str">
            <v>自行车</v>
          </cell>
          <cell r="D447">
            <v>158</v>
          </cell>
        </row>
        <row r="448">
          <cell r="A448">
            <v>34700</v>
          </cell>
          <cell r="B448" t="str">
            <v>安徽</v>
          </cell>
          <cell r="C448" t="str">
            <v>自行车</v>
          </cell>
          <cell r="D448">
            <v>135</v>
          </cell>
        </row>
        <row r="449">
          <cell r="A449">
            <v>34700</v>
          </cell>
          <cell r="B449" t="str">
            <v>安徽</v>
          </cell>
          <cell r="C449" t="str">
            <v>自行车</v>
          </cell>
          <cell r="D449">
            <v>96</v>
          </cell>
        </row>
        <row r="450">
          <cell r="A450">
            <v>34700</v>
          </cell>
          <cell r="B450" t="str">
            <v>山东</v>
          </cell>
          <cell r="C450" t="str">
            <v>自行车</v>
          </cell>
          <cell r="D450">
            <v>280</v>
          </cell>
        </row>
        <row r="451">
          <cell r="A451">
            <v>34700</v>
          </cell>
          <cell r="B451" t="str">
            <v>江西</v>
          </cell>
          <cell r="C451" t="str">
            <v>自行车</v>
          </cell>
          <cell r="D451">
            <v>557</v>
          </cell>
        </row>
        <row r="452">
          <cell r="A452">
            <v>34700</v>
          </cell>
          <cell r="B452" t="str">
            <v>山东</v>
          </cell>
          <cell r="C452" t="str">
            <v>服装</v>
          </cell>
          <cell r="D452">
            <v>68</v>
          </cell>
        </row>
        <row r="453">
          <cell r="A453">
            <v>34700</v>
          </cell>
          <cell r="B453" t="str">
            <v>山东</v>
          </cell>
          <cell r="C453" t="str">
            <v>服装</v>
          </cell>
          <cell r="D453">
            <v>99</v>
          </cell>
        </row>
        <row r="454">
          <cell r="A454">
            <v>34700</v>
          </cell>
          <cell r="B454" t="str">
            <v>安徽</v>
          </cell>
          <cell r="C454" t="str">
            <v>服装</v>
          </cell>
          <cell r="D454">
            <v>124</v>
          </cell>
        </row>
        <row r="455">
          <cell r="A455">
            <v>34700</v>
          </cell>
          <cell r="B455" t="str">
            <v>安徽</v>
          </cell>
          <cell r="C455" t="str">
            <v>服装</v>
          </cell>
          <cell r="D455">
            <v>114</v>
          </cell>
        </row>
        <row r="456">
          <cell r="A456">
            <v>34700</v>
          </cell>
          <cell r="B456" t="str">
            <v>安徽</v>
          </cell>
          <cell r="C456" t="str">
            <v>服装</v>
          </cell>
          <cell r="D456">
            <v>151</v>
          </cell>
        </row>
        <row r="457">
          <cell r="A457">
            <v>34700</v>
          </cell>
          <cell r="B457" t="str">
            <v>山东</v>
          </cell>
          <cell r="C457" t="str">
            <v>服装</v>
          </cell>
          <cell r="D457">
            <v>44</v>
          </cell>
        </row>
        <row r="458">
          <cell r="A458">
            <v>34700</v>
          </cell>
          <cell r="B458" t="str">
            <v>安徽</v>
          </cell>
          <cell r="C458" t="str">
            <v>服装</v>
          </cell>
          <cell r="D458">
            <v>140</v>
          </cell>
        </row>
        <row r="459">
          <cell r="A459">
            <v>34700</v>
          </cell>
          <cell r="B459" t="str">
            <v>安徽</v>
          </cell>
          <cell r="C459" t="str">
            <v>服装</v>
          </cell>
          <cell r="D459">
            <v>293</v>
          </cell>
        </row>
        <row r="460">
          <cell r="A460">
            <v>34700</v>
          </cell>
          <cell r="B460" t="str">
            <v>山东</v>
          </cell>
          <cell r="C460" t="str">
            <v>服装</v>
          </cell>
          <cell r="D460">
            <v>60</v>
          </cell>
        </row>
        <row r="461">
          <cell r="A461">
            <v>34700</v>
          </cell>
          <cell r="B461" t="str">
            <v>山东</v>
          </cell>
          <cell r="C461" t="str">
            <v>服装</v>
          </cell>
          <cell r="D461">
            <v>416</v>
          </cell>
        </row>
        <row r="462">
          <cell r="A462">
            <v>34700</v>
          </cell>
          <cell r="B462" t="str">
            <v>山东</v>
          </cell>
          <cell r="C462" t="str">
            <v>服装</v>
          </cell>
          <cell r="D462">
            <v>1204</v>
          </cell>
        </row>
        <row r="463">
          <cell r="A463">
            <v>34700</v>
          </cell>
          <cell r="B463" t="str">
            <v>安徽</v>
          </cell>
          <cell r="C463" t="str">
            <v>服装</v>
          </cell>
          <cell r="D463">
            <v>912</v>
          </cell>
        </row>
        <row r="464">
          <cell r="A464">
            <v>34700</v>
          </cell>
          <cell r="B464" t="str">
            <v>安徽</v>
          </cell>
          <cell r="C464" t="str">
            <v>食品</v>
          </cell>
          <cell r="D464">
            <v>1358</v>
          </cell>
        </row>
        <row r="465">
          <cell r="A465">
            <v>34700</v>
          </cell>
          <cell r="B465" t="str">
            <v>安徽</v>
          </cell>
          <cell r="C465" t="str">
            <v>食品</v>
          </cell>
          <cell r="D465">
            <v>970</v>
          </cell>
        </row>
        <row r="466">
          <cell r="A466">
            <v>34700</v>
          </cell>
          <cell r="B466" t="str">
            <v>山东</v>
          </cell>
          <cell r="C466" t="str">
            <v>食品</v>
          </cell>
          <cell r="D466">
            <v>840</v>
          </cell>
        </row>
        <row r="467">
          <cell r="A467">
            <v>34700</v>
          </cell>
          <cell r="B467" t="str">
            <v>江西</v>
          </cell>
          <cell r="C467" t="str">
            <v>食品</v>
          </cell>
          <cell r="D467">
            <v>289</v>
          </cell>
        </row>
        <row r="468">
          <cell r="A468">
            <v>34700</v>
          </cell>
          <cell r="B468" t="str">
            <v>山东</v>
          </cell>
          <cell r="C468" t="str">
            <v>食品</v>
          </cell>
          <cell r="D468">
            <v>293</v>
          </cell>
        </row>
        <row r="469">
          <cell r="A469">
            <v>34700</v>
          </cell>
          <cell r="B469" t="str">
            <v>江西</v>
          </cell>
          <cell r="C469" t="str">
            <v>食品</v>
          </cell>
          <cell r="D469">
            <v>270</v>
          </cell>
        </row>
        <row r="470">
          <cell r="A470">
            <v>34700</v>
          </cell>
          <cell r="B470" t="str">
            <v>山东</v>
          </cell>
          <cell r="C470" t="str">
            <v>食品</v>
          </cell>
          <cell r="D470">
            <v>193</v>
          </cell>
        </row>
        <row r="471">
          <cell r="A471">
            <v>34700</v>
          </cell>
          <cell r="B471" t="str">
            <v>安徽</v>
          </cell>
          <cell r="C471" t="str">
            <v>食品</v>
          </cell>
          <cell r="D471">
            <v>149</v>
          </cell>
        </row>
        <row r="472">
          <cell r="A472">
            <v>34700</v>
          </cell>
          <cell r="B472" t="str">
            <v>安徽</v>
          </cell>
          <cell r="C472" t="str">
            <v>食品</v>
          </cell>
          <cell r="D472">
            <v>360</v>
          </cell>
        </row>
        <row r="473">
          <cell r="A473">
            <v>34700</v>
          </cell>
          <cell r="B473" t="str">
            <v>江西</v>
          </cell>
          <cell r="C473" t="str">
            <v>食品</v>
          </cell>
          <cell r="D473">
            <v>338</v>
          </cell>
        </row>
        <row r="474">
          <cell r="A474">
            <v>34700</v>
          </cell>
          <cell r="B474" t="str">
            <v>山东</v>
          </cell>
          <cell r="C474" t="str">
            <v>食品</v>
          </cell>
          <cell r="D474">
            <v>326</v>
          </cell>
        </row>
        <row r="475">
          <cell r="A475">
            <v>34700</v>
          </cell>
          <cell r="B475" t="str">
            <v>江西</v>
          </cell>
          <cell r="C475" t="str">
            <v>食品</v>
          </cell>
          <cell r="D475">
            <v>105</v>
          </cell>
        </row>
        <row r="476">
          <cell r="A476">
            <v>34700</v>
          </cell>
          <cell r="B476" t="str">
            <v>安徽</v>
          </cell>
          <cell r="C476" t="str">
            <v>儿童用品</v>
          </cell>
          <cell r="D476">
            <v>693</v>
          </cell>
        </row>
        <row r="477">
          <cell r="A477">
            <v>34700</v>
          </cell>
          <cell r="B477" t="str">
            <v>安徽</v>
          </cell>
          <cell r="C477" t="str">
            <v>儿童用品</v>
          </cell>
          <cell r="D477">
            <v>349</v>
          </cell>
        </row>
        <row r="478">
          <cell r="A478">
            <v>34700</v>
          </cell>
          <cell r="B478" t="str">
            <v>江西</v>
          </cell>
          <cell r="C478" t="str">
            <v>儿童用品</v>
          </cell>
          <cell r="D478">
            <v>930</v>
          </cell>
        </row>
        <row r="479">
          <cell r="A479">
            <v>34700</v>
          </cell>
          <cell r="B479" t="str">
            <v>山东</v>
          </cell>
          <cell r="C479" t="str">
            <v>儿童用品</v>
          </cell>
          <cell r="D479">
            <v>1068</v>
          </cell>
        </row>
        <row r="480">
          <cell r="A480">
            <v>34700</v>
          </cell>
          <cell r="B480" t="str">
            <v>安徽</v>
          </cell>
          <cell r="C480" t="str">
            <v>儿童用品</v>
          </cell>
          <cell r="D480">
            <v>1762</v>
          </cell>
        </row>
        <row r="481">
          <cell r="A481">
            <v>34700</v>
          </cell>
          <cell r="B481" t="str">
            <v>江西</v>
          </cell>
          <cell r="C481" t="str">
            <v>儿童用品</v>
          </cell>
          <cell r="D481">
            <v>1980</v>
          </cell>
        </row>
        <row r="482">
          <cell r="A482">
            <v>34700</v>
          </cell>
          <cell r="B482" t="str">
            <v>江西</v>
          </cell>
          <cell r="C482" t="str">
            <v>儿童用品</v>
          </cell>
          <cell r="D482">
            <v>56</v>
          </cell>
        </row>
        <row r="483">
          <cell r="A483">
            <v>34700</v>
          </cell>
          <cell r="B483" t="str">
            <v>山东</v>
          </cell>
          <cell r="C483" t="str">
            <v>儿童用品</v>
          </cell>
          <cell r="D483">
            <v>45</v>
          </cell>
        </row>
        <row r="484">
          <cell r="A484">
            <v>34700</v>
          </cell>
          <cell r="B484" t="str">
            <v>江西</v>
          </cell>
          <cell r="C484" t="str">
            <v>儿童用品</v>
          </cell>
          <cell r="D484">
            <v>185</v>
          </cell>
        </row>
        <row r="485">
          <cell r="A485">
            <v>34700</v>
          </cell>
          <cell r="B485" t="str">
            <v>安徽</v>
          </cell>
          <cell r="C485" t="str">
            <v>儿童用品</v>
          </cell>
          <cell r="D485">
            <v>186</v>
          </cell>
        </row>
        <row r="486">
          <cell r="A486">
            <v>34700</v>
          </cell>
          <cell r="B486" t="str">
            <v>山东</v>
          </cell>
          <cell r="C486" t="str">
            <v>儿童用品</v>
          </cell>
          <cell r="D486">
            <v>18</v>
          </cell>
        </row>
        <row r="487">
          <cell r="A487">
            <v>34700</v>
          </cell>
          <cell r="B487" t="str">
            <v>山东</v>
          </cell>
          <cell r="C487" t="str">
            <v>儿童用品</v>
          </cell>
          <cell r="D487">
            <v>481</v>
          </cell>
        </row>
        <row r="488">
          <cell r="A488">
            <v>34731</v>
          </cell>
          <cell r="B488" t="str">
            <v>山东</v>
          </cell>
          <cell r="C488" t="str">
            <v>艺术品</v>
          </cell>
          <cell r="D488">
            <v>469</v>
          </cell>
        </row>
        <row r="489">
          <cell r="A489">
            <v>34731</v>
          </cell>
          <cell r="B489" t="str">
            <v>安徽</v>
          </cell>
          <cell r="C489" t="str">
            <v>艺术品</v>
          </cell>
          <cell r="D489">
            <v>588</v>
          </cell>
        </row>
        <row r="490">
          <cell r="A490">
            <v>34731</v>
          </cell>
          <cell r="B490" t="str">
            <v>江西</v>
          </cell>
          <cell r="C490" t="str">
            <v>艺术品</v>
          </cell>
          <cell r="D490">
            <v>521</v>
          </cell>
        </row>
        <row r="491">
          <cell r="A491">
            <v>34731</v>
          </cell>
          <cell r="B491" t="str">
            <v>安徽</v>
          </cell>
          <cell r="C491" t="str">
            <v>艺术品</v>
          </cell>
          <cell r="D491">
            <v>433</v>
          </cell>
        </row>
        <row r="492">
          <cell r="A492">
            <v>34731</v>
          </cell>
          <cell r="B492" t="str">
            <v>山东</v>
          </cell>
          <cell r="C492" t="str">
            <v>艺术品</v>
          </cell>
          <cell r="D492">
            <v>432</v>
          </cell>
        </row>
        <row r="493">
          <cell r="A493">
            <v>34731</v>
          </cell>
          <cell r="B493" t="str">
            <v>山东</v>
          </cell>
          <cell r="C493" t="str">
            <v>艺术品</v>
          </cell>
          <cell r="D493">
            <v>374</v>
          </cell>
        </row>
        <row r="494">
          <cell r="A494">
            <v>34731</v>
          </cell>
          <cell r="B494" t="str">
            <v>山东</v>
          </cell>
          <cell r="C494" t="str">
            <v>艺术品</v>
          </cell>
          <cell r="D494">
            <v>508</v>
          </cell>
        </row>
        <row r="495">
          <cell r="A495">
            <v>34731</v>
          </cell>
          <cell r="B495" t="str">
            <v>安徽</v>
          </cell>
          <cell r="C495" t="str">
            <v>艺术品</v>
          </cell>
          <cell r="D495">
            <v>3293</v>
          </cell>
        </row>
        <row r="496">
          <cell r="A496">
            <v>34731</v>
          </cell>
          <cell r="B496" t="str">
            <v>安徽</v>
          </cell>
          <cell r="C496" t="str">
            <v>艺术品</v>
          </cell>
          <cell r="D496">
            <v>1849</v>
          </cell>
        </row>
        <row r="497">
          <cell r="A497">
            <v>34731</v>
          </cell>
          <cell r="B497" t="str">
            <v>江西</v>
          </cell>
          <cell r="C497" t="str">
            <v>艺术品</v>
          </cell>
          <cell r="D497">
            <v>1567</v>
          </cell>
        </row>
        <row r="498">
          <cell r="A498">
            <v>34731</v>
          </cell>
          <cell r="B498" t="str">
            <v>江西</v>
          </cell>
          <cell r="C498" t="str">
            <v>艺术品</v>
          </cell>
          <cell r="D498">
            <v>1129</v>
          </cell>
        </row>
        <row r="499">
          <cell r="A499">
            <v>34731</v>
          </cell>
          <cell r="B499" t="str">
            <v>江西</v>
          </cell>
          <cell r="C499" t="str">
            <v>艺术品</v>
          </cell>
          <cell r="D499">
            <v>886</v>
          </cell>
        </row>
        <row r="500">
          <cell r="A500">
            <v>34731</v>
          </cell>
          <cell r="B500" t="str">
            <v>山东</v>
          </cell>
          <cell r="C500" t="str">
            <v>自行车</v>
          </cell>
          <cell r="D500">
            <v>610</v>
          </cell>
        </row>
        <row r="501">
          <cell r="A501">
            <v>34731</v>
          </cell>
          <cell r="B501" t="str">
            <v>江西</v>
          </cell>
          <cell r="C501" t="str">
            <v>自行车</v>
          </cell>
          <cell r="D501">
            <v>524</v>
          </cell>
        </row>
        <row r="502">
          <cell r="A502">
            <v>34731</v>
          </cell>
          <cell r="B502" t="str">
            <v>安徽</v>
          </cell>
          <cell r="C502" t="str">
            <v>自行车</v>
          </cell>
          <cell r="D502">
            <v>123</v>
          </cell>
        </row>
        <row r="503">
          <cell r="A503">
            <v>34731</v>
          </cell>
          <cell r="B503" t="str">
            <v>山东</v>
          </cell>
          <cell r="C503" t="str">
            <v>自行车</v>
          </cell>
          <cell r="D503">
            <v>503</v>
          </cell>
        </row>
        <row r="504">
          <cell r="A504">
            <v>34731</v>
          </cell>
          <cell r="B504" t="str">
            <v>江西</v>
          </cell>
          <cell r="C504" t="str">
            <v>自行车</v>
          </cell>
          <cell r="D504">
            <v>473</v>
          </cell>
        </row>
        <row r="505">
          <cell r="A505">
            <v>34731</v>
          </cell>
          <cell r="B505" t="str">
            <v>江西</v>
          </cell>
          <cell r="C505" t="str">
            <v>自行车</v>
          </cell>
          <cell r="D505">
            <v>368</v>
          </cell>
        </row>
        <row r="506">
          <cell r="A506">
            <v>34731</v>
          </cell>
          <cell r="B506" t="str">
            <v>江西</v>
          </cell>
          <cell r="C506" t="str">
            <v>自行车</v>
          </cell>
          <cell r="D506">
            <v>368</v>
          </cell>
        </row>
        <row r="507">
          <cell r="A507">
            <v>34731</v>
          </cell>
          <cell r="B507" t="str">
            <v>安徽</v>
          </cell>
          <cell r="C507" t="str">
            <v>自行车</v>
          </cell>
          <cell r="D507">
            <v>360</v>
          </cell>
        </row>
        <row r="508">
          <cell r="A508">
            <v>34731</v>
          </cell>
          <cell r="B508" t="str">
            <v>山东</v>
          </cell>
          <cell r="C508" t="str">
            <v>自行车</v>
          </cell>
          <cell r="D508">
            <v>180</v>
          </cell>
        </row>
        <row r="509">
          <cell r="A509">
            <v>34731</v>
          </cell>
          <cell r="B509" t="str">
            <v>安徽</v>
          </cell>
          <cell r="C509" t="str">
            <v>自行车</v>
          </cell>
          <cell r="D509">
            <v>135</v>
          </cell>
        </row>
        <row r="510">
          <cell r="A510">
            <v>34731</v>
          </cell>
          <cell r="B510" t="str">
            <v>安徽</v>
          </cell>
          <cell r="C510" t="str">
            <v>自行车</v>
          </cell>
          <cell r="D510">
            <v>105</v>
          </cell>
        </row>
        <row r="511">
          <cell r="A511">
            <v>34731</v>
          </cell>
          <cell r="B511" t="str">
            <v>山东</v>
          </cell>
          <cell r="C511" t="str">
            <v>自行车</v>
          </cell>
          <cell r="D511">
            <v>333</v>
          </cell>
        </row>
        <row r="512">
          <cell r="A512">
            <v>34731</v>
          </cell>
          <cell r="B512" t="str">
            <v>安徽</v>
          </cell>
          <cell r="C512" t="str">
            <v>服装</v>
          </cell>
          <cell r="D512">
            <v>873</v>
          </cell>
        </row>
        <row r="513">
          <cell r="A513">
            <v>34731</v>
          </cell>
          <cell r="B513" t="str">
            <v>山东</v>
          </cell>
          <cell r="C513" t="str">
            <v>服装</v>
          </cell>
          <cell r="D513">
            <v>1387</v>
          </cell>
        </row>
        <row r="514">
          <cell r="A514">
            <v>34731</v>
          </cell>
          <cell r="B514" t="str">
            <v>山东</v>
          </cell>
          <cell r="C514" t="str">
            <v>服装</v>
          </cell>
          <cell r="D514">
            <v>1359</v>
          </cell>
        </row>
        <row r="515">
          <cell r="A515">
            <v>34731</v>
          </cell>
          <cell r="B515" t="str">
            <v>山东</v>
          </cell>
          <cell r="C515" t="str">
            <v>服装</v>
          </cell>
          <cell r="D515">
            <v>55</v>
          </cell>
        </row>
        <row r="516">
          <cell r="A516">
            <v>34731</v>
          </cell>
          <cell r="B516" t="str">
            <v>山东</v>
          </cell>
          <cell r="C516" t="str">
            <v>服装</v>
          </cell>
          <cell r="D516">
            <v>63</v>
          </cell>
        </row>
        <row r="517">
          <cell r="A517">
            <v>34731</v>
          </cell>
          <cell r="B517" t="str">
            <v>安徽</v>
          </cell>
          <cell r="C517" t="str">
            <v>服装</v>
          </cell>
          <cell r="D517">
            <v>88</v>
          </cell>
        </row>
        <row r="518">
          <cell r="A518">
            <v>34731</v>
          </cell>
          <cell r="B518" t="str">
            <v>安徽</v>
          </cell>
          <cell r="C518" t="str">
            <v>服装</v>
          </cell>
          <cell r="D518">
            <v>140</v>
          </cell>
        </row>
        <row r="519">
          <cell r="A519">
            <v>34731</v>
          </cell>
          <cell r="B519" t="str">
            <v>山东</v>
          </cell>
          <cell r="C519" t="str">
            <v>服装</v>
          </cell>
          <cell r="D519">
            <v>79</v>
          </cell>
        </row>
        <row r="520">
          <cell r="A520">
            <v>34731</v>
          </cell>
          <cell r="B520" t="str">
            <v>山东</v>
          </cell>
          <cell r="C520" t="str">
            <v>服装</v>
          </cell>
          <cell r="D520">
            <v>104</v>
          </cell>
        </row>
        <row r="521">
          <cell r="A521">
            <v>34731</v>
          </cell>
          <cell r="B521" t="str">
            <v>安徽</v>
          </cell>
          <cell r="C521" t="str">
            <v>服装</v>
          </cell>
          <cell r="D521">
            <v>146</v>
          </cell>
        </row>
        <row r="522">
          <cell r="A522">
            <v>34731</v>
          </cell>
          <cell r="B522" t="str">
            <v>安徽</v>
          </cell>
          <cell r="C522" t="str">
            <v>服装</v>
          </cell>
          <cell r="D522">
            <v>180</v>
          </cell>
        </row>
        <row r="523">
          <cell r="A523">
            <v>34731</v>
          </cell>
          <cell r="B523" t="str">
            <v>安徽</v>
          </cell>
          <cell r="C523" t="str">
            <v>服装</v>
          </cell>
          <cell r="D523">
            <v>179</v>
          </cell>
        </row>
        <row r="524">
          <cell r="A524">
            <v>34731</v>
          </cell>
          <cell r="B524" t="str">
            <v>安徽</v>
          </cell>
          <cell r="C524" t="str">
            <v>食品</v>
          </cell>
          <cell r="D524">
            <v>175</v>
          </cell>
        </row>
        <row r="525">
          <cell r="A525">
            <v>34731</v>
          </cell>
          <cell r="B525" t="str">
            <v>山东</v>
          </cell>
          <cell r="C525" t="str">
            <v>食品</v>
          </cell>
          <cell r="D525">
            <v>175</v>
          </cell>
        </row>
        <row r="526">
          <cell r="A526">
            <v>34731</v>
          </cell>
          <cell r="B526" t="str">
            <v>安徽</v>
          </cell>
          <cell r="C526" t="str">
            <v>食品</v>
          </cell>
          <cell r="D526">
            <v>404</v>
          </cell>
        </row>
        <row r="527">
          <cell r="A527">
            <v>34731</v>
          </cell>
          <cell r="B527" t="str">
            <v>江西</v>
          </cell>
          <cell r="C527" t="str">
            <v>食品</v>
          </cell>
          <cell r="D527">
            <v>105</v>
          </cell>
        </row>
        <row r="528">
          <cell r="A528">
            <v>34731</v>
          </cell>
          <cell r="B528" t="str">
            <v>江西</v>
          </cell>
          <cell r="C528" t="str">
            <v>食品</v>
          </cell>
          <cell r="D528">
            <v>270</v>
          </cell>
        </row>
        <row r="529">
          <cell r="A529">
            <v>34731</v>
          </cell>
          <cell r="B529" t="str">
            <v>江西</v>
          </cell>
          <cell r="C529" t="str">
            <v>食品</v>
          </cell>
          <cell r="D529">
            <v>371</v>
          </cell>
        </row>
        <row r="530">
          <cell r="A530">
            <v>34731</v>
          </cell>
          <cell r="B530" t="str">
            <v>山东</v>
          </cell>
          <cell r="C530" t="str">
            <v>食品</v>
          </cell>
          <cell r="D530">
            <v>180</v>
          </cell>
        </row>
        <row r="531">
          <cell r="A531">
            <v>34731</v>
          </cell>
          <cell r="B531" t="str">
            <v>江西</v>
          </cell>
          <cell r="C531" t="str">
            <v>食品</v>
          </cell>
          <cell r="D531">
            <v>341</v>
          </cell>
        </row>
        <row r="532">
          <cell r="A532">
            <v>34731</v>
          </cell>
          <cell r="B532" t="str">
            <v>山东</v>
          </cell>
          <cell r="C532" t="str">
            <v>食品</v>
          </cell>
          <cell r="D532">
            <v>998</v>
          </cell>
        </row>
        <row r="533">
          <cell r="A533">
            <v>34731</v>
          </cell>
          <cell r="B533" t="str">
            <v>安徽</v>
          </cell>
          <cell r="C533" t="str">
            <v>食品</v>
          </cell>
          <cell r="D533">
            <v>1338</v>
          </cell>
        </row>
        <row r="534">
          <cell r="A534">
            <v>34731</v>
          </cell>
          <cell r="B534" t="str">
            <v>安徽</v>
          </cell>
          <cell r="C534" t="str">
            <v>食品</v>
          </cell>
          <cell r="D534">
            <v>1080</v>
          </cell>
        </row>
        <row r="535">
          <cell r="A535">
            <v>34731</v>
          </cell>
          <cell r="B535" t="str">
            <v>山东</v>
          </cell>
          <cell r="C535" t="str">
            <v>食品</v>
          </cell>
          <cell r="D535">
            <v>404</v>
          </cell>
        </row>
        <row r="536">
          <cell r="A536">
            <v>34731</v>
          </cell>
          <cell r="B536" t="str">
            <v>山东</v>
          </cell>
          <cell r="C536" t="str">
            <v>儿童用品</v>
          </cell>
          <cell r="D536">
            <v>511</v>
          </cell>
        </row>
        <row r="537">
          <cell r="A537">
            <v>34731</v>
          </cell>
          <cell r="B537" t="str">
            <v>安徽</v>
          </cell>
          <cell r="C537" t="str">
            <v>儿童用品</v>
          </cell>
          <cell r="D537">
            <v>497</v>
          </cell>
        </row>
        <row r="538">
          <cell r="A538">
            <v>34731</v>
          </cell>
          <cell r="B538" t="str">
            <v>安徽</v>
          </cell>
          <cell r="C538" t="str">
            <v>儿童用品</v>
          </cell>
          <cell r="D538">
            <v>394</v>
          </cell>
        </row>
        <row r="539">
          <cell r="A539">
            <v>34731</v>
          </cell>
          <cell r="B539" t="str">
            <v>安徽</v>
          </cell>
          <cell r="C539" t="str">
            <v>儿童用品</v>
          </cell>
          <cell r="D539">
            <v>1983</v>
          </cell>
        </row>
        <row r="540">
          <cell r="A540">
            <v>34731</v>
          </cell>
          <cell r="B540" t="str">
            <v>江西</v>
          </cell>
          <cell r="C540" t="str">
            <v>儿童用品</v>
          </cell>
          <cell r="D540">
            <v>1854</v>
          </cell>
        </row>
        <row r="541">
          <cell r="A541">
            <v>34731</v>
          </cell>
          <cell r="B541" t="str">
            <v>山东</v>
          </cell>
          <cell r="C541" t="str">
            <v>儿童用品</v>
          </cell>
          <cell r="D541">
            <v>1480</v>
          </cell>
        </row>
        <row r="542">
          <cell r="A542">
            <v>34731</v>
          </cell>
          <cell r="B542" t="str">
            <v>江西</v>
          </cell>
          <cell r="C542" t="str">
            <v>儿童用品</v>
          </cell>
          <cell r="D542">
            <v>1203</v>
          </cell>
        </row>
        <row r="543">
          <cell r="A543">
            <v>34731</v>
          </cell>
          <cell r="B543" t="str">
            <v>山东</v>
          </cell>
          <cell r="C543" t="str">
            <v>儿童用品</v>
          </cell>
          <cell r="D543">
            <v>26</v>
          </cell>
        </row>
        <row r="544">
          <cell r="A544">
            <v>34731</v>
          </cell>
          <cell r="B544" t="str">
            <v>安徽</v>
          </cell>
          <cell r="C544" t="str">
            <v>儿童用品</v>
          </cell>
          <cell r="D544">
            <v>172</v>
          </cell>
        </row>
        <row r="545">
          <cell r="A545">
            <v>34731</v>
          </cell>
          <cell r="B545" t="str">
            <v>江西</v>
          </cell>
          <cell r="C545" t="str">
            <v>儿童用品</v>
          </cell>
          <cell r="D545">
            <v>171</v>
          </cell>
        </row>
        <row r="546">
          <cell r="A546">
            <v>34731</v>
          </cell>
          <cell r="B546" t="str">
            <v>江西</v>
          </cell>
          <cell r="C546" t="str">
            <v>儿童用品</v>
          </cell>
          <cell r="D546">
            <v>63</v>
          </cell>
        </row>
        <row r="547">
          <cell r="A547">
            <v>34731</v>
          </cell>
          <cell r="B547" t="str">
            <v>山东</v>
          </cell>
          <cell r="C547" t="str">
            <v>儿童用品</v>
          </cell>
          <cell r="D547">
            <v>56</v>
          </cell>
        </row>
        <row r="548">
          <cell r="A548">
            <v>34759</v>
          </cell>
          <cell r="B548" t="str">
            <v>安徽</v>
          </cell>
          <cell r="C548" t="str">
            <v>艺术品</v>
          </cell>
          <cell r="D548">
            <v>338</v>
          </cell>
        </row>
        <row r="549">
          <cell r="A549">
            <v>34759</v>
          </cell>
          <cell r="B549" t="str">
            <v>江西</v>
          </cell>
          <cell r="C549" t="str">
            <v>艺术品</v>
          </cell>
          <cell r="D549">
            <v>1451</v>
          </cell>
        </row>
        <row r="550">
          <cell r="A550">
            <v>34759</v>
          </cell>
          <cell r="B550" t="str">
            <v>安徽</v>
          </cell>
          <cell r="C550" t="str">
            <v>艺术品</v>
          </cell>
          <cell r="D550">
            <v>3986</v>
          </cell>
        </row>
        <row r="551">
          <cell r="A551">
            <v>34759</v>
          </cell>
          <cell r="B551" t="str">
            <v>江西</v>
          </cell>
          <cell r="C551" t="str">
            <v>艺术品</v>
          </cell>
          <cell r="D551">
            <v>2180</v>
          </cell>
        </row>
        <row r="552">
          <cell r="A552">
            <v>34759</v>
          </cell>
          <cell r="B552" t="str">
            <v>安徽</v>
          </cell>
          <cell r="C552" t="str">
            <v>艺术品</v>
          </cell>
          <cell r="D552">
            <v>1515</v>
          </cell>
        </row>
        <row r="553">
          <cell r="A553">
            <v>34759</v>
          </cell>
          <cell r="B553" t="str">
            <v>山东</v>
          </cell>
          <cell r="C553" t="str">
            <v>艺术品</v>
          </cell>
          <cell r="D553">
            <v>275</v>
          </cell>
        </row>
        <row r="554">
          <cell r="A554">
            <v>34759</v>
          </cell>
          <cell r="B554" t="str">
            <v>江西</v>
          </cell>
          <cell r="C554" t="str">
            <v>艺术品</v>
          </cell>
          <cell r="D554">
            <v>1092</v>
          </cell>
        </row>
        <row r="555">
          <cell r="A555">
            <v>34759</v>
          </cell>
          <cell r="B555" t="str">
            <v>江西</v>
          </cell>
          <cell r="C555" t="str">
            <v>艺术品</v>
          </cell>
          <cell r="D555">
            <v>601</v>
          </cell>
        </row>
        <row r="556">
          <cell r="A556">
            <v>34759</v>
          </cell>
          <cell r="B556" t="str">
            <v>山东</v>
          </cell>
          <cell r="C556" t="str">
            <v>艺术品</v>
          </cell>
          <cell r="D556">
            <v>504</v>
          </cell>
        </row>
        <row r="557">
          <cell r="A557">
            <v>34759</v>
          </cell>
          <cell r="B557" t="str">
            <v>安徽</v>
          </cell>
          <cell r="C557" t="str">
            <v>艺术品</v>
          </cell>
          <cell r="D557">
            <v>440</v>
          </cell>
        </row>
        <row r="558">
          <cell r="A558">
            <v>34759</v>
          </cell>
          <cell r="B558" t="str">
            <v>山东</v>
          </cell>
          <cell r="C558" t="str">
            <v>艺术品</v>
          </cell>
          <cell r="D558">
            <v>415</v>
          </cell>
        </row>
        <row r="559">
          <cell r="A559">
            <v>34759</v>
          </cell>
          <cell r="B559" t="str">
            <v>山东</v>
          </cell>
          <cell r="C559" t="str">
            <v>艺术品</v>
          </cell>
          <cell r="D559">
            <v>358</v>
          </cell>
        </row>
        <row r="560">
          <cell r="A560">
            <v>34759</v>
          </cell>
          <cell r="B560" t="str">
            <v>江西</v>
          </cell>
          <cell r="C560" t="str">
            <v>自行车</v>
          </cell>
          <cell r="D560">
            <v>524</v>
          </cell>
        </row>
        <row r="561">
          <cell r="A561">
            <v>34759</v>
          </cell>
          <cell r="B561" t="str">
            <v>山东</v>
          </cell>
          <cell r="C561" t="str">
            <v>自行车</v>
          </cell>
          <cell r="D561">
            <v>655</v>
          </cell>
        </row>
        <row r="562">
          <cell r="A562">
            <v>34759</v>
          </cell>
          <cell r="B562" t="str">
            <v>山东</v>
          </cell>
          <cell r="C562" t="str">
            <v>自行车</v>
          </cell>
          <cell r="D562">
            <v>458</v>
          </cell>
        </row>
        <row r="563">
          <cell r="A563">
            <v>34759</v>
          </cell>
          <cell r="B563" t="str">
            <v>江西</v>
          </cell>
          <cell r="C563" t="str">
            <v>自行车</v>
          </cell>
          <cell r="D563">
            <v>433</v>
          </cell>
        </row>
        <row r="564">
          <cell r="A564">
            <v>34759</v>
          </cell>
          <cell r="B564" t="str">
            <v>江西</v>
          </cell>
          <cell r="C564" t="str">
            <v>自行车</v>
          </cell>
          <cell r="D564">
            <v>411</v>
          </cell>
        </row>
        <row r="565">
          <cell r="A565">
            <v>34759</v>
          </cell>
          <cell r="B565" t="str">
            <v>江西</v>
          </cell>
          <cell r="C565" t="str">
            <v>自行车</v>
          </cell>
          <cell r="D565">
            <v>368</v>
          </cell>
        </row>
        <row r="566">
          <cell r="A566">
            <v>34759</v>
          </cell>
          <cell r="B566" t="str">
            <v>安徽</v>
          </cell>
          <cell r="C566" t="str">
            <v>自行车</v>
          </cell>
          <cell r="D566">
            <v>338</v>
          </cell>
        </row>
        <row r="567">
          <cell r="A567">
            <v>34759</v>
          </cell>
          <cell r="B567" t="str">
            <v>安徽</v>
          </cell>
          <cell r="C567" t="str">
            <v>自行车</v>
          </cell>
          <cell r="D567">
            <v>193</v>
          </cell>
        </row>
        <row r="568">
          <cell r="A568">
            <v>34759</v>
          </cell>
          <cell r="B568" t="str">
            <v>山东</v>
          </cell>
          <cell r="C568" t="str">
            <v>自行车</v>
          </cell>
          <cell r="D568">
            <v>171</v>
          </cell>
        </row>
        <row r="569">
          <cell r="A569">
            <v>34759</v>
          </cell>
          <cell r="B569" t="str">
            <v>安徽</v>
          </cell>
          <cell r="C569" t="str">
            <v>自行车</v>
          </cell>
          <cell r="D569">
            <v>146</v>
          </cell>
        </row>
        <row r="570">
          <cell r="A570">
            <v>34759</v>
          </cell>
          <cell r="B570" t="str">
            <v>山东</v>
          </cell>
          <cell r="C570" t="str">
            <v>自行车</v>
          </cell>
          <cell r="D570">
            <v>263</v>
          </cell>
        </row>
        <row r="571">
          <cell r="A571">
            <v>34759</v>
          </cell>
          <cell r="B571" t="str">
            <v>安徽</v>
          </cell>
          <cell r="C571" t="str">
            <v>自行车</v>
          </cell>
          <cell r="D571">
            <v>88</v>
          </cell>
        </row>
        <row r="572">
          <cell r="A572">
            <v>34759</v>
          </cell>
          <cell r="B572" t="str">
            <v>山东</v>
          </cell>
          <cell r="C572" t="str">
            <v>服装</v>
          </cell>
          <cell r="D572">
            <v>2066</v>
          </cell>
        </row>
        <row r="573">
          <cell r="A573">
            <v>34759</v>
          </cell>
          <cell r="B573" t="str">
            <v>安徽</v>
          </cell>
          <cell r="C573" t="str">
            <v>服装</v>
          </cell>
          <cell r="D573">
            <v>841</v>
          </cell>
        </row>
        <row r="574">
          <cell r="A574">
            <v>34759</v>
          </cell>
          <cell r="B574" t="str">
            <v>山东</v>
          </cell>
          <cell r="C574" t="str">
            <v>服装</v>
          </cell>
          <cell r="D574">
            <v>1400</v>
          </cell>
        </row>
        <row r="575">
          <cell r="A575">
            <v>34759</v>
          </cell>
          <cell r="B575" t="str">
            <v>安徽</v>
          </cell>
          <cell r="C575" t="str">
            <v>服装</v>
          </cell>
          <cell r="D575">
            <v>90</v>
          </cell>
        </row>
        <row r="576">
          <cell r="A576">
            <v>34759</v>
          </cell>
          <cell r="B576" t="str">
            <v>安徽</v>
          </cell>
          <cell r="C576" t="str">
            <v>服装</v>
          </cell>
          <cell r="D576">
            <v>70</v>
          </cell>
        </row>
        <row r="577">
          <cell r="A577">
            <v>34759</v>
          </cell>
          <cell r="B577" t="str">
            <v>山东</v>
          </cell>
          <cell r="C577" t="str">
            <v>服装</v>
          </cell>
          <cell r="D577">
            <v>90</v>
          </cell>
        </row>
        <row r="578">
          <cell r="A578">
            <v>34759</v>
          </cell>
          <cell r="B578" t="str">
            <v>山东</v>
          </cell>
          <cell r="C578" t="str">
            <v>服装</v>
          </cell>
          <cell r="D578">
            <v>55</v>
          </cell>
        </row>
        <row r="579">
          <cell r="A579">
            <v>34759</v>
          </cell>
          <cell r="B579" t="str">
            <v>山东</v>
          </cell>
          <cell r="C579" t="str">
            <v>服装</v>
          </cell>
          <cell r="D579">
            <v>53</v>
          </cell>
        </row>
        <row r="580">
          <cell r="A580">
            <v>34759</v>
          </cell>
          <cell r="B580" t="str">
            <v>山东</v>
          </cell>
          <cell r="C580" t="str">
            <v>服装</v>
          </cell>
          <cell r="D580">
            <v>113</v>
          </cell>
        </row>
        <row r="581">
          <cell r="A581">
            <v>34759</v>
          </cell>
          <cell r="B581" t="str">
            <v>安徽</v>
          </cell>
          <cell r="C581" t="str">
            <v>服装</v>
          </cell>
          <cell r="D581">
            <v>124</v>
          </cell>
        </row>
        <row r="582">
          <cell r="A582">
            <v>34759</v>
          </cell>
          <cell r="B582" t="str">
            <v>安徽</v>
          </cell>
          <cell r="C582" t="str">
            <v>服装</v>
          </cell>
          <cell r="D582">
            <v>131</v>
          </cell>
        </row>
        <row r="583">
          <cell r="A583">
            <v>34759</v>
          </cell>
          <cell r="B583" t="str">
            <v>安徽</v>
          </cell>
          <cell r="C583" t="str">
            <v>服装</v>
          </cell>
          <cell r="D583">
            <v>151</v>
          </cell>
        </row>
        <row r="584">
          <cell r="A584">
            <v>34759</v>
          </cell>
          <cell r="B584" t="str">
            <v>江西</v>
          </cell>
          <cell r="C584" t="str">
            <v>食品</v>
          </cell>
          <cell r="D584">
            <v>270</v>
          </cell>
        </row>
        <row r="585">
          <cell r="A585">
            <v>34759</v>
          </cell>
          <cell r="B585" t="str">
            <v>山东</v>
          </cell>
          <cell r="C585" t="str">
            <v>食品</v>
          </cell>
          <cell r="D585">
            <v>281</v>
          </cell>
        </row>
        <row r="586">
          <cell r="A586">
            <v>34759</v>
          </cell>
          <cell r="B586" t="str">
            <v>江西</v>
          </cell>
          <cell r="C586" t="str">
            <v>食品</v>
          </cell>
          <cell r="D586">
            <v>408</v>
          </cell>
        </row>
        <row r="587">
          <cell r="A587">
            <v>34759</v>
          </cell>
          <cell r="B587" t="str">
            <v>山东</v>
          </cell>
          <cell r="C587" t="str">
            <v>食品</v>
          </cell>
          <cell r="D587">
            <v>823</v>
          </cell>
        </row>
        <row r="588">
          <cell r="A588">
            <v>34759</v>
          </cell>
          <cell r="B588" t="str">
            <v>安徽</v>
          </cell>
          <cell r="C588" t="str">
            <v>食品</v>
          </cell>
          <cell r="D588">
            <v>2302</v>
          </cell>
        </row>
        <row r="589">
          <cell r="A589">
            <v>34759</v>
          </cell>
          <cell r="B589" t="str">
            <v>安徽</v>
          </cell>
          <cell r="C589" t="str">
            <v>食品</v>
          </cell>
          <cell r="D589">
            <v>360</v>
          </cell>
        </row>
        <row r="590">
          <cell r="A590">
            <v>34759</v>
          </cell>
          <cell r="B590" t="str">
            <v>江西</v>
          </cell>
          <cell r="C590" t="str">
            <v>食品</v>
          </cell>
          <cell r="D590">
            <v>371</v>
          </cell>
        </row>
        <row r="591">
          <cell r="A591">
            <v>34759</v>
          </cell>
          <cell r="B591" t="str">
            <v>安徽</v>
          </cell>
          <cell r="C591" t="str">
            <v>食品</v>
          </cell>
          <cell r="D591">
            <v>149</v>
          </cell>
        </row>
        <row r="592">
          <cell r="A592">
            <v>34759</v>
          </cell>
          <cell r="B592" t="str">
            <v>安徽</v>
          </cell>
          <cell r="C592" t="str">
            <v>食品</v>
          </cell>
          <cell r="D592">
            <v>105</v>
          </cell>
        </row>
        <row r="593">
          <cell r="A593">
            <v>34759</v>
          </cell>
          <cell r="B593" t="str">
            <v>山东</v>
          </cell>
          <cell r="C593" t="str">
            <v>食品</v>
          </cell>
          <cell r="D593">
            <v>90</v>
          </cell>
        </row>
        <row r="594">
          <cell r="A594">
            <v>34759</v>
          </cell>
          <cell r="B594" t="str">
            <v>山东</v>
          </cell>
          <cell r="C594" t="str">
            <v>食品</v>
          </cell>
          <cell r="D594">
            <v>193</v>
          </cell>
        </row>
        <row r="595">
          <cell r="A595">
            <v>34759</v>
          </cell>
          <cell r="B595" t="str">
            <v>江西</v>
          </cell>
          <cell r="C595" t="str">
            <v>食品</v>
          </cell>
          <cell r="D595">
            <v>105</v>
          </cell>
        </row>
        <row r="596">
          <cell r="A596">
            <v>34759</v>
          </cell>
          <cell r="B596" t="str">
            <v>山东</v>
          </cell>
          <cell r="C596" t="str">
            <v>儿童用品</v>
          </cell>
          <cell r="D596">
            <v>637</v>
          </cell>
        </row>
        <row r="597">
          <cell r="A597">
            <v>34759</v>
          </cell>
          <cell r="B597" t="str">
            <v>安徽</v>
          </cell>
          <cell r="C597" t="str">
            <v>儿童用品</v>
          </cell>
          <cell r="D597">
            <v>394</v>
          </cell>
        </row>
        <row r="598">
          <cell r="A598">
            <v>34759</v>
          </cell>
          <cell r="B598" t="str">
            <v>安徽</v>
          </cell>
          <cell r="C598" t="str">
            <v>儿童用品</v>
          </cell>
          <cell r="D598">
            <v>586</v>
          </cell>
        </row>
        <row r="599">
          <cell r="A599">
            <v>34759</v>
          </cell>
          <cell r="B599" t="str">
            <v>江西</v>
          </cell>
          <cell r="C599" t="str">
            <v>儿童用品</v>
          </cell>
          <cell r="D599">
            <v>56</v>
          </cell>
        </row>
        <row r="600">
          <cell r="A600">
            <v>34759</v>
          </cell>
          <cell r="B600" t="str">
            <v>山东</v>
          </cell>
          <cell r="C600" t="str">
            <v>儿童用品</v>
          </cell>
          <cell r="D600">
            <v>56</v>
          </cell>
        </row>
        <row r="601">
          <cell r="A601">
            <v>34759</v>
          </cell>
          <cell r="B601" t="str">
            <v>山东</v>
          </cell>
          <cell r="C601" t="str">
            <v>儿童用品</v>
          </cell>
          <cell r="D601">
            <v>26</v>
          </cell>
        </row>
        <row r="602">
          <cell r="A602">
            <v>34759</v>
          </cell>
          <cell r="B602" t="str">
            <v>江西</v>
          </cell>
          <cell r="C602" t="str">
            <v>儿童用品</v>
          </cell>
          <cell r="D602">
            <v>252</v>
          </cell>
        </row>
        <row r="603">
          <cell r="A603">
            <v>34759</v>
          </cell>
          <cell r="B603" t="str">
            <v>安徽</v>
          </cell>
          <cell r="C603" t="str">
            <v>儿童用品</v>
          </cell>
          <cell r="D603">
            <v>249</v>
          </cell>
        </row>
        <row r="604">
          <cell r="A604">
            <v>34759</v>
          </cell>
          <cell r="B604" t="str">
            <v>安徽</v>
          </cell>
          <cell r="C604" t="str">
            <v>儿童用品</v>
          </cell>
          <cell r="D604">
            <v>1811</v>
          </cell>
        </row>
        <row r="605">
          <cell r="A605">
            <v>34759</v>
          </cell>
          <cell r="B605" t="str">
            <v>江西</v>
          </cell>
          <cell r="C605" t="str">
            <v>儿童用品</v>
          </cell>
          <cell r="D605">
            <v>1621</v>
          </cell>
        </row>
        <row r="606">
          <cell r="A606">
            <v>34759</v>
          </cell>
          <cell r="B606" t="str">
            <v>江西</v>
          </cell>
          <cell r="C606" t="str">
            <v>儿童用品</v>
          </cell>
          <cell r="D606">
            <v>1130</v>
          </cell>
        </row>
        <row r="607">
          <cell r="A607">
            <v>34759</v>
          </cell>
          <cell r="B607" t="str">
            <v>山东</v>
          </cell>
          <cell r="C607" t="str">
            <v>儿童用品</v>
          </cell>
          <cell r="D607">
            <v>911</v>
          </cell>
        </row>
        <row r="608">
          <cell r="A608">
            <v>34790</v>
          </cell>
          <cell r="B608" t="str">
            <v>江苏</v>
          </cell>
          <cell r="C608" t="str">
            <v>艺术品</v>
          </cell>
          <cell r="D608">
            <v>135</v>
          </cell>
        </row>
        <row r="609">
          <cell r="A609">
            <v>34790</v>
          </cell>
          <cell r="B609" t="str">
            <v>江西</v>
          </cell>
          <cell r="C609" t="str">
            <v>艺术品</v>
          </cell>
          <cell r="D609">
            <v>521</v>
          </cell>
        </row>
        <row r="610">
          <cell r="A610">
            <v>34790</v>
          </cell>
          <cell r="B610" t="str">
            <v>山东</v>
          </cell>
          <cell r="C610" t="str">
            <v>艺术品</v>
          </cell>
          <cell r="D610">
            <v>516</v>
          </cell>
        </row>
        <row r="611">
          <cell r="A611">
            <v>34790</v>
          </cell>
          <cell r="B611" t="str">
            <v>山东</v>
          </cell>
          <cell r="C611" t="str">
            <v>艺术品</v>
          </cell>
          <cell r="D611">
            <v>385</v>
          </cell>
        </row>
        <row r="612">
          <cell r="A612">
            <v>34790</v>
          </cell>
          <cell r="B612" t="str">
            <v>山东</v>
          </cell>
          <cell r="C612" t="str">
            <v>艺术品</v>
          </cell>
          <cell r="D612">
            <v>330</v>
          </cell>
        </row>
        <row r="613">
          <cell r="A613">
            <v>34790</v>
          </cell>
          <cell r="B613" t="str">
            <v>江西</v>
          </cell>
          <cell r="C613" t="str">
            <v>艺术品</v>
          </cell>
          <cell r="D613">
            <v>270</v>
          </cell>
        </row>
        <row r="614">
          <cell r="A614">
            <v>34790</v>
          </cell>
          <cell r="B614" t="str">
            <v>安徽</v>
          </cell>
          <cell r="C614" t="str">
            <v>艺术品</v>
          </cell>
          <cell r="D614">
            <v>180</v>
          </cell>
        </row>
        <row r="615">
          <cell r="A615">
            <v>34790</v>
          </cell>
          <cell r="B615" t="str">
            <v>江苏</v>
          </cell>
          <cell r="C615" t="str">
            <v>艺术品</v>
          </cell>
          <cell r="D615">
            <v>151</v>
          </cell>
        </row>
        <row r="616">
          <cell r="A616">
            <v>34790</v>
          </cell>
          <cell r="B616" t="str">
            <v>江西</v>
          </cell>
          <cell r="C616" t="str">
            <v>艺术品</v>
          </cell>
          <cell r="D616">
            <v>814</v>
          </cell>
        </row>
        <row r="617">
          <cell r="A617">
            <v>34790</v>
          </cell>
          <cell r="B617" t="str">
            <v>安徽</v>
          </cell>
          <cell r="C617" t="str">
            <v>艺术品</v>
          </cell>
          <cell r="D617">
            <v>523</v>
          </cell>
        </row>
        <row r="618">
          <cell r="A618">
            <v>34790</v>
          </cell>
          <cell r="B618" t="str">
            <v>安徽</v>
          </cell>
          <cell r="C618" t="str">
            <v>艺术品</v>
          </cell>
          <cell r="D618">
            <v>2227</v>
          </cell>
        </row>
        <row r="619">
          <cell r="A619">
            <v>34790</v>
          </cell>
          <cell r="B619" t="str">
            <v>安徽</v>
          </cell>
          <cell r="C619" t="str">
            <v>艺术品</v>
          </cell>
          <cell r="D619">
            <v>1888</v>
          </cell>
        </row>
        <row r="620">
          <cell r="A620">
            <v>34790</v>
          </cell>
          <cell r="B620" t="str">
            <v>江西</v>
          </cell>
          <cell r="C620" t="str">
            <v>艺术品</v>
          </cell>
          <cell r="D620">
            <v>1782</v>
          </cell>
        </row>
        <row r="621">
          <cell r="A621">
            <v>34790</v>
          </cell>
          <cell r="B621" t="str">
            <v>山东</v>
          </cell>
          <cell r="C621" t="str">
            <v>艺术品</v>
          </cell>
          <cell r="D621">
            <v>525</v>
          </cell>
        </row>
        <row r="622">
          <cell r="A622">
            <v>34790</v>
          </cell>
          <cell r="B622" t="str">
            <v>安徽</v>
          </cell>
          <cell r="C622" t="str">
            <v>自行车</v>
          </cell>
          <cell r="D622">
            <v>146</v>
          </cell>
        </row>
        <row r="623">
          <cell r="A623">
            <v>34790</v>
          </cell>
          <cell r="B623" t="str">
            <v>江苏</v>
          </cell>
          <cell r="C623" t="str">
            <v>自行车</v>
          </cell>
          <cell r="D623">
            <v>135</v>
          </cell>
        </row>
        <row r="624">
          <cell r="A624">
            <v>34790</v>
          </cell>
          <cell r="B624" t="str">
            <v>安徽</v>
          </cell>
          <cell r="C624" t="str">
            <v>自行车</v>
          </cell>
          <cell r="D624">
            <v>88</v>
          </cell>
        </row>
        <row r="625">
          <cell r="A625">
            <v>34790</v>
          </cell>
          <cell r="B625" t="str">
            <v>江苏</v>
          </cell>
          <cell r="C625" t="str">
            <v>自行车</v>
          </cell>
          <cell r="D625">
            <v>96</v>
          </cell>
        </row>
        <row r="626">
          <cell r="A626">
            <v>34790</v>
          </cell>
          <cell r="B626" t="str">
            <v>江西</v>
          </cell>
          <cell r="C626" t="str">
            <v>自行车</v>
          </cell>
          <cell r="D626">
            <v>263</v>
          </cell>
        </row>
        <row r="627">
          <cell r="A627">
            <v>34790</v>
          </cell>
          <cell r="B627" t="str">
            <v>安徽</v>
          </cell>
          <cell r="C627" t="str">
            <v>自行车</v>
          </cell>
          <cell r="D627">
            <v>175</v>
          </cell>
        </row>
        <row r="628">
          <cell r="A628">
            <v>34790</v>
          </cell>
          <cell r="B628" t="str">
            <v>山东</v>
          </cell>
          <cell r="C628" t="str">
            <v>自行车</v>
          </cell>
          <cell r="D628">
            <v>546</v>
          </cell>
        </row>
        <row r="629">
          <cell r="A629">
            <v>34790</v>
          </cell>
          <cell r="B629" t="str">
            <v>江西</v>
          </cell>
          <cell r="C629" t="str">
            <v>自行车</v>
          </cell>
          <cell r="D629">
            <v>492</v>
          </cell>
        </row>
        <row r="630">
          <cell r="A630">
            <v>34790</v>
          </cell>
          <cell r="B630" t="str">
            <v>江西</v>
          </cell>
          <cell r="C630" t="str">
            <v>自行车</v>
          </cell>
          <cell r="D630">
            <v>408</v>
          </cell>
        </row>
        <row r="631">
          <cell r="A631">
            <v>34790</v>
          </cell>
          <cell r="B631" t="str">
            <v>江西</v>
          </cell>
          <cell r="C631" t="str">
            <v>自行车</v>
          </cell>
          <cell r="D631">
            <v>405</v>
          </cell>
        </row>
        <row r="632">
          <cell r="A632">
            <v>34790</v>
          </cell>
          <cell r="B632" t="str">
            <v>安徽</v>
          </cell>
          <cell r="C632" t="str">
            <v>自行车</v>
          </cell>
          <cell r="D632">
            <v>315</v>
          </cell>
        </row>
        <row r="633">
          <cell r="A633">
            <v>34790</v>
          </cell>
          <cell r="B633" t="str">
            <v>山东</v>
          </cell>
          <cell r="C633" t="str">
            <v>自行车</v>
          </cell>
          <cell r="D633">
            <v>280</v>
          </cell>
        </row>
        <row r="634">
          <cell r="A634">
            <v>34790</v>
          </cell>
          <cell r="B634" t="str">
            <v>山东</v>
          </cell>
          <cell r="C634" t="str">
            <v>自行车</v>
          </cell>
          <cell r="D634">
            <v>194</v>
          </cell>
        </row>
        <row r="635">
          <cell r="A635">
            <v>34790</v>
          </cell>
          <cell r="B635" t="str">
            <v>山东</v>
          </cell>
          <cell r="C635" t="str">
            <v>自行车</v>
          </cell>
          <cell r="D635">
            <v>633</v>
          </cell>
        </row>
        <row r="636">
          <cell r="A636">
            <v>34790</v>
          </cell>
          <cell r="B636" t="str">
            <v>山东</v>
          </cell>
          <cell r="C636" t="str">
            <v>服装</v>
          </cell>
          <cell r="D636">
            <v>66</v>
          </cell>
        </row>
        <row r="637">
          <cell r="A637">
            <v>34790</v>
          </cell>
          <cell r="B637" t="str">
            <v>山东</v>
          </cell>
          <cell r="C637" t="str">
            <v>服装</v>
          </cell>
          <cell r="D637">
            <v>46</v>
          </cell>
        </row>
        <row r="638">
          <cell r="A638">
            <v>34790</v>
          </cell>
          <cell r="B638" t="str">
            <v>安徽</v>
          </cell>
          <cell r="C638" t="str">
            <v>服装</v>
          </cell>
          <cell r="D638">
            <v>70</v>
          </cell>
        </row>
        <row r="639">
          <cell r="A639">
            <v>34790</v>
          </cell>
          <cell r="B639" t="str">
            <v>安徽</v>
          </cell>
          <cell r="C639" t="str">
            <v>服装</v>
          </cell>
          <cell r="D639">
            <v>921</v>
          </cell>
        </row>
        <row r="640">
          <cell r="A640">
            <v>34790</v>
          </cell>
          <cell r="B640" t="str">
            <v>山东</v>
          </cell>
          <cell r="C640" t="str">
            <v>服装</v>
          </cell>
          <cell r="D640">
            <v>1916</v>
          </cell>
        </row>
        <row r="641">
          <cell r="A641">
            <v>34790</v>
          </cell>
          <cell r="B641" t="str">
            <v>山东</v>
          </cell>
          <cell r="C641" t="str">
            <v>服装</v>
          </cell>
          <cell r="D641">
            <v>1519</v>
          </cell>
        </row>
        <row r="642">
          <cell r="A642">
            <v>34790</v>
          </cell>
          <cell r="B642" t="str">
            <v>安徽</v>
          </cell>
          <cell r="C642" t="str">
            <v>服装</v>
          </cell>
          <cell r="D642">
            <v>146</v>
          </cell>
        </row>
        <row r="643">
          <cell r="A643">
            <v>34790</v>
          </cell>
          <cell r="B643" t="str">
            <v>安徽</v>
          </cell>
          <cell r="C643" t="str">
            <v>服装</v>
          </cell>
          <cell r="D643">
            <v>140</v>
          </cell>
        </row>
        <row r="644">
          <cell r="A644">
            <v>34790</v>
          </cell>
          <cell r="B644" t="str">
            <v>山东</v>
          </cell>
          <cell r="C644" t="str">
            <v>服装</v>
          </cell>
          <cell r="D644">
            <v>126</v>
          </cell>
        </row>
        <row r="645">
          <cell r="A645">
            <v>34790</v>
          </cell>
          <cell r="B645" t="str">
            <v>山东</v>
          </cell>
          <cell r="C645" t="str">
            <v>服装</v>
          </cell>
          <cell r="D645">
            <v>113</v>
          </cell>
        </row>
        <row r="646">
          <cell r="A646">
            <v>34790</v>
          </cell>
          <cell r="B646" t="str">
            <v>安徽</v>
          </cell>
          <cell r="C646" t="str">
            <v>服装</v>
          </cell>
          <cell r="D646">
            <v>113</v>
          </cell>
        </row>
        <row r="647">
          <cell r="A647">
            <v>34790</v>
          </cell>
          <cell r="B647" t="str">
            <v>安徽</v>
          </cell>
          <cell r="C647" t="str">
            <v>服装</v>
          </cell>
          <cell r="D647">
            <v>165</v>
          </cell>
        </row>
        <row r="648">
          <cell r="A648">
            <v>34790</v>
          </cell>
          <cell r="B648" t="str">
            <v>安徽</v>
          </cell>
          <cell r="C648" t="str">
            <v>食品</v>
          </cell>
          <cell r="D648">
            <v>1345</v>
          </cell>
        </row>
        <row r="649">
          <cell r="A649">
            <v>34790</v>
          </cell>
          <cell r="B649" t="str">
            <v>山东</v>
          </cell>
          <cell r="C649" t="str">
            <v>食品</v>
          </cell>
          <cell r="D649">
            <v>956</v>
          </cell>
        </row>
        <row r="650">
          <cell r="A650">
            <v>34790</v>
          </cell>
          <cell r="B650" t="str">
            <v>安徽</v>
          </cell>
          <cell r="C650" t="str">
            <v>食品</v>
          </cell>
          <cell r="D650">
            <v>1553</v>
          </cell>
        </row>
        <row r="651">
          <cell r="A651">
            <v>34790</v>
          </cell>
          <cell r="B651" t="str">
            <v>江苏</v>
          </cell>
          <cell r="C651" t="str">
            <v>食品</v>
          </cell>
          <cell r="D651">
            <v>88</v>
          </cell>
        </row>
        <row r="652">
          <cell r="A652">
            <v>34790</v>
          </cell>
          <cell r="B652" t="str">
            <v>江西</v>
          </cell>
          <cell r="C652" t="str">
            <v>食品</v>
          </cell>
          <cell r="D652">
            <v>210</v>
          </cell>
        </row>
        <row r="653">
          <cell r="A653">
            <v>34790</v>
          </cell>
          <cell r="B653" t="str">
            <v>山东</v>
          </cell>
          <cell r="C653" t="str">
            <v>食品</v>
          </cell>
          <cell r="D653">
            <v>210</v>
          </cell>
        </row>
        <row r="654">
          <cell r="A654">
            <v>34790</v>
          </cell>
          <cell r="B654" t="str">
            <v>山东</v>
          </cell>
          <cell r="C654" t="str">
            <v>食品</v>
          </cell>
          <cell r="D654">
            <v>236</v>
          </cell>
        </row>
        <row r="655">
          <cell r="A655">
            <v>34790</v>
          </cell>
          <cell r="B655" t="str">
            <v>江苏</v>
          </cell>
          <cell r="C655" t="str">
            <v>食品</v>
          </cell>
          <cell r="D655">
            <v>124</v>
          </cell>
        </row>
        <row r="656">
          <cell r="A656">
            <v>34790</v>
          </cell>
          <cell r="B656" t="str">
            <v>安徽</v>
          </cell>
          <cell r="C656" t="str">
            <v>食品</v>
          </cell>
          <cell r="D656">
            <v>123</v>
          </cell>
        </row>
        <row r="657">
          <cell r="A657">
            <v>34790</v>
          </cell>
          <cell r="B657" t="str">
            <v>山东</v>
          </cell>
          <cell r="C657" t="str">
            <v>食品</v>
          </cell>
          <cell r="D657">
            <v>113</v>
          </cell>
        </row>
        <row r="658">
          <cell r="A658">
            <v>34790</v>
          </cell>
          <cell r="B658" t="str">
            <v>江西</v>
          </cell>
          <cell r="C658" t="str">
            <v>食品</v>
          </cell>
          <cell r="D658">
            <v>270</v>
          </cell>
        </row>
        <row r="659">
          <cell r="A659">
            <v>34790</v>
          </cell>
          <cell r="B659" t="str">
            <v>安徽</v>
          </cell>
          <cell r="C659" t="str">
            <v>食品</v>
          </cell>
          <cell r="D659">
            <v>437</v>
          </cell>
        </row>
        <row r="660">
          <cell r="A660">
            <v>34790</v>
          </cell>
          <cell r="B660" t="str">
            <v>江西</v>
          </cell>
          <cell r="C660" t="str">
            <v>食品</v>
          </cell>
          <cell r="D660">
            <v>459</v>
          </cell>
        </row>
        <row r="661">
          <cell r="A661">
            <v>34790</v>
          </cell>
          <cell r="B661" t="str">
            <v>江西</v>
          </cell>
          <cell r="C661" t="str">
            <v>食品</v>
          </cell>
          <cell r="D661">
            <v>341</v>
          </cell>
        </row>
        <row r="662">
          <cell r="A662">
            <v>34790</v>
          </cell>
          <cell r="B662" t="str">
            <v>江西</v>
          </cell>
          <cell r="C662" t="str">
            <v>儿童用品</v>
          </cell>
          <cell r="D662">
            <v>2370</v>
          </cell>
        </row>
        <row r="663">
          <cell r="A663">
            <v>34790</v>
          </cell>
          <cell r="B663" t="str">
            <v>江西</v>
          </cell>
          <cell r="C663" t="str">
            <v>儿童用品</v>
          </cell>
          <cell r="D663">
            <v>1006</v>
          </cell>
        </row>
        <row r="664">
          <cell r="A664">
            <v>34790</v>
          </cell>
          <cell r="B664" t="str">
            <v>山东</v>
          </cell>
          <cell r="C664" t="str">
            <v>儿童用品</v>
          </cell>
          <cell r="D664">
            <v>1204</v>
          </cell>
        </row>
        <row r="665">
          <cell r="A665">
            <v>34790</v>
          </cell>
          <cell r="B665" t="str">
            <v>山东</v>
          </cell>
          <cell r="C665" t="str">
            <v>儿童用品</v>
          </cell>
          <cell r="D665">
            <v>569</v>
          </cell>
        </row>
        <row r="666">
          <cell r="A666">
            <v>34790</v>
          </cell>
          <cell r="B666" t="str">
            <v>安徽</v>
          </cell>
          <cell r="C666" t="str">
            <v>儿童用品</v>
          </cell>
          <cell r="D666">
            <v>2061</v>
          </cell>
        </row>
        <row r="667">
          <cell r="A667">
            <v>34790</v>
          </cell>
          <cell r="B667" t="str">
            <v>江苏</v>
          </cell>
          <cell r="C667" t="str">
            <v>儿童用品</v>
          </cell>
          <cell r="D667">
            <v>90</v>
          </cell>
        </row>
        <row r="668">
          <cell r="A668">
            <v>34790</v>
          </cell>
          <cell r="B668" t="str">
            <v>安徽</v>
          </cell>
          <cell r="C668" t="str">
            <v>儿童用品</v>
          </cell>
          <cell r="D668">
            <v>117</v>
          </cell>
        </row>
        <row r="669">
          <cell r="A669">
            <v>34790</v>
          </cell>
          <cell r="B669" t="str">
            <v>江西</v>
          </cell>
          <cell r="C669" t="str">
            <v>儿童用品</v>
          </cell>
          <cell r="D669">
            <v>72</v>
          </cell>
        </row>
        <row r="670">
          <cell r="A670">
            <v>34790</v>
          </cell>
          <cell r="B670" t="str">
            <v>江西</v>
          </cell>
          <cell r="C670" t="str">
            <v>儿童用品</v>
          </cell>
          <cell r="D670">
            <v>63</v>
          </cell>
        </row>
        <row r="671">
          <cell r="A671">
            <v>34790</v>
          </cell>
          <cell r="B671" t="str">
            <v>山东</v>
          </cell>
          <cell r="C671" t="str">
            <v>儿童用品</v>
          </cell>
          <cell r="D671">
            <v>35</v>
          </cell>
        </row>
        <row r="672">
          <cell r="A672">
            <v>34790</v>
          </cell>
          <cell r="B672" t="str">
            <v>山东</v>
          </cell>
          <cell r="C672" t="str">
            <v>儿童用品</v>
          </cell>
          <cell r="D672">
            <v>56</v>
          </cell>
        </row>
        <row r="673">
          <cell r="A673">
            <v>34790</v>
          </cell>
          <cell r="B673" t="str">
            <v>江苏</v>
          </cell>
          <cell r="C673" t="str">
            <v>儿童用品</v>
          </cell>
          <cell r="D673">
            <v>61</v>
          </cell>
        </row>
        <row r="674">
          <cell r="A674">
            <v>34790</v>
          </cell>
          <cell r="B674" t="str">
            <v>安徽</v>
          </cell>
          <cell r="C674" t="str">
            <v>儿童用品</v>
          </cell>
          <cell r="D674">
            <v>437</v>
          </cell>
        </row>
        <row r="675">
          <cell r="A675">
            <v>34790</v>
          </cell>
          <cell r="B675" t="str">
            <v>安徽</v>
          </cell>
          <cell r="C675" t="str">
            <v>儿童用品</v>
          </cell>
          <cell r="D675">
            <v>315</v>
          </cell>
        </row>
        <row r="676">
          <cell r="A676">
            <v>34820</v>
          </cell>
          <cell r="B676" t="str">
            <v>江西</v>
          </cell>
          <cell r="C676" t="str">
            <v>艺术品</v>
          </cell>
          <cell r="D676">
            <v>1817</v>
          </cell>
        </row>
        <row r="677">
          <cell r="A677">
            <v>34820</v>
          </cell>
          <cell r="B677" t="str">
            <v>安徽</v>
          </cell>
          <cell r="C677" t="str">
            <v>艺术品</v>
          </cell>
          <cell r="D677">
            <v>1667</v>
          </cell>
        </row>
        <row r="678">
          <cell r="A678">
            <v>34820</v>
          </cell>
          <cell r="B678" t="str">
            <v>江西</v>
          </cell>
          <cell r="C678" t="str">
            <v>艺术品</v>
          </cell>
          <cell r="D678">
            <v>716</v>
          </cell>
        </row>
        <row r="679">
          <cell r="A679">
            <v>34820</v>
          </cell>
          <cell r="B679" t="str">
            <v>山东</v>
          </cell>
          <cell r="C679" t="str">
            <v>艺术品</v>
          </cell>
          <cell r="D679">
            <v>608</v>
          </cell>
        </row>
        <row r="680">
          <cell r="A680">
            <v>34820</v>
          </cell>
          <cell r="B680" t="str">
            <v>安徽</v>
          </cell>
          <cell r="C680" t="str">
            <v>艺术品</v>
          </cell>
          <cell r="D680">
            <v>500</v>
          </cell>
        </row>
        <row r="681">
          <cell r="A681">
            <v>34820</v>
          </cell>
          <cell r="B681" t="str">
            <v>江西</v>
          </cell>
          <cell r="C681" t="str">
            <v>艺术品</v>
          </cell>
          <cell r="D681">
            <v>440</v>
          </cell>
        </row>
        <row r="682">
          <cell r="A682">
            <v>34820</v>
          </cell>
          <cell r="B682" t="str">
            <v>山东</v>
          </cell>
          <cell r="C682" t="str">
            <v>艺术品</v>
          </cell>
          <cell r="D682">
            <v>429</v>
          </cell>
        </row>
        <row r="683">
          <cell r="A683">
            <v>34820</v>
          </cell>
          <cell r="B683" t="str">
            <v>安徽</v>
          </cell>
          <cell r="C683" t="str">
            <v>艺术品</v>
          </cell>
          <cell r="D683">
            <v>2159</v>
          </cell>
        </row>
        <row r="684">
          <cell r="A684">
            <v>34820</v>
          </cell>
          <cell r="B684" t="str">
            <v>山东</v>
          </cell>
          <cell r="C684" t="str">
            <v>艺术品</v>
          </cell>
          <cell r="D684">
            <v>385</v>
          </cell>
        </row>
        <row r="685">
          <cell r="A685">
            <v>34820</v>
          </cell>
          <cell r="B685" t="str">
            <v>山东</v>
          </cell>
          <cell r="C685" t="str">
            <v>艺术品</v>
          </cell>
          <cell r="D685">
            <v>415</v>
          </cell>
        </row>
        <row r="686">
          <cell r="A686">
            <v>34820</v>
          </cell>
          <cell r="B686" t="str">
            <v>江西</v>
          </cell>
          <cell r="C686" t="str">
            <v>艺术品</v>
          </cell>
          <cell r="D686">
            <v>270</v>
          </cell>
        </row>
        <row r="687">
          <cell r="A687">
            <v>34820</v>
          </cell>
          <cell r="B687" t="str">
            <v>安徽</v>
          </cell>
          <cell r="C687" t="str">
            <v>艺术品</v>
          </cell>
          <cell r="D687">
            <v>248</v>
          </cell>
        </row>
        <row r="688">
          <cell r="A688">
            <v>34820</v>
          </cell>
          <cell r="B688" t="str">
            <v>江苏</v>
          </cell>
          <cell r="C688" t="str">
            <v>艺术品</v>
          </cell>
          <cell r="D688">
            <v>151</v>
          </cell>
        </row>
        <row r="689">
          <cell r="A689">
            <v>34820</v>
          </cell>
          <cell r="B689" t="str">
            <v>江苏</v>
          </cell>
          <cell r="C689" t="str">
            <v>艺术品</v>
          </cell>
          <cell r="D689">
            <v>113</v>
          </cell>
        </row>
        <row r="690">
          <cell r="A690">
            <v>34820</v>
          </cell>
          <cell r="B690" t="str">
            <v>江西</v>
          </cell>
          <cell r="C690" t="str">
            <v>自行车</v>
          </cell>
          <cell r="D690">
            <v>433</v>
          </cell>
        </row>
        <row r="691">
          <cell r="A691">
            <v>34820</v>
          </cell>
          <cell r="B691" t="str">
            <v>山东</v>
          </cell>
          <cell r="C691" t="str">
            <v>自行车</v>
          </cell>
          <cell r="D691">
            <v>686</v>
          </cell>
        </row>
        <row r="692">
          <cell r="A692">
            <v>34820</v>
          </cell>
          <cell r="B692" t="str">
            <v>山东</v>
          </cell>
          <cell r="C692" t="str">
            <v>自行车</v>
          </cell>
          <cell r="D692">
            <v>535</v>
          </cell>
        </row>
        <row r="693">
          <cell r="A693">
            <v>34820</v>
          </cell>
          <cell r="B693" t="str">
            <v>江西</v>
          </cell>
          <cell r="C693" t="str">
            <v>自行车</v>
          </cell>
          <cell r="D693">
            <v>492</v>
          </cell>
        </row>
        <row r="694">
          <cell r="A694">
            <v>34820</v>
          </cell>
          <cell r="B694" t="str">
            <v>安徽</v>
          </cell>
          <cell r="C694" t="str">
            <v>自行车</v>
          </cell>
          <cell r="D694">
            <v>333</v>
          </cell>
        </row>
        <row r="695">
          <cell r="A695">
            <v>34820</v>
          </cell>
          <cell r="B695" t="str">
            <v>山东</v>
          </cell>
          <cell r="C695" t="str">
            <v>自行车</v>
          </cell>
          <cell r="D695">
            <v>289</v>
          </cell>
        </row>
        <row r="696">
          <cell r="A696">
            <v>34820</v>
          </cell>
          <cell r="B696" t="str">
            <v>江西</v>
          </cell>
          <cell r="C696" t="str">
            <v>自行车</v>
          </cell>
          <cell r="D696">
            <v>270</v>
          </cell>
        </row>
        <row r="697">
          <cell r="A697">
            <v>34820</v>
          </cell>
          <cell r="B697" t="str">
            <v>安徽</v>
          </cell>
          <cell r="C697" t="str">
            <v>自行车</v>
          </cell>
          <cell r="D697">
            <v>248</v>
          </cell>
        </row>
        <row r="698">
          <cell r="A698">
            <v>34820</v>
          </cell>
          <cell r="B698" t="str">
            <v>山东</v>
          </cell>
          <cell r="C698" t="str">
            <v>自行车</v>
          </cell>
          <cell r="D698">
            <v>203</v>
          </cell>
        </row>
        <row r="699">
          <cell r="A699">
            <v>34820</v>
          </cell>
          <cell r="B699" t="str">
            <v>安徽</v>
          </cell>
          <cell r="C699" t="str">
            <v>自行车</v>
          </cell>
          <cell r="D699">
            <v>169</v>
          </cell>
        </row>
        <row r="700">
          <cell r="A700">
            <v>34820</v>
          </cell>
          <cell r="B700" t="str">
            <v>江西</v>
          </cell>
          <cell r="C700" t="str">
            <v>自行车</v>
          </cell>
          <cell r="D700">
            <v>158</v>
          </cell>
        </row>
        <row r="701">
          <cell r="A701">
            <v>34820</v>
          </cell>
          <cell r="B701" t="str">
            <v>安徽</v>
          </cell>
          <cell r="C701" t="str">
            <v>自行车</v>
          </cell>
          <cell r="D701">
            <v>96</v>
          </cell>
        </row>
        <row r="702">
          <cell r="A702">
            <v>34820</v>
          </cell>
          <cell r="B702" t="str">
            <v>江苏</v>
          </cell>
          <cell r="C702" t="str">
            <v>自行车</v>
          </cell>
          <cell r="D702">
            <v>96</v>
          </cell>
        </row>
        <row r="703">
          <cell r="A703">
            <v>34820</v>
          </cell>
          <cell r="B703" t="str">
            <v>江苏</v>
          </cell>
          <cell r="C703" t="str">
            <v>自行车</v>
          </cell>
          <cell r="D703">
            <v>146</v>
          </cell>
        </row>
        <row r="704">
          <cell r="A704">
            <v>34820</v>
          </cell>
          <cell r="B704" t="str">
            <v>安徽</v>
          </cell>
          <cell r="C704" t="str">
            <v>服装</v>
          </cell>
          <cell r="D704">
            <v>950</v>
          </cell>
        </row>
        <row r="705">
          <cell r="A705">
            <v>34820</v>
          </cell>
          <cell r="B705" t="str">
            <v>山东</v>
          </cell>
          <cell r="C705" t="str">
            <v>服装</v>
          </cell>
          <cell r="D705">
            <v>1424</v>
          </cell>
        </row>
        <row r="706">
          <cell r="A706">
            <v>34820</v>
          </cell>
          <cell r="B706" t="str">
            <v>山东</v>
          </cell>
          <cell r="C706" t="str">
            <v>服装</v>
          </cell>
          <cell r="D706">
            <v>1672</v>
          </cell>
        </row>
        <row r="707">
          <cell r="A707">
            <v>34820</v>
          </cell>
          <cell r="B707" t="str">
            <v>安徽</v>
          </cell>
          <cell r="C707" t="str">
            <v>服装</v>
          </cell>
          <cell r="D707">
            <v>88</v>
          </cell>
        </row>
        <row r="708">
          <cell r="A708">
            <v>34820</v>
          </cell>
          <cell r="B708" t="str">
            <v>山东</v>
          </cell>
          <cell r="C708" t="str">
            <v>服装</v>
          </cell>
          <cell r="D708">
            <v>72</v>
          </cell>
        </row>
        <row r="709">
          <cell r="A709">
            <v>34820</v>
          </cell>
          <cell r="B709" t="str">
            <v>山东</v>
          </cell>
          <cell r="C709" t="str">
            <v>服装</v>
          </cell>
          <cell r="D709">
            <v>46</v>
          </cell>
        </row>
        <row r="710">
          <cell r="A710">
            <v>34820</v>
          </cell>
          <cell r="B710" t="str">
            <v>安徽</v>
          </cell>
          <cell r="C710" t="str">
            <v>服装</v>
          </cell>
          <cell r="D710">
            <v>180</v>
          </cell>
        </row>
        <row r="711">
          <cell r="A711">
            <v>34820</v>
          </cell>
          <cell r="B711" t="str">
            <v>安徽</v>
          </cell>
          <cell r="C711" t="str">
            <v>服装</v>
          </cell>
          <cell r="D711">
            <v>140</v>
          </cell>
        </row>
        <row r="712">
          <cell r="A712">
            <v>34820</v>
          </cell>
          <cell r="B712" t="str">
            <v>山东</v>
          </cell>
          <cell r="C712" t="str">
            <v>服装</v>
          </cell>
          <cell r="D712">
            <v>113</v>
          </cell>
        </row>
        <row r="713">
          <cell r="A713">
            <v>34820</v>
          </cell>
          <cell r="B713" t="str">
            <v>安徽</v>
          </cell>
          <cell r="C713" t="str">
            <v>服装</v>
          </cell>
          <cell r="D713">
            <v>90</v>
          </cell>
        </row>
        <row r="714">
          <cell r="A714">
            <v>34820</v>
          </cell>
          <cell r="B714" t="str">
            <v>山东</v>
          </cell>
          <cell r="C714" t="str">
            <v>服装</v>
          </cell>
          <cell r="D714">
            <v>90</v>
          </cell>
        </row>
        <row r="715">
          <cell r="A715">
            <v>34820</v>
          </cell>
          <cell r="B715" t="str">
            <v>安徽</v>
          </cell>
          <cell r="C715" t="str">
            <v>服装</v>
          </cell>
          <cell r="D715">
            <v>193</v>
          </cell>
        </row>
        <row r="716">
          <cell r="A716">
            <v>34820</v>
          </cell>
          <cell r="B716" t="str">
            <v>江西</v>
          </cell>
          <cell r="C716" t="str">
            <v>食品</v>
          </cell>
          <cell r="D716">
            <v>525</v>
          </cell>
        </row>
        <row r="717">
          <cell r="A717">
            <v>34820</v>
          </cell>
          <cell r="B717" t="str">
            <v>安徽</v>
          </cell>
          <cell r="C717" t="str">
            <v>食品</v>
          </cell>
          <cell r="D717">
            <v>1260</v>
          </cell>
        </row>
        <row r="718">
          <cell r="A718">
            <v>34820</v>
          </cell>
          <cell r="B718" t="str">
            <v>安徽</v>
          </cell>
          <cell r="C718" t="str">
            <v>食品</v>
          </cell>
          <cell r="D718">
            <v>1132</v>
          </cell>
        </row>
        <row r="719">
          <cell r="A719">
            <v>34820</v>
          </cell>
          <cell r="B719" t="str">
            <v>山东</v>
          </cell>
          <cell r="C719" t="str">
            <v>食品</v>
          </cell>
          <cell r="D719">
            <v>899</v>
          </cell>
        </row>
        <row r="720">
          <cell r="A720">
            <v>34820</v>
          </cell>
          <cell r="B720" t="str">
            <v>安徽</v>
          </cell>
          <cell r="C720" t="str">
            <v>食品</v>
          </cell>
          <cell r="D720">
            <v>437</v>
          </cell>
        </row>
        <row r="721">
          <cell r="A721">
            <v>34820</v>
          </cell>
          <cell r="B721" t="str">
            <v>江西</v>
          </cell>
          <cell r="C721" t="str">
            <v>食品</v>
          </cell>
          <cell r="D721">
            <v>210</v>
          </cell>
        </row>
        <row r="722">
          <cell r="A722">
            <v>34820</v>
          </cell>
          <cell r="B722" t="str">
            <v>山东</v>
          </cell>
          <cell r="C722" t="str">
            <v>食品</v>
          </cell>
          <cell r="D722">
            <v>90</v>
          </cell>
        </row>
        <row r="723">
          <cell r="A723">
            <v>34820</v>
          </cell>
          <cell r="B723" t="str">
            <v>江苏</v>
          </cell>
          <cell r="C723" t="str">
            <v>食品</v>
          </cell>
          <cell r="D723">
            <v>88</v>
          </cell>
        </row>
        <row r="724">
          <cell r="A724">
            <v>34820</v>
          </cell>
          <cell r="B724" t="str">
            <v>江西</v>
          </cell>
          <cell r="C724" t="str">
            <v>食品</v>
          </cell>
          <cell r="D724">
            <v>210</v>
          </cell>
        </row>
        <row r="725">
          <cell r="A725">
            <v>34820</v>
          </cell>
          <cell r="B725" t="str">
            <v>山东</v>
          </cell>
          <cell r="C725" t="str">
            <v>食品</v>
          </cell>
          <cell r="D725">
            <v>175</v>
          </cell>
        </row>
        <row r="726">
          <cell r="A726">
            <v>34820</v>
          </cell>
          <cell r="B726" t="str">
            <v>江苏</v>
          </cell>
          <cell r="C726" t="str">
            <v>食品</v>
          </cell>
          <cell r="D726">
            <v>124</v>
          </cell>
        </row>
        <row r="727">
          <cell r="A727">
            <v>34820</v>
          </cell>
          <cell r="B727" t="str">
            <v>山东</v>
          </cell>
          <cell r="C727" t="str">
            <v>食品</v>
          </cell>
          <cell r="D727">
            <v>259</v>
          </cell>
        </row>
        <row r="728">
          <cell r="A728">
            <v>34820</v>
          </cell>
          <cell r="B728" t="str">
            <v>江西</v>
          </cell>
          <cell r="C728" t="str">
            <v>食品</v>
          </cell>
          <cell r="D728">
            <v>203</v>
          </cell>
        </row>
        <row r="729">
          <cell r="A729">
            <v>34820</v>
          </cell>
          <cell r="B729" t="str">
            <v>安徽</v>
          </cell>
          <cell r="C729" t="str">
            <v>食品</v>
          </cell>
          <cell r="D729">
            <v>263</v>
          </cell>
        </row>
        <row r="730">
          <cell r="A730">
            <v>34820</v>
          </cell>
          <cell r="B730" t="str">
            <v>安徽</v>
          </cell>
          <cell r="C730" t="str">
            <v>儿童用品</v>
          </cell>
          <cell r="D730">
            <v>501</v>
          </cell>
        </row>
        <row r="731">
          <cell r="A731">
            <v>34820</v>
          </cell>
          <cell r="B731" t="str">
            <v>安徽</v>
          </cell>
          <cell r="C731" t="str">
            <v>儿童用品</v>
          </cell>
          <cell r="D731">
            <v>405</v>
          </cell>
        </row>
        <row r="732">
          <cell r="A732">
            <v>34820</v>
          </cell>
          <cell r="B732" t="str">
            <v>安徽</v>
          </cell>
          <cell r="C732" t="str">
            <v>儿童用品</v>
          </cell>
          <cell r="D732">
            <v>2104</v>
          </cell>
        </row>
        <row r="733">
          <cell r="A733">
            <v>34820</v>
          </cell>
          <cell r="B733" t="str">
            <v>江西</v>
          </cell>
          <cell r="C733" t="str">
            <v>儿童用品</v>
          </cell>
          <cell r="D733">
            <v>1470</v>
          </cell>
        </row>
        <row r="734">
          <cell r="A734">
            <v>34820</v>
          </cell>
          <cell r="B734" t="str">
            <v>江西</v>
          </cell>
          <cell r="C734" t="str">
            <v>儿童用品</v>
          </cell>
          <cell r="D734">
            <v>1431</v>
          </cell>
        </row>
        <row r="735">
          <cell r="A735">
            <v>34820</v>
          </cell>
          <cell r="B735" t="str">
            <v>山东</v>
          </cell>
          <cell r="C735" t="str">
            <v>儿童用品</v>
          </cell>
          <cell r="D735">
            <v>778</v>
          </cell>
        </row>
        <row r="736">
          <cell r="A736">
            <v>34820</v>
          </cell>
          <cell r="B736" t="str">
            <v>山东</v>
          </cell>
          <cell r="C736" t="str">
            <v>儿童用品</v>
          </cell>
          <cell r="D736">
            <v>1785</v>
          </cell>
        </row>
        <row r="737">
          <cell r="A737">
            <v>34820</v>
          </cell>
          <cell r="B737" t="str">
            <v>江苏</v>
          </cell>
          <cell r="C737" t="str">
            <v>儿童用品</v>
          </cell>
          <cell r="D737">
            <v>61</v>
          </cell>
        </row>
        <row r="738">
          <cell r="A738">
            <v>34820</v>
          </cell>
          <cell r="B738" t="str">
            <v>江西</v>
          </cell>
          <cell r="C738" t="str">
            <v>儿童用品</v>
          </cell>
          <cell r="D738">
            <v>50</v>
          </cell>
        </row>
        <row r="739">
          <cell r="A739">
            <v>34820</v>
          </cell>
          <cell r="B739" t="str">
            <v>江西</v>
          </cell>
          <cell r="C739" t="str">
            <v>儿童用品</v>
          </cell>
          <cell r="D739">
            <v>39</v>
          </cell>
        </row>
        <row r="740">
          <cell r="A740">
            <v>34820</v>
          </cell>
          <cell r="B740" t="str">
            <v>山东</v>
          </cell>
          <cell r="C740" t="str">
            <v>儿童用品</v>
          </cell>
          <cell r="D740">
            <v>35</v>
          </cell>
        </row>
        <row r="741">
          <cell r="A741">
            <v>34820</v>
          </cell>
          <cell r="B741" t="str">
            <v>山东</v>
          </cell>
          <cell r="C741" t="str">
            <v>儿童用品</v>
          </cell>
          <cell r="D741">
            <v>68</v>
          </cell>
        </row>
        <row r="742">
          <cell r="A742">
            <v>34820</v>
          </cell>
          <cell r="B742" t="str">
            <v>江苏</v>
          </cell>
          <cell r="C742" t="str">
            <v>儿童用品</v>
          </cell>
          <cell r="D742">
            <v>90</v>
          </cell>
        </row>
        <row r="743">
          <cell r="A743">
            <v>34820</v>
          </cell>
          <cell r="B743" t="str">
            <v>安徽</v>
          </cell>
          <cell r="C743" t="str">
            <v>儿童用品</v>
          </cell>
          <cell r="D743">
            <v>153</v>
          </cell>
        </row>
        <row r="744">
          <cell r="A744">
            <v>34820</v>
          </cell>
          <cell r="B744" t="str">
            <v>安徽</v>
          </cell>
          <cell r="C744" t="str">
            <v>体育用品</v>
          </cell>
          <cell r="D744">
            <v>158</v>
          </cell>
        </row>
        <row r="745">
          <cell r="A745">
            <v>34820</v>
          </cell>
          <cell r="B745" t="str">
            <v>山东</v>
          </cell>
          <cell r="C745" t="str">
            <v>体育用品</v>
          </cell>
          <cell r="D745">
            <v>179</v>
          </cell>
        </row>
        <row r="746">
          <cell r="A746">
            <v>34820</v>
          </cell>
          <cell r="B746" t="str">
            <v>安徽</v>
          </cell>
          <cell r="C746" t="str">
            <v>体育用品</v>
          </cell>
          <cell r="D746">
            <v>180</v>
          </cell>
        </row>
        <row r="747">
          <cell r="A747">
            <v>34820</v>
          </cell>
          <cell r="B747" t="str">
            <v>安徽</v>
          </cell>
          <cell r="C747" t="str">
            <v>体育用品</v>
          </cell>
          <cell r="D747">
            <v>180</v>
          </cell>
        </row>
        <row r="748">
          <cell r="A748">
            <v>34820</v>
          </cell>
          <cell r="B748" t="str">
            <v>安徽</v>
          </cell>
          <cell r="C748" t="str">
            <v>体育用品</v>
          </cell>
          <cell r="D748">
            <v>193</v>
          </cell>
        </row>
        <row r="749">
          <cell r="A749">
            <v>34820</v>
          </cell>
          <cell r="B749" t="str">
            <v>安徽</v>
          </cell>
          <cell r="C749" t="str">
            <v>体育用品</v>
          </cell>
          <cell r="D749">
            <v>140</v>
          </cell>
        </row>
        <row r="750">
          <cell r="A750">
            <v>34820</v>
          </cell>
          <cell r="B750" t="str">
            <v>江苏</v>
          </cell>
          <cell r="C750" t="str">
            <v>体育用品</v>
          </cell>
          <cell r="D750">
            <v>124</v>
          </cell>
        </row>
        <row r="751">
          <cell r="A751">
            <v>34820</v>
          </cell>
          <cell r="B751" t="str">
            <v>山东</v>
          </cell>
          <cell r="C751" t="str">
            <v>体育用品</v>
          </cell>
          <cell r="D751">
            <v>124</v>
          </cell>
        </row>
        <row r="752">
          <cell r="A752">
            <v>34820</v>
          </cell>
          <cell r="B752" t="str">
            <v>江苏</v>
          </cell>
          <cell r="C752" t="str">
            <v>体育用品</v>
          </cell>
          <cell r="D752">
            <v>138</v>
          </cell>
        </row>
        <row r="753">
          <cell r="A753">
            <v>34820</v>
          </cell>
          <cell r="B753" t="str">
            <v>江西</v>
          </cell>
          <cell r="C753" t="str">
            <v>体育用品</v>
          </cell>
          <cell r="D753">
            <v>304</v>
          </cell>
        </row>
        <row r="754">
          <cell r="A754">
            <v>34820</v>
          </cell>
          <cell r="B754" t="str">
            <v>江西</v>
          </cell>
          <cell r="C754" t="str">
            <v>体育用品</v>
          </cell>
          <cell r="D754">
            <v>400</v>
          </cell>
        </row>
        <row r="755">
          <cell r="A755">
            <v>34820</v>
          </cell>
          <cell r="B755" t="str">
            <v>江西</v>
          </cell>
          <cell r="C755" t="str">
            <v>体育用品</v>
          </cell>
          <cell r="D755">
            <v>413</v>
          </cell>
        </row>
        <row r="756">
          <cell r="A756">
            <v>34820</v>
          </cell>
          <cell r="B756" t="str">
            <v>江西</v>
          </cell>
          <cell r="C756" t="str">
            <v>体育用品</v>
          </cell>
          <cell r="D756">
            <v>210</v>
          </cell>
        </row>
        <row r="757">
          <cell r="A757">
            <v>34820</v>
          </cell>
          <cell r="B757" t="str">
            <v>安徽</v>
          </cell>
          <cell r="C757" t="str">
            <v>体育用品</v>
          </cell>
          <cell r="D757">
            <v>220</v>
          </cell>
        </row>
        <row r="758">
          <cell r="A758">
            <v>34820</v>
          </cell>
          <cell r="B758" t="str">
            <v>山东</v>
          </cell>
          <cell r="C758" t="str">
            <v>体育用品</v>
          </cell>
          <cell r="D758">
            <v>28</v>
          </cell>
        </row>
        <row r="759">
          <cell r="A759">
            <v>34820</v>
          </cell>
          <cell r="B759" t="str">
            <v>江苏</v>
          </cell>
          <cell r="C759" t="str">
            <v>体育用品</v>
          </cell>
          <cell r="D759">
            <v>79</v>
          </cell>
        </row>
        <row r="760">
          <cell r="A760">
            <v>34820</v>
          </cell>
          <cell r="B760" t="str">
            <v>山东</v>
          </cell>
          <cell r="C760" t="str">
            <v>体育用品</v>
          </cell>
          <cell r="D760">
            <v>105</v>
          </cell>
        </row>
        <row r="761">
          <cell r="A761">
            <v>34820</v>
          </cell>
          <cell r="B761" t="str">
            <v>山东</v>
          </cell>
          <cell r="C761" t="str">
            <v>体育用品</v>
          </cell>
          <cell r="D761">
            <v>36</v>
          </cell>
        </row>
        <row r="762">
          <cell r="A762">
            <v>34820</v>
          </cell>
          <cell r="B762" t="str">
            <v>山东</v>
          </cell>
          <cell r="C762" t="str">
            <v>体育用品</v>
          </cell>
          <cell r="D762">
            <v>44</v>
          </cell>
        </row>
        <row r="763">
          <cell r="A763">
            <v>34820</v>
          </cell>
          <cell r="B763" t="str">
            <v>江西</v>
          </cell>
          <cell r="C763" t="str">
            <v>体育用品</v>
          </cell>
          <cell r="D763">
            <v>68</v>
          </cell>
        </row>
        <row r="764">
          <cell r="A764">
            <v>34851</v>
          </cell>
          <cell r="B764" t="str">
            <v>安徽</v>
          </cell>
          <cell r="C764" t="str">
            <v>艺术品</v>
          </cell>
          <cell r="D764">
            <v>1280</v>
          </cell>
        </row>
        <row r="765">
          <cell r="A765">
            <v>34851</v>
          </cell>
          <cell r="B765" t="str">
            <v>安徽</v>
          </cell>
          <cell r="C765" t="str">
            <v>艺术品</v>
          </cell>
          <cell r="D765">
            <v>896</v>
          </cell>
        </row>
        <row r="766">
          <cell r="A766">
            <v>34851</v>
          </cell>
          <cell r="B766" t="str">
            <v>安徽</v>
          </cell>
          <cell r="C766" t="str">
            <v>艺术品</v>
          </cell>
          <cell r="D766">
            <v>2131</v>
          </cell>
        </row>
        <row r="767">
          <cell r="A767">
            <v>34851</v>
          </cell>
          <cell r="B767" t="str">
            <v>江西</v>
          </cell>
          <cell r="C767" t="str">
            <v>艺术品</v>
          </cell>
          <cell r="D767">
            <v>717</v>
          </cell>
        </row>
        <row r="768">
          <cell r="A768">
            <v>34851</v>
          </cell>
          <cell r="B768" t="str">
            <v>山东</v>
          </cell>
          <cell r="C768" t="str">
            <v>艺术品</v>
          </cell>
          <cell r="D768">
            <v>525</v>
          </cell>
        </row>
        <row r="769">
          <cell r="A769">
            <v>34851</v>
          </cell>
          <cell r="B769" t="str">
            <v>山东</v>
          </cell>
          <cell r="C769" t="str">
            <v>艺术品</v>
          </cell>
          <cell r="D769">
            <v>513</v>
          </cell>
        </row>
        <row r="770">
          <cell r="A770">
            <v>34851</v>
          </cell>
          <cell r="B770" t="str">
            <v>山东</v>
          </cell>
          <cell r="C770" t="str">
            <v>艺术品</v>
          </cell>
          <cell r="D770">
            <v>495</v>
          </cell>
        </row>
        <row r="771">
          <cell r="A771">
            <v>34851</v>
          </cell>
          <cell r="B771" t="str">
            <v>江西</v>
          </cell>
          <cell r="C771" t="str">
            <v>艺术品</v>
          </cell>
          <cell r="D771">
            <v>441</v>
          </cell>
        </row>
        <row r="772">
          <cell r="A772">
            <v>34851</v>
          </cell>
          <cell r="B772" t="str">
            <v>山东</v>
          </cell>
          <cell r="C772" t="str">
            <v>艺术品</v>
          </cell>
          <cell r="D772">
            <v>427</v>
          </cell>
        </row>
        <row r="773">
          <cell r="A773">
            <v>34851</v>
          </cell>
          <cell r="B773" t="str">
            <v>江苏</v>
          </cell>
          <cell r="C773" t="str">
            <v>艺术品</v>
          </cell>
          <cell r="D773">
            <v>113</v>
          </cell>
        </row>
        <row r="774">
          <cell r="A774">
            <v>34851</v>
          </cell>
          <cell r="B774" t="str">
            <v>江西</v>
          </cell>
          <cell r="C774" t="str">
            <v>艺术品</v>
          </cell>
          <cell r="D774">
            <v>338</v>
          </cell>
        </row>
        <row r="775">
          <cell r="A775">
            <v>34851</v>
          </cell>
          <cell r="B775" t="str">
            <v>江苏</v>
          </cell>
          <cell r="C775" t="str">
            <v>艺术品</v>
          </cell>
          <cell r="D775">
            <v>151</v>
          </cell>
        </row>
        <row r="776">
          <cell r="A776">
            <v>34851</v>
          </cell>
          <cell r="B776" t="str">
            <v>安徽</v>
          </cell>
          <cell r="C776" t="str">
            <v>艺术品</v>
          </cell>
          <cell r="D776">
            <v>225</v>
          </cell>
        </row>
        <row r="777">
          <cell r="A777">
            <v>34851</v>
          </cell>
          <cell r="B777" t="str">
            <v>江西</v>
          </cell>
          <cell r="C777" t="str">
            <v>艺术品</v>
          </cell>
          <cell r="D777">
            <v>1916</v>
          </cell>
        </row>
        <row r="778">
          <cell r="A778">
            <v>34851</v>
          </cell>
          <cell r="B778" t="str">
            <v>山东</v>
          </cell>
          <cell r="C778" t="str">
            <v>自行车</v>
          </cell>
          <cell r="D778">
            <v>736</v>
          </cell>
        </row>
        <row r="779">
          <cell r="A779">
            <v>34851</v>
          </cell>
          <cell r="B779" t="str">
            <v>山东</v>
          </cell>
          <cell r="C779" t="str">
            <v>自行车</v>
          </cell>
          <cell r="D779">
            <v>721</v>
          </cell>
        </row>
        <row r="780">
          <cell r="A780">
            <v>34851</v>
          </cell>
          <cell r="B780" t="str">
            <v>江西</v>
          </cell>
          <cell r="C780" t="str">
            <v>自行车</v>
          </cell>
          <cell r="D780">
            <v>459</v>
          </cell>
        </row>
        <row r="781">
          <cell r="A781">
            <v>34851</v>
          </cell>
          <cell r="B781" t="str">
            <v>安徽</v>
          </cell>
          <cell r="C781" t="str">
            <v>自行车</v>
          </cell>
          <cell r="D781">
            <v>96</v>
          </cell>
        </row>
        <row r="782">
          <cell r="A782">
            <v>34851</v>
          </cell>
          <cell r="B782" t="str">
            <v>江苏</v>
          </cell>
          <cell r="C782" t="str">
            <v>自行车</v>
          </cell>
          <cell r="D782">
            <v>105</v>
          </cell>
        </row>
        <row r="783">
          <cell r="A783">
            <v>34851</v>
          </cell>
          <cell r="B783" t="str">
            <v>山东</v>
          </cell>
          <cell r="C783" t="str">
            <v>自行车</v>
          </cell>
          <cell r="D783">
            <v>359</v>
          </cell>
        </row>
        <row r="784">
          <cell r="A784">
            <v>34851</v>
          </cell>
          <cell r="B784" t="str">
            <v>安徽</v>
          </cell>
          <cell r="C784" t="str">
            <v>自行车</v>
          </cell>
          <cell r="D784">
            <v>315</v>
          </cell>
        </row>
        <row r="785">
          <cell r="A785">
            <v>34851</v>
          </cell>
          <cell r="B785" t="str">
            <v>江西</v>
          </cell>
          <cell r="C785" t="str">
            <v>自行车</v>
          </cell>
          <cell r="D785">
            <v>315</v>
          </cell>
        </row>
        <row r="786">
          <cell r="A786">
            <v>34851</v>
          </cell>
          <cell r="B786" t="str">
            <v>安徽</v>
          </cell>
          <cell r="C786" t="str">
            <v>自行车</v>
          </cell>
          <cell r="D786">
            <v>293</v>
          </cell>
        </row>
        <row r="787">
          <cell r="A787">
            <v>34851</v>
          </cell>
          <cell r="B787" t="str">
            <v>江苏</v>
          </cell>
          <cell r="C787" t="str">
            <v>自行车</v>
          </cell>
          <cell r="D787">
            <v>169</v>
          </cell>
        </row>
        <row r="788">
          <cell r="A788">
            <v>34851</v>
          </cell>
          <cell r="B788" t="str">
            <v>安徽</v>
          </cell>
          <cell r="C788" t="str">
            <v>自行车</v>
          </cell>
          <cell r="D788">
            <v>169</v>
          </cell>
        </row>
        <row r="789">
          <cell r="A789">
            <v>34851</v>
          </cell>
          <cell r="B789" t="str">
            <v>江西</v>
          </cell>
          <cell r="C789" t="str">
            <v>自行车</v>
          </cell>
          <cell r="D789">
            <v>270</v>
          </cell>
        </row>
        <row r="790">
          <cell r="A790">
            <v>34851</v>
          </cell>
          <cell r="B790" t="str">
            <v>山东</v>
          </cell>
          <cell r="C790" t="str">
            <v>自行车</v>
          </cell>
          <cell r="D790">
            <v>216</v>
          </cell>
        </row>
        <row r="791">
          <cell r="A791">
            <v>34851</v>
          </cell>
          <cell r="B791" t="str">
            <v>江西</v>
          </cell>
          <cell r="C791" t="str">
            <v>自行车</v>
          </cell>
          <cell r="D791">
            <v>524</v>
          </cell>
        </row>
        <row r="792">
          <cell r="A792">
            <v>34851</v>
          </cell>
          <cell r="B792" t="str">
            <v>安徽</v>
          </cell>
          <cell r="C792" t="str">
            <v>服装</v>
          </cell>
          <cell r="D792">
            <v>220</v>
          </cell>
        </row>
        <row r="793">
          <cell r="A793">
            <v>34851</v>
          </cell>
          <cell r="B793" t="str">
            <v>山东</v>
          </cell>
          <cell r="C793" t="str">
            <v>服装</v>
          </cell>
          <cell r="D793">
            <v>2443</v>
          </cell>
        </row>
        <row r="794">
          <cell r="A794">
            <v>34851</v>
          </cell>
          <cell r="B794" t="str">
            <v>安徽</v>
          </cell>
          <cell r="C794" t="str">
            <v>服装</v>
          </cell>
          <cell r="D794">
            <v>123</v>
          </cell>
        </row>
        <row r="795">
          <cell r="A795">
            <v>34851</v>
          </cell>
          <cell r="B795" t="str">
            <v>安徽</v>
          </cell>
          <cell r="C795" t="str">
            <v>服装</v>
          </cell>
          <cell r="D795">
            <v>45</v>
          </cell>
        </row>
        <row r="796">
          <cell r="A796">
            <v>34851</v>
          </cell>
          <cell r="B796" t="str">
            <v>山东</v>
          </cell>
          <cell r="C796" t="str">
            <v>服装</v>
          </cell>
          <cell r="D796">
            <v>53</v>
          </cell>
        </row>
        <row r="797">
          <cell r="A797">
            <v>34851</v>
          </cell>
          <cell r="B797" t="str">
            <v>山东</v>
          </cell>
          <cell r="C797" t="str">
            <v>服装</v>
          </cell>
          <cell r="D797">
            <v>79</v>
          </cell>
        </row>
        <row r="798">
          <cell r="A798">
            <v>34851</v>
          </cell>
          <cell r="B798" t="str">
            <v>山东</v>
          </cell>
          <cell r="C798" t="str">
            <v>服装</v>
          </cell>
          <cell r="D798">
            <v>94</v>
          </cell>
        </row>
        <row r="799">
          <cell r="A799">
            <v>34851</v>
          </cell>
          <cell r="B799" t="str">
            <v>山东</v>
          </cell>
          <cell r="C799" t="str">
            <v>服装</v>
          </cell>
          <cell r="D799">
            <v>104</v>
          </cell>
        </row>
        <row r="800">
          <cell r="A800">
            <v>34851</v>
          </cell>
          <cell r="B800" t="str">
            <v>安徽</v>
          </cell>
          <cell r="C800" t="str">
            <v>服装</v>
          </cell>
          <cell r="D800">
            <v>149</v>
          </cell>
        </row>
        <row r="801">
          <cell r="A801">
            <v>34851</v>
          </cell>
          <cell r="B801" t="str">
            <v>安徽</v>
          </cell>
          <cell r="C801" t="str">
            <v>服装</v>
          </cell>
          <cell r="D801">
            <v>146</v>
          </cell>
        </row>
        <row r="802">
          <cell r="A802">
            <v>34851</v>
          </cell>
          <cell r="B802" t="str">
            <v>山东</v>
          </cell>
          <cell r="C802" t="str">
            <v>服装</v>
          </cell>
          <cell r="D802">
            <v>1554</v>
          </cell>
        </row>
        <row r="803">
          <cell r="A803">
            <v>34851</v>
          </cell>
          <cell r="B803" t="str">
            <v>安徽</v>
          </cell>
          <cell r="C803" t="str">
            <v>服装</v>
          </cell>
          <cell r="D803">
            <v>549</v>
          </cell>
        </row>
        <row r="804">
          <cell r="A804">
            <v>34851</v>
          </cell>
          <cell r="B804" t="str">
            <v>山东</v>
          </cell>
          <cell r="C804" t="str">
            <v>食品</v>
          </cell>
          <cell r="D804">
            <v>45</v>
          </cell>
        </row>
        <row r="805">
          <cell r="A805">
            <v>34851</v>
          </cell>
          <cell r="B805" t="str">
            <v>山东</v>
          </cell>
          <cell r="C805" t="str">
            <v>食品</v>
          </cell>
          <cell r="D805">
            <v>980</v>
          </cell>
        </row>
        <row r="806">
          <cell r="A806">
            <v>34851</v>
          </cell>
          <cell r="B806" t="str">
            <v>江苏</v>
          </cell>
          <cell r="C806" t="str">
            <v>食品</v>
          </cell>
          <cell r="D806">
            <v>135</v>
          </cell>
        </row>
        <row r="807">
          <cell r="A807">
            <v>34851</v>
          </cell>
          <cell r="B807" t="str">
            <v>山东</v>
          </cell>
          <cell r="C807" t="str">
            <v>食品</v>
          </cell>
          <cell r="D807">
            <v>140</v>
          </cell>
        </row>
        <row r="808">
          <cell r="A808">
            <v>34851</v>
          </cell>
          <cell r="B808" t="str">
            <v>山东</v>
          </cell>
          <cell r="C808" t="str">
            <v>食品</v>
          </cell>
          <cell r="D808">
            <v>270</v>
          </cell>
        </row>
        <row r="809">
          <cell r="A809">
            <v>34851</v>
          </cell>
          <cell r="B809" t="str">
            <v>江西</v>
          </cell>
          <cell r="C809" t="str">
            <v>食品</v>
          </cell>
          <cell r="D809">
            <v>263</v>
          </cell>
        </row>
        <row r="810">
          <cell r="A810">
            <v>34851</v>
          </cell>
          <cell r="B810" t="str">
            <v>江西</v>
          </cell>
          <cell r="C810" t="str">
            <v>食品</v>
          </cell>
          <cell r="D810">
            <v>203</v>
          </cell>
        </row>
        <row r="811">
          <cell r="A811">
            <v>34851</v>
          </cell>
          <cell r="B811" t="str">
            <v>安徽</v>
          </cell>
          <cell r="C811" t="str">
            <v>食品</v>
          </cell>
          <cell r="D811">
            <v>245</v>
          </cell>
        </row>
        <row r="812">
          <cell r="A812">
            <v>34851</v>
          </cell>
          <cell r="B812" t="str">
            <v>江西</v>
          </cell>
          <cell r="C812" t="str">
            <v>食品</v>
          </cell>
          <cell r="D812">
            <v>210</v>
          </cell>
        </row>
        <row r="813">
          <cell r="A813">
            <v>34851</v>
          </cell>
          <cell r="B813" t="str">
            <v>江西</v>
          </cell>
          <cell r="C813" t="str">
            <v>食品</v>
          </cell>
          <cell r="D813">
            <v>622</v>
          </cell>
        </row>
        <row r="814">
          <cell r="A814">
            <v>34851</v>
          </cell>
          <cell r="B814" t="str">
            <v>江苏</v>
          </cell>
          <cell r="C814" t="str">
            <v>食品</v>
          </cell>
          <cell r="D814">
            <v>96</v>
          </cell>
        </row>
        <row r="815">
          <cell r="A815">
            <v>34851</v>
          </cell>
          <cell r="B815" t="str">
            <v>安徽</v>
          </cell>
          <cell r="C815" t="str">
            <v>食品</v>
          </cell>
          <cell r="D815">
            <v>416</v>
          </cell>
        </row>
        <row r="816">
          <cell r="A816">
            <v>34851</v>
          </cell>
          <cell r="B816" t="str">
            <v>安徽</v>
          </cell>
          <cell r="C816" t="str">
            <v>食品</v>
          </cell>
          <cell r="D816">
            <v>1318</v>
          </cell>
        </row>
        <row r="817">
          <cell r="A817">
            <v>34851</v>
          </cell>
          <cell r="B817" t="str">
            <v>安徽</v>
          </cell>
          <cell r="C817" t="str">
            <v>食品</v>
          </cell>
          <cell r="D817">
            <v>1286</v>
          </cell>
        </row>
        <row r="818">
          <cell r="A818">
            <v>34851</v>
          </cell>
          <cell r="B818" t="str">
            <v>江西</v>
          </cell>
          <cell r="C818" t="str">
            <v>儿童用品</v>
          </cell>
          <cell r="D818">
            <v>2134</v>
          </cell>
        </row>
        <row r="819">
          <cell r="A819">
            <v>34851</v>
          </cell>
          <cell r="B819" t="str">
            <v>安徽</v>
          </cell>
          <cell r="C819" t="str">
            <v>儿童用品</v>
          </cell>
          <cell r="D819">
            <v>697</v>
          </cell>
        </row>
        <row r="820">
          <cell r="A820">
            <v>34851</v>
          </cell>
          <cell r="B820" t="str">
            <v>山东</v>
          </cell>
          <cell r="C820" t="str">
            <v>儿童用品</v>
          </cell>
          <cell r="D820">
            <v>947</v>
          </cell>
        </row>
        <row r="821">
          <cell r="A821">
            <v>34851</v>
          </cell>
          <cell r="B821" t="str">
            <v>山东</v>
          </cell>
          <cell r="C821" t="str">
            <v>儿童用品</v>
          </cell>
          <cell r="D821">
            <v>737</v>
          </cell>
        </row>
        <row r="822">
          <cell r="A822">
            <v>34851</v>
          </cell>
          <cell r="B822" t="str">
            <v>安徽</v>
          </cell>
          <cell r="C822" t="str">
            <v>儿童用品</v>
          </cell>
          <cell r="D822">
            <v>394</v>
          </cell>
        </row>
        <row r="823">
          <cell r="A823">
            <v>34851</v>
          </cell>
          <cell r="B823" t="str">
            <v>江西</v>
          </cell>
          <cell r="C823" t="str">
            <v>儿童用品</v>
          </cell>
          <cell r="D823">
            <v>1188</v>
          </cell>
        </row>
        <row r="824">
          <cell r="A824">
            <v>34851</v>
          </cell>
          <cell r="B824" t="str">
            <v>安徽</v>
          </cell>
          <cell r="C824" t="str">
            <v>儿童用品</v>
          </cell>
          <cell r="D824">
            <v>2279</v>
          </cell>
        </row>
        <row r="825">
          <cell r="A825">
            <v>34851</v>
          </cell>
          <cell r="B825" t="str">
            <v>江西</v>
          </cell>
          <cell r="C825" t="str">
            <v>儿童用品</v>
          </cell>
          <cell r="D825">
            <v>32</v>
          </cell>
        </row>
        <row r="826">
          <cell r="A826">
            <v>34851</v>
          </cell>
          <cell r="B826" t="str">
            <v>山东</v>
          </cell>
          <cell r="C826" t="str">
            <v>儿童用品</v>
          </cell>
          <cell r="D826">
            <v>44</v>
          </cell>
        </row>
        <row r="827">
          <cell r="A827">
            <v>34851</v>
          </cell>
          <cell r="B827" t="str">
            <v>山东</v>
          </cell>
          <cell r="C827" t="str">
            <v>儿童用品</v>
          </cell>
          <cell r="D827">
            <v>68</v>
          </cell>
        </row>
        <row r="828">
          <cell r="A828">
            <v>34851</v>
          </cell>
          <cell r="B828" t="str">
            <v>江西</v>
          </cell>
          <cell r="C828" t="str">
            <v>儿童用品</v>
          </cell>
          <cell r="D828">
            <v>56</v>
          </cell>
        </row>
        <row r="829">
          <cell r="A829">
            <v>34851</v>
          </cell>
          <cell r="B829" t="str">
            <v>江苏</v>
          </cell>
          <cell r="C829" t="str">
            <v>儿童用品</v>
          </cell>
          <cell r="D829">
            <v>70</v>
          </cell>
        </row>
        <row r="830">
          <cell r="A830">
            <v>34851</v>
          </cell>
          <cell r="B830" t="str">
            <v>江苏</v>
          </cell>
          <cell r="C830" t="str">
            <v>儿童用品</v>
          </cell>
          <cell r="D830">
            <v>90</v>
          </cell>
        </row>
        <row r="831">
          <cell r="A831">
            <v>34851</v>
          </cell>
          <cell r="B831" t="str">
            <v>安徽</v>
          </cell>
          <cell r="C831" t="str">
            <v>儿童用品</v>
          </cell>
          <cell r="D831">
            <v>171</v>
          </cell>
        </row>
        <row r="832">
          <cell r="A832">
            <v>34851</v>
          </cell>
          <cell r="B832" t="str">
            <v>安徽</v>
          </cell>
          <cell r="C832" t="str">
            <v>体育用品</v>
          </cell>
          <cell r="D832">
            <v>293</v>
          </cell>
        </row>
        <row r="833">
          <cell r="A833">
            <v>34851</v>
          </cell>
          <cell r="B833" t="str">
            <v>安徽</v>
          </cell>
          <cell r="C833" t="str">
            <v>体育用品</v>
          </cell>
          <cell r="D833">
            <v>149</v>
          </cell>
        </row>
        <row r="834">
          <cell r="A834">
            <v>34851</v>
          </cell>
          <cell r="B834" t="str">
            <v>江苏</v>
          </cell>
          <cell r="C834" t="str">
            <v>体育用品</v>
          </cell>
          <cell r="D834">
            <v>151</v>
          </cell>
        </row>
        <row r="835">
          <cell r="A835">
            <v>34851</v>
          </cell>
          <cell r="B835" t="str">
            <v>山东</v>
          </cell>
          <cell r="C835" t="str">
            <v>体育用品</v>
          </cell>
          <cell r="D835">
            <v>165</v>
          </cell>
        </row>
        <row r="836">
          <cell r="A836">
            <v>34851</v>
          </cell>
          <cell r="B836" t="str">
            <v>江西</v>
          </cell>
          <cell r="C836" t="str">
            <v>体育用品</v>
          </cell>
          <cell r="D836">
            <v>289</v>
          </cell>
        </row>
        <row r="837">
          <cell r="A837">
            <v>34851</v>
          </cell>
          <cell r="B837" t="str">
            <v>安徽</v>
          </cell>
          <cell r="C837" t="str">
            <v>体育用品</v>
          </cell>
          <cell r="D837">
            <v>140</v>
          </cell>
        </row>
        <row r="838">
          <cell r="A838">
            <v>34851</v>
          </cell>
          <cell r="B838" t="str">
            <v>山东</v>
          </cell>
          <cell r="C838" t="str">
            <v>体育用品</v>
          </cell>
          <cell r="D838">
            <v>146</v>
          </cell>
        </row>
        <row r="839">
          <cell r="A839">
            <v>34851</v>
          </cell>
          <cell r="B839" t="str">
            <v>安徽</v>
          </cell>
          <cell r="C839" t="str">
            <v>体育用品</v>
          </cell>
          <cell r="D839">
            <v>193</v>
          </cell>
        </row>
        <row r="840">
          <cell r="A840">
            <v>34851</v>
          </cell>
          <cell r="B840" t="str">
            <v>安徽</v>
          </cell>
          <cell r="C840" t="str">
            <v>体育用品</v>
          </cell>
          <cell r="D840">
            <v>206</v>
          </cell>
        </row>
        <row r="841">
          <cell r="A841">
            <v>34851</v>
          </cell>
          <cell r="B841" t="str">
            <v>安徽</v>
          </cell>
          <cell r="C841" t="str">
            <v>体育用品</v>
          </cell>
          <cell r="D841">
            <v>225</v>
          </cell>
        </row>
        <row r="842">
          <cell r="A842">
            <v>34851</v>
          </cell>
          <cell r="B842" t="str">
            <v>江西</v>
          </cell>
          <cell r="C842" t="str">
            <v>体育用品</v>
          </cell>
          <cell r="D842">
            <v>338</v>
          </cell>
        </row>
        <row r="843">
          <cell r="A843">
            <v>34851</v>
          </cell>
          <cell r="B843" t="str">
            <v>江西</v>
          </cell>
          <cell r="C843" t="str">
            <v>体育用品</v>
          </cell>
          <cell r="D843">
            <v>540</v>
          </cell>
        </row>
        <row r="844">
          <cell r="A844">
            <v>34851</v>
          </cell>
          <cell r="B844" t="str">
            <v>山东</v>
          </cell>
          <cell r="C844" t="str">
            <v>体育用品</v>
          </cell>
          <cell r="D844">
            <v>39</v>
          </cell>
        </row>
        <row r="845">
          <cell r="A845">
            <v>34851</v>
          </cell>
          <cell r="B845" t="str">
            <v>山东</v>
          </cell>
          <cell r="C845" t="str">
            <v>体育用品</v>
          </cell>
          <cell r="D845">
            <v>28</v>
          </cell>
        </row>
        <row r="846">
          <cell r="A846">
            <v>34851</v>
          </cell>
          <cell r="B846" t="str">
            <v>江西</v>
          </cell>
          <cell r="C846" t="str">
            <v>体育用品</v>
          </cell>
          <cell r="D846">
            <v>53</v>
          </cell>
        </row>
        <row r="847">
          <cell r="A847">
            <v>34851</v>
          </cell>
          <cell r="B847" t="str">
            <v>江西</v>
          </cell>
          <cell r="C847" t="str">
            <v>体育用品</v>
          </cell>
          <cell r="D847">
            <v>413</v>
          </cell>
        </row>
        <row r="848">
          <cell r="A848">
            <v>34851</v>
          </cell>
          <cell r="B848" t="str">
            <v>江苏</v>
          </cell>
          <cell r="C848" t="str">
            <v>体育用品</v>
          </cell>
          <cell r="D848">
            <v>88</v>
          </cell>
        </row>
        <row r="849">
          <cell r="A849">
            <v>34851</v>
          </cell>
          <cell r="B849" t="str">
            <v>山东</v>
          </cell>
          <cell r="C849" t="str">
            <v>体育用品</v>
          </cell>
          <cell r="D849">
            <v>96</v>
          </cell>
        </row>
        <row r="850">
          <cell r="A850">
            <v>34851</v>
          </cell>
          <cell r="B850" t="str">
            <v>江苏</v>
          </cell>
          <cell r="C850" t="str">
            <v>体育用品</v>
          </cell>
          <cell r="D850">
            <v>135</v>
          </cell>
        </row>
        <row r="851">
          <cell r="A851">
            <v>34851</v>
          </cell>
          <cell r="B851" t="str">
            <v>山东</v>
          </cell>
          <cell r="C851" t="str">
            <v>体育用品</v>
          </cell>
          <cell r="D851">
            <v>41</v>
          </cell>
        </row>
        <row r="852">
          <cell r="A852">
            <v>34851</v>
          </cell>
          <cell r="B852" t="str">
            <v>江西</v>
          </cell>
          <cell r="C852" t="str">
            <v>体育用品</v>
          </cell>
          <cell r="D852">
            <v>210</v>
          </cell>
        </row>
        <row r="853">
          <cell r="A853">
            <v>34881</v>
          </cell>
          <cell r="B853" t="str">
            <v>江西</v>
          </cell>
          <cell r="C853" t="str">
            <v>艺术品</v>
          </cell>
          <cell r="D853">
            <v>1758</v>
          </cell>
        </row>
        <row r="854">
          <cell r="A854">
            <v>34881</v>
          </cell>
          <cell r="B854" t="str">
            <v>江西</v>
          </cell>
          <cell r="C854" t="str">
            <v>艺术品</v>
          </cell>
          <cell r="D854">
            <v>338</v>
          </cell>
        </row>
        <row r="855">
          <cell r="A855">
            <v>34881</v>
          </cell>
          <cell r="B855" t="str">
            <v>安徽</v>
          </cell>
          <cell r="C855" t="str">
            <v>艺术品</v>
          </cell>
          <cell r="D855">
            <v>338</v>
          </cell>
        </row>
        <row r="856">
          <cell r="A856">
            <v>34881</v>
          </cell>
          <cell r="B856" t="str">
            <v>江西</v>
          </cell>
          <cell r="C856" t="str">
            <v>艺术品</v>
          </cell>
          <cell r="D856">
            <v>441</v>
          </cell>
        </row>
        <row r="857">
          <cell r="A857">
            <v>34881</v>
          </cell>
          <cell r="B857" t="str">
            <v>山东</v>
          </cell>
          <cell r="C857" t="str">
            <v>艺术品</v>
          </cell>
          <cell r="D857">
            <v>546</v>
          </cell>
        </row>
        <row r="858">
          <cell r="A858">
            <v>34881</v>
          </cell>
          <cell r="B858" t="str">
            <v>江西</v>
          </cell>
          <cell r="C858" t="str">
            <v>艺术品</v>
          </cell>
          <cell r="D858">
            <v>570</v>
          </cell>
        </row>
        <row r="859">
          <cell r="A859">
            <v>34881</v>
          </cell>
          <cell r="B859" t="str">
            <v>山东</v>
          </cell>
          <cell r="C859" t="str">
            <v>艺术品</v>
          </cell>
          <cell r="D859">
            <v>581</v>
          </cell>
        </row>
        <row r="860">
          <cell r="A860">
            <v>34881</v>
          </cell>
          <cell r="B860" t="str">
            <v>山东</v>
          </cell>
          <cell r="C860" t="str">
            <v>艺术品</v>
          </cell>
          <cell r="D860">
            <v>730</v>
          </cell>
        </row>
        <row r="861">
          <cell r="A861">
            <v>34881</v>
          </cell>
          <cell r="B861" t="str">
            <v>安徽</v>
          </cell>
          <cell r="C861" t="str">
            <v>艺术品</v>
          </cell>
          <cell r="D861">
            <v>1040</v>
          </cell>
        </row>
        <row r="862">
          <cell r="A862">
            <v>34881</v>
          </cell>
          <cell r="B862" t="str">
            <v>安徽</v>
          </cell>
          <cell r="C862" t="str">
            <v>艺术品</v>
          </cell>
          <cell r="D862">
            <v>995</v>
          </cell>
        </row>
        <row r="863">
          <cell r="A863">
            <v>34881</v>
          </cell>
          <cell r="B863" t="str">
            <v>山东</v>
          </cell>
          <cell r="C863" t="str">
            <v>艺术品</v>
          </cell>
          <cell r="D863">
            <v>303</v>
          </cell>
        </row>
        <row r="864">
          <cell r="A864">
            <v>34881</v>
          </cell>
          <cell r="B864" t="str">
            <v>江苏</v>
          </cell>
          <cell r="C864" t="str">
            <v>艺术品</v>
          </cell>
          <cell r="D864">
            <v>72</v>
          </cell>
        </row>
        <row r="865">
          <cell r="A865">
            <v>34881</v>
          </cell>
          <cell r="B865" t="str">
            <v>安徽</v>
          </cell>
          <cell r="C865" t="str">
            <v>艺术品</v>
          </cell>
          <cell r="D865">
            <v>96</v>
          </cell>
        </row>
        <row r="866">
          <cell r="A866">
            <v>34881</v>
          </cell>
          <cell r="B866" t="str">
            <v>江苏</v>
          </cell>
          <cell r="C866" t="str">
            <v>艺术品</v>
          </cell>
          <cell r="D866">
            <v>101</v>
          </cell>
        </row>
        <row r="867">
          <cell r="A867">
            <v>34881</v>
          </cell>
          <cell r="B867" t="str">
            <v>江苏</v>
          </cell>
          <cell r="C867" t="str">
            <v>艺术品</v>
          </cell>
          <cell r="D867">
            <v>122</v>
          </cell>
        </row>
        <row r="868">
          <cell r="A868">
            <v>34881</v>
          </cell>
          <cell r="B868" t="str">
            <v>江苏</v>
          </cell>
          <cell r="C868" t="str">
            <v>艺术品</v>
          </cell>
          <cell r="D868">
            <v>151</v>
          </cell>
        </row>
        <row r="869">
          <cell r="A869">
            <v>34881</v>
          </cell>
          <cell r="B869" t="str">
            <v>安徽</v>
          </cell>
          <cell r="C869" t="str">
            <v>自行车</v>
          </cell>
          <cell r="D869">
            <v>477</v>
          </cell>
        </row>
        <row r="870">
          <cell r="A870">
            <v>34881</v>
          </cell>
          <cell r="B870" t="str">
            <v>安徽</v>
          </cell>
          <cell r="C870" t="str">
            <v>自行车</v>
          </cell>
          <cell r="D870">
            <v>640</v>
          </cell>
        </row>
        <row r="871">
          <cell r="A871">
            <v>34881</v>
          </cell>
          <cell r="B871" t="str">
            <v>山东</v>
          </cell>
          <cell r="C871" t="str">
            <v>自行车</v>
          </cell>
          <cell r="D871">
            <v>732</v>
          </cell>
        </row>
        <row r="872">
          <cell r="A872">
            <v>34881</v>
          </cell>
          <cell r="B872" t="str">
            <v>山东</v>
          </cell>
          <cell r="C872" t="str">
            <v>自行车</v>
          </cell>
          <cell r="D872">
            <v>945</v>
          </cell>
        </row>
        <row r="873">
          <cell r="A873">
            <v>34881</v>
          </cell>
          <cell r="B873" t="str">
            <v>江西</v>
          </cell>
          <cell r="C873" t="str">
            <v>自行车</v>
          </cell>
          <cell r="D873">
            <v>407</v>
          </cell>
        </row>
        <row r="874">
          <cell r="A874">
            <v>34881</v>
          </cell>
          <cell r="B874" t="str">
            <v>安徽</v>
          </cell>
          <cell r="C874" t="str">
            <v>自行车</v>
          </cell>
          <cell r="D874">
            <v>53</v>
          </cell>
        </row>
        <row r="875">
          <cell r="A875">
            <v>34881</v>
          </cell>
          <cell r="B875" t="str">
            <v>江西</v>
          </cell>
          <cell r="C875" t="str">
            <v>自行车</v>
          </cell>
          <cell r="D875">
            <v>459</v>
          </cell>
        </row>
        <row r="876">
          <cell r="A876">
            <v>34881</v>
          </cell>
          <cell r="B876" t="str">
            <v>江西</v>
          </cell>
          <cell r="C876" t="str">
            <v>自行车</v>
          </cell>
          <cell r="D876">
            <v>420</v>
          </cell>
        </row>
        <row r="877">
          <cell r="A877">
            <v>34881</v>
          </cell>
          <cell r="B877" t="str">
            <v>江苏</v>
          </cell>
          <cell r="C877" t="str">
            <v>自行车</v>
          </cell>
          <cell r="D877">
            <v>54</v>
          </cell>
        </row>
        <row r="878">
          <cell r="A878">
            <v>34881</v>
          </cell>
          <cell r="B878" t="str">
            <v>江苏</v>
          </cell>
          <cell r="C878" t="str">
            <v>自行车</v>
          </cell>
          <cell r="D878">
            <v>67</v>
          </cell>
        </row>
        <row r="879">
          <cell r="A879">
            <v>34881</v>
          </cell>
          <cell r="B879" t="str">
            <v>江苏</v>
          </cell>
          <cell r="C879" t="str">
            <v>自行车</v>
          </cell>
          <cell r="D879">
            <v>105</v>
          </cell>
        </row>
        <row r="880">
          <cell r="A880">
            <v>34881</v>
          </cell>
          <cell r="B880" t="str">
            <v>江苏</v>
          </cell>
          <cell r="C880" t="str">
            <v>自行车</v>
          </cell>
          <cell r="D880">
            <v>146</v>
          </cell>
        </row>
        <row r="881">
          <cell r="A881">
            <v>34881</v>
          </cell>
          <cell r="B881" t="str">
            <v>安徽</v>
          </cell>
          <cell r="C881" t="str">
            <v>自行车</v>
          </cell>
          <cell r="D881">
            <v>169</v>
          </cell>
        </row>
        <row r="882">
          <cell r="A882">
            <v>34881</v>
          </cell>
          <cell r="B882" t="str">
            <v>山东</v>
          </cell>
          <cell r="C882" t="str">
            <v>自行车</v>
          </cell>
          <cell r="D882">
            <v>261</v>
          </cell>
        </row>
        <row r="883">
          <cell r="A883">
            <v>34881</v>
          </cell>
          <cell r="B883" t="str">
            <v>江西</v>
          </cell>
          <cell r="C883" t="str">
            <v>自行车</v>
          </cell>
          <cell r="D883">
            <v>338</v>
          </cell>
        </row>
        <row r="884">
          <cell r="A884">
            <v>34881</v>
          </cell>
          <cell r="B884" t="str">
            <v>山东</v>
          </cell>
          <cell r="C884" t="str">
            <v>自行车</v>
          </cell>
          <cell r="D884">
            <v>341</v>
          </cell>
        </row>
        <row r="885">
          <cell r="A885">
            <v>34881</v>
          </cell>
          <cell r="B885" t="str">
            <v>山东</v>
          </cell>
          <cell r="C885" t="str">
            <v>服装</v>
          </cell>
          <cell r="D885">
            <v>99</v>
          </cell>
        </row>
        <row r="886">
          <cell r="A886">
            <v>34881</v>
          </cell>
          <cell r="B886" t="str">
            <v>安徽</v>
          </cell>
          <cell r="C886" t="str">
            <v>服装</v>
          </cell>
          <cell r="D886">
            <v>113</v>
          </cell>
        </row>
        <row r="887">
          <cell r="A887">
            <v>34881</v>
          </cell>
          <cell r="B887" t="str">
            <v>安徽</v>
          </cell>
          <cell r="C887" t="str">
            <v>服装</v>
          </cell>
          <cell r="D887">
            <v>193</v>
          </cell>
        </row>
        <row r="888">
          <cell r="A888">
            <v>34881</v>
          </cell>
          <cell r="B888" t="str">
            <v>安徽</v>
          </cell>
          <cell r="C888" t="str">
            <v>服装</v>
          </cell>
          <cell r="D888">
            <v>175</v>
          </cell>
        </row>
        <row r="889">
          <cell r="A889">
            <v>34881</v>
          </cell>
          <cell r="B889" t="str">
            <v>安徽</v>
          </cell>
          <cell r="C889" t="str">
            <v>服装</v>
          </cell>
          <cell r="D889">
            <v>140</v>
          </cell>
        </row>
        <row r="890">
          <cell r="A890">
            <v>34881</v>
          </cell>
          <cell r="B890" t="str">
            <v>安徽</v>
          </cell>
          <cell r="C890" t="str">
            <v>服装</v>
          </cell>
          <cell r="D890">
            <v>90</v>
          </cell>
        </row>
        <row r="891">
          <cell r="A891">
            <v>34881</v>
          </cell>
          <cell r="B891" t="str">
            <v>山东</v>
          </cell>
          <cell r="C891" t="str">
            <v>服装</v>
          </cell>
          <cell r="D891">
            <v>60</v>
          </cell>
        </row>
        <row r="892">
          <cell r="A892">
            <v>34881</v>
          </cell>
          <cell r="B892" t="str">
            <v>山东</v>
          </cell>
          <cell r="C892" t="str">
            <v>服装</v>
          </cell>
          <cell r="D892">
            <v>56</v>
          </cell>
        </row>
        <row r="893">
          <cell r="A893">
            <v>34881</v>
          </cell>
          <cell r="B893" t="str">
            <v>山东</v>
          </cell>
          <cell r="C893" t="str">
            <v>服装</v>
          </cell>
          <cell r="D893">
            <v>72</v>
          </cell>
        </row>
        <row r="894">
          <cell r="A894">
            <v>34881</v>
          </cell>
          <cell r="B894" t="str">
            <v>山东</v>
          </cell>
          <cell r="C894" t="str">
            <v>服装</v>
          </cell>
          <cell r="D894">
            <v>1483</v>
          </cell>
        </row>
        <row r="895">
          <cell r="A895">
            <v>34881</v>
          </cell>
          <cell r="B895" t="str">
            <v>山东</v>
          </cell>
          <cell r="C895" t="str">
            <v>服装</v>
          </cell>
          <cell r="D895">
            <v>1567</v>
          </cell>
        </row>
        <row r="896">
          <cell r="A896">
            <v>34881</v>
          </cell>
          <cell r="B896" t="str">
            <v>安徽</v>
          </cell>
          <cell r="C896" t="str">
            <v>服装</v>
          </cell>
          <cell r="D896">
            <v>766</v>
          </cell>
        </row>
        <row r="897">
          <cell r="A897">
            <v>34881</v>
          </cell>
          <cell r="B897" t="str">
            <v>安徽</v>
          </cell>
          <cell r="C897" t="str">
            <v>食品</v>
          </cell>
          <cell r="D897">
            <v>383</v>
          </cell>
        </row>
        <row r="898">
          <cell r="A898">
            <v>34881</v>
          </cell>
          <cell r="B898" t="str">
            <v>安徽</v>
          </cell>
          <cell r="C898" t="str">
            <v>食品</v>
          </cell>
          <cell r="D898">
            <v>1740</v>
          </cell>
        </row>
        <row r="899">
          <cell r="A899">
            <v>34881</v>
          </cell>
          <cell r="B899" t="str">
            <v>江西</v>
          </cell>
          <cell r="C899" t="str">
            <v>食品</v>
          </cell>
          <cell r="D899">
            <v>826</v>
          </cell>
        </row>
        <row r="900">
          <cell r="A900">
            <v>34881</v>
          </cell>
          <cell r="B900" t="str">
            <v>山东</v>
          </cell>
          <cell r="C900" t="str">
            <v>食品</v>
          </cell>
          <cell r="D900">
            <v>922</v>
          </cell>
        </row>
        <row r="901">
          <cell r="A901">
            <v>34881</v>
          </cell>
          <cell r="B901" t="str">
            <v>安徽</v>
          </cell>
          <cell r="C901" t="str">
            <v>食品</v>
          </cell>
          <cell r="D901">
            <v>1138</v>
          </cell>
        </row>
        <row r="902">
          <cell r="A902">
            <v>34881</v>
          </cell>
          <cell r="B902" t="str">
            <v>安徽</v>
          </cell>
          <cell r="C902" t="str">
            <v>食品</v>
          </cell>
          <cell r="D902">
            <v>403</v>
          </cell>
        </row>
        <row r="903">
          <cell r="A903">
            <v>34881</v>
          </cell>
          <cell r="B903" t="str">
            <v>江苏</v>
          </cell>
          <cell r="C903" t="str">
            <v>食品</v>
          </cell>
          <cell r="D903">
            <v>86</v>
          </cell>
        </row>
        <row r="904">
          <cell r="A904">
            <v>34881</v>
          </cell>
          <cell r="B904" t="str">
            <v>江苏</v>
          </cell>
          <cell r="C904" t="str">
            <v>食品</v>
          </cell>
          <cell r="D904">
            <v>53</v>
          </cell>
        </row>
        <row r="905">
          <cell r="A905">
            <v>34881</v>
          </cell>
          <cell r="B905" t="str">
            <v>山东</v>
          </cell>
          <cell r="C905" t="str">
            <v>食品</v>
          </cell>
          <cell r="D905">
            <v>259</v>
          </cell>
        </row>
        <row r="906">
          <cell r="A906">
            <v>34881</v>
          </cell>
          <cell r="B906" t="str">
            <v>江西</v>
          </cell>
          <cell r="C906" t="str">
            <v>食品</v>
          </cell>
          <cell r="D906">
            <v>270</v>
          </cell>
        </row>
        <row r="907">
          <cell r="A907">
            <v>34881</v>
          </cell>
          <cell r="B907" t="str">
            <v>江西</v>
          </cell>
          <cell r="C907" t="str">
            <v>食品</v>
          </cell>
          <cell r="D907">
            <v>184</v>
          </cell>
        </row>
        <row r="908">
          <cell r="A908">
            <v>34881</v>
          </cell>
          <cell r="B908" t="str">
            <v>江西</v>
          </cell>
          <cell r="C908" t="str">
            <v>食品</v>
          </cell>
          <cell r="D908">
            <v>315</v>
          </cell>
        </row>
        <row r="909">
          <cell r="A909">
            <v>34881</v>
          </cell>
          <cell r="B909" t="str">
            <v>江苏</v>
          </cell>
          <cell r="C909" t="str">
            <v>食品</v>
          </cell>
          <cell r="D909">
            <v>96</v>
          </cell>
        </row>
        <row r="910">
          <cell r="A910">
            <v>34881</v>
          </cell>
          <cell r="B910" t="str">
            <v>山东</v>
          </cell>
          <cell r="C910" t="str">
            <v>食品</v>
          </cell>
          <cell r="D910">
            <v>140</v>
          </cell>
        </row>
        <row r="911">
          <cell r="A911">
            <v>34881</v>
          </cell>
          <cell r="B911" t="str">
            <v>山东</v>
          </cell>
          <cell r="C911" t="str">
            <v>食品</v>
          </cell>
          <cell r="D911">
            <v>113</v>
          </cell>
        </row>
        <row r="912">
          <cell r="A912">
            <v>34881</v>
          </cell>
          <cell r="B912" t="str">
            <v>江苏</v>
          </cell>
          <cell r="C912" t="str">
            <v>食品</v>
          </cell>
          <cell r="D912">
            <v>124</v>
          </cell>
        </row>
        <row r="913">
          <cell r="A913">
            <v>34881</v>
          </cell>
          <cell r="B913" t="str">
            <v>安徽</v>
          </cell>
          <cell r="C913" t="str">
            <v>儿童用品</v>
          </cell>
          <cell r="D913">
            <v>326</v>
          </cell>
        </row>
        <row r="914">
          <cell r="A914">
            <v>34881</v>
          </cell>
          <cell r="B914" t="str">
            <v>江苏</v>
          </cell>
          <cell r="C914" t="str">
            <v>儿童用品</v>
          </cell>
          <cell r="D914">
            <v>90</v>
          </cell>
        </row>
        <row r="915">
          <cell r="A915">
            <v>34881</v>
          </cell>
          <cell r="B915" t="str">
            <v>江西</v>
          </cell>
          <cell r="C915" t="str">
            <v>儿童用品</v>
          </cell>
          <cell r="D915">
            <v>81</v>
          </cell>
        </row>
        <row r="916">
          <cell r="A916">
            <v>34881</v>
          </cell>
          <cell r="B916" t="str">
            <v>山东</v>
          </cell>
          <cell r="C916" t="str">
            <v>儿童用品</v>
          </cell>
          <cell r="D916">
            <v>68</v>
          </cell>
        </row>
        <row r="917">
          <cell r="A917">
            <v>34881</v>
          </cell>
          <cell r="B917" t="str">
            <v>江西</v>
          </cell>
          <cell r="C917" t="str">
            <v>儿童用品</v>
          </cell>
          <cell r="D917">
            <v>2892</v>
          </cell>
        </row>
        <row r="918">
          <cell r="A918">
            <v>34881</v>
          </cell>
          <cell r="B918" t="str">
            <v>安徽</v>
          </cell>
          <cell r="C918" t="str">
            <v>儿童用品</v>
          </cell>
          <cell r="D918">
            <v>1999</v>
          </cell>
        </row>
        <row r="919">
          <cell r="A919">
            <v>34881</v>
          </cell>
          <cell r="B919" t="str">
            <v>山东</v>
          </cell>
          <cell r="C919" t="str">
            <v>儿童用品</v>
          </cell>
          <cell r="D919">
            <v>1220</v>
          </cell>
        </row>
        <row r="920">
          <cell r="A920">
            <v>34881</v>
          </cell>
          <cell r="B920" t="str">
            <v>江西</v>
          </cell>
          <cell r="C920" t="str">
            <v>儿童用品</v>
          </cell>
          <cell r="D920">
            <v>1079</v>
          </cell>
        </row>
        <row r="921">
          <cell r="A921">
            <v>34881</v>
          </cell>
          <cell r="B921" t="str">
            <v>安徽</v>
          </cell>
          <cell r="C921" t="str">
            <v>儿童用品</v>
          </cell>
          <cell r="D921">
            <v>793</v>
          </cell>
        </row>
        <row r="922">
          <cell r="A922">
            <v>34881</v>
          </cell>
          <cell r="B922" t="str">
            <v>安徽</v>
          </cell>
          <cell r="C922" t="str">
            <v>儿童用品</v>
          </cell>
          <cell r="D922">
            <v>221</v>
          </cell>
        </row>
        <row r="923">
          <cell r="A923">
            <v>34881</v>
          </cell>
          <cell r="B923" t="str">
            <v>山东</v>
          </cell>
          <cell r="C923" t="str">
            <v>儿童用品</v>
          </cell>
          <cell r="D923">
            <v>650</v>
          </cell>
        </row>
        <row r="924">
          <cell r="A924">
            <v>34881</v>
          </cell>
          <cell r="B924" t="str">
            <v>江苏</v>
          </cell>
          <cell r="C924" t="str">
            <v>儿童用品</v>
          </cell>
          <cell r="D924">
            <v>61</v>
          </cell>
        </row>
        <row r="925">
          <cell r="A925">
            <v>34881</v>
          </cell>
          <cell r="B925" t="str">
            <v>江西</v>
          </cell>
          <cell r="C925" t="str">
            <v>儿童用品</v>
          </cell>
          <cell r="D925">
            <v>50</v>
          </cell>
        </row>
        <row r="926">
          <cell r="A926">
            <v>34881</v>
          </cell>
          <cell r="B926" t="str">
            <v>江苏</v>
          </cell>
          <cell r="C926" t="str">
            <v>儿童用品</v>
          </cell>
          <cell r="D926">
            <v>49</v>
          </cell>
        </row>
        <row r="927">
          <cell r="A927">
            <v>34881</v>
          </cell>
          <cell r="B927" t="str">
            <v>山东</v>
          </cell>
          <cell r="C927" t="str">
            <v>儿童用品</v>
          </cell>
          <cell r="D927">
            <v>44</v>
          </cell>
        </row>
        <row r="928">
          <cell r="A928">
            <v>34881</v>
          </cell>
          <cell r="B928" t="str">
            <v>江苏</v>
          </cell>
          <cell r="C928" t="str">
            <v>儿童用品</v>
          </cell>
          <cell r="D928">
            <v>27</v>
          </cell>
        </row>
        <row r="929">
          <cell r="A929">
            <v>34881</v>
          </cell>
          <cell r="B929" t="str">
            <v>山东</v>
          </cell>
          <cell r="C929" t="str">
            <v>体育用品</v>
          </cell>
          <cell r="D929">
            <v>39</v>
          </cell>
        </row>
        <row r="930">
          <cell r="A930">
            <v>34881</v>
          </cell>
          <cell r="B930" t="str">
            <v>山东</v>
          </cell>
          <cell r="C930" t="str">
            <v>体育用品</v>
          </cell>
          <cell r="D930">
            <v>32</v>
          </cell>
        </row>
        <row r="931">
          <cell r="A931">
            <v>34881</v>
          </cell>
          <cell r="B931" t="str">
            <v>山东</v>
          </cell>
          <cell r="C931" t="str">
            <v>体育用品</v>
          </cell>
          <cell r="D931">
            <v>28</v>
          </cell>
        </row>
        <row r="932">
          <cell r="A932">
            <v>34881</v>
          </cell>
          <cell r="B932" t="str">
            <v>安徽</v>
          </cell>
          <cell r="C932" t="str">
            <v>体育用品</v>
          </cell>
          <cell r="D932">
            <v>140</v>
          </cell>
        </row>
        <row r="933">
          <cell r="A933">
            <v>34881</v>
          </cell>
          <cell r="B933" t="str">
            <v>江西</v>
          </cell>
          <cell r="C933" t="str">
            <v>体育用品</v>
          </cell>
          <cell r="D933">
            <v>236</v>
          </cell>
        </row>
        <row r="934">
          <cell r="A934">
            <v>34881</v>
          </cell>
          <cell r="B934" t="str">
            <v>安徽</v>
          </cell>
          <cell r="C934" t="str">
            <v>体育用品</v>
          </cell>
          <cell r="D934">
            <v>214</v>
          </cell>
        </row>
        <row r="935">
          <cell r="A935">
            <v>34881</v>
          </cell>
          <cell r="B935" t="str">
            <v>安徽</v>
          </cell>
          <cell r="C935" t="str">
            <v>体育用品</v>
          </cell>
          <cell r="D935">
            <v>179</v>
          </cell>
        </row>
        <row r="936">
          <cell r="A936">
            <v>34881</v>
          </cell>
          <cell r="B936" t="str">
            <v>江西</v>
          </cell>
          <cell r="C936" t="str">
            <v>体育用品</v>
          </cell>
          <cell r="D936">
            <v>330</v>
          </cell>
        </row>
        <row r="937">
          <cell r="A937">
            <v>34881</v>
          </cell>
          <cell r="B937" t="str">
            <v>安徽</v>
          </cell>
          <cell r="C937" t="str">
            <v>体育用品</v>
          </cell>
          <cell r="D937">
            <v>165</v>
          </cell>
        </row>
        <row r="938">
          <cell r="A938">
            <v>34881</v>
          </cell>
          <cell r="B938" t="str">
            <v>安徽</v>
          </cell>
          <cell r="C938" t="str">
            <v>体育用品</v>
          </cell>
          <cell r="D938">
            <v>293</v>
          </cell>
        </row>
        <row r="939">
          <cell r="A939">
            <v>34881</v>
          </cell>
          <cell r="B939" t="str">
            <v>江西</v>
          </cell>
          <cell r="C939" t="str">
            <v>体育用品</v>
          </cell>
          <cell r="D939">
            <v>657</v>
          </cell>
        </row>
        <row r="940">
          <cell r="A940">
            <v>34881</v>
          </cell>
          <cell r="B940" t="str">
            <v>江西</v>
          </cell>
          <cell r="C940" t="str">
            <v>体育用品</v>
          </cell>
          <cell r="D940">
            <v>426</v>
          </cell>
        </row>
        <row r="941">
          <cell r="A941">
            <v>34881</v>
          </cell>
          <cell r="B941" t="str">
            <v>江西</v>
          </cell>
          <cell r="C941" t="str">
            <v>体育用品</v>
          </cell>
          <cell r="D941">
            <v>413</v>
          </cell>
        </row>
        <row r="942">
          <cell r="A942">
            <v>34881</v>
          </cell>
          <cell r="B942" t="str">
            <v>山东</v>
          </cell>
          <cell r="C942" t="str">
            <v>体育用品</v>
          </cell>
          <cell r="D942">
            <v>88</v>
          </cell>
        </row>
        <row r="943">
          <cell r="A943">
            <v>34881</v>
          </cell>
          <cell r="B943" t="str">
            <v>江苏</v>
          </cell>
          <cell r="C943" t="str">
            <v>体育用品</v>
          </cell>
          <cell r="D943">
            <v>79</v>
          </cell>
        </row>
        <row r="944">
          <cell r="A944">
            <v>34881</v>
          </cell>
          <cell r="B944" t="str">
            <v>江苏</v>
          </cell>
          <cell r="C944" t="str">
            <v>体育用品</v>
          </cell>
          <cell r="D944">
            <v>67</v>
          </cell>
        </row>
        <row r="945">
          <cell r="A945">
            <v>34881</v>
          </cell>
          <cell r="B945" t="str">
            <v>江苏</v>
          </cell>
          <cell r="C945" t="str">
            <v>体育用品</v>
          </cell>
          <cell r="D945">
            <v>122</v>
          </cell>
        </row>
        <row r="946">
          <cell r="A946">
            <v>34881</v>
          </cell>
          <cell r="B946" t="str">
            <v>江西</v>
          </cell>
          <cell r="C946" t="str">
            <v>体育用品</v>
          </cell>
          <cell r="D946">
            <v>53</v>
          </cell>
        </row>
        <row r="947">
          <cell r="A947">
            <v>34881</v>
          </cell>
          <cell r="B947" t="str">
            <v>山东</v>
          </cell>
          <cell r="C947" t="str">
            <v>体育用品</v>
          </cell>
          <cell r="D947">
            <v>124</v>
          </cell>
        </row>
        <row r="948">
          <cell r="A948">
            <v>34881</v>
          </cell>
          <cell r="B948" t="str">
            <v>江苏</v>
          </cell>
          <cell r="C948" t="str">
            <v>体育用品</v>
          </cell>
          <cell r="D948">
            <v>138</v>
          </cell>
        </row>
        <row r="949">
          <cell r="A949">
            <v>34881</v>
          </cell>
          <cell r="B949" t="str">
            <v>山东</v>
          </cell>
          <cell r="C949" t="str">
            <v>体育用品</v>
          </cell>
          <cell r="D949">
            <v>124</v>
          </cell>
        </row>
        <row r="950">
          <cell r="A950">
            <v>34881</v>
          </cell>
          <cell r="B950" t="str">
            <v>江苏</v>
          </cell>
          <cell r="C950" t="str">
            <v>体育用品</v>
          </cell>
          <cell r="D950">
            <v>124</v>
          </cell>
        </row>
        <row r="951">
          <cell r="A951">
            <v>34881</v>
          </cell>
          <cell r="B951" t="str">
            <v>安徽</v>
          </cell>
          <cell r="C951" t="str">
            <v>体育用品</v>
          </cell>
          <cell r="D951">
            <v>123</v>
          </cell>
        </row>
        <row r="952">
          <cell r="A952">
            <v>34881</v>
          </cell>
          <cell r="B952" t="str">
            <v>江苏</v>
          </cell>
          <cell r="C952" t="str">
            <v>体育用品</v>
          </cell>
          <cell r="D952">
            <v>127</v>
          </cell>
        </row>
        <row r="953">
          <cell r="A953">
            <v>34912</v>
          </cell>
          <cell r="B953" t="str">
            <v>江苏</v>
          </cell>
          <cell r="C953" t="str">
            <v>艺术品</v>
          </cell>
          <cell r="D953">
            <v>61</v>
          </cell>
        </row>
        <row r="954">
          <cell r="A954">
            <v>34912</v>
          </cell>
          <cell r="B954" t="str">
            <v>江苏</v>
          </cell>
          <cell r="C954" t="str">
            <v>艺术品</v>
          </cell>
          <cell r="D954">
            <v>101</v>
          </cell>
        </row>
        <row r="955">
          <cell r="A955">
            <v>34912</v>
          </cell>
          <cell r="B955" t="str">
            <v>江苏</v>
          </cell>
          <cell r="C955" t="str">
            <v>艺术品</v>
          </cell>
          <cell r="D955">
            <v>117</v>
          </cell>
        </row>
        <row r="956">
          <cell r="A956">
            <v>34912</v>
          </cell>
          <cell r="B956" t="str">
            <v>安徽</v>
          </cell>
          <cell r="C956" t="str">
            <v>艺术品</v>
          </cell>
          <cell r="D956">
            <v>860</v>
          </cell>
        </row>
        <row r="957">
          <cell r="A957">
            <v>34912</v>
          </cell>
          <cell r="B957" t="str">
            <v>江苏</v>
          </cell>
          <cell r="C957" t="str">
            <v>艺术品</v>
          </cell>
          <cell r="D957">
            <v>151</v>
          </cell>
        </row>
        <row r="958">
          <cell r="A958">
            <v>34912</v>
          </cell>
          <cell r="B958" t="str">
            <v>江西</v>
          </cell>
          <cell r="C958" t="str">
            <v>艺术品</v>
          </cell>
          <cell r="D958">
            <v>203</v>
          </cell>
        </row>
        <row r="959">
          <cell r="A959">
            <v>34912</v>
          </cell>
          <cell r="B959" t="str">
            <v>安徽</v>
          </cell>
          <cell r="C959" t="str">
            <v>艺术品</v>
          </cell>
          <cell r="D959">
            <v>293</v>
          </cell>
        </row>
        <row r="960">
          <cell r="A960">
            <v>34912</v>
          </cell>
          <cell r="B960" t="str">
            <v>山东</v>
          </cell>
          <cell r="C960" t="str">
            <v>艺术品</v>
          </cell>
          <cell r="D960">
            <v>303</v>
          </cell>
        </row>
        <row r="961">
          <cell r="A961">
            <v>34912</v>
          </cell>
          <cell r="B961" t="str">
            <v>江西</v>
          </cell>
          <cell r="C961" t="str">
            <v>艺术品</v>
          </cell>
          <cell r="D961">
            <v>440</v>
          </cell>
        </row>
        <row r="962">
          <cell r="A962">
            <v>34912</v>
          </cell>
          <cell r="B962" t="str">
            <v>山东</v>
          </cell>
          <cell r="C962" t="str">
            <v>艺术品</v>
          </cell>
          <cell r="D962">
            <v>594</v>
          </cell>
        </row>
        <row r="963">
          <cell r="A963">
            <v>34912</v>
          </cell>
          <cell r="B963" t="str">
            <v>山东</v>
          </cell>
          <cell r="C963" t="str">
            <v>艺术品</v>
          </cell>
          <cell r="D963">
            <v>618</v>
          </cell>
        </row>
        <row r="964">
          <cell r="A964">
            <v>34912</v>
          </cell>
          <cell r="B964" t="str">
            <v>江西</v>
          </cell>
          <cell r="C964" t="str">
            <v>艺术品</v>
          </cell>
          <cell r="D964">
            <v>813</v>
          </cell>
        </row>
        <row r="965">
          <cell r="A965">
            <v>34912</v>
          </cell>
          <cell r="B965" t="str">
            <v>安徽</v>
          </cell>
          <cell r="C965" t="str">
            <v>艺术品</v>
          </cell>
          <cell r="D965">
            <v>1202</v>
          </cell>
        </row>
        <row r="966">
          <cell r="A966">
            <v>34912</v>
          </cell>
          <cell r="B966" t="str">
            <v>江西</v>
          </cell>
          <cell r="C966" t="str">
            <v>艺术品</v>
          </cell>
          <cell r="D966">
            <v>1943</v>
          </cell>
        </row>
        <row r="967">
          <cell r="A967">
            <v>34912</v>
          </cell>
          <cell r="B967" t="str">
            <v>安徽</v>
          </cell>
          <cell r="C967" t="str">
            <v>艺术品</v>
          </cell>
          <cell r="D967">
            <v>138</v>
          </cell>
        </row>
        <row r="968">
          <cell r="A968">
            <v>34912</v>
          </cell>
          <cell r="B968" t="str">
            <v>山东</v>
          </cell>
          <cell r="C968" t="str">
            <v>艺术品</v>
          </cell>
          <cell r="D968">
            <v>689</v>
          </cell>
        </row>
        <row r="969">
          <cell r="A969">
            <v>34912</v>
          </cell>
          <cell r="B969" t="str">
            <v>江苏</v>
          </cell>
          <cell r="C969" t="str">
            <v>自行车</v>
          </cell>
          <cell r="D969">
            <v>50</v>
          </cell>
        </row>
        <row r="970">
          <cell r="A970">
            <v>34912</v>
          </cell>
          <cell r="B970" t="str">
            <v>江苏</v>
          </cell>
          <cell r="C970" t="str">
            <v>自行车</v>
          </cell>
          <cell r="D970">
            <v>67</v>
          </cell>
        </row>
        <row r="971">
          <cell r="A971">
            <v>34912</v>
          </cell>
          <cell r="B971" t="str">
            <v>安徽</v>
          </cell>
          <cell r="C971" t="str">
            <v>自行车</v>
          </cell>
          <cell r="D971">
            <v>70</v>
          </cell>
        </row>
        <row r="972">
          <cell r="A972">
            <v>34912</v>
          </cell>
          <cell r="B972" t="str">
            <v>山东</v>
          </cell>
          <cell r="C972" t="str">
            <v>自行车</v>
          </cell>
          <cell r="D972">
            <v>368</v>
          </cell>
        </row>
        <row r="973">
          <cell r="A973">
            <v>34912</v>
          </cell>
          <cell r="B973" t="str">
            <v>江苏</v>
          </cell>
          <cell r="C973" t="str">
            <v>自行车</v>
          </cell>
          <cell r="D973">
            <v>146</v>
          </cell>
        </row>
        <row r="974">
          <cell r="A974">
            <v>34912</v>
          </cell>
          <cell r="B974" t="str">
            <v>安徽</v>
          </cell>
          <cell r="C974" t="str">
            <v>自行车</v>
          </cell>
          <cell r="D974">
            <v>180</v>
          </cell>
        </row>
        <row r="975">
          <cell r="A975">
            <v>34912</v>
          </cell>
          <cell r="B975" t="str">
            <v>江西</v>
          </cell>
          <cell r="C975" t="str">
            <v>自行车</v>
          </cell>
          <cell r="D975">
            <v>270</v>
          </cell>
        </row>
        <row r="976">
          <cell r="A976">
            <v>34912</v>
          </cell>
          <cell r="B976" t="str">
            <v>山东</v>
          </cell>
          <cell r="C976" t="str">
            <v>自行车</v>
          </cell>
          <cell r="D976">
            <v>279</v>
          </cell>
        </row>
        <row r="977">
          <cell r="A977">
            <v>34912</v>
          </cell>
          <cell r="B977" t="str">
            <v>江苏</v>
          </cell>
          <cell r="C977" t="str">
            <v>自行车</v>
          </cell>
          <cell r="D977">
            <v>114</v>
          </cell>
        </row>
        <row r="978">
          <cell r="A978">
            <v>34912</v>
          </cell>
          <cell r="B978" t="str">
            <v>江西</v>
          </cell>
          <cell r="C978" t="str">
            <v>自行车</v>
          </cell>
          <cell r="D978">
            <v>420</v>
          </cell>
        </row>
        <row r="979">
          <cell r="A979">
            <v>34912</v>
          </cell>
          <cell r="B979" t="str">
            <v>江西</v>
          </cell>
          <cell r="C979" t="str">
            <v>自行车</v>
          </cell>
          <cell r="D979">
            <v>459</v>
          </cell>
        </row>
        <row r="980">
          <cell r="A980">
            <v>34912</v>
          </cell>
          <cell r="B980" t="str">
            <v>江西</v>
          </cell>
          <cell r="C980" t="str">
            <v>自行车</v>
          </cell>
          <cell r="D980">
            <v>557</v>
          </cell>
        </row>
        <row r="981">
          <cell r="A981">
            <v>34912</v>
          </cell>
          <cell r="B981" t="str">
            <v>安徽</v>
          </cell>
          <cell r="C981" t="str">
            <v>自行车</v>
          </cell>
          <cell r="D981">
            <v>604</v>
          </cell>
        </row>
        <row r="982">
          <cell r="A982">
            <v>34912</v>
          </cell>
          <cell r="B982" t="str">
            <v>安徽</v>
          </cell>
          <cell r="C982" t="str">
            <v>自行车</v>
          </cell>
          <cell r="D982">
            <v>834</v>
          </cell>
        </row>
        <row r="983">
          <cell r="A983">
            <v>34912</v>
          </cell>
          <cell r="B983" t="str">
            <v>山东</v>
          </cell>
          <cell r="C983" t="str">
            <v>自行车</v>
          </cell>
          <cell r="D983">
            <v>836</v>
          </cell>
        </row>
        <row r="984">
          <cell r="A984">
            <v>34912</v>
          </cell>
          <cell r="B984" t="str">
            <v>山东</v>
          </cell>
          <cell r="C984" t="str">
            <v>自行车</v>
          </cell>
          <cell r="D984">
            <v>862</v>
          </cell>
        </row>
        <row r="985">
          <cell r="A985">
            <v>34912</v>
          </cell>
          <cell r="B985" t="str">
            <v>安徽</v>
          </cell>
          <cell r="C985" t="str">
            <v>服装</v>
          </cell>
          <cell r="D985">
            <v>45</v>
          </cell>
        </row>
        <row r="986">
          <cell r="A986">
            <v>34912</v>
          </cell>
          <cell r="B986" t="str">
            <v>山东</v>
          </cell>
          <cell r="C986" t="str">
            <v>服装</v>
          </cell>
          <cell r="D986">
            <v>42</v>
          </cell>
        </row>
        <row r="987">
          <cell r="A987">
            <v>34912</v>
          </cell>
          <cell r="B987" t="str">
            <v>安徽</v>
          </cell>
          <cell r="C987" t="str">
            <v>服装</v>
          </cell>
          <cell r="D987">
            <v>140</v>
          </cell>
        </row>
        <row r="988">
          <cell r="A988">
            <v>34912</v>
          </cell>
          <cell r="B988" t="str">
            <v>山东</v>
          </cell>
          <cell r="C988" t="str">
            <v>服装</v>
          </cell>
          <cell r="D988">
            <v>1477</v>
          </cell>
        </row>
        <row r="989">
          <cell r="A989">
            <v>34912</v>
          </cell>
          <cell r="B989" t="str">
            <v>山东</v>
          </cell>
          <cell r="C989" t="str">
            <v>服装</v>
          </cell>
          <cell r="D989">
            <v>2207</v>
          </cell>
        </row>
        <row r="990">
          <cell r="A990">
            <v>34912</v>
          </cell>
          <cell r="B990" t="str">
            <v>安徽</v>
          </cell>
          <cell r="C990" t="str">
            <v>服装</v>
          </cell>
          <cell r="D990">
            <v>90</v>
          </cell>
        </row>
        <row r="991">
          <cell r="A991">
            <v>34912</v>
          </cell>
          <cell r="B991" t="str">
            <v>山东</v>
          </cell>
          <cell r="C991" t="str">
            <v>服装</v>
          </cell>
          <cell r="D991">
            <v>126</v>
          </cell>
        </row>
        <row r="992">
          <cell r="A992">
            <v>34912</v>
          </cell>
          <cell r="B992" t="str">
            <v>安徽</v>
          </cell>
          <cell r="C992" t="str">
            <v>服装</v>
          </cell>
          <cell r="D992">
            <v>206</v>
          </cell>
        </row>
        <row r="993">
          <cell r="A993">
            <v>34912</v>
          </cell>
          <cell r="B993" t="str">
            <v>山东</v>
          </cell>
          <cell r="C993" t="str">
            <v>服装</v>
          </cell>
          <cell r="D993">
            <v>68</v>
          </cell>
        </row>
        <row r="994">
          <cell r="A994">
            <v>34912</v>
          </cell>
          <cell r="B994" t="str">
            <v>山东</v>
          </cell>
          <cell r="C994" t="str">
            <v>服装</v>
          </cell>
          <cell r="D994">
            <v>66</v>
          </cell>
        </row>
        <row r="995">
          <cell r="A995">
            <v>34912</v>
          </cell>
          <cell r="B995" t="str">
            <v>安徽</v>
          </cell>
          <cell r="C995" t="str">
            <v>服装</v>
          </cell>
          <cell r="D995">
            <v>158</v>
          </cell>
        </row>
        <row r="996">
          <cell r="A996">
            <v>34912</v>
          </cell>
          <cell r="B996" t="str">
            <v>安徽</v>
          </cell>
          <cell r="C996" t="str">
            <v>服装</v>
          </cell>
          <cell r="D996">
            <v>832</v>
          </cell>
        </row>
        <row r="997">
          <cell r="A997">
            <v>34912</v>
          </cell>
          <cell r="B997" t="str">
            <v>江西</v>
          </cell>
          <cell r="C997" t="str">
            <v>食品</v>
          </cell>
          <cell r="D997">
            <v>184</v>
          </cell>
        </row>
        <row r="998">
          <cell r="A998">
            <v>34912</v>
          </cell>
          <cell r="B998" t="str">
            <v>山东</v>
          </cell>
          <cell r="C998" t="str">
            <v>食品</v>
          </cell>
          <cell r="D998">
            <v>88</v>
          </cell>
        </row>
        <row r="999">
          <cell r="A999">
            <v>34912</v>
          </cell>
          <cell r="B999" t="str">
            <v>山东</v>
          </cell>
          <cell r="C999" t="str">
            <v>食品</v>
          </cell>
          <cell r="D999">
            <v>45</v>
          </cell>
        </row>
        <row r="1000">
          <cell r="A1000">
            <v>34912</v>
          </cell>
          <cell r="B1000" t="str">
            <v>江苏</v>
          </cell>
          <cell r="C1000" t="str">
            <v>食品</v>
          </cell>
          <cell r="D1000">
            <v>53</v>
          </cell>
        </row>
        <row r="1001">
          <cell r="A1001">
            <v>34912</v>
          </cell>
          <cell r="B1001" t="str">
            <v>江苏</v>
          </cell>
          <cell r="C1001" t="str">
            <v>食品</v>
          </cell>
          <cell r="D1001">
            <v>86</v>
          </cell>
        </row>
        <row r="1002">
          <cell r="A1002">
            <v>34912</v>
          </cell>
          <cell r="B1002" t="str">
            <v>江苏</v>
          </cell>
          <cell r="C1002" t="str">
            <v>食品</v>
          </cell>
          <cell r="D1002">
            <v>113</v>
          </cell>
        </row>
        <row r="1003">
          <cell r="A1003">
            <v>34912</v>
          </cell>
          <cell r="B1003" t="str">
            <v>江苏</v>
          </cell>
          <cell r="C1003" t="str">
            <v>食品</v>
          </cell>
          <cell r="D1003">
            <v>96</v>
          </cell>
        </row>
        <row r="1004">
          <cell r="A1004">
            <v>34912</v>
          </cell>
          <cell r="B1004" t="str">
            <v>江西</v>
          </cell>
          <cell r="C1004" t="str">
            <v>食品</v>
          </cell>
          <cell r="D1004">
            <v>688</v>
          </cell>
        </row>
        <row r="1005">
          <cell r="A1005">
            <v>34912</v>
          </cell>
          <cell r="B1005" t="str">
            <v>安徽</v>
          </cell>
          <cell r="C1005" t="str">
            <v>食品</v>
          </cell>
          <cell r="D1005">
            <v>525</v>
          </cell>
        </row>
        <row r="1006">
          <cell r="A1006">
            <v>34912</v>
          </cell>
          <cell r="B1006" t="str">
            <v>安徽</v>
          </cell>
          <cell r="C1006" t="str">
            <v>食品</v>
          </cell>
          <cell r="D1006">
            <v>349</v>
          </cell>
        </row>
        <row r="1007">
          <cell r="A1007">
            <v>34912</v>
          </cell>
          <cell r="B1007" t="str">
            <v>安徽</v>
          </cell>
          <cell r="C1007" t="str">
            <v>食品</v>
          </cell>
          <cell r="D1007">
            <v>1560</v>
          </cell>
        </row>
        <row r="1008">
          <cell r="A1008">
            <v>34912</v>
          </cell>
          <cell r="B1008" t="str">
            <v>山东</v>
          </cell>
          <cell r="C1008" t="str">
            <v>食品</v>
          </cell>
          <cell r="D1008">
            <v>1039</v>
          </cell>
        </row>
        <row r="1009">
          <cell r="A1009">
            <v>34912</v>
          </cell>
          <cell r="B1009" t="str">
            <v>安徽</v>
          </cell>
          <cell r="C1009" t="str">
            <v>食品</v>
          </cell>
          <cell r="D1009">
            <v>1031</v>
          </cell>
        </row>
        <row r="1010">
          <cell r="A1010">
            <v>34912</v>
          </cell>
          <cell r="B1010" t="str">
            <v>江西</v>
          </cell>
          <cell r="C1010" t="str">
            <v>食品</v>
          </cell>
          <cell r="D1010">
            <v>263</v>
          </cell>
        </row>
        <row r="1011">
          <cell r="A1011">
            <v>34912</v>
          </cell>
          <cell r="B1011" t="str">
            <v>江西</v>
          </cell>
          <cell r="C1011" t="str">
            <v>食品</v>
          </cell>
          <cell r="D1011">
            <v>203</v>
          </cell>
        </row>
        <row r="1012">
          <cell r="A1012">
            <v>34912</v>
          </cell>
          <cell r="B1012" t="str">
            <v>山东</v>
          </cell>
          <cell r="C1012" t="str">
            <v>食品</v>
          </cell>
          <cell r="D1012">
            <v>293</v>
          </cell>
        </row>
        <row r="1013">
          <cell r="A1013">
            <v>34912</v>
          </cell>
          <cell r="B1013" t="str">
            <v>江苏</v>
          </cell>
          <cell r="C1013" t="str">
            <v>儿童用品</v>
          </cell>
          <cell r="D1013">
            <v>61</v>
          </cell>
        </row>
        <row r="1014">
          <cell r="A1014">
            <v>34912</v>
          </cell>
          <cell r="B1014" t="str">
            <v>江苏</v>
          </cell>
          <cell r="C1014" t="str">
            <v>儿童用品</v>
          </cell>
          <cell r="D1014">
            <v>49</v>
          </cell>
        </row>
        <row r="1015">
          <cell r="A1015">
            <v>34912</v>
          </cell>
          <cell r="B1015" t="str">
            <v>安徽</v>
          </cell>
          <cell r="C1015" t="str">
            <v>儿童用品</v>
          </cell>
          <cell r="D1015">
            <v>360</v>
          </cell>
        </row>
        <row r="1016">
          <cell r="A1016">
            <v>34912</v>
          </cell>
          <cell r="B1016" t="str">
            <v>山东</v>
          </cell>
          <cell r="C1016" t="str">
            <v>儿童用品</v>
          </cell>
          <cell r="D1016">
            <v>44</v>
          </cell>
        </row>
        <row r="1017">
          <cell r="A1017">
            <v>34912</v>
          </cell>
          <cell r="B1017" t="str">
            <v>安徽</v>
          </cell>
          <cell r="C1017" t="str">
            <v>儿童用品</v>
          </cell>
          <cell r="D1017">
            <v>863</v>
          </cell>
        </row>
        <row r="1018">
          <cell r="A1018">
            <v>34912</v>
          </cell>
          <cell r="B1018" t="str">
            <v>江西</v>
          </cell>
          <cell r="C1018" t="str">
            <v>儿童用品</v>
          </cell>
          <cell r="D1018">
            <v>50</v>
          </cell>
        </row>
        <row r="1019">
          <cell r="A1019">
            <v>34912</v>
          </cell>
          <cell r="B1019" t="str">
            <v>江西</v>
          </cell>
          <cell r="C1019" t="str">
            <v>儿童用品</v>
          </cell>
          <cell r="D1019">
            <v>56</v>
          </cell>
        </row>
        <row r="1020">
          <cell r="A1020">
            <v>34912</v>
          </cell>
          <cell r="B1020" t="str">
            <v>山东</v>
          </cell>
          <cell r="C1020" t="str">
            <v>儿童用品</v>
          </cell>
          <cell r="D1020">
            <v>56</v>
          </cell>
        </row>
        <row r="1021">
          <cell r="A1021">
            <v>34912</v>
          </cell>
          <cell r="B1021" t="str">
            <v>安徽</v>
          </cell>
          <cell r="C1021" t="str">
            <v>儿童用品</v>
          </cell>
          <cell r="D1021">
            <v>221</v>
          </cell>
        </row>
        <row r="1022">
          <cell r="A1022">
            <v>34912</v>
          </cell>
          <cell r="B1022" t="str">
            <v>江苏</v>
          </cell>
          <cell r="C1022" t="str">
            <v>儿童用品</v>
          </cell>
          <cell r="D1022">
            <v>90</v>
          </cell>
        </row>
        <row r="1023">
          <cell r="A1023">
            <v>34912</v>
          </cell>
          <cell r="B1023" t="str">
            <v>江苏</v>
          </cell>
          <cell r="C1023" t="str">
            <v>儿童用品</v>
          </cell>
          <cell r="D1023">
            <v>23</v>
          </cell>
        </row>
        <row r="1024">
          <cell r="A1024">
            <v>34912</v>
          </cell>
          <cell r="B1024" t="str">
            <v>安徽</v>
          </cell>
          <cell r="C1024" t="str">
            <v>儿童用品</v>
          </cell>
          <cell r="D1024">
            <v>1850</v>
          </cell>
        </row>
        <row r="1025">
          <cell r="A1025">
            <v>34912</v>
          </cell>
          <cell r="B1025" t="str">
            <v>山东</v>
          </cell>
          <cell r="C1025" t="str">
            <v>儿童用品</v>
          </cell>
          <cell r="D1025">
            <v>1787</v>
          </cell>
        </row>
        <row r="1026">
          <cell r="A1026">
            <v>34912</v>
          </cell>
          <cell r="B1026" t="str">
            <v>江西</v>
          </cell>
          <cell r="C1026" t="str">
            <v>儿童用品</v>
          </cell>
          <cell r="D1026">
            <v>1741</v>
          </cell>
        </row>
        <row r="1027">
          <cell r="A1027">
            <v>34912</v>
          </cell>
          <cell r="B1027" t="str">
            <v>江西</v>
          </cell>
          <cell r="C1027" t="str">
            <v>儿童用品</v>
          </cell>
          <cell r="D1027">
            <v>1041</v>
          </cell>
        </row>
        <row r="1028">
          <cell r="A1028">
            <v>34912</v>
          </cell>
          <cell r="B1028" t="str">
            <v>山东</v>
          </cell>
          <cell r="C1028" t="str">
            <v>儿童用品</v>
          </cell>
          <cell r="D1028">
            <v>936</v>
          </cell>
        </row>
        <row r="1029">
          <cell r="A1029">
            <v>34912</v>
          </cell>
          <cell r="B1029" t="str">
            <v>江西</v>
          </cell>
          <cell r="C1029" t="str">
            <v>体育用品</v>
          </cell>
          <cell r="D1029">
            <v>639</v>
          </cell>
        </row>
        <row r="1030">
          <cell r="A1030">
            <v>34912</v>
          </cell>
          <cell r="B1030" t="str">
            <v>安徽</v>
          </cell>
          <cell r="C1030" t="str">
            <v>体育用品</v>
          </cell>
          <cell r="D1030">
            <v>214</v>
          </cell>
        </row>
        <row r="1031">
          <cell r="A1031">
            <v>34912</v>
          </cell>
          <cell r="B1031" t="str">
            <v>安徽</v>
          </cell>
          <cell r="C1031" t="str">
            <v>体育用品</v>
          </cell>
          <cell r="D1031">
            <v>193</v>
          </cell>
        </row>
        <row r="1032">
          <cell r="A1032">
            <v>34912</v>
          </cell>
          <cell r="B1032" t="str">
            <v>江西</v>
          </cell>
          <cell r="C1032" t="str">
            <v>体育用品</v>
          </cell>
          <cell r="D1032">
            <v>236</v>
          </cell>
        </row>
        <row r="1033">
          <cell r="A1033">
            <v>34912</v>
          </cell>
          <cell r="B1033" t="str">
            <v>江西</v>
          </cell>
          <cell r="C1033" t="str">
            <v>体育用品</v>
          </cell>
          <cell r="D1033">
            <v>165</v>
          </cell>
        </row>
        <row r="1034">
          <cell r="A1034">
            <v>34912</v>
          </cell>
          <cell r="B1034" t="str">
            <v>安徽</v>
          </cell>
          <cell r="C1034" t="str">
            <v>体育用品</v>
          </cell>
          <cell r="D1034">
            <v>151</v>
          </cell>
        </row>
        <row r="1035">
          <cell r="A1035">
            <v>34912</v>
          </cell>
          <cell r="B1035" t="str">
            <v>山东</v>
          </cell>
          <cell r="C1035" t="str">
            <v>体育用品</v>
          </cell>
          <cell r="D1035">
            <v>135</v>
          </cell>
        </row>
        <row r="1036">
          <cell r="A1036">
            <v>34912</v>
          </cell>
          <cell r="B1036" t="str">
            <v>江苏</v>
          </cell>
          <cell r="C1036" t="str">
            <v>体育用品</v>
          </cell>
          <cell r="D1036">
            <v>124</v>
          </cell>
        </row>
        <row r="1037">
          <cell r="A1037">
            <v>34912</v>
          </cell>
          <cell r="B1037" t="str">
            <v>安徽</v>
          </cell>
          <cell r="C1037" t="str">
            <v>体育用品</v>
          </cell>
          <cell r="D1037">
            <v>123</v>
          </cell>
        </row>
        <row r="1038">
          <cell r="A1038">
            <v>34912</v>
          </cell>
          <cell r="B1038" t="str">
            <v>江西</v>
          </cell>
          <cell r="C1038" t="str">
            <v>体育用品</v>
          </cell>
          <cell r="D1038">
            <v>338</v>
          </cell>
        </row>
        <row r="1039">
          <cell r="A1039">
            <v>34912</v>
          </cell>
          <cell r="B1039" t="str">
            <v>江西</v>
          </cell>
          <cell r="C1039" t="str">
            <v>体育用品</v>
          </cell>
          <cell r="D1039">
            <v>330</v>
          </cell>
        </row>
        <row r="1040">
          <cell r="A1040">
            <v>34912</v>
          </cell>
          <cell r="B1040" t="str">
            <v>安徽</v>
          </cell>
          <cell r="C1040" t="str">
            <v>体育用品</v>
          </cell>
          <cell r="D1040">
            <v>315</v>
          </cell>
        </row>
        <row r="1041">
          <cell r="A1041">
            <v>34912</v>
          </cell>
          <cell r="B1041" t="str">
            <v>山东</v>
          </cell>
          <cell r="C1041" t="str">
            <v>体育用品</v>
          </cell>
          <cell r="D1041">
            <v>23</v>
          </cell>
        </row>
        <row r="1042">
          <cell r="A1042">
            <v>34912</v>
          </cell>
          <cell r="B1042" t="str">
            <v>山东</v>
          </cell>
          <cell r="C1042" t="str">
            <v>体育用品</v>
          </cell>
          <cell r="D1042">
            <v>32</v>
          </cell>
        </row>
        <row r="1043">
          <cell r="A1043">
            <v>34912</v>
          </cell>
          <cell r="B1043" t="str">
            <v>山东</v>
          </cell>
          <cell r="C1043" t="str">
            <v>体育用品</v>
          </cell>
          <cell r="D1043">
            <v>44</v>
          </cell>
        </row>
        <row r="1044">
          <cell r="A1044">
            <v>34912</v>
          </cell>
          <cell r="B1044" t="str">
            <v>江西</v>
          </cell>
          <cell r="C1044" t="str">
            <v>体育用品</v>
          </cell>
          <cell r="D1044">
            <v>53</v>
          </cell>
        </row>
        <row r="1045">
          <cell r="A1045">
            <v>34912</v>
          </cell>
          <cell r="B1045" t="str">
            <v>山东</v>
          </cell>
          <cell r="C1045" t="str">
            <v>体育用品</v>
          </cell>
          <cell r="D1045">
            <v>110</v>
          </cell>
        </row>
        <row r="1046">
          <cell r="A1046">
            <v>34912</v>
          </cell>
          <cell r="B1046" t="str">
            <v>江苏</v>
          </cell>
          <cell r="C1046" t="str">
            <v>体育用品</v>
          </cell>
          <cell r="D1046">
            <v>113</v>
          </cell>
        </row>
        <row r="1047">
          <cell r="A1047">
            <v>34912</v>
          </cell>
          <cell r="B1047" t="str">
            <v>江苏</v>
          </cell>
          <cell r="C1047" t="str">
            <v>体育用品</v>
          </cell>
          <cell r="D1047">
            <v>121</v>
          </cell>
        </row>
        <row r="1048">
          <cell r="A1048">
            <v>34912</v>
          </cell>
          <cell r="B1048" t="str">
            <v>江苏</v>
          </cell>
          <cell r="C1048" t="str">
            <v>体育用品</v>
          </cell>
          <cell r="D1048">
            <v>122</v>
          </cell>
        </row>
        <row r="1049">
          <cell r="A1049">
            <v>34912</v>
          </cell>
          <cell r="B1049" t="str">
            <v>山东</v>
          </cell>
          <cell r="C1049" t="str">
            <v>体育用品</v>
          </cell>
          <cell r="D1049">
            <v>96</v>
          </cell>
        </row>
        <row r="1050">
          <cell r="A1050">
            <v>34912</v>
          </cell>
          <cell r="B1050" t="str">
            <v>江苏</v>
          </cell>
          <cell r="C1050" t="str">
            <v>体育用品</v>
          </cell>
          <cell r="D1050">
            <v>67</v>
          </cell>
        </row>
        <row r="1051">
          <cell r="A1051">
            <v>34912</v>
          </cell>
          <cell r="B1051" t="str">
            <v>江苏</v>
          </cell>
          <cell r="C1051" t="str">
            <v>体育用品</v>
          </cell>
          <cell r="D1051">
            <v>79</v>
          </cell>
        </row>
        <row r="1052">
          <cell r="A1052">
            <v>34912</v>
          </cell>
          <cell r="B1052" t="str">
            <v>安徽</v>
          </cell>
          <cell r="C1052" t="str">
            <v>体育用品</v>
          </cell>
          <cell r="D1052">
            <v>123</v>
          </cell>
        </row>
        <row r="1053">
          <cell r="A1053">
            <v>34943</v>
          </cell>
          <cell r="B1053" t="str">
            <v>安徽</v>
          </cell>
          <cell r="C1053" t="str">
            <v>艺术品</v>
          </cell>
          <cell r="D1053">
            <v>248</v>
          </cell>
        </row>
        <row r="1054">
          <cell r="A1054">
            <v>34943</v>
          </cell>
          <cell r="B1054" t="str">
            <v>江西</v>
          </cell>
          <cell r="C1054" t="str">
            <v>艺术品</v>
          </cell>
          <cell r="D1054">
            <v>289</v>
          </cell>
        </row>
        <row r="1055">
          <cell r="A1055">
            <v>34943</v>
          </cell>
          <cell r="B1055" t="str">
            <v>安徽</v>
          </cell>
          <cell r="C1055" t="str">
            <v>艺术品</v>
          </cell>
          <cell r="D1055">
            <v>330</v>
          </cell>
        </row>
        <row r="1056">
          <cell r="A1056">
            <v>34943</v>
          </cell>
          <cell r="B1056" t="str">
            <v>山东</v>
          </cell>
          <cell r="C1056" t="str">
            <v>艺术品</v>
          </cell>
          <cell r="D1056">
            <v>330</v>
          </cell>
        </row>
        <row r="1057">
          <cell r="A1057">
            <v>34943</v>
          </cell>
          <cell r="B1057" t="str">
            <v>江西</v>
          </cell>
          <cell r="C1057" t="str">
            <v>艺术品</v>
          </cell>
          <cell r="D1057">
            <v>338</v>
          </cell>
        </row>
        <row r="1058">
          <cell r="A1058">
            <v>34943</v>
          </cell>
          <cell r="B1058" t="str">
            <v>山东</v>
          </cell>
          <cell r="C1058" t="str">
            <v>艺术品</v>
          </cell>
          <cell r="D1058">
            <v>613</v>
          </cell>
        </row>
        <row r="1059">
          <cell r="A1059">
            <v>34943</v>
          </cell>
          <cell r="B1059" t="str">
            <v>山东</v>
          </cell>
          <cell r="C1059" t="str">
            <v>艺术品</v>
          </cell>
          <cell r="D1059">
            <v>666</v>
          </cell>
        </row>
        <row r="1060">
          <cell r="A1060">
            <v>34943</v>
          </cell>
          <cell r="B1060" t="str">
            <v>山东</v>
          </cell>
          <cell r="C1060" t="str">
            <v>艺术品</v>
          </cell>
          <cell r="D1060">
            <v>732</v>
          </cell>
        </row>
        <row r="1061">
          <cell r="A1061">
            <v>34943</v>
          </cell>
          <cell r="B1061" t="str">
            <v>江苏</v>
          </cell>
          <cell r="C1061" t="str">
            <v>艺术品</v>
          </cell>
          <cell r="D1061">
            <v>113</v>
          </cell>
        </row>
        <row r="1062">
          <cell r="A1062">
            <v>34943</v>
          </cell>
          <cell r="B1062" t="str">
            <v>江西</v>
          </cell>
          <cell r="C1062" t="str">
            <v>艺术品</v>
          </cell>
          <cell r="D1062">
            <v>1062</v>
          </cell>
        </row>
        <row r="1063">
          <cell r="A1063">
            <v>34943</v>
          </cell>
          <cell r="B1063" t="str">
            <v>江西</v>
          </cell>
          <cell r="C1063" t="str">
            <v>艺术品</v>
          </cell>
          <cell r="D1063">
            <v>1813</v>
          </cell>
        </row>
        <row r="1064">
          <cell r="A1064">
            <v>34943</v>
          </cell>
          <cell r="B1064" t="str">
            <v>江苏</v>
          </cell>
          <cell r="C1064" t="str">
            <v>艺术品</v>
          </cell>
          <cell r="D1064">
            <v>179</v>
          </cell>
        </row>
        <row r="1065">
          <cell r="A1065">
            <v>34943</v>
          </cell>
          <cell r="B1065" t="str">
            <v>安徽</v>
          </cell>
          <cell r="C1065" t="str">
            <v>艺术品</v>
          </cell>
          <cell r="D1065">
            <v>68</v>
          </cell>
        </row>
        <row r="1066">
          <cell r="A1066">
            <v>34943</v>
          </cell>
          <cell r="B1066" t="str">
            <v>安徽</v>
          </cell>
          <cell r="C1066" t="str">
            <v>艺术品</v>
          </cell>
          <cell r="D1066">
            <v>68</v>
          </cell>
        </row>
        <row r="1067">
          <cell r="A1067">
            <v>34943</v>
          </cell>
          <cell r="B1067" t="str">
            <v>江苏</v>
          </cell>
          <cell r="C1067" t="str">
            <v>艺术品</v>
          </cell>
          <cell r="D1067">
            <v>72</v>
          </cell>
        </row>
        <row r="1068">
          <cell r="A1068">
            <v>34943</v>
          </cell>
          <cell r="B1068" t="str">
            <v>江苏</v>
          </cell>
          <cell r="C1068" t="str">
            <v>艺术品</v>
          </cell>
          <cell r="D1068">
            <v>99</v>
          </cell>
        </row>
        <row r="1069">
          <cell r="A1069">
            <v>34943</v>
          </cell>
          <cell r="B1069" t="str">
            <v>山东</v>
          </cell>
          <cell r="C1069" t="str">
            <v>自行车</v>
          </cell>
          <cell r="D1069">
            <v>834</v>
          </cell>
        </row>
        <row r="1070">
          <cell r="A1070">
            <v>34943</v>
          </cell>
          <cell r="B1070" t="str">
            <v>安徽</v>
          </cell>
          <cell r="C1070" t="str">
            <v>自行车</v>
          </cell>
          <cell r="D1070">
            <v>203</v>
          </cell>
        </row>
        <row r="1071">
          <cell r="A1071">
            <v>34943</v>
          </cell>
          <cell r="B1071" t="str">
            <v>江苏</v>
          </cell>
          <cell r="C1071" t="str">
            <v>自行车</v>
          </cell>
          <cell r="D1071">
            <v>63</v>
          </cell>
        </row>
        <row r="1072">
          <cell r="A1072">
            <v>34943</v>
          </cell>
          <cell r="B1072" t="str">
            <v>江苏</v>
          </cell>
          <cell r="C1072" t="str">
            <v>自行车</v>
          </cell>
          <cell r="D1072">
            <v>96</v>
          </cell>
        </row>
        <row r="1073">
          <cell r="A1073">
            <v>34943</v>
          </cell>
          <cell r="B1073" t="str">
            <v>安徽</v>
          </cell>
          <cell r="C1073" t="str">
            <v>自行车</v>
          </cell>
          <cell r="D1073">
            <v>96</v>
          </cell>
        </row>
        <row r="1074">
          <cell r="A1074">
            <v>34943</v>
          </cell>
          <cell r="B1074" t="str">
            <v>江苏</v>
          </cell>
          <cell r="C1074" t="str">
            <v>自行车</v>
          </cell>
          <cell r="D1074">
            <v>102</v>
          </cell>
        </row>
        <row r="1075">
          <cell r="A1075">
            <v>34943</v>
          </cell>
          <cell r="B1075" t="str">
            <v>江苏</v>
          </cell>
          <cell r="C1075" t="str">
            <v>自行车</v>
          </cell>
          <cell r="D1075">
            <v>146</v>
          </cell>
        </row>
        <row r="1076">
          <cell r="A1076">
            <v>34943</v>
          </cell>
          <cell r="B1076" t="str">
            <v>江西</v>
          </cell>
          <cell r="C1076" t="str">
            <v>自行车</v>
          </cell>
          <cell r="D1076">
            <v>158</v>
          </cell>
        </row>
        <row r="1077">
          <cell r="A1077">
            <v>34943</v>
          </cell>
          <cell r="B1077" t="str">
            <v>安徽</v>
          </cell>
          <cell r="C1077" t="str">
            <v>自行车</v>
          </cell>
          <cell r="D1077">
            <v>994</v>
          </cell>
        </row>
        <row r="1078">
          <cell r="A1078">
            <v>34943</v>
          </cell>
          <cell r="B1078" t="str">
            <v>山东</v>
          </cell>
          <cell r="C1078" t="str">
            <v>自行车</v>
          </cell>
          <cell r="D1078">
            <v>859</v>
          </cell>
        </row>
        <row r="1079">
          <cell r="A1079">
            <v>34943</v>
          </cell>
          <cell r="B1079" t="str">
            <v>山东</v>
          </cell>
          <cell r="C1079" t="str">
            <v>自行车</v>
          </cell>
          <cell r="D1079">
            <v>302</v>
          </cell>
        </row>
        <row r="1080">
          <cell r="A1080">
            <v>34943</v>
          </cell>
          <cell r="B1080" t="str">
            <v>江西</v>
          </cell>
          <cell r="C1080" t="str">
            <v>自行车</v>
          </cell>
          <cell r="D1080">
            <v>394</v>
          </cell>
        </row>
        <row r="1081">
          <cell r="A1081">
            <v>34943</v>
          </cell>
          <cell r="B1081" t="str">
            <v>山东</v>
          </cell>
          <cell r="C1081" t="str">
            <v>自行车</v>
          </cell>
          <cell r="D1081">
            <v>411</v>
          </cell>
        </row>
        <row r="1082">
          <cell r="A1082">
            <v>34943</v>
          </cell>
          <cell r="B1082" t="str">
            <v>江西</v>
          </cell>
          <cell r="C1082" t="str">
            <v>自行车</v>
          </cell>
          <cell r="D1082">
            <v>473</v>
          </cell>
        </row>
        <row r="1083">
          <cell r="A1083">
            <v>34943</v>
          </cell>
          <cell r="B1083" t="str">
            <v>安徽</v>
          </cell>
          <cell r="C1083" t="str">
            <v>自行车</v>
          </cell>
          <cell r="D1083">
            <v>603</v>
          </cell>
        </row>
        <row r="1084">
          <cell r="A1084">
            <v>34943</v>
          </cell>
          <cell r="B1084" t="str">
            <v>江西</v>
          </cell>
          <cell r="C1084" t="str">
            <v>自行车</v>
          </cell>
          <cell r="D1084">
            <v>655</v>
          </cell>
        </row>
        <row r="1085">
          <cell r="A1085">
            <v>34943</v>
          </cell>
          <cell r="B1085" t="str">
            <v>安徽</v>
          </cell>
          <cell r="C1085" t="str">
            <v>服装</v>
          </cell>
          <cell r="D1085">
            <v>885</v>
          </cell>
        </row>
        <row r="1086">
          <cell r="A1086">
            <v>34943</v>
          </cell>
          <cell r="B1086" t="str">
            <v>山东</v>
          </cell>
          <cell r="C1086" t="str">
            <v>服装</v>
          </cell>
          <cell r="D1086">
            <v>1609</v>
          </cell>
        </row>
        <row r="1087">
          <cell r="A1087">
            <v>34943</v>
          </cell>
          <cell r="B1087" t="str">
            <v>山东</v>
          </cell>
          <cell r="C1087" t="str">
            <v>服装</v>
          </cell>
          <cell r="D1087">
            <v>2999</v>
          </cell>
        </row>
        <row r="1088">
          <cell r="A1088">
            <v>34943</v>
          </cell>
          <cell r="B1088" t="str">
            <v>安徽</v>
          </cell>
          <cell r="C1088" t="str">
            <v>服装</v>
          </cell>
          <cell r="D1088">
            <v>206</v>
          </cell>
        </row>
        <row r="1089">
          <cell r="A1089">
            <v>34943</v>
          </cell>
          <cell r="B1089" t="str">
            <v>安徽</v>
          </cell>
          <cell r="C1089" t="str">
            <v>服装</v>
          </cell>
          <cell r="D1089">
            <v>210</v>
          </cell>
        </row>
        <row r="1090">
          <cell r="A1090">
            <v>34943</v>
          </cell>
          <cell r="B1090" t="str">
            <v>安徽</v>
          </cell>
          <cell r="C1090" t="str">
            <v>服装</v>
          </cell>
          <cell r="D1090">
            <v>68</v>
          </cell>
        </row>
        <row r="1091">
          <cell r="A1091">
            <v>34943</v>
          </cell>
          <cell r="B1091" t="str">
            <v>安徽</v>
          </cell>
          <cell r="C1091" t="str">
            <v>服装</v>
          </cell>
          <cell r="D1091">
            <v>79</v>
          </cell>
        </row>
        <row r="1092">
          <cell r="A1092">
            <v>34943</v>
          </cell>
          <cell r="B1092" t="str">
            <v>安徽</v>
          </cell>
          <cell r="C1092" t="str">
            <v>服装</v>
          </cell>
          <cell r="D1092">
            <v>131</v>
          </cell>
        </row>
        <row r="1093">
          <cell r="A1093">
            <v>34943</v>
          </cell>
          <cell r="B1093" t="str">
            <v>山东</v>
          </cell>
          <cell r="C1093" t="str">
            <v>服装</v>
          </cell>
          <cell r="D1093">
            <v>126</v>
          </cell>
        </row>
        <row r="1094">
          <cell r="A1094">
            <v>34943</v>
          </cell>
          <cell r="B1094" t="str">
            <v>山东</v>
          </cell>
          <cell r="C1094" t="str">
            <v>服装</v>
          </cell>
          <cell r="D1094">
            <v>44</v>
          </cell>
        </row>
        <row r="1095">
          <cell r="A1095">
            <v>34943</v>
          </cell>
          <cell r="B1095" t="str">
            <v>山东</v>
          </cell>
          <cell r="C1095" t="str">
            <v>服装</v>
          </cell>
          <cell r="D1095">
            <v>68</v>
          </cell>
        </row>
        <row r="1096">
          <cell r="A1096">
            <v>34943</v>
          </cell>
          <cell r="B1096" t="str">
            <v>山东</v>
          </cell>
          <cell r="C1096" t="str">
            <v>服装</v>
          </cell>
          <cell r="D1096">
            <v>60</v>
          </cell>
        </row>
        <row r="1097">
          <cell r="A1097">
            <v>34943</v>
          </cell>
          <cell r="B1097" t="str">
            <v>安徽</v>
          </cell>
          <cell r="C1097" t="str">
            <v>食品</v>
          </cell>
          <cell r="D1097">
            <v>990</v>
          </cell>
        </row>
        <row r="1098">
          <cell r="A1098">
            <v>34943</v>
          </cell>
          <cell r="B1098" t="str">
            <v>山东</v>
          </cell>
          <cell r="C1098" t="str">
            <v>食品</v>
          </cell>
          <cell r="D1098">
            <v>1111</v>
          </cell>
        </row>
        <row r="1099">
          <cell r="A1099">
            <v>34943</v>
          </cell>
          <cell r="B1099" t="str">
            <v>安徽</v>
          </cell>
          <cell r="C1099" t="str">
            <v>食品</v>
          </cell>
          <cell r="D1099">
            <v>180</v>
          </cell>
        </row>
        <row r="1100">
          <cell r="A1100">
            <v>34943</v>
          </cell>
          <cell r="B1100" t="str">
            <v>山东</v>
          </cell>
          <cell r="C1100" t="str">
            <v>食品</v>
          </cell>
          <cell r="D1100">
            <v>68</v>
          </cell>
        </row>
        <row r="1101">
          <cell r="A1101">
            <v>34943</v>
          </cell>
          <cell r="B1101" t="str">
            <v>江苏</v>
          </cell>
          <cell r="C1101" t="str">
            <v>食品</v>
          </cell>
          <cell r="D1101">
            <v>49</v>
          </cell>
        </row>
        <row r="1102">
          <cell r="A1102">
            <v>34943</v>
          </cell>
          <cell r="B1102" t="str">
            <v>江苏</v>
          </cell>
          <cell r="C1102" t="str">
            <v>食品</v>
          </cell>
          <cell r="D1102">
            <v>114</v>
          </cell>
        </row>
        <row r="1103">
          <cell r="A1103">
            <v>34943</v>
          </cell>
          <cell r="B1103" t="str">
            <v>江苏</v>
          </cell>
          <cell r="C1103" t="str">
            <v>食品</v>
          </cell>
          <cell r="D1103">
            <v>113</v>
          </cell>
        </row>
        <row r="1104">
          <cell r="A1104">
            <v>34943</v>
          </cell>
          <cell r="B1104" t="str">
            <v>山东</v>
          </cell>
          <cell r="C1104" t="str">
            <v>食品</v>
          </cell>
          <cell r="D1104">
            <v>70</v>
          </cell>
        </row>
        <row r="1105">
          <cell r="A1105">
            <v>34943</v>
          </cell>
          <cell r="B1105" t="str">
            <v>江苏</v>
          </cell>
          <cell r="C1105" t="str">
            <v>食品</v>
          </cell>
          <cell r="D1105">
            <v>72</v>
          </cell>
        </row>
        <row r="1106">
          <cell r="A1106">
            <v>34943</v>
          </cell>
          <cell r="B1106" t="str">
            <v>江西</v>
          </cell>
          <cell r="C1106" t="str">
            <v>食品</v>
          </cell>
          <cell r="D1106">
            <v>590</v>
          </cell>
        </row>
        <row r="1107">
          <cell r="A1107">
            <v>34943</v>
          </cell>
          <cell r="B1107" t="str">
            <v>安徽</v>
          </cell>
          <cell r="C1107" t="str">
            <v>食品</v>
          </cell>
          <cell r="D1107">
            <v>420</v>
          </cell>
        </row>
        <row r="1108">
          <cell r="A1108">
            <v>34943</v>
          </cell>
          <cell r="B1108" t="str">
            <v>山东</v>
          </cell>
          <cell r="C1108" t="str">
            <v>食品</v>
          </cell>
          <cell r="D1108">
            <v>304</v>
          </cell>
        </row>
        <row r="1109">
          <cell r="A1109">
            <v>34943</v>
          </cell>
          <cell r="B1109" t="str">
            <v>江西</v>
          </cell>
          <cell r="C1109" t="str">
            <v>食品</v>
          </cell>
          <cell r="D1109">
            <v>315</v>
          </cell>
        </row>
        <row r="1110">
          <cell r="A1110">
            <v>34943</v>
          </cell>
          <cell r="B1110" t="str">
            <v>江西</v>
          </cell>
          <cell r="C1110" t="str">
            <v>食品</v>
          </cell>
          <cell r="D1110">
            <v>210</v>
          </cell>
        </row>
        <row r="1111">
          <cell r="A1111">
            <v>34943</v>
          </cell>
          <cell r="B1111" t="str">
            <v>安徽</v>
          </cell>
          <cell r="C1111" t="str">
            <v>食品</v>
          </cell>
          <cell r="D1111">
            <v>326</v>
          </cell>
        </row>
        <row r="1112">
          <cell r="A1112">
            <v>34943</v>
          </cell>
          <cell r="B1112" t="str">
            <v>江西</v>
          </cell>
          <cell r="C1112" t="str">
            <v>食品</v>
          </cell>
          <cell r="D1112">
            <v>338</v>
          </cell>
        </row>
        <row r="1113">
          <cell r="A1113">
            <v>34943</v>
          </cell>
          <cell r="B1113" t="str">
            <v>江苏</v>
          </cell>
          <cell r="C1113" t="str">
            <v>儿童用品</v>
          </cell>
          <cell r="D1113">
            <v>32</v>
          </cell>
        </row>
        <row r="1114">
          <cell r="A1114">
            <v>34943</v>
          </cell>
          <cell r="B1114" t="str">
            <v>江苏</v>
          </cell>
          <cell r="C1114" t="str">
            <v>儿童用品</v>
          </cell>
          <cell r="D1114">
            <v>60</v>
          </cell>
        </row>
        <row r="1115">
          <cell r="A1115">
            <v>34943</v>
          </cell>
          <cell r="B1115" t="str">
            <v>山东</v>
          </cell>
          <cell r="C1115" t="str">
            <v>儿童用品</v>
          </cell>
          <cell r="D1115">
            <v>44</v>
          </cell>
        </row>
        <row r="1116">
          <cell r="A1116">
            <v>34943</v>
          </cell>
          <cell r="B1116" t="str">
            <v>江西</v>
          </cell>
          <cell r="C1116" t="str">
            <v>儿童用品</v>
          </cell>
          <cell r="D1116">
            <v>50</v>
          </cell>
        </row>
        <row r="1117">
          <cell r="A1117">
            <v>34943</v>
          </cell>
          <cell r="B1117" t="str">
            <v>江西</v>
          </cell>
          <cell r="C1117" t="str">
            <v>儿童用品</v>
          </cell>
          <cell r="D1117">
            <v>1131</v>
          </cell>
        </row>
        <row r="1118">
          <cell r="A1118">
            <v>34943</v>
          </cell>
          <cell r="B1118" t="str">
            <v>安徽</v>
          </cell>
          <cell r="C1118" t="str">
            <v>儿童用品</v>
          </cell>
          <cell r="D1118">
            <v>1176</v>
          </cell>
        </row>
        <row r="1119">
          <cell r="A1119">
            <v>34943</v>
          </cell>
          <cell r="B1119" t="str">
            <v>安徽</v>
          </cell>
          <cell r="C1119" t="str">
            <v>儿童用品</v>
          </cell>
          <cell r="D1119">
            <v>1825</v>
          </cell>
        </row>
        <row r="1120">
          <cell r="A1120">
            <v>34943</v>
          </cell>
          <cell r="B1120" t="str">
            <v>江西</v>
          </cell>
          <cell r="C1120" t="str">
            <v>儿童用品</v>
          </cell>
          <cell r="D1120">
            <v>3376</v>
          </cell>
        </row>
        <row r="1121">
          <cell r="A1121">
            <v>34943</v>
          </cell>
          <cell r="B1121" t="str">
            <v>江西</v>
          </cell>
          <cell r="C1121" t="str">
            <v>儿童用品</v>
          </cell>
          <cell r="D1121">
            <v>56</v>
          </cell>
        </row>
        <row r="1122">
          <cell r="A1122">
            <v>34943</v>
          </cell>
          <cell r="B1122" t="str">
            <v>山东</v>
          </cell>
          <cell r="C1122" t="str">
            <v>儿童用品</v>
          </cell>
          <cell r="D1122">
            <v>68</v>
          </cell>
        </row>
        <row r="1123">
          <cell r="A1123">
            <v>34943</v>
          </cell>
          <cell r="B1123" t="str">
            <v>江苏</v>
          </cell>
          <cell r="C1123" t="str">
            <v>儿童用品</v>
          </cell>
          <cell r="D1123">
            <v>70</v>
          </cell>
        </row>
        <row r="1124">
          <cell r="A1124">
            <v>34943</v>
          </cell>
          <cell r="B1124" t="str">
            <v>江苏</v>
          </cell>
          <cell r="C1124" t="str">
            <v>儿童用品</v>
          </cell>
          <cell r="D1124">
            <v>101</v>
          </cell>
        </row>
        <row r="1125">
          <cell r="A1125">
            <v>34943</v>
          </cell>
          <cell r="B1125" t="str">
            <v>山东</v>
          </cell>
          <cell r="C1125" t="str">
            <v>儿童用品</v>
          </cell>
          <cell r="D1125">
            <v>1016</v>
          </cell>
        </row>
        <row r="1126">
          <cell r="A1126">
            <v>34943</v>
          </cell>
          <cell r="B1126" t="str">
            <v>安徽</v>
          </cell>
          <cell r="C1126" t="str">
            <v>儿童用品</v>
          </cell>
          <cell r="D1126">
            <v>221</v>
          </cell>
        </row>
        <row r="1127">
          <cell r="A1127">
            <v>34943</v>
          </cell>
          <cell r="B1127" t="str">
            <v>山东</v>
          </cell>
          <cell r="C1127" t="str">
            <v>儿童用品</v>
          </cell>
          <cell r="D1127">
            <v>727</v>
          </cell>
        </row>
        <row r="1128">
          <cell r="A1128">
            <v>34943</v>
          </cell>
          <cell r="B1128" t="str">
            <v>安徽</v>
          </cell>
          <cell r="C1128" t="str">
            <v>儿童用品</v>
          </cell>
          <cell r="D1128">
            <v>338</v>
          </cell>
        </row>
        <row r="1129">
          <cell r="A1129">
            <v>34943</v>
          </cell>
          <cell r="B1129" t="str">
            <v>江西</v>
          </cell>
          <cell r="C1129" t="str">
            <v>体育用品</v>
          </cell>
          <cell r="D1129">
            <v>371</v>
          </cell>
        </row>
        <row r="1130">
          <cell r="A1130">
            <v>34943</v>
          </cell>
          <cell r="B1130" t="str">
            <v>安徽</v>
          </cell>
          <cell r="C1130" t="str">
            <v>体育用品</v>
          </cell>
          <cell r="D1130">
            <v>533</v>
          </cell>
        </row>
        <row r="1131">
          <cell r="A1131">
            <v>34943</v>
          </cell>
          <cell r="B1131" t="str">
            <v>江西</v>
          </cell>
          <cell r="C1131" t="str">
            <v>体育用品</v>
          </cell>
          <cell r="D1131">
            <v>597</v>
          </cell>
        </row>
        <row r="1132">
          <cell r="A1132">
            <v>34943</v>
          </cell>
          <cell r="B1132" t="str">
            <v>江苏</v>
          </cell>
          <cell r="C1132" t="str">
            <v>体育用品</v>
          </cell>
          <cell r="D1132">
            <v>94</v>
          </cell>
        </row>
        <row r="1133">
          <cell r="A1133">
            <v>34943</v>
          </cell>
          <cell r="B1133" t="str">
            <v>江西</v>
          </cell>
          <cell r="C1133" t="str">
            <v>体育用品</v>
          </cell>
          <cell r="D1133">
            <v>289</v>
          </cell>
        </row>
        <row r="1134">
          <cell r="A1134">
            <v>34943</v>
          </cell>
          <cell r="B1134" t="str">
            <v>江苏</v>
          </cell>
          <cell r="C1134" t="str">
            <v>体育用品</v>
          </cell>
          <cell r="D1134">
            <v>77</v>
          </cell>
        </row>
        <row r="1135">
          <cell r="A1135">
            <v>34943</v>
          </cell>
          <cell r="B1135" t="str">
            <v>山东</v>
          </cell>
          <cell r="C1135" t="str">
            <v>体育用品</v>
          </cell>
          <cell r="D1135">
            <v>23</v>
          </cell>
        </row>
        <row r="1136">
          <cell r="A1136">
            <v>34943</v>
          </cell>
          <cell r="B1136" t="str">
            <v>山东</v>
          </cell>
          <cell r="C1136" t="str">
            <v>体育用品</v>
          </cell>
          <cell r="D1136">
            <v>28</v>
          </cell>
        </row>
        <row r="1137">
          <cell r="A1137">
            <v>34943</v>
          </cell>
          <cell r="B1137" t="str">
            <v>山东</v>
          </cell>
          <cell r="C1137" t="str">
            <v>体育用品</v>
          </cell>
          <cell r="D1137">
            <v>44</v>
          </cell>
        </row>
        <row r="1138">
          <cell r="A1138">
            <v>34943</v>
          </cell>
          <cell r="B1138" t="str">
            <v>江西</v>
          </cell>
          <cell r="C1138" t="str">
            <v>体育用品</v>
          </cell>
          <cell r="D1138">
            <v>165</v>
          </cell>
        </row>
        <row r="1139">
          <cell r="A1139">
            <v>34943</v>
          </cell>
          <cell r="B1139" t="str">
            <v>安徽</v>
          </cell>
          <cell r="C1139" t="str">
            <v>体育用品</v>
          </cell>
          <cell r="D1139">
            <v>165</v>
          </cell>
        </row>
        <row r="1140">
          <cell r="A1140">
            <v>34943</v>
          </cell>
          <cell r="B1140" t="str">
            <v>江苏</v>
          </cell>
          <cell r="C1140" t="str">
            <v>体育用品</v>
          </cell>
          <cell r="D1140">
            <v>165</v>
          </cell>
        </row>
        <row r="1141">
          <cell r="A1141">
            <v>34943</v>
          </cell>
          <cell r="B1141" t="str">
            <v>安徽</v>
          </cell>
          <cell r="C1141" t="str">
            <v>体育用品</v>
          </cell>
          <cell r="D1141">
            <v>203</v>
          </cell>
        </row>
        <row r="1142">
          <cell r="A1142">
            <v>34943</v>
          </cell>
          <cell r="B1142" t="str">
            <v>山东</v>
          </cell>
          <cell r="C1142" t="str">
            <v>体育用品</v>
          </cell>
          <cell r="D1142">
            <v>146</v>
          </cell>
        </row>
        <row r="1143">
          <cell r="A1143">
            <v>34943</v>
          </cell>
          <cell r="B1143" t="str">
            <v>江西</v>
          </cell>
          <cell r="C1143" t="str">
            <v>体育用品</v>
          </cell>
          <cell r="D1143">
            <v>289</v>
          </cell>
        </row>
        <row r="1144">
          <cell r="A1144">
            <v>34943</v>
          </cell>
          <cell r="B1144" t="str">
            <v>山东</v>
          </cell>
          <cell r="C1144" t="str">
            <v>体育用品</v>
          </cell>
          <cell r="D1144">
            <v>124</v>
          </cell>
        </row>
        <row r="1145">
          <cell r="A1145">
            <v>34943</v>
          </cell>
          <cell r="B1145" t="str">
            <v>江苏</v>
          </cell>
          <cell r="C1145" t="str">
            <v>体育用品</v>
          </cell>
          <cell r="D1145">
            <v>105</v>
          </cell>
        </row>
        <row r="1146">
          <cell r="A1146">
            <v>34943</v>
          </cell>
          <cell r="B1146" t="str">
            <v>山东</v>
          </cell>
          <cell r="C1146" t="str">
            <v>体育用品</v>
          </cell>
          <cell r="D1146">
            <v>105</v>
          </cell>
        </row>
        <row r="1147">
          <cell r="A1147">
            <v>34943</v>
          </cell>
          <cell r="B1147" t="str">
            <v>安徽</v>
          </cell>
          <cell r="C1147" t="str">
            <v>体育用品</v>
          </cell>
          <cell r="D1147">
            <v>114</v>
          </cell>
        </row>
        <row r="1148">
          <cell r="A1148">
            <v>34943</v>
          </cell>
          <cell r="B1148" t="str">
            <v>江苏</v>
          </cell>
          <cell r="C1148" t="str">
            <v>体育用品</v>
          </cell>
          <cell r="D1148">
            <v>126</v>
          </cell>
        </row>
        <row r="1149">
          <cell r="A1149">
            <v>34943</v>
          </cell>
          <cell r="B1149" t="str">
            <v>安徽</v>
          </cell>
          <cell r="C1149" t="str">
            <v>体育用品</v>
          </cell>
          <cell r="D1149">
            <v>138</v>
          </cell>
        </row>
        <row r="1150">
          <cell r="A1150">
            <v>34943</v>
          </cell>
          <cell r="B1150" t="str">
            <v>安徽</v>
          </cell>
          <cell r="C1150" t="str">
            <v>体育用品</v>
          </cell>
          <cell r="D1150">
            <v>140</v>
          </cell>
        </row>
        <row r="1151">
          <cell r="A1151">
            <v>34943</v>
          </cell>
          <cell r="B1151" t="str">
            <v>江苏</v>
          </cell>
          <cell r="C1151" t="str">
            <v>体育用品</v>
          </cell>
          <cell r="D1151">
            <v>124</v>
          </cell>
        </row>
        <row r="1152">
          <cell r="A1152">
            <v>34973</v>
          </cell>
          <cell r="B1152" t="str">
            <v>山东</v>
          </cell>
          <cell r="C1152" t="str">
            <v>艺术品</v>
          </cell>
          <cell r="D1152">
            <v>776</v>
          </cell>
        </row>
        <row r="1153">
          <cell r="A1153">
            <v>34973</v>
          </cell>
          <cell r="B1153" t="str">
            <v>安徽</v>
          </cell>
          <cell r="C1153" t="str">
            <v>艺术品</v>
          </cell>
          <cell r="D1153">
            <v>220</v>
          </cell>
        </row>
        <row r="1154">
          <cell r="A1154">
            <v>34973</v>
          </cell>
          <cell r="B1154" t="str">
            <v>江西</v>
          </cell>
          <cell r="C1154" t="str">
            <v>艺术品</v>
          </cell>
          <cell r="D1154">
            <v>270</v>
          </cell>
        </row>
        <row r="1155">
          <cell r="A1155">
            <v>34973</v>
          </cell>
          <cell r="B1155" t="str">
            <v>江苏</v>
          </cell>
          <cell r="C1155" t="str">
            <v>艺术品</v>
          </cell>
          <cell r="D1155">
            <v>275</v>
          </cell>
        </row>
        <row r="1156">
          <cell r="A1156">
            <v>34973</v>
          </cell>
          <cell r="B1156" t="str">
            <v>江西</v>
          </cell>
          <cell r="C1156" t="str">
            <v>艺术品</v>
          </cell>
          <cell r="D1156">
            <v>330</v>
          </cell>
        </row>
        <row r="1157">
          <cell r="A1157">
            <v>34973</v>
          </cell>
          <cell r="B1157" t="str">
            <v>山东</v>
          </cell>
          <cell r="C1157" t="str">
            <v>艺术品</v>
          </cell>
          <cell r="D1157">
            <v>358</v>
          </cell>
        </row>
        <row r="1158">
          <cell r="A1158">
            <v>34973</v>
          </cell>
          <cell r="B1158" t="str">
            <v>安徽</v>
          </cell>
          <cell r="C1158" t="str">
            <v>艺术品</v>
          </cell>
          <cell r="D1158">
            <v>694</v>
          </cell>
        </row>
        <row r="1159">
          <cell r="A1159">
            <v>34973</v>
          </cell>
          <cell r="B1159" t="str">
            <v>山东</v>
          </cell>
          <cell r="C1159" t="str">
            <v>艺术品</v>
          </cell>
          <cell r="D1159">
            <v>734</v>
          </cell>
        </row>
        <row r="1160">
          <cell r="A1160">
            <v>34973</v>
          </cell>
          <cell r="B1160" t="str">
            <v>江西</v>
          </cell>
          <cell r="C1160" t="str">
            <v>艺术品</v>
          </cell>
          <cell r="D1160">
            <v>979</v>
          </cell>
        </row>
        <row r="1161">
          <cell r="A1161">
            <v>34973</v>
          </cell>
          <cell r="B1161" t="str">
            <v>江西</v>
          </cell>
          <cell r="C1161" t="str">
            <v>艺术品</v>
          </cell>
          <cell r="D1161">
            <v>2287</v>
          </cell>
        </row>
        <row r="1162">
          <cell r="A1162">
            <v>34973</v>
          </cell>
          <cell r="B1162" t="str">
            <v>山东</v>
          </cell>
          <cell r="C1162" t="str">
            <v>艺术品</v>
          </cell>
          <cell r="D1162">
            <v>709</v>
          </cell>
        </row>
        <row r="1163">
          <cell r="A1163">
            <v>34973</v>
          </cell>
          <cell r="B1163" t="str">
            <v>江苏</v>
          </cell>
          <cell r="C1163" t="str">
            <v>艺术品</v>
          </cell>
          <cell r="D1163">
            <v>50</v>
          </cell>
        </row>
        <row r="1164">
          <cell r="A1164">
            <v>34973</v>
          </cell>
          <cell r="B1164" t="str">
            <v>安徽</v>
          </cell>
          <cell r="C1164" t="str">
            <v>艺术品</v>
          </cell>
          <cell r="D1164">
            <v>90</v>
          </cell>
        </row>
        <row r="1165">
          <cell r="A1165">
            <v>34973</v>
          </cell>
          <cell r="B1165" t="str">
            <v>江苏</v>
          </cell>
          <cell r="C1165" t="str">
            <v>艺术品</v>
          </cell>
          <cell r="D1165">
            <v>113</v>
          </cell>
        </row>
        <row r="1166">
          <cell r="A1166">
            <v>34973</v>
          </cell>
          <cell r="B1166" t="str">
            <v>江苏</v>
          </cell>
          <cell r="C1166" t="str">
            <v>艺术品</v>
          </cell>
          <cell r="D1166">
            <v>131</v>
          </cell>
        </row>
        <row r="1167">
          <cell r="A1167">
            <v>34973</v>
          </cell>
          <cell r="B1167" t="str">
            <v>山东</v>
          </cell>
          <cell r="C1167" t="str">
            <v>自行车</v>
          </cell>
          <cell r="D1167">
            <v>459</v>
          </cell>
        </row>
        <row r="1168">
          <cell r="A1168">
            <v>34973</v>
          </cell>
          <cell r="B1168" t="str">
            <v>江苏</v>
          </cell>
          <cell r="C1168" t="str">
            <v>自行车</v>
          </cell>
          <cell r="D1168">
            <v>149</v>
          </cell>
        </row>
        <row r="1169">
          <cell r="A1169">
            <v>34973</v>
          </cell>
          <cell r="B1169" t="str">
            <v>安徽</v>
          </cell>
          <cell r="C1169" t="str">
            <v>自行车</v>
          </cell>
          <cell r="D1169">
            <v>169</v>
          </cell>
        </row>
        <row r="1170">
          <cell r="A1170">
            <v>34973</v>
          </cell>
          <cell r="B1170" t="str">
            <v>安徽</v>
          </cell>
          <cell r="C1170" t="str">
            <v>自行车</v>
          </cell>
          <cell r="D1170">
            <v>175</v>
          </cell>
        </row>
        <row r="1171">
          <cell r="A1171">
            <v>34973</v>
          </cell>
          <cell r="B1171" t="str">
            <v>江苏</v>
          </cell>
          <cell r="C1171" t="str">
            <v>自行车</v>
          </cell>
          <cell r="D1171">
            <v>203</v>
          </cell>
        </row>
        <row r="1172">
          <cell r="A1172">
            <v>34973</v>
          </cell>
          <cell r="B1172" t="str">
            <v>江西</v>
          </cell>
          <cell r="C1172" t="str">
            <v>自行车</v>
          </cell>
          <cell r="D1172">
            <v>210</v>
          </cell>
        </row>
        <row r="1173">
          <cell r="A1173">
            <v>34973</v>
          </cell>
          <cell r="B1173" t="str">
            <v>江苏</v>
          </cell>
          <cell r="C1173" t="str">
            <v>自行车</v>
          </cell>
          <cell r="D1173">
            <v>116</v>
          </cell>
        </row>
        <row r="1174">
          <cell r="A1174">
            <v>34973</v>
          </cell>
          <cell r="B1174" t="str">
            <v>山东</v>
          </cell>
          <cell r="C1174" t="str">
            <v>自行车</v>
          </cell>
          <cell r="D1174">
            <v>360</v>
          </cell>
        </row>
        <row r="1175">
          <cell r="A1175">
            <v>34973</v>
          </cell>
          <cell r="B1175" t="str">
            <v>安徽</v>
          </cell>
          <cell r="C1175" t="str">
            <v>自行车</v>
          </cell>
          <cell r="D1175">
            <v>105</v>
          </cell>
        </row>
        <row r="1176">
          <cell r="A1176">
            <v>34973</v>
          </cell>
          <cell r="B1176" t="str">
            <v>江西</v>
          </cell>
          <cell r="C1176" t="str">
            <v>自行车</v>
          </cell>
          <cell r="D1176">
            <v>472</v>
          </cell>
        </row>
        <row r="1177">
          <cell r="A1177">
            <v>34973</v>
          </cell>
          <cell r="B1177" t="str">
            <v>江西</v>
          </cell>
          <cell r="C1177" t="str">
            <v>自行车</v>
          </cell>
          <cell r="D1177">
            <v>590</v>
          </cell>
        </row>
        <row r="1178">
          <cell r="A1178">
            <v>34973</v>
          </cell>
          <cell r="B1178" t="str">
            <v>安徽</v>
          </cell>
          <cell r="C1178" t="str">
            <v>自行车</v>
          </cell>
          <cell r="D1178">
            <v>739</v>
          </cell>
        </row>
        <row r="1179">
          <cell r="A1179">
            <v>34973</v>
          </cell>
          <cell r="B1179" t="str">
            <v>山东</v>
          </cell>
          <cell r="C1179" t="str">
            <v>自行车</v>
          </cell>
          <cell r="D1179">
            <v>846</v>
          </cell>
        </row>
        <row r="1180">
          <cell r="A1180">
            <v>34973</v>
          </cell>
          <cell r="B1180" t="str">
            <v>山东</v>
          </cell>
          <cell r="C1180" t="str">
            <v>自行车</v>
          </cell>
          <cell r="D1180">
            <v>873</v>
          </cell>
        </row>
        <row r="1181">
          <cell r="A1181">
            <v>34973</v>
          </cell>
          <cell r="B1181" t="str">
            <v>江西</v>
          </cell>
          <cell r="C1181" t="str">
            <v>自行车</v>
          </cell>
          <cell r="D1181">
            <v>341</v>
          </cell>
        </row>
        <row r="1182">
          <cell r="A1182">
            <v>34973</v>
          </cell>
          <cell r="B1182" t="str">
            <v>江苏</v>
          </cell>
          <cell r="C1182" t="str">
            <v>自行车</v>
          </cell>
          <cell r="D1182">
            <v>90</v>
          </cell>
        </row>
        <row r="1183">
          <cell r="A1183">
            <v>34973</v>
          </cell>
          <cell r="B1183" t="str">
            <v>安徽</v>
          </cell>
          <cell r="C1183" t="str">
            <v>服装</v>
          </cell>
          <cell r="D1183">
            <v>193</v>
          </cell>
        </row>
        <row r="1184">
          <cell r="A1184">
            <v>34973</v>
          </cell>
          <cell r="B1184" t="str">
            <v>安徽</v>
          </cell>
          <cell r="C1184" t="str">
            <v>服装</v>
          </cell>
          <cell r="D1184">
            <v>193</v>
          </cell>
        </row>
        <row r="1185">
          <cell r="A1185">
            <v>34973</v>
          </cell>
          <cell r="B1185" t="str">
            <v>安徽</v>
          </cell>
          <cell r="C1185" t="str">
            <v>服装</v>
          </cell>
          <cell r="D1185">
            <v>131</v>
          </cell>
        </row>
        <row r="1186">
          <cell r="A1186">
            <v>34973</v>
          </cell>
          <cell r="B1186" t="str">
            <v>山东</v>
          </cell>
          <cell r="C1186" t="str">
            <v>服装</v>
          </cell>
          <cell r="D1186">
            <v>55</v>
          </cell>
        </row>
        <row r="1187">
          <cell r="A1187">
            <v>34973</v>
          </cell>
          <cell r="B1187" t="str">
            <v>安徽</v>
          </cell>
          <cell r="C1187" t="str">
            <v>服装</v>
          </cell>
          <cell r="D1187">
            <v>68</v>
          </cell>
        </row>
        <row r="1188">
          <cell r="A1188">
            <v>34973</v>
          </cell>
          <cell r="B1188" t="str">
            <v>山东</v>
          </cell>
          <cell r="C1188" t="str">
            <v>服装</v>
          </cell>
          <cell r="D1188">
            <v>79</v>
          </cell>
        </row>
        <row r="1189">
          <cell r="A1189">
            <v>34973</v>
          </cell>
          <cell r="B1189" t="str">
            <v>安徽</v>
          </cell>
          <cell r="C1189" t="str">
            <v>服装</v>
          </cell>
          <cell r="D1189">
            <v>123</v>
          </cell>
        </row>
        <row r="1190">
          <cell r="A1190">
            <v>34973</v>
          </cell>
          <cell r="B1190" t="str">
            <v>山东</v>
          </cell>
          <cell r="C1190" t="str">
            <v>服装</v>
          </cell>
          <cell r="D1190">
            <v>122</v>
          </cell>
        </row>
        <row r="1191">
          <cell r="A1191">
            <v>34973</v>
          </cell>
          <cell r="B1191" t="str">
            <v>山东</v>
          </cell>
          <cell r="C1191" t="str">
            <v>服装</v>
          </cell>
          <cell r="D1191">
            <v>70</v>
          </cell>
        </row>
        <row r="1192">
          <cell r="A1192">
            <v>34973</v>
          </cell>
          <cell r="B1192" t="str">
            <v>安徽</v>
          </cell>
          <cell r="C1192" t="str">
            <v>服装</v>
          </cell>
          <cell r="D1192">
            <v>79</v>
          </cell>
        </row>
        <row r="1193">
          <cell r="A1193">
            <v>34973</v>
          </cell>
          <cell r="B1193" t="str">
            <v>山东</v>
          </cell>
          <cell r="C1193" t="str">
            <v>服装</v>
          </cell>
          <cell r="D1193">
            <v>1810</v>
          </cell>
        </row>
        <row r="1194">
          <cell r="A1194">
            <v>34973</v>
          </cell>
          <cell r="B1194" t="str">
            <v>山东</v>
          </cell>
          <cell r="C1194" t="str">
            <v>服装</v>
          </cell>
          <cell r="D1194">
            <v>1681</v>
          </cell>
        </row>
        <row r="1195">
          <cell r="A1195">
            <v>34973</v>
          </cell>
          <cell r="B1195" t="str">
            <v>江西</v>
          </cell>
          <cell r="C1195" t="str">
            <v>食品</v>
          </cell>
          <cell r="D1195">
            <v>210</v>
          </cell>
        </row>
        <row r="1196">
          <cell r="A1196">
            <v>34973</v>
          </cell>
          <cell r="B1196" t="str">
            <v>江苏</v>
          </cell>
          <cell r="C1196" t="str">
            <v>食品</v>
          </cell>
          <cell r="D1196">
            <v>123</v>
          </cell>
        </row>
        <row r="1197">
          <cell r="A1197">
            <v>34973</v>
          </cell>
          <cell r="B1197" t="str">
            <v>江苏</v>
          </cell>
          <cell r="C1197" t="str">
            <v>食品</v>
          </cell>
          <cell r="D1197">
            <v>46</v>
          </cell>
        </row>
        <row r="1198">
          <cell r="A1198">
            <v>34973</v>
          </cell>
          <cell r="B1198" t="str">
            <v>山东</v>
          </cell>
          <cell r="C1198" t="str">
            <v>食品</v>
          </cell>
          <cell r="D1198">
            <v>70</v>
          </cell>
        </row>
        <row r="1199">
          <cell r="A1199">
            <v>34973</v>
          </cell>
          <cell r="B1199" t="str">
            <v>山东</v>
          </cell>
          <cell r="C1199" t="str">
            <v>食品</v>
          </cell>
          <cell r="D1199">
            <v>68</v>
          </cell>
        </row>
        <row r="1200">
          <cell r="A1200">
            <v>34973</v>
          </cell>
          <cell r="B1200" t="str">
            <v>江苏</v>
          </cell>
          <cell r="C1200" t="str">
            <v>食品</v>
          </cell>
          <cell r="D1200">
            <v>68</v>
          </cell>
        </row>
        <row r="1201">
          <cell r="A1201">
            <v>34973</v>
          </cell>
          <cell r="B1201" t="str">
            <v>江苏</v>
          </cell>
          <cell r="C1201" t="str">
            <v>食品</v>
          </cell>
          <cell r="D1201">
            <v>113</v>
          </cell>
        </row>
        <row r="1202">
          <cell r="A1202">
            <v>34973</v>
          </cell>
          <cell r="B1202" t="str">
            <v>山东</v>
          </cell>
          <cell r="C1202" t="str">
            <v>食品</v>
          </cell>
          <cell r="D1202">
            <v>326</v>
          </cell>
        </row>
        <row r="1203">
          <cell r="A1203">
            <v>34973</v>
          </cell>
          <cell r="B1203" t="str">
            <v>江西</v>
          </cell>
          <cell r="C1203" t="str">
            <v>食品</v>
          </cell>
          <cell r="D1203">
            <v>656</v>
          </cell>
        </row>
        <row r="1204">
          <cell r="A1204">
            <v>34973</v>
          </cell>
          <cell r="B1204" t="str">
            <v>江西</v>
          </cell>
          <cell r="C1204" t="str">
            <v>食品</v>
          </cell>
          <cell r="D1204">
            <v>405</v>
          </cell>
        </row>
        <row r="1205">
          <cell r="A1205">
            <v>34973</v>
          </cell>
          <cell r="B1205" t="str">
            <v>安徽</v>
          </cell>
          <cell r="C1205" t="str">
            <v>食品</v>
          </cell>
          <cell r="D1205">
            <v>326</v>
          </cell>
        </row>
        <row r="1206">
          <cell r="A1206">
            <v>34973</v>
          </cell>
          <cell r="B1206" t="str">
            <v>安徽</v>
          </cell>
          <cell r="C1206" t="str">
            <v>食品</v>
          </cell>
          <cell r="D1206">
            <v>270</v>
          </cell>
        </row>
        <row r="1207">
          <cell r="A1207">
            <v>34973</v>
          </cell>
          <cell r="B1207" t="str">
            <v>安徽</v>
          </cell>
          <cell r="C1207" t="str">
            <v>食品</v>
          </cell>
          <cell r="D1207">
            <v>263</v>
          </cell>
        </row>
        <row r="1208">
          <cell r="A1208">
            <v>34973</v>
          </cell>
          <cell r="B1208" t="str">
            <v>江西</v>
          </cell>
          <cell r="C1208" t="str">
            <v>食品</v>
          </cell>
          <cell r="D1208">
            <v>263</v>
          </cell>
        </row>
        <row r="1209">
          <cell r="A1209">
            <v>34973</v>
          </cell>
          <cell r="B1209" t="str">
            <v>安徽</v>
          </cell>
          <cell r="C1209" t="str">
            <v>食品</v>
          </cell>
          <cell r="D1209">
            <v>949</v>
          </cell>
        </row>
        <row r="1210">
          <cell r="A1210">
            <v>34973</v>
          </cell>
          <cell r="B1210" t="str">
            <v>山东</v>
          </cell>
          <cell r="C1210" t="str">
            <v>食品</v>
          </cell>
          <cell r="D1210">
            <v>1196</v>
          </cell>
        </row>
        <row r="1211">
          <cell r="A1211">
            <v>34973</v>
          </cell>
          <cell r="B1211" t="str">
            <v>安徽</v>
          </cell>
          <cell r="C1211" t="str">
            <v>儿童用品</v>
          </cell>
          <cell r="D1211">
            <v>338</v>
          </cell>
        </row>
        <row r="1212">
          <cell r="A1212">
            <v>34973</v>
          </cell>
          <cell r="B1212" t="str">
            <v>山东</v>
          </cell>
          <cell r="C1212" t="str">
            <v>儿童用品</v>
          </cell>
          <cell r="D1212">
            <v>694</v>
          </cell>
        </row>
        <row r="1213">
          <cell r="A1213">
            <v>34973</v>
          </cell>
          <cell r="B1213" t="str">
            <v>江西</v>
          </cell>
          <cell r="C1213" t="str">
            <v>儿童用品</v>
          </cell>
          <cell r="D1213">
            <v>908</v>
          </cell>
        </row>
        <row r="1214">
          <cell r="A1214">
            <v>34973</v>
          </cell>
          <cell r="B1214" t="str">
            <v>山东</v>
          </cell>
          <cell r="C1214" t="str">
            <v>儿童用品</v>
          </cell>
          <cell r="D1214">
            <v>1051</v>
          </cell>
        </row>
        <row r="1215">
          <cell r="A1215">
            <v>34973</v>
          </cell>
          <cell r="B1215" t="str">
            <v>江西</v>
          </cell>
          <cell r="C1215" t="str">
            <v>儿童用品</v>
          </cell>
          <cell r="D1215">
            <v>2797</v>
          </cell>
        </row>
        <row r="1216">
          <cell r="A1216">
            <v>34973</v>
          </cell>
          <cell r="B1216" t="str">
            <v>江苏</v>
          </cell>
          <cell r="C1216" t="str">
            <v>儿童用品</v>
          </cell>
          <cell r="D1216">
            <v>36</v>
          </cell>
        </row>
        <row r="1217">
          <cell r="A1217">
            <v>34973</v>
          </cell>
          <cell r="B1217" t="str">
            <v>安徽</v>
          </cell>
          <cell r="C1217" t="str">
            <v>儿童用品</v>
          </cell>
          <cell r="D1217">
            <v>1783</v>
          </cell>
        </row>
        <row r="1218">
          <cell r="A1218">
            <v>34973</v>
          </cell>
          <cell r="B1218" t="str">
            <v>江苏</v>
          </cell>
          <cell r="C1218" t="str">
            <v>儿童用品</v>
          </cell>
          <cell r="D1218">
            <v>53</v>
          </cell>
        </row>
        <row r="1219">
          <cell r="A1219">
            <v>34973</v>
          </cell>
          <cell r="B1219" t="str">
            <v>江西</v>
          </cell>
          <cell r="C1219" t="str">
            <v>儿童用品</v>
          </cell>
          <cell r="D1219">
            <v>39</v>
          </cell>
        </row>
        <row r="1220">
          <cell r="A1220">
            <v>34973</v>
          </cell>
          <cell r="B1220" t="str">
            <v>安徽</v>
          </cell>
          <cell r="C1220" t="str">
            <v>儿童用品</v>
          </cell>
          <cell r="D1220">
            <v>203</v>
          </cell>
        </row>
        <row r="1221">
          <cell r="A1221">
            <v>34973</v>
          </cell>
          <cell r="B1221" t="str">
            <v>山东</v>
          </cell>
          <cell r="C1221" t="str">
            <v>儿童用品</v>
          </cell>
          <cell r="D1221">
            <v>68</v>
          </cell>
        </row>
        <row r="1222">
          <cell r="A1222">
            <v>34973</v>
          </cell>
          <cell r="B1222" t="str">
            <v>江西</v>
          </cell>
          <cell r="C1222" t="str">
            <v>儿童用品</v>
          </cell>
          <cell r="D1222">
            <v>72</v>
          </cell>
        </row>
        <row r="1223">
          <cell r="A1223">
            <v>34973</v>
          </cell>
          <cell r="B1223" t="str">
            <v>江苏</v>
          </cell>
          <cell r="C1223" t="str">
            <v>儿童用品</v>
          </cell>
          <cell r="D1223">
            <v>77</v>
          </cell>
        </row>
        <row r="1224">
          <cell r="A1224">
            <v>34973</v>
          </cell>
          <cell r="B1224" t="str">
            <v>江苏</v>
          </cell>
          <cell r="C1224" t="str">
            <v>儿童用品</v>
          </cell>
          <cell r="D1224">
            <v>90</v>
          </cell>
        </row>
        <row r="1225">
          <cell r="A1225">
            <v>34973</v>
          </cell>
          <cell r="B1225" t="str">
            <v>山东</v>
          </cell>
          <cell r="C1225" t="str">
            <v>儿童用品</v>
          </cell>
          <cell r="D1225">
            <v>44</v>
          </cell>
        </row>
        <row r="1226">
          <cell r="A1226">
            <v>34973</v>
          </cell>
          <cell r="B1226" t="str">
            <v>安徽</v>
          </cell>
          <cell r="C1226" t="str">
            <v>儿童用品</v>
          </cell>
          <cell r="D1226">
            <v>977</v>
          </cell>
        </row>
        <row r="1227">
          <cell r="A1227">
            <v>34973</v>
          </cell>
          <cell r="B1227" t="str">
            <v>江苏</v>
          </cell>
          <cell r="C1227" t="str">
            <v>体育用品</v>
          </cell>
          <cell r="D1227">
            <v>121</v>
          </cell>
        </row>
        <row r="1228">
          <cell r="A1228">
            <v>34973</v>
          </cell>
          <cell r="B1228" t="str">
            <v>山东</v>
          </cell>
          <cell r="C1228" t="str">
            <v>体育用品</v>
          </cell>
          <cell r="D1228">
            <v>105</v>
          </cell>
        </row>
        <row r="1229">
          <cell r="A1229">
            <v>34973</v>
          </cell>
          <cell r="B1229" t="str">
            <v>安徽</v>
          </cell>
          <cell r="C1229" t="str">
            <v>体育用品</v>
          </cell>
          <cell r="D1229">
            <v>110</v>
          </cell>
        </row>
        <row r="1230">
          <cell r="A1230">
            <v>34973</v>
          </cell>
          <cell r="B1230" t="str">
            <v>江苏</v>
          </cell>
          <cell r="C1230" t="str">
            <v>体育用品</v>
          </cell>
          <cell r="D1230">
            <v>88</v>
          </cell>
        </row>
        <row r="1231">
          <cell r="A1231">
            <v>34973</v>
          </cell>
          <cell r="B1231" t="str">
            <v>山东</v>
          </cell>
          <cell r="C1231" t="str">
            <v>体育用品</v>
          </cell>
          <cell r="D1231">
            <v>124</v>
          </cell>
        </row>
        <row r="1232">
          <cell r="A1232">
            <v>34973</v>
          </cell>
          <cell r="B1232" t="str">
            <v>江苏</v>
          </cell>
          <cell r="C1232" t="str">
            <v>体育用品</v>
          </cell>
          <cell r="D1232">
            <v>138</v>
          </cell>
        </row>
        <row r="1233">
          <cell r="A1233">
            <v>34973</v>
          </cell>
          <cell r="B1233" t="str">
            <v>安徽</v>
          </cell>
          <cell r="C1233" t="str">
            <v>体育用品</v>
          </cell>
          <cell r="D1233">
            <v>138</v>
          </cell>
        </row>
        <row r="1234">
          <cell r="A1234">
            <v>34973</v>
          </cell>
          <cell r="B1234" t="str">
            <v>安徽</v>
          </cell>
          <cell r="C1234" t="str">
            <v>体育用品</v>
          </cell>
          <cell r="D1234">
            <v>140</v>
          </cell>
        </row>
        <row r="1235">
          <cell r="A1235">
            <v>34973</v>
          </cell>
          <cell r="B1235" t="str">
            <v>江苏</v>
          </cell>
          <cell r="C1235" t="str">
            <v>体育用品</v>
          </cell>
          <cell r="D1235">
            <v>146</v>
          </cell>
        </row>
        <row r="1236">
          <cell r="A1236">
            <v>34973</v>
          </cell>
          <cell r="B1236" t="str">
            <v>安徽</v>
          </cell>
          <cell r="C1236" t="str">
            <v>体育用品</v>
          </cell>
          <cell r="D1236">
            <v>114</v>
          </cell>
        </row>
        <row r="1237">
          <cell r="A1237">
            <v>34973</v>
          </cell>
          <cell r="B1237" t="str">
            <v>山东</v>
          </cell>
          <cell r="C1237" t="str">
            <v>体育用品</v>
          </cell>
          <cell r="D1237">
            <v>39</v>
          </cell>
        </row>
        <row r="1238">
          <cell r="A1238">
            <v>34973</v>
          </cell>
          <cell r="B1238" t="str">
            <v>江苏</v>
          </cell>
          <cell r="C1238" t="str">
            <v>体育用品</v>
          </cell>
          <cell r="D1238">
            <v>81</v>
          </cell>
        </row>
        <row r="1239">
          <cell r="A1239">
            <v>34973</v>
          </cell>
          <cell r="B1239" t="str">
            <v>安徽</v>
          </cell>
          <cell r="C1239" t="str">
            <v>体育用品</v>
          </cell>
          <cell r="D1239">
            <v>629</v>
          </cell>
        </row>
        <row r="1240">
          <cell r="A1240">
            <v>34973</v>
          </cell>
          <cell r="B1240" t="str">
            <v>江西</v>
          </cell>
          <cell r="C1240" t="str">
            <v>体育用品</v>
          </cell>
          <cell r="D1240">
            <v>304</v>
          </cell>
        </row>
        <row r="1241">
          <cell r="A1241">
            <v>34973</v>
          </cell>
          <cell r="B1241" t="str">
            <v>江苏</v>
          </cell>
          <cell r="C1241" t="str">
            <v>体育用品</v>
          </cell>
          <cell r="D1241">
            <v>149</v>
          </cell>
        </row>
        <row r="1242">
          <cell r="A1242">
            <v>34973</v>
          </cell>
          <cell r="B1242" t="str">
            <v>安徽</v>
          </cell>
          <cell r="C1242" t="str">
            <v>体育用品</v>
          </cell>
          <cell r="D1242">
            <v>191</v>
          </cell>
        </row>
        <row r="1243">
          <cell r="A1243">
            <v>34973</v>
          </cell>
          <cell r="B1243" t="str">
            <v>江西</v>
          </cell>
          <cell r="C1243" t="str">
            <v>体育用品</v>
          </cell>
          <cell r="D1243">
            <v>206</v>
          </cell>
        </row>
        <row r="1244">
          <cell r="A1244">
            <v>34973</v>
          </cell>
          <cell r="B1244" t="str">
            <v>江西</v>
          </cell>
          <cell r="C1244" t="str">
            <v>体育用品</v>
          </cell>
          <cell r="D1244">
            <v>330</v>
          </cell>
        </row>
        <row r="1245">
          <cell r="A1245">
            <v>34973</v>
          </cell>
          <cell r="B1245" t="str">
            <v>江西</v>
          </cell>
          <cell r="C1245" t="str">
            <v>体育用品</v>
          </cell>
          <cell r="D1245">
            <v>315</v>
          </cell>
        </row>
        <row r="1246">
          <cell r="A1246">
            <v>34973</v>
          </cell>
          <cell r="B1246" t="str">
            <v>山东</v>
          </cell>
          <cell r="C1246" t="str">
            <v>体育用品</v>
          </cell>
          <cell r="D1246">
            <v>146</v>
          </cell>
        </row>
        <row r="1247">
          <cell r="A1247">
            <v>34973</v>
          </cell>
          <cell r="B1247" t="str">
            <v>山东</v>
          </cell>
          <cell r="C1247" t="str">
            <v>体育用品</v>
          </cell>
          <cell r="D1247">
            <v>28</v>
          </cell>
        </row>
        <row r="1248">
          <cell r="A1248">
            <v>34973</v>
          </cell>
          <cell r="B1248" t="str">
            <v>山东</v>
          </cell>
          <cell r="C1248" t="str">
            <v>体育用品</v>
          </cell>
          <cell r="D1248">
            <v>23</v>
          </cell>
        </row>
        <row r="1249">
          <cell r="A1249">
            <v>34973</v>
          </cell>
          <cell r="B1249" t="str">
            <v>江西</v>
          </cell>
          <cell r="C1249" t="str">
            <v>体育用品</v>
          </cell>
          <cell r="D1249">
            <v>777</v>
          </cell>
        </row>
        <row r="1250">
          <cell r="A1250">
            <v>35004</v>
          </cell>
          <cell r="B1250" t="str">
            <v>山东</v>
          </cell>
          <cell r="C1250" t="str">
            <v>艺术品</v>
          </cell>
          <cell r="D1250">
            <v>923</v>
          </cell>
        </row>
        <row r="1251">
          <cell r="A1251">
            <v>35004</v>
          </cell>
          <cell r="B1251" t="str">
            <v>江苏</v>
          </cell>
          <cell r="C1251" t="str">
            <v>艺术品</v>
          </cell>
          <cell r="D1251">
            <v>212</v>
          </cell>
        </row>
        <row r="1252">
          <cell r="A1252">
            <v>35004</v>
          </cell>
          <cell r="B1252" t="str">
            <v>安徽</v>
          </cell>
          <cell r="C1252" t="str">
            <v>艺术品</v>
          </cell>
          <cell r="D1252">
            <v>248</v>
          </cell>
        </row>
        <row r="1253">
          <cell r="A1253">
            <v>35004</v>
          </cell>
          <cell r="B1253" t="str">
            <v>江苏</v>
          </cell>
          <cell r="C1253" t="str">
            <v>艺术品</v>
          </cell>
          <cell r="D1253">
            <v>248</v>
          </cell>
        </row>
        <row r="1254">
          <cell r="A1254">
            <v>35004</v>
          </cell>
          <cell r="B1254" t="str">
            <v>江西</v>
          </cell>
          <cell r="C1254" t="str">
            <v>艺术品</v>
          </cell>
          <cell r="D1254">
            <v>270</v>
          </cell>
        </row>
        <row r="1255">
          <cell r="A1255">
            <v>35004</v>
          </cell>
          <cell r="B1255" t="str">
            <v>江西</v>
          </cell>
          <cell r="C1255" t="str">
            <v>艺术品</v>
          </cell>
          <cell r="D1255">
            <v>413</v>
          </cell>
        </row>
        <row r="1256">
          <cell r="A1256">
            <v>35004</v>
          </cell>
          <cell r="B1256" t="str">
            <v>山东</v>
          </cell>
          <cell r="C1256" t="str">
            <v>艺术品</v>
          </cell>
          <cell r="D1256">
            <v>427</v>
          </cell>
        </row>
        <row r="1257">
          <cell r="A1257">
            <v>35004</v>
          </cell>
          <cell r="B1257" t="str">
            <v>广东</v>
          </cell>
          <cell r="C1257" t="str">
            <v>艺术品</v>
          </cell>
          <cell r="D1257">
            <v>534</v>
          </cell>
        </row>
        <row r="1258">
          <cell r="A1258">
            <v>35004</v>
          </cell>
          <cell r="B1258" t="str">
            <v>山东</v>
          </cell>
          <cell r="C1258" t="str">
            <v>艺术品</v>
          </cell>
          <cell r="D1258">
            <v>563</v>
          </cell>
        </row>
        <row r="1259">
          <cell r="A1259">
            <v>35004</v>
          </cell>
          <cell r="B1259" t="str">
            <v>安徽</v>
          </cell>
          <cell r="C1259" t="str">
            <v>艺术品</v>
          </cell>
          <cell r="D1259">
            <v>588</v>
          </cell>
        </row>
        <row r="1260">
          <cell r="A1260">
            <v>35004</v>
          </cell>
          <cell r="B1260" t="str">
            <v>广东</v>
          </cell>
          <cell r="C1260" t="str">
            <v>艺术品</v>
          </cell>
          <cell r="D1260">
            <v>902</v>
          </cell>
        </row>
        <row r="1261">
          <cell r="A1261">
            <v>35004</v>
          </cell>
          <cell r="B1261" t="str">
            <v>江西</v>
          </cell>
          <cell r="C1261" t="str">
            <v>艺术品</v>
          </cell>
          <cell r="D1261">
            <v>972</v>
          </cell>
        </row>
        <row r="1262">
          <cell r="A1262">
            <v>35004</v>
          </cell>
          <cell r="B1262" t="str">
            <v>江西</v>
          </cell>
          <cell r="C1262" t="str">
            <v>艺术品</v>
          </cell>
          <cell r="D1262">
            <v>1600</v>
          </cell>
        </row>
        <row r="1263">
          <cell r="A1263">
            <v>35004</v>
          </cell>
          <cell r="B1263" t="str">
            <v>山东</v>
          </cell>
          <cell r="C1263" t="str">
            <v>艺术品</v>
          </cell>
          <cell r="D1263">
            <v>658</v>
          </cell>
        </row>
        <row r="1264">
          <cell r="A1264">
            <v>35004</v>
          </cell>
          <cell r="B1264" t="str">
            <v>江苏</v>
          </cell>
          <cell r="C1264" t="str">
            <v>艺术品</v>
          </cell>
          <cell r="D1264">
            <v>169</v>
          </cell>
        </row>
        <row r="1265">
          <cell r="A1265">
            <v>35004</v>
          </cell>
          <cell r="B1265" t="str">
            <v>江苏</v>
          </cell>
          <cell r="C1265" t="str">
            <v>艺术品</v>
          </cell>
          <cell r="D1265">
            <v>66</v>
          </cell>
        </row>
        <row r="1266">
          <cell r="A1266">
            <v>35004</v>
          </cell>
          <cell r="B1266" t="str">
            <v>安徽</v>
          </cell>
          <cell r="C1266" t="str">
            <v>艺术品</v>
          </cell>
          <cell r="D1266">
            <v>113</v>
          </cell>
        </row>
        <row r="1267">
          <cell r="A1267">
            <v>35004</v>
          </cell>
          <cell r="B1267" t="str">
            <v>安徽</v>
          </cell>
          <cell r="C1267" t="str">
            <v>自行车</v>
          </cell>
          <cell r="D1267">
            <v>114</v>
          </cell>
        </row>
        <row r="1268">
          <cell r="A1268">
            <v>35004</v>
          </cell>
          <cell r="B1268" t="str">
            <v>广东</v>
          </cell>
          <cell r="C1268" t="str">
            <v>自行车</v>
          </cell>
          <cell r="D1268">
            <v>131</v>
          </cell>
        </row>
        <row r="1269">
          <cell r="A1269">
            <v>35004</v>
          </cell>
          <cell r="B1269" t="str">
            <v>安徽</v>
          </cell>
          <cell r="C1269" t="str">
            <v>自行车</v>
          </cell>
          <cell r="D1269">
            <v>140</v>
          </cell>
        </row>
        <row r="1270">
          <cell r="A1270">
            <v>35004</v>
          </cell>
          <cell r="B1270" t="str">
            <v>江苏</v>
          </cell>
          <cell r="C1270" t="str">
            <v>自行车</v>
          </cell>
          <cell r="D1270">
            <v>144</v>
          </cell>
        </row>
        <row r="1271">
          <cell r="A1271">
            <v>35004</v>
          </cell>
          <cell r="B1271" t="str">
            <v>江苏</v>
          </cell>
          <cell r="C1271" t="str">
            <v>自行车</v>
          </cell>
          <cell r="D1271">
            <v>196</v>
          </cell>
        </row>
        <row r="1272">
          <cell r="A1272">
            <v>35004</v>
          </cell>
          <cell r="B1272" t="str">
            <v>安徽</v>
          </cell>
          <cell r="C1272" t="str">
            <v>自行车</v>
          </cell>
          <cell r="D1272">
            <v>169</v>
          </cell>
        </row>
        <row r="1273">
          <cell r="A1273">
            <v>35004</v>
          </cell>
          <cell r="B1273" t="str">
            <v>安徽</v>
          </cell>
          <cell r="C1273" t="str">
            <v>自行车</v>
          </cell>
          <cell r="D1273">
            <v>450</v>
          </cell>
        </row>
        <row r="1274">
          <cell r="A1274">
            <v>35004</v>
          </cell>
          <cell r="B1274" t="str">
            <v>广东</v>
          </cell>
          <cell r="C1274" t="str">
            <v>自行车</v>
          </cell>
          <cell r="D1274">
            <v>214</v>
          </cell>
        </row>
        <row r="1275">
          <cell r="A1275">
            <v>35004</v>
          </cell>
          <cell r="B1275" t="str">
            <v>江苏</v>
          </cell>
          <cell r="C1275" t="str">
            <v>自行车</v>
          </cell>
          <cell r="D1275">
            <v>245</v>
          </cell>
        </row>
        <row r="1276">
          <cell r="A1276">
            <v>35004</v>
          </cell>
          <cell r="B1276" t="str">
            <v>江西</v>
          </cell>
          <cell r="C1276" t="str">
            <v>自行车</v>
          </cell>
          <cell r="D1276">
            <v>263</v>
          </cell>
        </row>
        <row r="1277">
          <cell r="A1277">
            <v>35004</v>
          </cell>
          <cell r="B1277" t="str">
            <v>山东</v>
          </cell>
          <cell r="C1277" t="str">
            <v>自行车</v>
          </cell>
          <cell r="D1277">
            <v>306</v>
          </cell>
        </row>
        <row r="1278">
          <cell r="A1278">
            <v>35004</v>
          </cell>
          <cell r="B1278" t="str">
            <v>江苏</v>
          </cell>
          <cell r="C1278" t="str">
            <v>自行车</v>
          </cell>
          <cell r="D1278">
            <v>315</v>
          </cell>
        </row>
        <row r="1279">
          <cell r="A1279">
            <v>35004</v>
          </cell>
          <cell r="B1279" t="str">
            <v>山东</v>
          </cell>
          <cell r="C1279" t="str">
            <v>自行车</v>
          </cell>
          <cell r="D1279">
            <v>620</v>
          </cell>
        </row>
        <row r="1280">
          <cell r="A1280">
            <v>35004</v>
          </cell>
          <cell r="B1280" t="str">
            <v>江西</v>
          </cell>
          <cell r="C1280" t="str">
            <v>自行车</v>
          </cell>
          <cell r="D1280">
            <v>623</v>
          </cell>
        </row>
        <row r="1281">
          <cell r="A1281">
            <v>35004</v>
          </cell>
          <cell r="B1281" t="str">
            <v>山东</v>
          </cell>
          <cell r="C1281" t="str">
            <v>自行车</v>
          </cell>
          <cell r="D1281">
            <v>690</v>
          </cell>
        </row>
        <row r="1282">
          <cell r="A1282">
            <v>35004</v>
          </cell>
          <cell r="B1282" t="str">
            <v>江西</v>
          </cell>
          <cell r="C1282" t="str">
            <v>自行车</v>
          </cell>
          <cell r="D1282">
            <v>696</v>
          </cell>
        </row>
        <row r="1283">
          <cell r="A1283">
            <v>35004</v>
          </cell>
          <cell r="B1283" t="str">
            <v>山东</v>
          </cell>
          <cell r="C1283" t="str">
            <v>自行车</v>
          </cell>
          <cell r="D1283">
            <v>1124</v>
          </cell>
        </row>
        <row r="1284">
          <cell r="A1284">
            <v>35004</v>
          </cell>
          <cell r="B1284" t="str">
            <v>江西</v>
          </cell>
          <cell r="C1284" t="str">
            <v>自行车</v>
          </cell>
          <cell r="D1284">
            <v>394</v>
          </cell>
        </row>
        <row r="1285">
          <cell r="A1285">
            <v>35004</v>
          </cell>
          <cell r="B1285" t="str">
            <v>安徽</v>
          </cell>
          <cell r="C1285" t="str">
            <v>服装</v>
          </cell>
          <cell r="D1285">
            <v>105</v>
          </cell>
        </row>
        <row r="1286">
          <cell r="A1286">
            <v>35004</v>
          </cell>
          <cell r="B1286" t="str">
            <v>山东</v>
          </cell>
          <cell r="C1286" t="str">
            <v>服装</v>
          </cell>
          <cell r="D1286">
            <v>90</v>
          </cell>
        </row>
        <row r="1287">
          <cell r="A1287">
            <v>35004</v>
          </cell>
          <cell r="B1287" t="str">
            <v>安徽</v>
          </cell>
          <cell r="C1287" t="str">
            <v>服装</v>
          </cell>
          <cell r="D1287">
            <v>90</v>
          </cell>
        </row>
        <row r="1288">
          <cell r="A1288">
            <v>35004</v>
          </cell>
          <cell r="B1288" t="str">
            <v>安徽</v>
          </cell>
          <cell r="C1288" t="str">
            <v>服装</v>
          </cell>
          <cell r="D1288">
            <v>90</v>
          </cell>
        </row>
        <row r="1289">
          <cell r="A1289">
            <v>35004</v>
          </cell>
          <cell r="B1289" t="str">
            <v>山东</v>
          </cell>
          <cell r="C1289" t="str">
            <v>服装</v>
          </cell>
          <cell r="D1289">
            <v>81</v>
          </cell>
        </row>
        <row r="1290">
          <cell r="A1290">
            <v>35004</v>
          </cell>
          <cell r="B1290" t="str">
            <v>山东</v>
          </cell>
          <cell r="C1290" t="str">
            <v>服装</v>
          </cell>
          <cell r="D1290">
            <v>55</v>
          </cell>
        </row>
        <row r="1291">
          <cell r="A1291">
            <v>35004</v>
          </cell>
          <cell r="B1291" t="str">
            <v>山东</v>
          </cell>
          <cell r="C1291" t="str">
            <v>服装</v>
          </cell>
          <cell r="D1291">
            <v>1975</v>
          </cell>
        </row>
        <row r="1292">
          <cell r="A1292">
            <v>35004</v>
          </cell>
          <cell r="B1292" t="str">
            <v>山东</v>
          </cell>
          <cell r="C1292" t="str">
            <v>服装</v>
          </cell>
          <cell r="D1292">
            <v>3490</v>
          </cell>
        </row>
        <row r="1293">
          <cell r="A1293">
            <v>35004</v>
          </cell>
          <cell r="B1293" t="str">
            <v>山东</v>
          </cell>
          <cell r="C1293" t="str">
            <v>服装</v>
          </cell>
          <cell r="D1293">
            <v>113</v>
          </cell>
        </row>
        <row r="1294">
          <cell r="A1294">
            <v>35004</v>
          </cell>
          <cell r="B1294" t="str">
            <v>安徽</v>
          </cell>
          <cell r="C1294" t="str">
            <v>服装</v>
          </cell>
          <cell r="D1294">
            <v>140</v>
          </cell>
        </row>
        <row r="1295">
          <cell r="A1295">
            <v>35004</v>
          </cell>
          <cell r="B1295" t="str">
            <v>安徽</v>
          </cell>
          <cell r="C1295" t="str">
            <v>服装</v>
          </cell>
          <cell r="D1295">
            <v>234</v>
          </cell>
        </row>
        <row r="1296">
          <cell r="A1296">
            <v>35004</v>
          </cell>
          <cell r="B1296" t="str">
            <v>安徽</v>
          </cell>
          <cell r="C1296" t="str">
            <v>服装</v>
          </cell>
          <cell r="D1296">
            <v>248</v>
          </cell>
        </row>
        <row r="1297">
          <cell r="A1297">
            <v>35004</v>
          </cell>
          <cell r="B1297" t="str">
            <v>山东</v>
          </cell>
          <cell r="C1297" t="str">
            <v>食品</v>
          </cell>
          <cell r="D1297">
            <v>1456</v>
          </cell>
        </row>
        <row r="1298">
          <cell r="A1298">
            <v>35004</v>
          </cell>
          <cell r="B1298" t="str">
            <v>广东</v>
          </cell>
          <cell r="C1298" t="str">
            <v>食品</v>
          </cell>
          <cell r="D1298">
            <v>140</v>
          </cell>
        </row>
        <row r="1299">
          <cell r="A1299">
            <v>35004</v>
          </cell>
          <cell r="B1299" t="str">
            <v>安徽</v>
          </cell>
          <cell r="C1299" t="str">
            <v>食品</v>
          </cell>
          <cell r="D1299">
            <v>135</v>
          </cell>
        </row>
        <row r="1300">
          <cell r="A1300">
            <v>35004</v>
          </cell>
          <cell r="B1300" t="str">
            <v>山东</v>
          </cell>
          <cell r="C1300" t="str">
            <v>食品</v>
          </cell>
          <cell r="D1300">
            <v>90</v>
          </cell>
        </row>
        <row r="1301">
          <cell r="A1301">
            <v>35004</v>
          </cell>
          <cell r="B1301" t="str">
            <v>山东</v>
          </cell>
          <cell r="C1301" t="str">
            <v>食品</v>
          </cell>
          <cell r="D1301">
            <v>88</v>
          </cell>
        </row>
        <row r="1302">
          <cell r="A1302">
            <v>35004</v>
          </cell>
          <cell r="B1302" t="str">
            <v>广东</v>
          </cell>
          <cell r="C1302" t="str">
            <v>食品</v>
          </cell>
          <cell r="D1302">
            <v>79</v>
          </cell>
        </row>
        <row r="1303">
          <cell r="A1303">
            <v>35004</v>
          </cell>
          <cell r="B1303" t="str">
            <v>江苏</v>
          </cell>
          <cell r="C1303" t="str">
            <v>食品</v>
          </cell>
          <cell r="D1303">
            <v>53</v>
          </cell>
        </row>
        <row r="1304">
          <cell r="A1304">
            <v>35004</v>
          </cell>
          <cell r="B1304" t="str">
            <v>江苏</v>
          </cell>
          <cell r="C1304" t="str">
            <v>食品</v>
          </cell>
          <cell r="D1304">
            <v>81</v>
          </cell>
        </row>
        <row r="1305">
          <cell r="A1305">
            <v>35004</v>
          </cell>
          <cell r="B1305" t="str">
            <v>江苏</v>
          </cell>
          <cell r="C1305" t="str">
            <v>食品</v>
          </cell>
          <cell r="D1305">
            <v>113</v>
          </cell>
        </row>
        <row r="1306">
          <cell r="A1306">
            <v>35004</v>
          </cell>
          <cell r="B1306" t="str">
            <v>山东</v>
          </cell>
          <cell r="C1306" t="str">
            <v>食品</v>
          </cell>
          <cell r="D1306">
            <v>394</v>
          </cell>
        </row>
        <row r="1307">
          <cell r="A1307">
            <v>35004</v>
          </cell>
          <cell r="B1307" t="str">
            <v>安徽</v>
          </cell>
          <cell r="C1307" t="str">
            <v>食品</v>
          </cell>
          <cell r="D1307">
            <v>349</v>
          </cell>
        </row>
        <row r="1308">
          <cell r="A1308">
            <v>35004</v>
          </cell>
          <cell r="B1308" t="str">
            <v>江西</v>
          </cell>
          <cell r="C1308" t="str">
            <v>食品</v>
          </cell>
          <cell r="D1308">
            <v>408</v>
          </cell>
        </row>
        <row r="1309">
          <cell r="A1309">
            <v>35004</v>
          </cell>
          <cell r="B1309" t="str">
            <v>安徽</v>
          </cell>
          <cell r="C1309" t="str">
            <v>食品</v>
          </cell>
          <cell r="D1309">
            <v>1055</v>
          </cell>
        </row>
        <row r="1310">
          <cell r="A1310">
            <v>35004</v>
          </cell>
          <cell r="B1310" t="str">
            <v>江苏</v>
          </cell>
          <cell r="C1310" t="str">
            <v>食品</v>
          </cell>
          <cell r="D1310">
            <v>166</v>
          </cell>
        </row>
        <row r="1311">
          <cell r="A1311">
            <v>35004</v>
          </cell>
          <cell r="B1311" t="str">
            <v>安徽</v>
          </cell>
          <cell r="C1311" t="str">
            <v>食品</v>
          </cell>
          <cell r="D1311">
            <v>193</v>
          </cell>
        </row>
        <row r="1312">
          <cell r="A1312">
            <v>35004</v>
          </cell>
          <cell r="B1312" t="str">
            <v>江西</v>
          </cell>
          <cell r="C1312" t="str">
            <v>食品</v>
          </cell>
          <cell r="D1312">
            <v>210</v>
          </cell>
        </row>
        <row r="1313">
          <cell r="A1313">
            <v>35004</v>
          </cell>
          <cell r="B1313" t="str">
            <v>江西</v>
          </cell>
          <cell r="C1313" t="str">
            <v>食品</v>
          </cell>
          <cell r="D1313">
            <v>210</v>
          </cell>
        </row>
        <row r="1314">
          <cell r="A1314">
            <v>35004</v>
          </cell>
          <cell r="B1314" t="str">
            <v>江西</v>
          </cell>
          <cell r="C1314" t="str">
            <v>食品</v>
          </cell>
          <cell r="D1314">
            <v>623</v>
          </cell>
        </row>
        <row r="1315">
          <cell r="A1315">
            <v>35004</v>
          </cell>
          <cell r="B1315" t="str">
            <v>江苏</v>
          </cell>
          <cell r="C1315" t="str">
            <v>儿童用品</v>
          </cell>
          <cell r="D1315">
            <v>102</v>
          </cell>
        </row>
        <row r="1316">
          <cell r="A1316">
            <v>35004</v>
          </cell>
          <cell r="B1316" t="str">
            <v>江苏</v>
          </cell>
          <cell r="C1316" t="str">
            <v>儿童用品</v>
          </cell>
          <cell r="D1316">
            <v>45</v>
          </cell>
        </row>
        <row r="1317">
          <cell r="A1317">
            <v>35004</v>
          </cell>
          <cell r="B1317" t="str">
            <v>江西</v>
          </cell>
          <cell r="C1317" t="str">
            <v>儿童用品</v>
          </cell>
          <cell r="D1317">
            <v>50</v>
          </cell>
        </row>
        <row r="1318">
          <cell r="A1318">
            <v>35004</v>
          </cell>
          <cell r="B1318" t="str">
            <v>山东</v>
          </cell>
          <cell r="C1318" t="str">
            <v>儿童用品</v>
          </cell>
          <cell r="D1318">
            <v>53</v>
          </cell>
        </row>
        <row r="1319">
          <cell r="A1319">
            <v>35004</v>
          </cell>
          <cell r="B1319" t="str">
            <v>江西</v>
          </cell>
          <cell r="C1319" t="str">
            <v>儿童用品</v>
          </cell>
          <cell r="D1319">
            <v>56</v>
          </cell>
        </row>
        <row r="1320">
          <cell r="A1320">
            <v>35004</v>
          </cell>
          <cell r="B1320" t="str">
            <v>江苏</v>
          </cell>
          <cell r="C1320" t="str">
            <v>儿童用品</v>
          </cell>
          <cell r="D1320">
            <v>79</v>
          </cell>
        </row>
        <row r="1321">
          <cell r="A1321">
            <v>35004</v>
          </cell>
          <cell r="B1321" t="str">
            <v>山东</v>
          </cell>
          <cell r="C1321" t="str">
            <v>儿童用品</v>
          </cell>
          <cell r="D1321">
            <v>90</v>
          </cell>
        </row>
        <row r="1322">
          <cell r="A1322">
            <v>35004</v>
          </cell>
          <cell r="B1322" t="str">
            <v>江苏</v>
          </cell>
          <cell r="C1322" t="str">
            <v>儿童用品</v>
          </cell>
          <cell r="D1322">
            <v>90</v>
          </cell>
        </row>
        <row r="1323">
          <cell r="A1323">
            <v>35004</v>
          </cell>
          <cell r="B1323" t="str">
            <v>安徽</v>
          </cell>
          <cell r="C1323" t="str">
            <v>儿童用品</v>
          </cell>
          <cell r="D1323">
            <v>371</v>
          </cell>
        </row>
        <row r="1324">
          <cell r="A1324">
            <v>35004</v>
          </cell>
          <cell r="B1324" t="str">
            <v>安徽</v>
          </cell>
          <cell r="C1324" t="str">
            <v>儿童用品</v>
          </cell>
          <cell r="D1324">
            <v>252</v>
          </cell>
        </row>
        <row r="1325">
          <cell r="A1325">
            <v>35004</v>
          </cell>
          <cell r="B1325" t="str">
            <v>广东</v>
          </cell>
          <cell r="C1325" t="str">
            <v>儿童用品</v>
          </cell>
          <cell r="D1325">
            <v>113</v>
          </cell>
        </row>
        <row r="1326">
          <cell r="A1326">
            <v>35004</v>
          </cell>
          <cell r="B1326" t="str">
            <v>广东</v>
          </cell>
          <cell r="C1326" t="str">
            <v>儿童用品</v>
          </cell>
          <cell r="D1326">
            <v>123</v>
          </cell>
        </row>
        <row r="1327">
          <cell r="A1327">
            <v>35004</v>
          </cell>
          <cell r="B1327" t="str">
            <v>山东</v>
          </cell>
          <cell r="C1327" t="str">
            <v>儿童用品</v>
          </cell>
          <cell r="D1327">
            <v>586</v>
          </cell>
        </row>
        <row r="1328">
          <cell r="A1328">
            <v>35004</v>
          </cell>
          <cell r="B1328" t="str">
            <v>山东</v>
          </cell>
          <cell r="C1328" t="str">
            <v>儿童用品</v>
          </cell>
          <cell r="D1328">
            <v>642</v>
          </cell>
        </row>
        <row r="1329">
          <cell r="A1329">
            <v>35004</v>
          </cell>
          <cell r="B1329" t="str">
            <v>江西</v>
          </cell>
          <cell r="C1329" t="str">
            <v>儿童用品</v>
          </cell>
          <cell r="D1329">
            <v>747</v>
          </cell>
        </row>
        <row r="1330">
          <cell r="A1330">
            <v>35004</v>
          </cell>
          <cell r="B1330" t="str">
            <v>安徽</v>
          </cell>
          <cell r="C1330" t="str">
            <v>儿童用品</v>
          </cell>
          <cell r="D1330">
            <v>1238</v>
          </cell>
        </row>
        <row r="1331">
          <cell r="A1331">
            <v>35004</v>
          </cell>
          <cell r="B1331" t="str">
            <v>江西</v>
          </cell>
          <cell r="C1331" t="str">
            <v>儿童用品</v>
          </cell>
          <cell r="D1331">
            <v>1603</v>
          </cell>
        </row>
        <row r="1332">
          <cell r="A1332">
            <v>35004</v>
          </cell>
          <cell r="B1332" t="str">
            <v>安徽</v>
          </cell>
          <cell r="C1332" t="str">
            <v>儿童用品</v>
          </cell>
          <cell r="D1332">
            <v>1938</v>
          </cell>
        </row>
        <row r="1333">
          <cell r="A1333">
            <v>35004</v>
          </cell>
          <cell r="B1333" t="str">
            <v>广东</v>
          </cell>
          <cell r="C1333" t="str">
            <v>体育用品</v>
          </cell>
          <cell r="D1333">
            <v>180</v>
          </cell>
        </row>
        <row r="1334">
          <cell r="A1334">
            <v>35004</v>
          </cell>
          <cell r="B1334" t="str">
            <v>江苏</v>
          </cell>
          <cell r="C1334" t="str">
            <v>体育用品</v>
          </cell>
          <cell r="D1334">
            <v>203</v>
          </cell>
        </row>
        <row r="1335">
          <cell r="A1335">
            <v>35004</v>
          </cell>
          <cell r="B1335" t="str">
            <v>江苏</v>
          </cell>
          <cell r="C1335" t="str">
            <v>体育用品</v>
          </cell>
          <cell r="D1335">
            <v>171</v>
          </cell>
        </row>
        <row r="1336">
          <cell r="A1336">
            <v>35004</v>
          </cell>
          <cell r="B1336" t="str">
            <v>安徽</v>
          </cell>
          <cell r="C1336" t="str">
            <v>体育用品</v>
          </cell>
          <cell r="D1336">
            <v>203</v>
          </cell>
        </row>
        <row r="1337">
          <cell r="A1337">
            <v>35004</v>
          </cell>
          <cell r="B1337" t="str">
            <v>广东</v>
          </cell>
          <cell r="C1337" t="str">
            <v>体育用品</v>
          </cell>
          <cell r="D1337">
            <v>228</v>
          </cell>
        </row>
        <row r="1338">
          <cell r="A1338">
            <v>35004</v>
          </cell>
          <cell r="B1338" t="str">
            <v>江苏</v>
          </cell>
          <cell r="C1338" t="str">
            <v>体育用品</v>
          </cell>
          <cell r="D1338">
            <v>151</v>
          </cell>
        </row>
        <row r="1339">
          <cell r="A1339">
            <v>35004</v>
          </cell>
          <cell r="B1339" t="str">
            <v>江苏</v>
          </cell>
          <cell r="C1339" t="str">
            <v>体育用品</v>
          </cell>
          <cell r="D1339">
            <v>105</v>
          </cell>
        </row>
        <row r="1340">
          <cell r="A1340">
            <v>35004</v>
          </cell>
          <cell r="B1340" t="str">
            <v>江苏</v>
          </cell>
          <cell r="C1340" t="str">
            <v>体育用品</v>
          </cell>
          <cell r="D1340">
            <v>105</v>
          </cell>
        </row>
        <row r="1341">
          <cell r="A1341">
            <v>35004</v>
          </cell>
          <cell r="B1341" t="str">
            <v>山东</v>
          </cell>
          <cell r="C1341" t="str">
            <v>体育用品</v>
          </cell>
          <cell r="D1341">
            <v>114</v>
          </cell>
        </row>
        <row r="1342">
          <cell r="A1342">
            <v>35004</v>
          </cell>
          <cell r="B1342" t="str">
            <v>安徽</v>
          </cell>
          <cell r="C1342" t="str">
            <v>体育用品</v>
          </cell>
          <cell r="D1342">
            <v>123</v>
          </cell>
        </row>
        <row r="1343">
          <cell r="A1343">
            <v>35004</v>
          </cell>
          <cell r="B1343" t="str">
            <v>江西</v>
          </cell>
          <cell r="C1343" t="str">
            <v>体育用品</v>
          </cell>
          <cell r="D1343">
            <v>124</v>
          </cell>
        </row>
        <row r="1344">
          <cell r="A1344">
            <v>35004</v>
          </cell>
          <cell r="B1344" t="str">
            <v>安徽</v>
          </cell>
          <cell r="C1344" t="str">
            <v>体育用品</v>
          </cell>
          <cell r="D1344">
            <v>175</v>
          </cell>
        </row>
        <row r="1345">
          <cell r="A1345">
            <v>35004</v>
          </cell>
          <cell r="B1345" t="str">
            <v>安徽</v>
          </cell>
          <cell r="C1345" t="str">
            <v>体育用品</v>
          </cell>
          <cell r="D1345">
            <v>138</v>
          </cell>
        </row>
        <row r="1346">
          <cell r="A1346">
            <v>35004</v>
          </cell>
          <cell r="B1346" t="str">
            <v>山东</v>
          </cell>
          <cell r="C1346" t="str">
            <v>体育用品</v>
          </cell>
          <cell r="D1346">
            <v>44</v>
          </cell>
        </row>
        <row r="1347">
          <cell r="A1347">
            <v>35004</v>
          </cell>
          <cell r="B1347" t="str">
            <v>山东</v>
          </cell>
          <cell r="C1347" t="str">
            <v>体育用品</v>
          </cell>
          <cell r="D1347">
            <v>32</v>
          </cell>
        </row>
        <row r="1348">
          <cell r="A1348">
            <v>35004</v>
          </cell>
          <cell r="B1348" t="str">
            <v>山东</v>
          </cell>
          <cell r="C1348" t="str">
            <v>体育用品</v>
          </cell>
          <cell r="D1348">
            <v>23</v>
          </cell>
        </row>
        <row r="1349">
          <cell r="A1349">
            <v>35004</v>
          </cell>
          <cell r="B1349" t="str">
            <v>安徽</v>
          </cell>
          <cell r="C1349" t="str">
            <v>体育用品</v>
          </cell>
          <cell r="D1349">
            <v>151</v>
          </cell>
        </row>
        <row r="1350">
          <cell r="A1350">
            <v>35004</v>
          </cell>
          <cell r="B1350" t="str">
            <v>山东</v>
          </cell>
          <cell r="C1350" t="str">
            <v>体育用品</v>
          </cell>
          <cell r="D1350">
            <v>151</v>
          </cell>
        </row>
        <row r="1351">
          <cell r="A1351">
            <v>35004</v>
          </cell>
          <cell r="B1351" t="str">
            <v>山东</v>
          </cell>
          <cell r="C1351" t="str">
            <v>体育用品</v>
          </cell>
          <cell r="D1351">
            <v>158</v>
          </cell>
        </row>
        <row r="1352">
          <cell r="A1352">
            <v>35004</v>
          </cell>
          <cell r="B1352" t="str">
            <v>江苏</v>
          </cell>
          <cell r="C1352" t="str">
            <v>体育用品</v>
          </cell>
          <cell r="D1352">
            <v>135</v>
          </cell>
        </row>
        <row r="1353">
          <cell r="A1353">
            <v>35004</v>
          </cell>
          <cell r="B1353" t="str">
            <v>安徽</v>
          </cell>
          <cell r="C1353" t="str">
            <v>体育用品</v>
          </cell>
          <cell r="D1353">
            <v>1057</v>
          </cell>
        </row>
        <row r="1354">
          <cell r="A1354">
            <v>35004</v>
          </cell>
          <cell r="B1354" t="str">
            <v>江西</v>
          </cell>
          <cell r="C1354" t="str">
            <v>体育用品</v>
          </cell>
          <cell r="D1354">
            <v>413</v>
          </cell>
        </row>
        <row r="1355">
          <cell r="A1355">
            <v>35004</v>
          </cell>
          <cell r="B1355" t="str">
            <v>江西</v>
          </cell>
          <cell r="C1355" t="str">
            <v>体育用品</v>
          </cell>
          <cell r="D1355">
            <v>263</v>
          </cell>
        </row>
        <row r="1356">
          <cell r="A1356">
            <v>35004</v>
          </cell>
          <cell r="B1356" t="str">
            <v>江西</v>
          </cell>
          <cell r="C1356" t="str">
            <v>体育用品</v>
          </cell>
          <cell r="D1356">
            <v>270</v>
          </cell>
        </row>
        <row r="1357">
          <cell r="A1357">
            <v>35004</v>
          </cell>
          <cell r="B1357" t="str">
            <v>江西</v>
          </cell>
          <cell r="C1357" t="str">
            <v>体育用品</v>
          </cell>
          <cell r="D1357">
            <v>405</v>
          </cell>
        </row>
        <row r="1358">
          <cell r="A1358">
            <v>35004</v>
          </cell>
          <cell r="B1358" t="str">
            <v>广东</v>
          </cell>
          <cell r="C1358" t="str">
            <v>体育用品</v>
          </cell>
          <cell r="D1358">
            <v>110</v>
          </cell>
        </row>
        <row r="1359">
          <cell r="A1359">
            <v>35034</v>
          </cell>
          <cell r="B1359" t="str">
            <v>江苏</v>
          </cell>
          <cell r="C1359" t="str">
            <v>艺术品</v>
          </cell>
          <cell r="D1359">
            <v>220</v>
          </cell>
        </row>
        <row r="1360">
          <cell r="A1360">
            <v>35034</v>
          </cell>
          <cell r="B1360" t="str">
            <v>江苏</v>
          </cell>
          <cell r="C1360" t="str">
            <v>艺术品</v>
          </cell>
          <cell r="D1360">
            <v>61</v>
          </cell>
        </row>
        <row r="1361">
          <cell r="A1361">
            <v>35034</v>
          </cell>
          <cell r="B1361" t="str">
            <v>安徽</v>
          </cell>
          <cell r="C1361" t="str">
            <v>艺术品</v>
          </cell>
          <cell r="D1361">
            <v>79</v>
          </cell>
        </row>
        <row r="1362">
          <cell r="A1362">
            <v>35034</v>
          </cell>
          <cell r="B1362" t="str">
            <v>江西</v>
          </cell>
          <cell r="C1362" t="str">
            <v>艺术品</v>
          </cell>
          <cell r="D1362">
            <v>124</v>
          </cell>
        </row>
        <row r="1363">
          <cell r="A1363">
            <v>35034</v>
          </cell>
          <cell r="B1363" t="str">
            <v>江苏</v>
          </cell>
          <cell r="C1363" t="str">
            <v>艺术品</v>
          </cell>
          <cell r="D1363">
            <v>191</v>
          </cell>
        </row>
        <row r="1364">
          <cell r="A1364">
            <v>35034</v>
          </cell>
          <cell r="B1364" t="str">
            <v>江苏</v>
          </cell>
          <cell r="C1364" t="str">
            <v>艺术品</v>
          </cell>
          <cell r="D1364">
            <v>230</v>
          </cell>
        </row>
        <row r="1365">
          <cell r="A1365">
            <v>35034</v>
          </cell>
          <cell r="B1365" t="str">
            <v>安徽</v>
          </cell>
          <cell r="C1365" t="str">
            <v>艺术品</v>
          </cell>
          <cell r="D1365">
            <v>220</v>
          </cell>
        </row>
        <row r="1366">
          <cell r="A1366">
            <v>35034</v>
          </cell>
          <cell r="B1366" t="str">
            <v>江西</v>
          </cell>
          <cell r="C1366" t="str">
            <v>艺术品</v>
          </cell>
          <cell r="D1366">
            <v>270</v>
          </cell>
        </row>
        <row r="1367">
          <cell r="A1367">
            <v>35034</v>
          </cell>
          <cell r="B1367" t="str">
            <v>山东</v>
          </cell>
          <cell r="C1367" t="str">
            <v>艺术品</v>
          </cell>
          <cell r="D1367">
            <v>507</v>
          </cell>
        </row>
        <row r="1368">
          <cell r="A1368">
            <v>35034</v>
          </cell>
          <cell r="B1368" t="str">
            <v>广东</v>
          </cell>
          <cell r="C1368" t="str">
            <v>艺术品</v>
          </cell>
          <cell r="D1368">
            <v>534</v>
          </cell>
        </row>
        <row r="1369">
          <cell r="A1369">
            <v>35034</v>
          </cell>
          <cell r="B1369" t="str">
            <v>江西</v>
          </cell>
          <cell r="C1369" t="str">
            <v>艺术品</v>
          </cell>
          <cell r="D1369">
            <v>658</v>
          </cell>
        </row>
        <row r="1370">
          <cell r="A1370">
            <v>35034</v>
          </cell>
          <cell r="B1370" t="str">
            <v>山东</v>
          </cell>
          <cell r="C1370" t="str">
            <v>艺术品</v>
          </cell>
          <cell r="D1370">
            <v>659</v>
          </cell>
        </row>
        <row r="1371">
          <cell r="A1371">
            <v>35034</v>
          </cell>
          <cell r="B1371" t="str">
            <v>山东</v>
          </cell>
          <cell r="C1371" t="str">
            <v>艺术品</v>
          </cell>
          <cell r="D1371">
            <v>770</v>
          </cell>
        </row>
        <row r="1372">
          <cell r="A1372">
            <v>35034</v>
          </cell>
          <cell r="B1372" t="str">
            <v>山东</v>
          </cell>
          <cell r="C1372" t="str">
            <v>艺术品</v>
          </cell>
          <cell r="D1372">
            <v>836</v>
          </cell>
        </row>
        <row r="1373">
          <cell r="A1373">
            <v>35034</v>
          </cell>
          <cell r="B1373" t="str">
            <v>广东</v>
          </cell>
          <cell r="C1373" t="str">
            <v>艺术品</v>
          </cell>
          <cell r="D1373">
            <v>923</v>
          </cell>
        </row>
        <row r="1374">
          <cell r="A1374">
            <v>35034</v>
          </cell>
          <cell r="B1374" t="str">
            <v>江西</v>
          </cell>
          <cell r="C1374" t="str">
            <v>艺术品</v>
          </cell>
          <cell r="D1374">
            <v>2068</v>
          </cell>
        </row>
        <row r="1375">
          <cell r="A1375">
            <v>35034</v>
          </cell>
          <cell r="B1375" t="str">
            <v>安徽</v>
          </cell>
          <cell r="C1375" t="str">
            <v>艺术品</v>
          </cell>
          <cell r="D1375">
            <v>945</v>
          </cell>
        </row>
        <row r="1376">
          <cell r="A1376">
            <v>35034</v>
          </cell>
          <cell r="B1376" t="str">
            <v>安徽</v>
          </cell>
          <cell r="C1376" t="str">
            <v>自行车</v>
          </cell>
          <cell r="D1376">
            <v>146</v>
          </cell>
        </row>
        <row r="1377">
          <cell r="A1377">
            <v>35034</v>
          </cell>
          <cell r="B1377" t="str">
            <v>广东</v>
          </cell>
          <cell r="C1377" t="str">
            <v>自行车</v>
          </cell>
          <cell r="D1377">
            <v>270</v>
          </cell>
        </row>
        <row r="1378">
          <cell r="A1378">
            <v>35034</v>
          </cell>
          <cell r="B1378" t="str">
            <v>山东</v>
          </cell>
          <cell r="C1378" t="str">
            <v>自行车</v>
          </cell>
          <cell r="D1378">
            <v>315</v>
          </cell>
        </row>
        <row r="1379">
          <cell r="A1379">
            <v>35034</v>
          </cell>
          <cell r="B1379" t="str">
            <v>江西</v>
          </cell>
          <cell r="C1379" t="str">
            <v>自行车</v>
          </cell>
          <cell r="D1379">
            <v>368</v>
          </cell>
        </row>
        <row r="1380">
          <cell r="A1380">
            <v>35034</v>
          </cell>
          <cell r="B1380" t="str">
            <v>江西</v>
          </cell>
          <cell r="C1380" t="str">
            <v>自行车</v>
          </cell>
          <cell r="D1380">
            <v>368</v>
          </cell>
        </row>
        <row r="1381">
          <cell r="A1381">
            <v>35034</v>
          </cell>
          <cell r="B1381" t="str">
            <v>安徽</v>
          </cell>
          <cell r="C1381" t="str">
            <v>自行车</v>
          </cell>
          <cell r="D1381">
            <v>477</v>
          </cell>
        </row>
        <row r="1382">
          <cell r="A1382">
            <v>35034</v>
          </cell>
          <cell r="B1382" t="str">
            <v>江西</v>
          </cell>
          <cell r="C1382" t="str">
            <v>自行车</v>
          </cell>
          <cell r="D1382">
            <v>557</v>
          </cell>
        </row>
        <row r="1383">
          <cell r="A1383">
            <v>35034</v>
          </cell>
          <cell r="B1383" t="str">
            <v>山东</v>
          </cell>
          <cell r="C1383" t="str">
            <v>自行车</v>
          </cell>
          <cell r="D1383">
            <v>630</v>
          </cell>
        </row>
        <row r="1384">
          <cell r="A1384">
            <v>35034</v>
          </cell>
          <cell r="B1384" t="str">
            <v>山东</v>
          </cell>
          <cell r="C1384" t="str">
            <v>自行车</v>
          </cell>
          <cell r="D1384">
            <v>646</v>
          </cell>
        </row>
        <row r="1385">
          <cell r="A1385">
            <v>35034</v>
          </cell>
          <cell r="B1385" t="str">
            <v>山东</v>
          </cell>
          <cell r="C1385" t="str">
            <v>自行车</v>
          </cell>
          <cell r="D1385">
            <v>838</v>
          </cell>
        </row>
        <row r="1386">
          <cell r="A1386">
            <v>35034</v>
          </cell>
          <cell r="B1386" t="str">
            <v>江西</v>
          </cell>
          <cell r="C1386" t="str">
            <v>自行车</v>
          </cell>
          <cell r="D1386">
            <v>862</v>
          </cell>
        </row>
        <row r="1387">
          <cell r="A1387">
            <v>35034</v>
          </cell>
          <cell r="B1387" t="str">
            <v>安徽</v>
          </cell>
          <cell r="C1387" t="str">
            <v>自行车</v>
          </cell>
          <cell r="D1387">
            <v>105</v>
          </cell>
        </row>
        <row r="1388">
          <cell r="A1388">
            <v>35034</v>
          </cell>
          <cell r="B1388" t="str">
            <v>江苏</v>
          </cell>
          <cell r="C1388" t="str">
            <v>自行车</v>
          </cell>
          <cell r="D1388">
            <v>259</v>
          </cell>
        </row>
        <row r="1389">
          <cell r="A1389">
            <v>35034</v>
          </cell>
          <cell r="B1389" t="str">
            <v>广东</v>
          </cell>
          <cell r="C1389" t="str">
            <v>自行车</v>
          </cell>
          <cell r="D1389">
            <v>131</v>
          </cell>
        </row>
        <row r="1390">
          <cell r="A1390">
            <v>35034</v>
          </cell>
          <cell r="B1390" t="str">
            <v>安徽</v>
          </cell>
          <cell r="C1390" t="str">
            <v>自行车</v>
          </cell>
          <cell r="D1390">
            <v>175</v>
          </cell>
        </row>
        <row r="1391">
          <cell r="A1391">
            <v>35034</v>
          </cell>
          <cell r="B1391" t="str">
            <v>江苏</v>
          </cell>
          <cell r="C1391" t="str">
            <v>自行车</v>
          </cell>
          <cell r="D1391">
            <v>176</v>
          </cell>
        </row>
        <row r="1392">
          <cell r="A1392">
            <v>35034</v>
          </cell>
          <cell r="B1392" t="str">
            <v>江苏</v>
          </cell>
          <cell r="C1392" t="str">
            <v>自行车</v>
          </cell>
          <cell r="D1392">
            <v>201</v>
          </cell>
        </row>
        <row r="1393">
          <cell r="A1393">
            <v>35034</v>
          </cell>
          <cell r="B1393" t="str">
            <v>江苏</v>
          </cell>
          <cell r="C1393" t="str">
            <v>自行车</v>
          </cell>
          <cell r="D1393">
            <v>214</v>
          </cell>
        </row>
        <row r="1394">
          <cell r="A1394">
            <v>35034</v>
          </cell>
          <cell r="B1394" t="str">
            <v>山东</v>
          </cell>
          <cell r="C1394" t="str">
            <v>服装</v>
          </cell>
          <cell r="D1394">
            <v>1874</v>
          </cell>
        </row>
        <row r="1395">
          <cell r="A1395">
            <v>35034</v>
          </cell>
          <cell r="B1395" t="str">
            <v>山东</v>
          </cell>
          <cell r="C1395" t="str">
            <v>服装</v>
          </cell>
          <cell r="D1395">
            <v>2875</v>
          </cell>
        </row>
        <row r="1396">
          <cell r="A1396">
            <v>35034</v>
          </cell>
          <cell r="B1396" t="str">
            <v>安徽</v>
          </cell>
          <cell r="C1396" t="str">
            <v>服装</v>
          </cell>
          <cell r="D1396">
            <v>248</v>
          </cell>
        </row>
        <row r="1397">
          <cell r="A1397">
            <v>35034</v>
          </cell>
          <cell r="B1397" t="str">
            <v>山东</v>
          </cell>
          <cell r="C1397" t="str">
            <v>服装</v>
          </cell>
          <cell r="D1397">
            <v>66</v>
          </cell>
        </row>
        <row r="1398">
          <cell r="A1398">
            <v>35034</v>
          </cell>
          <cell r="B1398" t="str">
            <v>山东</v>
          </cell>
          <cell r="C1398" t="str">
            <v>服装</v>
          </cell>
          <cell r="D1398">
            <v>126</v>
          </cell>
        </row>
        <row r="1399">
          <cell r="A1399">
            <v>35034</v>
          </cell>
          <cell r="B1399" t="str">
            <v>安徽</v>
          </cell>
          <cell r="C1399" t="str">
            <v>服装</v>
          </cell>
          <cell r="D1399">
            <v>123</v>
          </cell>
        </row>
        <row r="1400">
          <cell r="A1400">
            <v>35034</v>
          </cell>
          <cell r="B1400" t="str">
            <v>安徽</v>
          </cell>
          <cell r="C1400" t="str">
            <v>服装</v>
          </cell>
          <cell r="D1400">
            <v>220</v>
          </cell>
        </row>
        <row r="1401">
          <cell r="A1401">
            <v>35034</v>
          </cell>
          <cell r="B1401" t="str">
            <v>安徽</v>
          </cell>
          <cell r="C1401" t="str">
            <v>服装</v>
          </cell>
          <cell r="D1401">
            <v>88</v>
          </cell>
        </row>
        <row r="1402">
          <cell r="A1402">
            <v>35034</v>
          </cell>
          <cell r="B1402" t="str">
            <v>安徽</v>
          </cell>
          <cell r="C1402" t="str">
            <v>服装</v>
          </cell>
          <cell r="D1402">
            <v>90</v>
          </cell>
        </row>
        <row r="1403">
          <cell r="A1403">
            <v>35034</v>
          </cell>
          <cell r="B1403" t="str">
            <v>山东</v>
          </cell>
          <cell r="C1403" t="str">
            <v>服装</v>
          </cell>
          <cell r="D1403">
            <v>90</v>
          </cell>
        </row>
        <row r="1404">
          <cell r="A1404">
            <v>35034</v>
          </cell>
          <cell r="B1404" t="str">
            <v>安徽</v>
          </cell>
          <cell r="C1404" t="str">
            <v>服装</v>
          </cell>
          <cell r="D1404">
            <v>90</v>
          </cell>
        </row>
        <row r="1405">
          <cell r="A1405">
            <v>35034</v>
          </cell>
          <cell r="B1405" t="str">
            <v>山东</v>
          </cell>
          <cell r="C1405" t="str">
            <v>服装</v>
          </cell>
          <cell r="D1405">
            <v>70</v>
          </cell>
        </row>
        <row r="1406">
          <cell r="A1406">
            <v>35034</v>
          </cell>
          <cell r="B1406" t="str">
            <v>山东</v>
          </cell>
          <cell r="C1406" t="str">
            <v>食品</v>
          </cell>
          <cell r="D1406">
            <v>123</v>
          </cell>
        </row>
        <row r="1407">
          <cell r="A1407">
            <v>35034</v>
          </cell>
          <cell r="B1407" t="str">
            <v>广东</v>
          </cell>
          <cell r="C1407" t="str">
            <v>食品</v>
          </cell>
          <cell r="D1407">
            <v>140</v>
          </cell>
        </row>
        <row r="1408">
          <cell r="A1408">
            <v>35034</v>
          </cell>
          <cell r="B1408" t="str">
            <v>江苏</v>
          </cell>
          <cell r="C1408" t="str">
            <v>食品</v>
          </cell>
          <cell r="D1408">
            <v>149</v>
          </cell>
        </row>
        <row r="1409">
          <cell r="A1409">
            <v>35034</v>
          </cell>
          <cell r="B1409" t="str">
            <v>江西</v>
          </cell>
          <cell r="C1409" t="str">
            <v>食品</v>
          </cell>
          <cell r="D1409">
            <v>236</v>
          </cell>
        </row>
        <row r="1410">
          <cell r="A1410">
            <v>35034</v>
          </cell>
          <cell r="B1410" t="str">
            <v>江西</v>
          </cell>
          <cell r="C1410" t="str">
            <v>食品</v>
          </cell>
          <cell r="D1410">
            <v>263</v>
          </cell>
        </row>
        <row r="1411">
          <cell r="A1411">
            <v>35034</v>
          </cell>
          <cell r="B1411" t="str">
            <v>安徽</v>
          </cell>
          <cell r="C1411" t="str">
            <v>食品</v>
          </cell>
          <cell r="D1411">
            <v>263</v>
          </cell>
        </row>
        <row r="1412">
          <cell r="A1412">
            <v>35034</v>
          </cell>
          <cell r="B1412" t="str">
            <v>江苏</v>
          </cell>
          <cell r="C1412" t="str">
            <v>食品</v>
          </cell>
          <cell r="D1412">
            <v>49</v>
          </cell>
        </row>
        <row r="1413">
          <cell r="A1413">
            <v>35034</v>
          </cell>
          <cell r="B1413" t="str">
            <v>江苏</v>
          </cell>
          <cell r="C1413" t="str">
            <v>食品</v>
          </cell>
          <cell r="D1413">
            <v>113</v>
          </cell>
        </row>
        <row r="1414">
          <cell r="A1414">
            <v>35034</v>
          </cell>
          <cell r="B1414" t="str">
            <v>广东</v>
          </cell>
          <cell r="C1414" t="str">
            <v>食品</v>
          </cell>
          <cell r="D1414">
            <v>113</v>
          </cell>
        </row>
        <row r="1415">
          <cell r="A1415">
            <v>35034</v>
          </cell>
          <cell r="B1415" t="str">
            <v>山东</v>
          </cell>
          <cell r="C1415" t="str">
            <v>食品</v>
          </cell>
          <cell r="D1415">
            <v>90</v>
          </cell>
        </row>
        <row r="1416">
          <cell r="A1416">
            <v>35034</v>
          </cell>
          <cell r="B1416" t="str">
            <v>安徽</v>
          </cell>
          <cell r="C1416" t="str">
            <v>食品</v>
          </cell>
          <cell r="D1416">
            <v>113</v>
          </cell>
        </row>
        <row r="1417">
          <cell r="A1417">
            <v>35034</v>
          </cell>
          <cell r="B1417" t="str">
            <v>江苏</v>
          </cell>
          <cell r="C1417" t="str">
            <v>食品</v>
          </cell>
          <cell r="D1417">
            <v>72</v>
          </cell>
        </row>
        <row r="1418">
          <cell r="A1418">
            <v>35034</v>
          </cell>
          <cell r="B1418" t="str">
            <v>安徽</v>
          </cell>
          <cell r="C1418" t="str">
            <v>食品</v>
          </cell>
          <cell r="D1418">
            <v>958</v>
          </cell>
        </row>
        <row r="1419">
          <cell r="A1419">
            <v>35034</v>
          </cell>
          <cell r="B1419" t="str">
            <v>山东</v>
          </cell>
          <cell r="C1419" t="str">
            <v>食品</v>
          </cell>
          <cell r="D1419">
            <v>1343</v>
          </cell>
        </row>
        <row r="1420">
          <cell r="A1420">
            <v>35034</v>
          </cell>
          <cell r="B1420" t="str">
            <v>安徽</v>
          </cell>
          <cell r="C1420" t="str">
            <v>食品</v>
          </cell>
          <cell r="D1420">
            <v>371</v>
          </cell>
        </row>
        <row r="1421">
          <cell r="A1421">
            <v>35034</v>
          </cell>
          <cell r="B1421" t="str">
            <v>山东</v>
          </cell>
          <cell r="C1421" t="str">
            <v>食品</v>
          </cell>
          <cell r="D1421">
            <v>404</v>
          </cell>
        </row>
        <row r="1422">
          <cell r="A1422">
            <v>35034</v>
          </cell>
          <cell r="B1422" t="str">
            <v>江西</v>
          </cell>
          <cell r="C1422" t="str">
            <v>食品</v>
          </cell>
          <cell r="D1422">
            <v>859</v>
          </cell>
        </row>
        <row r="1423">
          <cell r="A1423">
            <v>35034</v>
          </cell>
          <cell r="B1423" t="str">
            <v>江西</v>
          </cell>
          <cell r="C1423" t="str">
            <v>食品</v>
          </cell>
          <cell r="D1423">
            <v>706</v>
          </cell>
        </row>
        <row r="1424">
          <cell r="A1424">
            <v>35034</v>
          </cell>
          <cell r="B1424" t="str">
            <v>江西</v>
          </cell>
          <cell r="C1424" t="str">
            <v>儿童用品</v>
          </cell>
          <cell r="D1424">
            <v>72</v>
          </cell>
        </row>
        <row r="1425">
          <cell r="A1425">
            <v>35034</v>
          </cell>
          <cell r="B1425" t="str">
            <v>山东</v>
          </cell>
          <cell r="C1425" t="str">
            <v>儿童用品</v>
          </cell>
          <cell r="D1425">
            <v>739</v>
          </cell>
        </row>
        <row r="1426">
          <cell r="A1426">
            <v>35034</v>
          </cell>
          <cell r="B1426" t="str">
            <v>山东</v>
          </cell>
          <cell r="C1426" t="str">
            <v>儿童用品</v>
          </cell>
          <cell r="D1426">
            <v>44</v>
          </cell>
        </row>
        <row r="1427">
          <cell r="A1427">
            <v>35034</v>
          </cell>
          <cell r="B1427" t="str">
            <v>江苏</v>
          </cell>
          <cell r="C1427" t="str">
            <v>儿童用品</v>
          </cell>
          <cell r="D1427">
            <v>50</v>
          </cell>
        </row>
        <row r="1428">
          <cell r="A1428">
            <v>35034</v>
          </cell>
          <cell r="B1428" t="str">
            <v>江西</v>
          </cell>
          <cell r="C1428" t="str">
            <v>儿童用品</v>
          </cell>
          <cell r="D1428">
            <v>63</v>
          </cell>
        </row>
        <row r="1429">
          <cell r="A1429">
            <v>35034</v>
          </cell>
          <cell r="B1429" t="str">
            <v>江苏</v>
          </cell>
          <cell r="C1429" t="str">
            <v>儿童用品</v>
          </cell>
          <cell r="D1429">
            <v>70</v>
          </cell>
        </row>
        <row r="1430">
          <cell r="A1430">
            <v>35034</v>
          </cell>
          <cell r="B1430" t="str">
            <v>江苏</v>
          </cell>
          <cell r="C1430" t="str">
            <v>儿童用品</v>
          </cell>
          <cell r="D1430">
            <v>79</v>
          </cell>
        </row>
        <row r="1431">
          <cell r="A1431">
            <v>35034</v>
          </cell>
          <cell r="B1431" t="str">
            <v>山东</v>
          </cell>
          <cell r="C1431" t="str">
            <v>儿童用品</v>
          </cell>
          <cell r="D1431">
            <v>79</v>
          </cell>
        </row>
        <row r="1432">
          <cell r="A1432">
            <v>35034</v>
          </cell>
          <cell r="B1432" t="str">
            <v>江苏</v>
          </cell>
          <cell r="C1432" t="str">
            <v>儿童用品</v>
          </cell>
          <cell r="D1432">
            <v>98</v>
          </cell>
        </row>
        <row r="1433">
          <cell r="A1433">
            <v>35034</v>
          </cell>
          <cell r="B1433" t="str">
            <v>广东</v>
          </cell>
          <cell r="C1433" t="str">
            <v>儿童用品</v>
          </cell>
          <cell r="D1433">
            <v>113</v>
          </cell>
        </row>
        <row r="1434">
          <cell r="A1434">
            <v>35034</v>
          </cell>
          <cell r="B1434" t="str">
            <v>广东</v>
          </cell>
          <cell r="C1434" t="str">
            <v>儿童用品</v>
          </cell>
          <cell r="D1434">
            <v>175</v>
          </cell>
        </row>
        <row r="1435">
          <cell r="A1435">
            <v>35034</v>
          </cell>
          <cell r="B1435" t="str">
            <v>安徽</v>
          </cell>
          <cell r="C1435" t="str">
            <v>儿童用品</v>
          </cell>
          <cell r="D1435">
            <v>371</v>
          </cell>
        </row>
        <row r="1436">
          <cell r="A1436">
            <v>35034</v>
          </cell>
          <cell r="B1436" t="str">
            <v>江西</v>
          </cell>
          <cell r="C1436" t="str">
            <v>儿童用品</v>
          </cell>
          <cell r="D1436">
            <v>933</v>
          </cell>
        </row>
        <row r="1437">
          <cell r="A1437">
            <v>35034</v>
          </cell>
          <cell r="B1437" t="str">
            <v>安徽</v>
          </cell>
          <cell r="C1437" t="str">
            <v>儿童用品</v>
          </cell>
          <cell r="D1437">
            <v>1206</v>
          </cell>
        </row>
        <row r="1438">
          <cell r="A1438">
            <v>35034</v>
          </cell>
          <cell r="B1438" t="str">
            <v>安徽</v>
          </cell>
          <cell r="C1438" t="str">
            <v>儿童用品</v>
          </cell>
          <cell r="D1438">
            <v>1867</v>
          </cell>
        </row>
        <row r="1439">
          <cell r="A1439">
            <v>35034</v>
          </cell>
          <cell r="B1439" t="str">
            <v>江西</v>
          </cell>
          <cell r="C1439" t="str">
            <v>儿童用品</v>
          </cell>
          <cell r="D1439">
            <v>1900</v>
          </cell>
        </row>
        <row r="1440">
          <cell r="A1440">
            <v>35034</v>
          </cell>
          <cell r="B1440" t="str">
            <v>山东</v>
          </cell>
          <cell r="C1440" t="str">
            <v>儿童用品</v>
          </cell>
          <cell r="D1440">
            <v>1976</v>
          </cell>
        </row>
        <row r="1441">
          <cell r="A1441">
            <v>35034</v>
          </cell>
          <cell r="B1441" t="str">
            <v>安徽</v>
          </cell>
          <cell r="C1441" t="str">
            <v>儿童用品</v>
          </cell>
          <cell r="D1441">
            <v>239</v>
          </cell>
        </row>
        <row r="1442">
          <cell r="A1442">
            <v>35034</v>
          </cell>
          <cell r="B1442" t="str">
            <v>广东</v>
          </cell>
          <cell r="C1442" t="str">
            <v>体育用品</v>
          </cell>
          <cell r="D1442">
            <v>254</v>
          </cell>
        </row>
        <row r="1443">
          <cell r="A1443">
            <v>35034</v>
          </cell>
          <cell r="B1443" t="str">
            <v>江西</v>
          </cell>
          <cell r="C1443" t="str">
            <v>体育用品</v>
          </cell>
          <cell r="D1443">
            <v>615</v>
          </cell>
        </row>
        <row r="1444">
          <cell r="A1444">
            <v>35034</v>
          </cell>
          <cell r="B1444" t="str">
            <v>江西</v>
          </cell>
          <cell r="C1444" t="str">
            <v>体育用品</v>
          </cell>
          <cell r="D1444">
            <v>413</v>
          </cell>
        </row>
        <row r="1445">
          <cell r="A1445">
            <v>35034</v>
          </cell>
          <cell r="B1445" t="str">
            <v>安徽</v>
          </cell>
          <cell r="C1445" t="str">
            <v>体育用品</v>
          </cell>
          <cell r="D1445">
            <v>1165</v>
          </cell>
        </row>
        <row r="1446">
          <cell r="A1446">
            <v>35034</v>
          </cell>
          <cell r="B1446" t="str">
            <v>江西</v>
          </cell>
          <cell r="C1446" t="str">
            <v>体育用品</v>
          </cell>
          <cell r="D1446">
            <v>263</v>
          </cell>
        </row>
        <row r="1447">
          <cell r="A1447">
            <v>35034</v>
          </cell>
          <cell r="B1447" t="str">
            <v>广东</v>
          </cell>
          <cell r="C1447" t="str">
            <v>体育用品</v>
          </cell>
          <cell r="D1447">
            <v>225</v>
          </cell>
        </row>
        <row r="1448">
          <cell r="A1448">
            <v>35034</v>
          </cell>
          <cell r="B1448" t="str">
            <v>江苏</v>
          </cell>
          <cell r="C1448" t="str">
            <v>体育用品</v>
          </cell>
          <cell r="D1448">
            <v>191</v>
          </cell>
        </row>
        <row r="1449">
          <cell r="A1449">
            <v>35034</v>
          </cell>
          <cell r="B1449" t="str">
            <v>安徽</v>
          </cell>
          <cell r="C1449" t="str">
            <v>体育用品</v>
          </cell>
          <cell r="D1449">
            <v>180</v>
          </cell>
        </row>
        <row r="1450">
          <cell r="A1450">
            <v>35034</v>
          </cell>
          <cell r="B1450" t="str">
            <v>山东</v>
          </cell>
          <cell r="C1450" t="str">
            <v>体育用品</v>
          </cell>
          <cell r="D1450">
            <v>169</v>
          </cell>
        </row>
        <row r="1451">
          <cell r="A1451">
            <v>35034</v>
          </cell>
          <cell r="B1451" t="str">
            <v>江西</v>
          </cell>
          <cell r="C1451" t="str">
            <v>体育用品</v>
          </cell>
          <cell r="D1451">
            <v>270</v>
          </cell>
        </row>
        <row r="1452">
          <cell r="A1452">
            <v>35034</v>
          </cell>
          <cell r="B1452" t="str">
            <v>江苏</v>
          </cell>
          <cell r="C1452" t="str">
            <v>体育用品</v>
          </cell>
          <cell r="D1452">
            <v>151</v>
          </cell>
        </row>
        <row r="1453">
          <cell r="A1453">
            <v>35034</v>
          </cell>
          <cell r="B1453" t="str">
            <v>山东</v>
          </cell>
          <cell r="C1453" t="str">
            <v>体育用品</v>
          </cell>
          <cell r="D1453">
            <v>28</v>
          </cell>
        </row>
        <row r="1454">
          <cell r="A1454">
            <v>35034</v>
          </cell>
          <cell r="B1454" t="str">
            <v>山东</v>
          </cell>
          <cell r="C1454" t="str">
            <v>体育用品</v>
          </cell>
          <cell r="D1454">
            <v>27</v>
          </cell>
        </row>
        <row r="1455">
          <cell r="A1455">
            <v>35034</v>
          </cell>
          <cell r="B1455" t="str">
            <v>安徽</v>
          </cell>
          <cell r="C1455" t="str">
            <v>体育用品</v>
          </cell>
          <cell r="D1455">
            <v>158</v>
          </cell>
        </row>
        <row r="1456">
          <cell r="A1456">
            <v>35034</v>
          </cell>
          <cell r="B1456" t="str">
            <v>江苏</v>
          </cell>
          <cell r="C1456" t="str">
            <v>体育用品</v>
          </cell>
          <cell r="D1456">
            <v>149</v>
          </cell>
        </row>
        <row r="1457">
          <cell r="A1457">
            <v>35034</v>
          </cell>
          <cell r="B1457" t="str">
            <v>江苏</v>
          </cell>
          <cell r="C1457" t="str">
            <v>体育用品</v>
          </cell>
          <cell r="D1457">
            <v>149</v>
          </cell>
        </row>
        <row r="1458">
          <cell r="A1458">
            <v>35034</v>
          </cell>
          <cell r="B1458" t="str">
            <v>山东</v>
          </cell>
          <cell r="C1458" t="str">
            <v>体育用品</v>
          </cell>
          <cell r="D1458">
            <v>124</v>
          </cell>
        </row>
        <row r="1459">
          <cell r="A1459">
            <v>35034</v>
          </cell>
          <cell r="B1459" t="str">
            <v>江西</v>
          </cell>
          <cell r="C1459" t="str">
            <v>体育用品</v>
          </cell>
          <cell r="D1459">
            <v>124</v>
          </cell>
        </row>
        <row r="1460">
          <cell r="A1460">
            <v>35034</v>
          </cell>
          <cell r="B1460" t="str">
            <v>山东</v>
          </cell>
          <cell r="C1460" t="str">
            <v>体育用品</v>
          </cell>
          <cell r="D1460">
            <v>114</v>
          </cell>
        </row>
        <row r="1461">
          <cell r="A1461">
            <v>35034</v>
          </cell>
          <cell r="B1461" t="str">
            <v>山东</v>
          </cell>
          <cell r="C1461" t="str">
            <v>体育用品</v>
          </cell>
          <cell r="D1461">
            <v>44</v>
          </cell>
        </row>
        <row r="1462">
          <cell r="A1462">
            <v>35034</v>
          </cell>
          <cell r="B1462" t="str">
            <v>安徽</v>
          </cell>
          <cell r="C1462" t="str">
            <v>体育用品</v>
          </cell>
          <cell r="D1462">
            <v>110</v>
          </cell>
        </row>
        <row r="1463">
          <cell r="A1463">
            <v>35034</v>
          </cell>
          <cell r="B1463" t="str">
            <v>江西</v>
          </cell>
          <cell r="C1463" t="str">
            <v>体育用品</v>
          </cell>
          <cell r="D1463">
            <v>53</v>
          </cell>
        </row>
        <row r="1464">
          <cell r="A1464">
            <v>35034</v>
          </cell>
          <cell r="B1464" t="str">
            <v>江苏</v>
          </cell>
          <cell r="C1464" t="str">
            <v>体育用品</v>
          </cell>
          <cell r="D1464">
            <v>96</v>
          </cell>
        </row>
        <row r="1465">
          <cell r="A1465">
            <v>35034</v>
          </cell>
          <cell r="B1465" t="str">
            <v>江苏</v>
          </cell>
          <cell r="C1465" t="str">
            <v>体育用品</v>
          </cell>
          <cell r="D1465">
            <v>95</v>
          </cell>
        </row>
        <row r="1466">
          <cell r="A1466">
            <v>35034</v>
          </cell>
          <cell r="B1466" t="str">
            <v>广东</v>
          </cell>
          <cell r="C1466" t="str">
            <v>体育用品</v>
          </cell>
          <cell r="D1466">
            <v>83</v>
          </cell>
        </row>
        <row r="1467">
          <cell r="A1467">
            <v>35034</v>
          </cell>
          <cell r="B1467" t="str">
            <v>安徽</v>
          </cell>
          <cell r="C1467" t="str">
            <v>体育用品</v>
          </cell>
          <cell r="D1467">
            <v>151</v>
          </cell>
        </row>
        <row r="1468">
          <cell r="A1468">
            <v>35034</v>
          </cell>
          <cell r="B1468" t="str">
            <v>安徽</v>
          </cell>
          <cell r="C1468" t="str">
            <v>体育用品</v>
          </cell>
          <cell r="D1468">
            <v>114</v>
          </cell>
        </row>
        <row r="1469">
          <cell r="A1469">
            <v>35065</v>
          </cell>
          <cell r="B1469" t="str">
            <v>江西</v>
          </cell>
          <cell r="C1469" t="str">
            <v>艺术品</v>
          </cell>
          <cell r="D1469">
            <v>441</v>
          </cell>
        </row>
        <row r="1470">
          <cell r="A1470">
            <v>35065</v>
          </cell>
          <cell r="B1470" t="str">
            <v>广东</v>
          </cell>
          <cell r="C1470" t="str">
            <v>艺术品</v>
          </cell>
          <cell r="D1470">
            <v>588</v>
          </cell>
        </row>
        <row r="1471">
          <cell r="A1471">
            <v>35065</v>
          </cell>
          <cell r="B1471" t="str">
            <v>山东</v>
          </cell>
          <cell r="C1471" t="str">
            <v>艺术品</v>
          </cell>
          <cell r="D1471">
            <v>681</v>
          </cell>
        </row>
        <row r="1472">
          <cell r="A1472">
            <v>35065</v>
          </cell>
          <cell r="B1472" t="str">
            <v>山东</v>
          </cell>
          <cell r="C1472" t="str">
            <v>艺术品</v>
          </cell>
          <cell r="D1472">
            <v>735</v>
          </cell>
        </row>
        <row r="1473">
          <cell r="A1473">
            <v>35065</v>
          </cell>
          <cell r="B1473" t="str">
            <v>山东</v>
          </cell>
          <cell r="C1473" t="str">
            <v>艺术品</v>
          </cell>
          <cell r="D1473">
            <v>770</v>
          </cell>
        </row>
        <row r="1474">
          <cell r="A1474">
            <v>35065</v>
          </cell>
          <cell r="B1474" t="str">
            <v>江西</v>
          </cell>
          <cell r="C1474" t="str">
            <v>艺术品</v>
          </cell>
          <cell r="D1474">
            <v>782</v>
          </cell>
        </row>
        <row r="1475">
          <cell r="A1475">
            <v>35065</v>
          </cell>
          <cell r="B1475" t="str">
            <v>山东</v>
          </cell>
          <cell r="C1475" t="str">
            <v>艺术品</v>
          </cell>
          <cell r="D1475">
            <v>848</v>
          </cell>
        </row>
        <row r="1476">
          <cell r="A1476">
            <v>35065</v>
          </cell>
          <cell r="B1476" t="str">
            <v>安徽</v>
          </cell>
          <cell r="C1476" t="str">
            <v>艺术品</v>
          </cell>
          <cell r="D1476">
            <v>1075</v>
          </cell>
        </row>
        <row r="1477">
          <cell r="A1477">
            <v>35065</v>
          </cell>
          <cell r="B1477" t="str">
            <v>江苏</v>
          </cell>
          <cell r="C1477" t="str">
            <v>艺术品</v>
          </cell>
          <cell r="D1477">
            <v>248</v>
          </cell>
        </row>
        <row r="1478">
          <cell r="A1478">
            <v>35065</v>
          </cell>
          <cell r="B1478" t="str">
            <v>江西</v>
          </cell>
          <cell r="C1478" t="str">
            <v>艺术品</v>
          </cell>
          <cell r="D1478">
            <v>2443</v>
          </cell>
        </row>
        <row r="1479">
          <cell r="A1479">
            <v>35065</v>
          </cell>
          <cell r="B1479" t="str">
            <v>江苏</v>
          </cell>
          <cell r="C1479" t="str">
            <v>艺术品</v>
          </cell>
          <cell r="D1479">
            <v>50</v>
          </cell>
        </row>
        <row r="1480">
          <cell r="A1480">
            <v>35065</v>
          </cell>
          <cell r="B1480" t="str">
            <v>江苏</v>
          </cell>
          <cell r="C1480" t="str">
            <v>艺术品</v>
          </cell>
          <cell r="D1480">
            <v>302</v>
          </cell>
        </row>
        <row r="1481">
          <cell r="A1481">
            <v>35065</v>
          </cell>
          <cell r="B1481" t="str">
            <v>江西</v>
          </cell>
          <cell r="C1481" t="str">
            <v>艺术品</v>
          </cell>
          <cell r="D1481">
            <v>270</v>
          </cell>
        </row>
        <row r="1482">
          <cell r="A1482">
            <v>35065</v>
          </cell>
          <cell r="B1482" t="str">
            <v>安徽</v>
          </cell>
          <cell r="C1482" t="str">
            <v>艺术品</v>
          </cell>
          <cell r="D1482">
            <v>90</v>
          </cell>
        </row>
        <row r="1483">
          <cell r="A1483">
            <v>35065</v>
          </cell>
          <cell r="B1483" t="str">
            <v>广东</v>
          </cell>
          <cell r="C1483" t="str">
            <v>艺术品</v>
          </cell>
          <cell r="D1483">
            <v>113</v>
          </cell>
        </row>
        <row r="1484">
          <cell r="A1484">
            <v>35065</v>
          </cell>
          <cell r="B1484" t="str">
            <v>江苏</v>
          </cell>
          <cell r="C1484" t="str">
            <v>艺术品</v>
          </cell>
          <cell r="D1484">
            <v>225</v>
          </cell>
        </row>
        <row r="1485">
          <cell r="A1485">
            <v>35065</v>
          </cell>
          <cell r="B1485" t="str">
            <v>安徽</v>
          </cell>
          <cell r="C1485" t="str">
            <v>艺术品</v>
          </cell>
          <cell r="D1485">
            <v>248</v>
          </cell>
        </row>
        <row r="1486">
          <cell r="A1486">
            <v>35065</v>
          </cell>
          <cell r="B1486" t="str">
            <v>江西</v>
          </cell>
          <cell r="C1486" t="str">
            <v>自行车</v>
          </cell>
          <cell r="D1486">
            <v>420</v>
          </cell>
        </row>
        <row r="1487">
          <cell r="A1487">
            <v>35065</v>
          </cell>
          <cell r="B1487" t="str">
            <v>江苏</v>
          </cell>
          <cell r="C1487" t="str">
            <v>自行车</v>
          </cell>
          <cell r="D1487">
            <v>245</v>
          </cell>
        </row>
        <row r="1488">
          <cell r="A1488">
            <v>35065</v>
          </cell>
          <cell r="B1488" t="str">
            <v>江苏</v>
          </cell>
          <cell r="C1488" t="str">
            <v>自行车</v>
          </cell>
          <cell r="D1488">
            <v>273</v>
          </cell>
        </row>
        <row r="1489">
          <cell r="A1489">
            <v>35065</v>
          </cell>
          <cell r="B1489" t="str">
            <v>广东</v>
          </cell>
          <cell r="C1489" t="str">
            <v>自行车</v>
          </cell>
          <cell r="D1489">
            <v>293</v>
          </cell>
        </row>
        <row r="1490">
          <cell r="A1490">
            <v>35065</v>
          </cell>
          <cell r="B1490" t="str">
            <v>山东</v>
          </cell>
          <cell r="C1490" t="str">
            <v>自行车</v>
          </cell>
          <cell r="D1490">
            <v>315</v>
          </cell>
        </row>
        <row r="1491">
          <cell r="A1491">
            <v>35065</v>
          </cell>
          <cell r="B1491" t="str">
            <v>江苏</v>
          </cell>
          <cell r="C1491" t="str">
            <v>自行车</v>
          </cell>
          <cell r="D1491">
            <v>360</v>
          </cell>
        </row>
        <row r="1492">
          <cell r="A1492">
            <v>35065</v>
          </cell>
          <cell r="B1492" t="str">
            <v>江苏</v>
          </cell>
          <cell r="C1492" t="str">
            <v>自行车</v>
          </cell>
          <cell r="D1492">
            <v>185</v>
          </cell>
        </row>
        <row r="1493">
          <cell r="A1493">
            <v>35065</v>
          </cell>
          <cell r="B1493" t="str">
            <v>安徽</v>
          </cell>
          <cell r="C1493" t="str">
            <v>自行车</v>
          </cell>
          <cell r="D1493">
            <v>175</v>
          </cell>
        </row>
        <row r="1494">
          <cell r="A1494">
            <v>35065</v>
          </cell>
          <cell r="B1494" t="str">
            <v>江西</v>
          </cell>
          <cell r="C1494" t="str">
            <v>自行车</v>
          </cell>
          <cell r="D1494">
            <v>557</v>
          </cell>
        </row>
        <row r="1495">
          <cell r="A1495">
            <v>35065</v>
          </cell>
          <cell r="B1495" t="str">
            <v>山东</v>
          </cell>
          <cell r="C1495" t="str">
            <v>自行车</v>
          </cell>
          <cell r="D1495">
            <v>606</v>
          </cell>
        </row>
        <row r="1496">
          <cell r="A1496">
            <v>35065</v>
          </cell>
          <cell r="B1496" t="str">
            <v>安徽</v>
          </cell>
          <cell r="C1496" t="str">
            <v>自行车</v>
          </cell>
          <cell r="D1496">
            <v>630</v>
          </cell>
        </row>
        <row r="1497">
          <cell r="A1497">
            <v>35065</v>
          </cell>
          <cell r="B1497" t="str">
            <v>江西</v>
          </cell>
          <cell r="C1497" t="str">
            <v>自行车</v>
          </cell>
          <cell r="D1497">
            <v>394</v>
          </cell>
        </row>
        <row r="1498">
          <cell r="A1498">
            <v>35065</v>
          </cell>
          <cell r="B1498" t="str">
            <v>安徽</v>
          </cell>
          <cell r="C1498" t="str">
            <v>自行车</v>
          </cell>
          <cell r="D1498">
            <v>79</v>
          </cell>
        </row>
        <row r="1499">
          <cell r="A1499">
            <v>35065</v>
          </cell>
          <cell r="B1499" t="str">
            <v>广东</v>
          </cell>
          <cell r="C1499" t="str">
            <v>自行车</v>
          </cell>
          <cell r="D1499">
            <v>123</v>
          </cell>
        </row>
        <row r="1500">
          <cell r="A1500">
            <v>35065</v>
          </cell>
          <cell r="B1500" t="str">
            <v>安徽</v>
          </cell>
          <cell r="C1500" t="str">
            <v>自行车</v>
          </cell>
          <cell r="D1500">
            <v>135</v>
          </cell>
        </row>
        <row r="1501">
          <cell r="A1501">
            <v>35065</v>
          </cell>
          <cell r="B1501" t="str">
            <v>江西</v>
          </cell>
          <cell r="C1501" t="str">
            <v>自行车</v>
          </cell>
          <cell r="D1501">
            <v>952</v>
          </cell>
        </row>
        <row r="1502">
          <cell r="A1502">
            <v>35065</v>
          </cell>
          <cell r="B1502" t="str">
            <v>山东</v>
          </cell>
          <cell r="C1502" t="str">
            <v>自行车</v>
          </cell>
          <cell r="D1502">
            <v>985</v>
          </cell>
        </row>
        <row r="1503">
          <cell r="A1503">
            <v>35065</v>
          </cell>
          <cell r="B1503" t="str">
            <v>山东</v>
          </cell>
          <cell r="C1503" t="str">
            <v>自行车</v>
          </cell>
          <cell r="D1503">
            <v>696</v>
          </cell>
        </row>
        <row r="1504">
          <cell r="A1504">
            <v>35065</v>
          </cell>
          <cell r="B1504" t="str">
            <v>山东</v>
          </cell>
          <cell r="C1504" t="str">
            <v>服装</v>
          </cell>
          <cell r="D1504">
            <v>90</v>
          </cell>
        </row>
        <row r="1505">
          <cell r="A1505">
            <v>35065</v>
          </cell>
          <cell r="B1505" t="str">
            <v>山东</v>
          </cell>
          <cell r="C1505" t="str">
            <v>服装</v>
          </cell>
          <cell r="D1505">
            <v>63</v>
          </cell>
        </row>
        <row r="1506">
          <cell r="A1506">
            <v>35065</v>
          </cell>
          <cell r="B1506" t="str">
            <v>安徽</v>
          </cell>
          <cell r="C1506" t="str">
            <v>服装</v>
          </cell>
          <cell r="D1506">
            <v>90</v>
          </cell>
        </row>
        <row r="1507">
          <cell r="A1507">
            <v>35065</v>
          </cell>
          <cell r="B1507" t="str">
            <v>安徽</v>
          </cell>
          <cell r="C1507" t="str">
            <v>服装</v>
          </cell>
          <cell r="D1507">
            <v>234</v>
          </cell>
        </row>
        <row r="1508">
          <cell r="A1508">
            <v>35065</v>
          </cell>
          <cell r="B1508" t="str">
            <v>安徽</v>
          </cell>
          <cell r="C1508" t="str">
            <v>服装</v>
          </cell>
          <cell r="D1508">
            <v>140</v>
          </cell>
        </row>
        <row r="1509">
          <cell r="A1509">
            <v>35065</v>
          </cell>
          <cell r="B1509" t="str">
            <v>山东</v>
          </cell>
          <cell r="C1509" t="str">
            <v>服装</v>
          </cell>
          <cell r="D1509">
            <v>72</v>
          </cell>
        </row>
        <row r="1510">
          <cell r="A1510">
            <v>35065</v>
          </cell>
          <cell r="B1510" t="str">
            <v>安徽</v>
          </cell>
          <cell r="C1510" t="str">
            <v>服装</v>
          </cell>
          <cell r="D1510">
            <v>149</v>
          </cell>
        </row>
        <row r="1511">
          <cell r="A1511">
            <v>35065</v>
          </cell>
          <cell r="B1511" t="str">
            <v>山东</v>
          </cell>
          <cell r="C1511" t="str">
            <v>服装</v>
          </cell>
          <cell r="D1511">
            <v>113</v>
          </cell>
        </row>
        <row r="1512">
          <cell r="A1512">
            <v>35065</v>
          </cell>
          <cell r="B1512" t="str">
            <v>安徽</v>
          </cell>
          <cell r="C1512" t="str">
            <v>服装</v>
          </cell>
          <cell r="D1512">
            <v>113</v>
          </cell>
        </row>
        <row r="1513">
          <cell r="A1513">
            <v>35065</v>
          </cell>
          <cell r="B1513" t="str">
            <v>山东</v>
          </cell>
          <cell r="C1513" t="str">
            <v>服装</v>
          </cell>
          <cell r="D1513">
            <v>2290</v>
          </cell>
        </row>
        <row r="1514">
          <cell r="A1514">
            <v>35065</v>
          </cell>
          <cell r="B1514" t="str">
            <v>山东</v>
          </cell>
          <cell r="C1514" t="str">
            <v>服装</v>
          </cell>
          <cell r="D1514">
            <v>1601</v>
          </cell>
        </row>
        <row r="1515">
          <cell r="A1515">
            <v>35065</v>
          </cell>
          <cell r="B1515" t="str">
            <v>安徽</v>
          </cell>
          <cell r="C1515" t="str">
            <v>服装</v>
          </cell>
          <cell r="D1515">
            <v>358</v>
          </cell>
        </row>
        <row r="1516">
          <cell r="A1516">
            <v>35065</v>
          </cell>
          <cell r="B1516" t="str">
            <v>江苏</v>
          </cell>
          <cell r="C1516" t="str">
            <v>食品</v>
          </cell>
          <cell r="D1516">
            <v>56</v>
          </cell>
        </row>
        <row r="1517">
          <cell r="A1517">
            <v>35065</v>
          </cell>
          <cell r="B1517" t="str">
            <v>安徽</v>
          </cell>
          <cell r="C1517" t="str">
            <v>食品</v>
          </cell>
          <cell r="D1517">
            <v>45</v>
          </cell>
        </row>
        <row r="1518">
          <cell r="A1518">
            <v>35065</v>
          </cell>
          <cell r="B1518" t="str">
            <v>江苏</v>
          </cell>
          <cell r="C1518" t="str">
            <v>食品</v>
          </cell>
          <cell r="D1518">
            <v>135</v>
          </cell>
        </row>
        <row r="1519">
          <cell r="A1519">
            <v>35065</v>
          </cell>
          <cell r="B1519" t="str">
            <v>江西</v>
          </cell>
          <cell r="C1519" t="str">
            <v>食品</v>
          </cell>
          <cell r="D1519">
            <v>210</v>
          </cell>
        </row>
        <row r="1520">
          <cell r="A1520">
            <v>35065</v>
          </cell>
          <cell r="B1520" t="str">
            <v>安徽</v>
          </cell>
          <cell r="C1520" t="str">
            <v>食品</v>
          </cell>
          <cell r="D1520">
            <v>440</v>
          </cell>
        </row>
        <row r="1521">
          <cell r="A1521">
            <v>35065</v>
          </cell>
          <cell r="B1521" t="str">
            <v>广东</v>
          </cell>
          <cell r="C1521" t="str">
            <v>食品</v>
          </cell>
          <cell r="D1521">
            <v>158</v>
          </cell>
        </row>
        <row r="1522">
          <cell r="A1522">
            <v>35065</v>
          </cell>
          <cell r="B1522" t="str">
            <v>江苏</v>
          </cell>
          <cell r="C1522" t="str">
            <v>食品</v>
          </cell>
          <cell r="D1522">
            <v>166</v>
          </cell>
        </row>
        <row r="1523">
          <cell r="A1523">
            <v>35065</v>
          </cell>
          <cell r="B1523" t="str">
            <v>山东</v>
          </cell>
          <cell r="C1523" t="str">
            <v>食品</v>
          </cell>
          <cell r="D1523">
            <v>175</v>
          </cell>
        </row>
        <row r="1524">
          <cell r="A1524">
            <v>35065</v>
          </cell>
          <cell r="B1524" t="str">
            <v>江西</v>
          </cell>
          <cell r="C1524" t="str">
            <v>食品</v>
          </cell>
          <cell r="D1524">
            <v>184</v>
          </cell>
        </row>
        <row r="1525">
          <cell r="A1525">
            <v>35065</v>
          </cell>
          <cell r="B1525" t="str">
            <v>山东</v>
          </cell>
          <cell r="C1525" t="str">
            <v>食品</v>
          </cell>
          <cell r="D1525">
            <v>437</v>
          </cell>
        </row>
        <row r="1526">
          <cell r="A1526">
            <v>35065</v>
          </cell>
          <cell r="B1526" t="str">
            <v>安徽</v>
          </cell>
          <cell r="C1526" t="str">
            <v>食品</v>
          </cell>
          <cell r="D1526">
            <v>1115</v>
          </cell>
        </row>
        <row r="1527">
          <cell r="A1527">
            <v>35065</v>
          </cell>
          <cell r="B1527" t="str">
            <v>江苏</v>
          </cell>
          <cell r="C1527" t="str">
            <v>食品</v>
          </cell>
          <cell r="D1527">
            <v>86</v>
          </cell>
        </row>
        <row r="1528">
          <cell r="A1528">
            <v>35065</v>
          </cell>
          <cell r="B1528" t="str">
            <v>山东</v>
          </cell>
          <cell r="C1528" t="str">
            <v>食品</v>
          </cell>
          <cell r="D1528">
            <v>1310</v>
          </cell>
        </row>
        <row r="1529">
          <cell r="A1529">
            <v>35065</v>
          </cell>
          <cell r="B1529" t="str">
            <v>山东</v>
          </cell>
          <cell r="C1529" t="str">
            <v>食品</v>
          </cell>
          <cell r="D1529">
            <v>113</v>
          </cell>
        </row>
        <row r="1530">
          <cell r="A1530">
            <v>35065</v>
          </cell>
          <cell r="B1530" t="str">
            <v>广东</v>
          </cell>
          <cell r="C1530" t="str">
            <v>食品</v>
          </cell>
          <cell r="D1530">
            <v>131</v>
          </cell>
        </row>
        <row r="1531">
          <cell r="A1531">
            <v>35065</v>
          </cell>
          <cell r="B1531" t="str">
            <v>江西</v>
          </cell>
          <cell r="C1531" t="str">
            <v>食品</v>
          </cell>
          <cell r="D1531">
            <v>468</v>
          </cell>
        </row>
        <row r="1532">
          <cell r="A1532">
            <v>35065</v>
          </cell>
          <cell r="B1532" t="str">
            <v>江西</v>
          </cell>
          <cell r="C1532" t="str">
            <v>食品</v>
          </cell>
          <cell r="D1532">
            <v>786</v>
          </cell>
        </row>
        <row r="1533">
          <cell r="A1533">
            <v>35065</v>
          </cell>
          <cell r="B1533" t="str">
            <v>安徽</v>
          </cell>
          <cell r="C1533" t="str">
            <v>食品</v>
          </cell>
          <cell r="D1533">
            <v>458</v>
          </cell>
        </row>
        <row r="1534">
          <cell r="A1534">
            <v>35065</v>
          </cell>
          <cell r="B1534" t="str">
            <v>安徽</v>
          </cell>
          <cell r="C1534" t="str">
            <v>儿童用品</v>
          </cell>
          <cell r="D1534">
            <v>1272</v>
          </cell>
        </row>
        <row r="1535">
          <cell r="A1535">
            <v>35065</v>
          </cell>
          <cell r="B1535" t="str">
            <v>山东</v>
          </cell>
          <cell r="C1535" t="str">
            <v>儿童用品</v>
          </cell>
          <cell r="D1535">
            <v>1630</v>
          </cell>
        </row>
        <row r="1536">
          <cell r="A1536">
            <v>35065</v>
          </cell>
          <cell r="B1536" t="str">
            <v>安徽</v>
          </cell>
          <cell r="C1536" t="str">
            <v>儿童用品</v>
          </cell>
          <cell r="D1536">
            <v>2083</v>
          </cell>
        </row>
        <row r="1537">
          <cell r="A1537">
            <v>35065</v>
          </cell>
          <cell r="B1537" t="str">
            <v>山东</v>
          </cell>
          <cell r="C1537" t="str">
            <v>儿童用品</v>
          </cell>
          <cell r="D1537">
            <v>644</v>
          </cell>
        </row>
        <row r="1538">
          <cell r="A1538">
            <v>35065</v>
          </cell>
          <cell r="B1538" t="str">
            <v>江西</v>
          </cell>
          <cell r="C1538" t="str">
            <v>儿童用品</v>
          </cell>
          <cell r="D1538">
            <v>1129</v>
          </cell>
        </row>
        <row r="1539">
          <cell r="A1539">
            <v>35065</v>
          </cell>
          <cell r="B1539" t="str">
            <v>江西</v>
          </cell>
          <cell r="C1539" t="str">
            <v>儿童用品</v>
          </cell>
          <cell r="D1539">
            <v>912</v>
          </cell>
        </row>
        <row r="1540">
          <cell r="A1540">
            <v>35065</v>
          </cell>
          <cell r="B1540" t="str">
            <v>山东</v>
          </cell>
          <cell r="C1540" t="str">
            <v>儿童用品</v>
          </cell>
          <cell r="D1540">
            <v>44</v>
          </cell>
        </row>
        <row r="1541">
          <cell r="A1541">
            <v>35065</v>
          </cell>
          <cell r="B1541" t="str">
            <v>江西</v>
          </cell>
          <cell r="C1541" t="str">
            <v>儿童用品</v>
          </cell>
          <cell r="D1541">
            <v>56</v>
          </cell>
        </row>
        <row r="1542">
          <cell r="A1542">
            <v>35065</v>
          </cell>
          <cell r="B1542" t="str">
            <v>江苏</v>
          </cell>
          <cell r="C1542" t="str">
            <v>儿童用品</v>
          </cell>
          <cell r="D1542">
            <v>63</v>
          </cell>
        </row>
        <row r="1543">
          <cell r="A1543">
            <v>35065</v>
          </cell>
          <cell r="B1543" t="str">
            <v>江西</v>
          </cell>
          <cell r="C1543" t="str">
            <v>儿童用品</v>
          </cell>
          <cell r="D1543">
            <v>72</v>
          </cell>
        </row>
        <row r="1544">
          <cell r="A1544">
            <v>35065</v>
          </cell>
          <cell r="B1544" t="str">
            <v>山东</v>
          </cell>
          <cell r="C1544" t="str">
            <v>儿童用品</v>
          </cell>
          <cell r="D1544">
            <v>79</v>
          </cell>
        </row>
        <row r="1545">
          <cell r="A1545">
            <v>35065</v>
          </cell>
          <cell r="B1545" t="str">
            <v>江苏</v>
          </cell>
          <cell r="C1545" t="str">
            <v>儿童用品</v>
          </cell>
          <cell r="D1545">
            <v>79</v>
          </cell>
        </row>
        <row r="1546">
          <cell r="A1546">
            <v>35065</v>
          </cell>
          <cell r="B1546" t="str">
            <v>江苏</v>
          </cell>
          <cell r="C1546" t="str">
            <v>儿童用品</v>
          </cell>
          <cell r="D1546">
            <v>90</v>
          </cell>
        </row>
        <row r="1547">
          <cell r="A1547">
            <v>35065</v>
          </cell>
          <cell r="B1547" t="str">
            <v>江苏</v>
          </cell>
          <cell r="C1547" t="str">
            <v>儿童用品</v>
          </cell>
          <cell r="D1547">
            <v>105</v>
          </cell>
        </row>
        <row r="1548">
          <cell r="A1548">
            <v>35065</v>
          </cell>
          <cell r="B1548" t="str">
            <v>广东</v>
          </cell>
          <cell r="C1548" t="str">
            <v>儿童用品</v>
          </cell>
          <cell r="D1548">
            <v>124</v>
          </cell>
        </row>
        <row r="1549">
          <cell r="A1549">
            <v>35065</v>
          </cell>
          <cell r="B1549" t="str">
            <v>广东</v>
          </cell>
          <cell r="C1549" t="str">
            <v>儿童用品</v>
          </cell>
          <cell r="D1549">
            <v>140</v>
          </cell>
        </row>
        <row r="1550">
          <cell r="A1550">
            <v>35065</v>
          </cell>
          <cell r="B1550" t="str">
            <v>安徽</v>
          </cell>
          <cell r="C1550" t="str">
            <v>儿童用品</v>
          </cell>
          <cell r="D1550">
            <v>252</v>
          </cell>
        </row>
        <row r="1551">
          <cell r="A1551">
            <v>35065</v>
          </cell>
          <cell r="B1551" t="str">
            <v>安徽</v>
          </cell>
          <cell r="C1551" t="str">
            <v>儿童用品</v>
          </cell>
          <cell r="D1551">
            <v>415</v>
          </cell>
        </row>
        <row r="1552">
          <cell r="A1552">
            <v>35065</v>
          </cell>
          <cell r="B1552" t="str">
            <v>山东</v>
          </cell>
          <cell r="C1552" t="str">
            <v>体育用品</v>
          </cell>
          <cell r="D1552">
            <v>191</v>
          </cell>
        </row>
        <row r="1553">
          <cell r="A1553">
            <v>35065</v>
          </cell>
          <cell r="B1553" t="str">
            <v>山东</v>
          </cell>
          <cell r="C1553" t="str">
            <v>体育用品</v>
          </cell>
          <cell r="D1553">
            <v>27</v>
          </cell>
        </row>
        <row r="1554">
          <cell r="A1554">
            <v>35065</v>
          </cell>
          <cell r="B1554" t="str">
            <v>山东</v>
          </cell>
          <cell r="C1554" t="str">
            <v>体育用品</v>
          </cell>
          <cell r="D1554">
            <v>61</v>
          </cell>
        </row>
        <row r="1555">
          <cell r="A1555">
            <v>35065</v>
          </cell>
          <cell r="B1555" t="str">
            <v>江苏</v>
          </cell>
          <cell r="C1555" t="str">
            <v>体育用品</v>
          </cell>
          <cell r="D1555">
            <v>171</v>
          </cell>
        </row>
        <row r="1556">
          <cell r="A1556">
            <v>35065</v>
          </cell>
          <cell r="B1556" t="str">
            <v>安徽</v>
          </cell>
          <cell r="C1556" t="str">
            <v>体育用品</v>
          </cell>
          <cell r="D1556">
            <v>158</v>
          </cell>
        </row>
        <row r="1557">
          <cell r="A1557">
            <v>35065</v>
          </cell>
          <cell r="B1557" t="str">
            <v>江苏</v>
          </cell>
          <cell r="C1557" t="str">
            <v>体育用品</v>
          </cell>
          <cell r="D1557">
            <v>158</v>
          </cell>
        </row>
        <row r="1558">
          <cell r="A1558">
            <v>35065</v>
          </cell>
          <cell r="B1558" t="str">
            <v>江苏</v>
          </cell>
          <cell r="C1558" t="str">
            <v>体育用品</v>
          </cell>
          <cell r="D1558">
            <v>151</v>
          </cell>
        </row>
        <row r="1559">
          <cell r="A1559">
            <v>35065</v>
          </cell>
          <cell r="B1559" t="str">
            <v>山东</v>
          </cell>
          <cell r="C1559" t="str">
            <v>体育用品</v>
          </cell>
          <cell r="D1559">
            <v>28</v>
          </cell>
        </row>
        <row r="1560">
          <cell r="A1560">
            <v>35065</v>
          </cell>
          <cell r="B1560" t="str">
            <v>山东</v>
          </cell>
          <cell r="C1560" t="str">
            <v>体育用品</v>
          </cell>
          <cell r="D1560">
            <v>131</v>
          </cell>
        </row>
        <row r="1561">
          <cell r="A1561">
            <v>35065</v>
          </cell>
          <cell r="B1561" t="str">
            <v>安徽</v>
          </cell>
          <cell r="C1561" t="str">
            <v>体育用品</v>
          </cell>
          <cell r="D1561">
            <v>123</v>
          </cell>
        </row>
        <row r="1562">
          <cell r="A1562">
            <v>35065</v>
          </cell>
          <cell r="B1562" t="str">
            <v>广东</v>
          </cell>
          <cell r="C1562" t="str">
            <v>体育用品</v>
          </cell>
          <cell r="D1562">
            <v>113</v>
          </cell>
        </row>
        <row r="1563">
          <cell r="A1563">
            <v>35065</v>
          </cell>
          <cell r="B1563" t="str">
            <v>江苏</v>
          </cell>
          <cell r="C1563" t="str">
            <v>体育用品</v>
          </cell>
          <cell r="D1563">
            <v>105</v>
          </cell>
        </row>
        <row r="1564">
          <cell r="A1564">
            <v>35065</v>
          </cell>
          <cell r="B1564" t="str">
            <v>江苏</v>
          </cell>
          <cell r="C1564" t="str">
            <v>体育用品</v>
          </cell>
          <cell r="D1564">
            <v>102</v>
          </cell>
        </row>
        <row r="1565">
          <cell r="A1565">
            <v>35065</v>
          </cell>
          <cell r="B1565" t="str">
            <v>安徽</v>
          </cell>
          <cell r="C1565" t="str">
            <v>体育用品</v>
          </cell>
          <cell r="D1565">
            <v>83</v>
          </cell>
        </row>
        <row r="1566">
          <cell r="A1566">
            <v>35065</v>
          </cell>
          <cell r="B1566" t="str">
            <v>山东</v>
          </cell>
          <cell r="C1566" t="str">
            <v>体育用品</v>
          </cell>
          <cell r="D1566">
            <v>138</v>
          </cell>
        </row>
        <row r="1567">
          <cell r="A1567">
            <v>35065</v>
          </cell>
          <cell r="B1567" t="str">
            <v>安徽</v>
          </cell>
          <cell r="C1567" t="str">
            <v>体育用品</v>
          </cell>
          <cell r="D1567">
            <v>193</v>
          </cell>
        </row>
        <row r="1568">
          <cell r="A1568">
            <v>35065</v>
          </cell>
          <cell r="B1568" t="str">
            <v>安徽</v>
          </cell>
          <cell r="C1568" t="str">
            <v>体育用品</v>
          </cell>
          <cell r="D1568">
            <v>191</v>
          </cell>
        </row>
        <row r="1569">
          <cell r="A1569">
            <v>35065</v>
          </cell>
          <cell r="B1569" t="str">
            <v>江西</v>
          </cell>
          <cell r="C1569" t="str">
            <v>体育用品</v>
          </cell>
          <cell r="D1569">
            <v>1180</v>
          </cell>
        </row>
        <row r="1570">
          <cell r="A1570">
            <v>35065</v>
          </cell>
          <cell r="B1570" t="str">
            <v>安徽</v>
          </cell>
          <cell r="C1570" t="str">
            <v>体育用品</v>
          </cell>
          <cell r="D1570">
            <v>1136</v>
          </cell>
        </row>
        <row r="1571">
          <cell r="A1571">
            <v>35065</v>
          </cell>
          <cell r="B1571" t="str">
            <v>江西</v>
          </cell>
          <cell r="C1571" t="str">
            <v>体育用品</v>
          </cell>
          <cell r="D1571">
            <v>304</v>
          </cell>
        </row>
        <row r="1572">
          <cell r="A1572">
            <v>35065</v>
          </cell>
          <cell r="B1572" t="str">
            <v>江西</v>
          </cell>
          <cell r="C1572" t="str">
            <v>体育用品</v>
          </cell>
          <cell r="D1572">
            <v>289</v>
          </cell>
        </row>
        <row r="1573">
          <cell r="A1573">
            <v>35065</v>
          </cell>
          <cell r="B1573" t="str">
            <v>广东</v>
          </cell>
          <cell r="C1573" t="str">
            <v>体育用品</v>
          </cell>
          <cell r="D1573">
            <v>236</v>
          </cell>
        </row>
        <row r="1574">
          <cell r="A1574">
            <v>35065</v>
          </cell>
          <cell r="B1574" t="str">
            <v>广东</v>
          </cell>
          <cell r="C1574" t="str">
            <v>体育用品</v>
          </cell>
          <cell r="D1574">
            <v>220</v>
          </cell>
        </row>
        <row r="1575">
          <cell r="A1575">
            <v>35065</v>
          </cell>
          <cell r="B1575" t="str">
            <v>江西</v>
          </cell>
          <cell r="C1575" t="str">
            <v>体育用品</v>
          </cell>
          <cell r="D1575">
            <v>206</v>
          </cell>
        </row>
        <row r="1576">
          <cell r="A1576">
            <v>35065</v>
          </cell>
          <cell r="B1576" t="str">
            <v>江苏</v>
          </cell>
          <cell r="C1576" t="str">
            <v>体育用品</v>
          </cell>
          <cell r="D1576">
            <v>203</v>
          </cell>
        </row>
        <row r="1577">
          <cell r="A1577">
            <v>35065</v>
          </cell>
          <cell r="B1577" t="str">
            <v>江西</v>
          </cell>
          <cell r="C1577" t="str">
            <v>体育用品</v>
          </cell>
          <cell r="D1577">
            <v>655</v>
          </cell>
        </row>
        <row r="1578">
          <cell r="A1578">
            <v>35096</v>
          </cell>
          <cell r="B1578" t="str">
            <v>江苏</v>
          </cell>
          <cell r="C1578" t="str">
            <v>艺术品</v>
          </cell>
          <cell r="D1578">
            <v>330</v>
          </cell>
        </row>
        <row r="1579">
          <cell r="A1579">
            <v>35096</v>
          </cell>
          <cell r="B1579" t="str">
            <v>安徽</v>
          </cell>
          <cell r="C1579" t="str">
            <v>艺术品</v>
          </cell>
          <cell r="D1579">
            <v>45</v>
          </cell>
        </row>
        <row r="1580">
          <cell r="A1580">
            <v>35096</v>
          </cell>
          <cell r="B1580" t="str">
            <v>广东</v>
          </cell>
          <cell r="C1580" t="str">
            <v>艺术品</v>
          </cell>
          <cell r="D1580">
            <v>124</v>
          </cell>
        </row>
        <row r="1581">
          <cell r="A1581">
            <v>35096</v>
          </cell>
          <cell r="B1581" t="str">
            <v>安徽</v>
          </cell>
          <cell r="C1581" t="str">
            <v>艺术品</v>
          </cell>
          <cell r="D1581">
            <v>193</v>
          </cell>
        </row>
        <row r="1582">
          <cell r="A1582">
            <v>35096</v>
          </cell>
          <cell r="B1582" t="str">
            <v>安徽</v>
          </cell>
          <cell r="C1582" t="str">
            <v>艺术品</v>
          </cell>
          <cell r="D1582">
            <v>225</v>
          </cell>
        </row>
        <row r="1583">
          <cell r="A1583">
            <v>35096</v>
          </cell>
          <cell r="B1583" t="str">
            <v>江西</v>
          </cell>
          <cell r="C1583" t="str">
            <v>艺术品</v>
          </cell>
          <cell r="D1583">
            <v>270</v>
          </cell>
        </row>
        <row r="1584">
          <cell r="A1584">
            <v>35096</v>
          </cell>
          <cell r="B1584" t="str">
            <v>江苏</v>
          </cell>
          <cell r="C1584" t="str">
            <v>艺术品</v>
          </cell>
          <cell r="D1584">
            <v>66</v>
          </cell>
        </row>
        <row r="1585">
          <cell r="A1585">
            <v>35096</v>
          </cell>
          <cell r="B1585" t="str">
            <v>江西</v>
          </cell>
          <cell r="C1585" t="str">
            <v>艺术品</v>
          </cell>
          <cell r="D1585">
            <v>371</v>
          </cell>
        </row>
        <row r="1586">
          <cell r="A1586">
            <v>35096</v>
          </cell>
          <cell r="B1586" t="str">
            <v>江苏</v>
          </cell>
          <cell r="C1586" t="str">
            <v>艺术品</v>
          </cell>
          <cell r="D1586">
            <v>270</v>
          </cell>
        </row>
        <row r="1587">
          <cell r="A1587">
            <v>35096</v>
          </cell>
          <cell r="B1587" t="str">
            <v>江苏</v>
          </cell>
          <cell r="C1587" t="str">
            <v>艺术品</v>
          </cell>
          <cell r="D1587">
            <v>441</v>
          </cell>
        </row>
        <row r="1588">
          <cell r="A1588">
            <v>35096</v>
          </cell>
          <cell r="B1588" t="str">
            <v>广东</v>
          </cell>
          <cell r="C1588" t="str">
            <v>艺术品</v>
          </cell>
          <cell r="D1588">
            <v>587</v>
          </cell>
        </row>
        <row r="1589">
          <cell r="A1589">
            <v>35096</v>
          </cell>
          <cell r="B1589" t="str">
            <v>山东</v>
          </cell>
          <cell r="C1589" t="str">
            <v>艺术品</v>
          </cell>
          <cell r="D1589">
            <v>615</v>
          </cell>
        </row>
        <row r="1590">
          <cell r="A1590">
            <v>35096</v>
          </cell>
          <cell r="B1590" t="str">
            <v>山东</v>
          </cell>
          <cell r="C1590" t="str">
            <v>艺术品</v>
          </cell>
          <cell r="D1590">
            <v>633</v>
          </cell>
        </row>
        <row r="1591">
          <cell r="A1591">
            <v>35096</v>
          </cell>
          <cell r="B1591" t="str">
            <v>山东</v>
          </cell>
          <cell r="C1591" t="str">
            <v>艺术品</v>
          </cell>
          <cell r="D1591">
            <v>774</v>
          </cell>
        </row>
        <row r="1592">
          <cell r="A1592">
            <v>35096</v>
          </cell>
          <cell r="B1592" t="str">
            <v>山东</v>
          </cell>
          <cell r="C1592" t="str">
            <v>艺术品</v>
          </cell>
          <cell r="D1592">
            <v>976</v>
          </cell>
        </row>
        <row r="1593">
          <cell r="A1593">
            <v>35096</v>
          </cell>
          <cell r="B1593" t="str">
            <v>江西</v>
          </cell>
          <cell r="C1593" t="str">
            <v>艺术品</v>
          </cell>
          <cell r="D1593">
            <v>1039</v>
          </cell>
        </row>
        <row r="1594">
          <cell r="A1594">
            <v>35096</v>
          </cell>
          <cell r="B1594" t="str">
            <v>广东</v>
          </cell>
          <cell r="C1594" t="str">
            <v>艺术品</v>
          </cell>
          <cell r="D1594">
            <v>1081</v>
          </cell>
        </row>
        <row r="1595">
          <cell r="A1595">
            <v>35096</v>
          </cell>
          <cell r="B1595" t="str">
            <v>广东</v>
          </cell>
          <cell r="C1595" t="str">
            <v>艺术品</v>
          </cell>
          <cell r="D1595">
            <v>1134</v>
          </cell>
        </row>
        <row r="1596">
          <cell r="A1596">
            <v>35096</v>
          </cell>
          <cell r="B1596" t="str">
            <v>江西</v>
          </cell>
          <cell r="C1596" t="str">
            <v>艺术品</v>
          </cell>
          <cell r="D1596">
            <v>2517</v>
          </cell>
        </row>
        <row r="1597">
          <cell r="A1597">
            <v>35096</v>
          </cell>
          <cell r="B1597" t="str">
            <v>安徽</v>
          </cell>
          <cell r="C1597" t="str">
            <v>艺术品</v>
          </cell>
          <cell r="D1597">
            <v>1475</v>
          </cell>
        </row>
        <row r="1598">
          <cell r="A1598">
            <v>35096</v>
          </cell>
          <cell r="B1598" t="str">
            <v>江西</v>
          </cell>
          <cell r="C1598" t="str">
            <v>自行车</v>
          </cell>
          <cell r="D1598">
            <v>368</v>
          </cell>
        </row>
        <row r="1599">
          <cell r="A1599">
            <v>35096</v>
          </cell>
          <cell r="B1599" t="str">
            <v>山东</v>
          </cell>
          <cell r="C1599" t="str">
            <v>自行车</v>
          </cell>
          <cell r="D1599">
            <v>448</v>
          </cell>
        </row>
        <row r="1600">
          <cell r="A1600">
            <v>35096</v>
          </cell>
          <cell r="B1600" t="str">
            <v>广东</v>
          </cell>
          <cell r="C1600" t="str">
            <v>自行车</v>
          </cell>
          <cell r="D1600">
            <v>473</v>
          </cell>
        </row>
        <row r="1601">
          <cell r="A1601">
            <v>35096</v>
          </cell>
          <cell r="B1601" t="str">
            <v>江苏</v>
          </cell>
          <cell r="C1601" t="str">
            <v>自行车</v>
          </cell>
          <cell r="D1601">
            <v>480</v>
          </cell>
        </row>
        <row r="1602">
          <cell r="A1602">
            <v>35096</v>
          </cell>
          <cell r="B1602" t="str">
            <v>安徽</v>
          </cell>
          <cell r="C1602" t="str">
            <v>自行车</v>
          </cell>
          <cell r="D1602">
            <v>193</v>
          </cell>
        </row>
        <row r="1603">
          <cell r="A1603">
            <v>35096</v>
          </cell>
          <cell r="B1603" t="str">
            <v>安徽</v>
          </cell>
          <cell r="C1603" t="str">
            <v>自行车</v>
          </cell>
          <cell r="D1603">
            <v>90</v>
          </cell>
        </row>
        <row r="1604">
          <cell r="A1604">
            <v>35096</v>
          </cell>
          <cell r="B1604" t="str">
            <v>江西</v>
          </cell>
          <cell r="C1604" t="str">
            <v>自行车</v>
          </cell>
          <cell r="D1604">
            <v>270</v>
          </cell>
        </row>
        <row r="1605">
          <cell r="A1605">
            <v>35096</v>
          </cell>
          <cell r="B1605" t="str">
            <v>广东</v>
          </cell>
          <cell r="C1605" t="str">
            <v>自行车</v>
          </cell>
          <cell r="D1605">
            <v>149</v>
          </cell>
        </row>
        <row r="1606">
          <cell r="A1606">
            <v>35096</v>
          </cell>
          <cell r="B1606" t="str">
            <v>江苏</v>
          </cell>
          <cell r="C1606" t="str">
            <v>自行车</v>
          </cell>
          <cell r="D1606">
            <v>230</v>
          </cell>
        </row>
        <row r="1607">
          <cell r="A1607">
            <v>35096</v>
          </cell>
          <cell r="B1607" t="str">
            <v>山东</v>
          </cell>
          <cell r="C1607" t="str">
            <v>自行车</v>
          </cell>
          <cell r="D1607">
            <v>261</v>
          </cell>
        </row>
        <row r="1608">
          <cell r="A1608">
            <v>35096</v>
          </cell>
          <cell r="B1608" t="str">
            <v>江苏</v>
          </cell>
          <cell r="C1608" t="str">
            <v>自行车</v>
          </cell>
          <cell r="D1608">
            <v>263</v>
          </cell>
        </row>
        <row r="1609">
          <cell r="A1609">
            <v>35096</v>
          </cell>
          <cell r="B1609" t="str">
            <v>江苏</v>
          </cell>
          <cell r="C1609" t="str">
            <v>自行车</v>
          </cell>
          <cell r="D1609">
            <v>312</v>
          </cell>
        </row>
        <row r="1610">
          <cell r="A1610">
            <v>35096</v>
          </cell>
          <cell r="B1610" t="str">
            <v>江西</v>
          </cell>
          <cell r="C1610" t="str">
            <v>自行车</v>
          </cell>
          <cell r="D1610">
            <v>368</v>
          </cell>
        </row>
        <row r="1611">
          <cell r="A1611">
            <v>35096</v>
          </cell>
          <cell r="B1611" t="str">
            <v>广东</v>
          </cell>
          <cell r="C1611" t="str">
            <v>自行车</v>
          </cell>
          <cell r="D1611">
            <v>146</v>
          </cell>
        </row>
        <row r="1612">
          <cell r="A1612">
            <v>35096</v>
          </cell>
          <cell r="B1612" t="str">
            <v>安徽</v>
          </cell>
          <cell r="C1612" t="str">
            <v>自行车</v>
          </cell>
          <cell r="D1612">
            <v>70</v>
          </cell>
        </row>
        <row r="1613">
          <cell r="A1613">
            <v>35096</v>
          </cell>
          <cell r="B1613" t="str">
            <v>安徽</v>
          </cell>
          <cell r="C1613" t="str">
            <v>自行车</v>
          </cell>
          <cell r="D1613">
            <v>620</v>
          </cell>
        </row>
        <row r="1614">
          <cell r="A1614">
            <v>35096</v>
          </cell>
          <cell r="B1614" t="str">
            <v>广东</v>
          </cell>
          <cell r="C1614" t="str">
            <v>自行车</v>
          </cell>
          <cell r="D1614">
            <v>653</v>
          </cell>
        </row>
        <row r="1615">
          <cell r="A1615">
            <v>35096</v>
          </cell>
          <cell r="B1615" t="str">
            <v>江西</v>
          </cell>
          <cell r="C1615" t="str">
            <v>自行车</v>
          </cell>
          <cell r="D1615">
            <v>688</v>
          </cell>
        </row>
        <row r="1616">
          <cell r="A1616">
            <v>35096</v>
          </cell>
          <cell r="B1616" t="str">
            <v>山东</v>
          </cell>
          <cell r="C1616" t="str">
            <v>自行车</v>
          </cell>
          <cell r="D1616">
            <v>782</v>
          </cell>
        </row>
        <row r="1617">
          <cell r="A1617">
            <v>35096</v>
          </cell>
          <cell r="B1617" t="str">
            <v>山东</v>
          </cell>
          <cell r="C1617" t="str">
            <v>自行车</v>
          </cell>
          <cell r="D1617">
            <v>1365</v>
          </cell>
        </row>
        <row r="1618">
          <cell r="A1618">
            <v>35096</v>
          </cell>
          <cell r="B1618" t="str">
            <v>山东</v>
          </cell>
          <cell r="C1618" t="str">
            <v>服装</v>
          </cell>
          <cell r="D1618">
            <v>1979</v>
          </cell>
        </row>
        <row r="1619">
          <cell r="A1619">
            <v>35096</v>
          </cell>
          <cell r="B1619" t="str">
            <v>山东</v>
          </cell>
          <cell r="C1619" t="str">
            <v>服装</v>
          </cell>
          <cell r="D1619">
            <v>2166</v>
          </cell>
        </row>
        <row r="1620">
          <cell r="A1620">
            <v>35096</v>
          </cell>
          <cell r="B1620" t="str">
            <v>安徽</v>
          </cell>
          <cell r="C1620" t="str">
            <v>服装</v>
          </cell>
          <cell r="D1620">
            <v>175</v>
          </cell>
        </row>
        <row r="1621">
          <cell r="A1621">
            <v>35096</v>
          </cell>
          <cell r="B1621" t="str">
            <v>安徽</v>
          </cell>
          <cell r="C1621" t="str">
            <v>服装</v>
          </cell>
          <cell r="D1621">
            <v>248</v>
          </cell>
        </row>
        <row r="1622">
          <cell r="A1622">
            <v>35096</v>
          </cell>
          <cell r="B1622" t="str">
            <v>山东</v>
          </cell>
          <cell r="C1622" t="str">
            <v>服装</v>
          </cell>
          <cell r="D1622">
            <v>126</v>
          </cell>
        </row>
        <row r="1623">
          <cell r="A1623">
            <v>35096</v>
          </cell>
          <cell r="B1623" t="str">
            <v>山东</v>
          </cell>
          <cell r="C1623" t="str">
            <v>服装</v>
          </cell>
          <cell r="D1623">
            <v>101</v>
          </cell>
        </row>
        <row r="1624">
          <cell r="A1624">
            <v>35096</v>
          </cell>
          <cell r="B1624" t="str">
            <v>安徽</v>
          </cell>
          <cell r="C1624" t="str">
            <v>服装</v>
          </cell>
          <cell r="D1624">
            <v>101</v>
          </cell>
        </row>
        <row r="1625">
          <cell r="A1625">
            <v>35096</v>
          </cell>
          <cell r="B1625" t="str">
            <v>安徽</v>
          </cell>
          <cell r="C1625" t="str">
            <v>服装</v>
          </cell>
          <cell r="D1625">
            <v>113</v>
          </cell>
        </row>
        <row r="1626">
          <cell r="A1626">
            <v>35096</v>
          </cell>
          <cell r="B1626" t="str">
            <v>山东</v>
          </cell>
          <cell r="C1626" t="str">
            <v>服装</v>
          </cell>
          <cell r="D1626">
            <v>60</v>
          </cell>
        </row>
        <row r="1627">
          <cell r="A1627">
            <v>35096</v>
          </cell>
          <cell r="B1627" t="str">
            <v>安徽</v>
          </cell>
          <cell r="C1627" t="str">
            <v>服装</v>
          </cell>
          <cell r="D1627">
            <v>88</v>
          </cell>
        </row>
        <row r="1628">
          <cell r="A1628">
            <v>35096</v>
          </cell>
          <cell r="B1628" t="str">
            <v>安徽</v>
          </cell>
          <cell r="C1628" t="str">
            <v>服装</v>
          </cell>
          <cell r="D1628">
            <v>275</v>
          </cell>
        </row>
        <row r="1629">
          <cell r="A1629">
            <v>35096</v>
          </cell>
          <cell r="B1629" t="str">
            <v>山东</v>
          </cell>
          <cell r="C1629" t="str">
            <v>服装</v>
          </cell>
          <cell r="D1629">
            <v>72</v>
          </cell>
        </row>
        <row r="1630">
          <cell r="A1630">
            <v>35096</v>
          </cell>
          <cell r="B1630" t="str">
            <v>山东</v>
          </cell>
          <cell r="C1630" t="str">
            <v>食品</v>
          </cell>
          <cell r="D1630">
            <v>113</v>
          </cell>
        </row>
        <row r="1631">
          <cell r="A1631">
            <v>35096</v>
          </cell>
          <cell r="B1631" t="str">
            <v>江苏</v>
          </cell>
          <cell r="C1631" t="str">
            <v>食品</v>
          </cell>
          <cell r="D1631">
            <v>63</v>
          </cell>
        </row>
        <row r="1632">
          <cell r="A1632">
            <v>35096</v>
          </cell>
          <cell r="B1632" t="str">
            <v>安徽</v>
          </cell>
          <cell r="C1632" t="str">
            <v>食品</v>
          </cell>
          <cell r="D1632">
            <v>68</v>
          </cell>
        </row>
        <row r="1633">
          <cell r="A1633">
            <v>35096</v>
          </cell>
          <cell r="B1633" t="str">
            <v>安徽</v>
          </cell>
          <cell r="C1633" t="str">
            <v>食品</v>
          </cell>
          <cell r="D1633">
            <v>1326</v>
          </cell>
        </row>
        <row r="1634">
          <cell r="A1634">
            <v>35096</v>
          </cell>
          <cell r="B1634" t="str">
            <v>江苏</v>
          </cell>
          <cell r="C1634" t="str">
            <v>食品</v>
          </cell>
          <cell r="D1634">
            <v>99</v>
          </cell>
        </row>
        <row r="1635">
          <cell r="A1635">
            <v>35096</v>
          </cell>
          <cell r="B1635" t="str">
            <v>安徽</v>
          </cell>
          <cell r="C1635" t="str">
            <v>食品</v>
          </cell>
          <cell r="D1635">
            <v>630</v>
          </cell>
        </row>
        <row r="1636">
          <cell r="A1636">
            <v>35096</v>
          </cell>
          <cell r="B1636" t="str">
            <v>广东</v>
          </cell>
          <cell r="C1636" t="str">
            <v>食品</v>
          </cell>
          <cell r="D1636">
            <v>668</v>
          </cell>
        </row>
        <row r="1637">
          <cell r="A1637">
            <v>35096</v>
          </cell>
          <cell r="B1637" t="str">
            <v>江西</v>
          </cell>
          <cell r="C1637" t="str">
            <v>食品</v>
          </cell>
          <cell r="D1637">
            <v>858</v>
          </cell>
        </row>
        <row r="1638">
          <cell r="A1638">
            <v>35096</v>
          </cell>
          <cell r="B1638" t="str">
            <v>安徽</v>
          </cell>
          <cell r="C1638" t="str">
            <v>食品</v>
          </cell>
          <cell r="D1638">
            <v>611</v>
          </cell>
        </row>
        <row r="1639">
          <cell r="A1639">
            <v>35096</v>
          </cell>
          <cell r="B1639" t="str">
            <v>山东</v>
          </cell>
          <cell r="C1639" t="str">
            <v>食品</v>
          </cell>
          <cell r="D1639">
            <v>1354</v>
          </cell>
        </row>
        <row r="1640">
          <cell r="A1640">
            <v>35096</v>
          </cell>
          <cell r="B1640" t="str">
            <v>广东</v>
          </cell>
          <cell r="C1640" t="str">
            <v>食品</v>
          </cell>
          <cell r="D1640">
            <v>124</v>
          </cell>
        </row>
        <row r="1641">
          <cell r="A1641">
            <v>35096</v>
          </cell>
          <cell r="B1641" t="str">
            <v>广东</v>
          </cell>
          <cell r="C1641" t="str">
            <v>食品</v>
          </cell>
          <cell r="D1641">
            <v>131</v>
          </cell>
        </row>
        <row r="1642">
          <cell r="A1642">
            <v>35096</v>
          </cell>
          <cell r="B1642" t="str">
            <v>山东</v>
          </cell>
          <cell r="C1642" t="str">
            <v>食品</v>
          </cell>
          <cell r="D1642">
            <v>158</v>
          </cell>
        </row>
        <row r="1643">
          <cell r="A1643">
            <v>35096</v>
          </cell>
          <cell r="B1643" t="str">
            <v>江苏</v>
          </cell>
          <cell r="C1643" t="str">
            <v>食品</v>
          </cell>
          <cell r="D1643">
            <v>169</v>
          </cell>
        </row>
        <row r="1644">
          <cell r="A1644">
            <v>35096</v>
          </cell>
          <cell r="B1644" t="str">
            <v>江苏</v>
          </cell>
          <cell r="C1644" t="str">
            <v>食品</v>
          </cell>
          <cell r="D1644">
            <v>201</v>
          </cell>
        </row>
        <row r="1645">
          <cell r="A1645">
            <v>35096</v>
          </cell>
          <cell r="B1645" t="str">
            <v>江西</v>
          </cell>
          <cell r="C1645" t="str">
            <v>食品</v>
          </cell>
          <cell r="D1645">
            <v>210</v>
          </cell>
        </row>
        <row r="1646">
          <cell r="A1646">
            <v>35096</v>
          </cell>
          <cell r="B1646" t="str">
            <v>江西</v>
          </cell>
          <cell r="C1646" t="str">
            <v>食品</v>
          </cell>
          <cell r="D1646">
            <v>210</v>
          </cell>
        </row>
        <row r="1647">
          <cell r="A1647">
            <v>35096</v>
          </cell>
          <cell r="B1647" t="str">
            <v>广东</v>
          </cell>
          <cell r="C1647" t="str">
            <v>食品</v>
          </cell>
          <cell r="D1647">
            <v>630</v>
          </cell>
        </row>
        <row r="1648">
          <cell r="A1648">
            <v>35096</v>
          </cell>
          <cell r="B1648" t="str">
            <v>山东</v>
          </cell>
          <cell r="C1648" t="str">
            <v>食品</v>
          </cell>
          <cell r="D1648">
            <v>525</v>
          </cell>
        </row>
        <row r="1649">
          <cell r="A1649">
            <v>35096</v>
          </cell>
          <cell r="B1649" t="str">
            <v>江西</v>
          </cell>
          <cell r="C1649" t="str">
            <v>食品</v>
          </cell>
          <cell r="D1649">
            <v>540</v>
          </cell>
        </row>
        <row r="1650">
          <cell r="A1650">
            <v>35096</v>
          </cell>
          <cell r="B1650" t="str">
            <v>山东</v>
          </cell>
          <cell r="C1650" t="str">
            <v>儿童用品</v>
          </cell>
          <cell r="D1650">
            <v>79</v>
          </cell>
        </row>
        <row r="1651">
          <cell r="A1651">
            <v>35096</v>
          </cell>
          <cell r="B1651" t="str">
            <v>山东</v>
          </cell>
          <cell r="C1651" t="str">
            <v>儿童用品</v>
          </cell>
          <cell r="D1651">
            <v>53</v>
          </cell>
        </row>
        <row r="1652">
          <cell r="A1652">
            <v>35096</v>
          </cell>
          <cell r="B1652" t="str">
            <v>江西</v>
          </cell>
          <cell r="C1652" t="str">
            <v>儿童用品</v>
          </cell>
          <cell r="D1652">
            <v>56</v>
          </cell>
        </row>
        <row r="1653">
          <cell r="A1653">
            <v>35096</v>
          </cell>
          <cell r="B1653" t="str">
            <v>江西</v>
          </cell>
          <cell r="C1653" t="str">
            <v>儿童用品</v>
          </cell>
          <cell r="D1653">
            <v>81</v>
          </cell>
        </row>
        <row r="1654">
          <cell r="A1654">
            <v>35096</v>
          </cell>
          <cell r="B1654" t="str">
            <v>江苏</v>
          </cell>
          <cell r="C1654" t="str">
            <v>儿童用品</v>
          </cell>
          <cell r="D1654">
            <v>63</v>
          </cell>
        </row>
        <row r="1655">
          <cell r="A1655">
            <v>35096</v>
          </cell>
          <cell r="B1655" t="str">
            <v>江西</v>
          </cell>
          <cell r="C1655" t="str">
            <v>儿童用品</v>
          </cell>
          <cell r="D1655">
            <v>3002</v>
          </cell>
        </row>
        <row r="1656">
          <cell r="A1656">
            <v>35096</v>
          </cell>
          <cell r="B1656" t="str">
            <v>江苏</v>
          </cell>
          <cell r="C1656" t="str">
            <v>儿童用品</v>
          </cell>
          <cell r="D1656">
            <v>96</v>
          </cell>
        </row>
        <row r="1657">
          <cell r="A1657">
            <v>35096</v>
          </cell>
          <cell r="B1657" t="str">
            <v>广东</v>
          </cell>
          <cell r="C1657" t="str">
            <v>儿童用品</v>
          </cell>
          <cell r="D1657">
            <v>113</v>
          </cell>
        </row>
        <row r="1658">
          <cell r="A1658">
            <v>35096</v>
          </cell>
          <cell r="B1658" t="str">
            <v>江苏</v>
          </cell>
          <cell r="C1658" t="str">
            <v>儿童用品</v>
          </cell>
          <cell r="D1658">
            <v>123</v>
          </cell>
        </row>
        <row r="1659">
          <cell r="A1659">
            <v>35096</v>
          </cell>
          <cell r="B1659" t="str">
            <v>广东</v>
          </cell>
          <cell r="C1659" t="str">
            <v>儿童用品</v>
          </cell>
          <cell r="D1659">
            <v>123</v>
          </cell>
        </row>
        <row r="1660">
          <cell r="A1660">
            <v>35096</v>
          </cell>
          <cell r="B1660" t="str">
            <v>江苏</v>
          </cell>
          <cell r="C1660" t="str">
            <v>儿童用品</v>
          </cell>
          <cell r="D1660">
            <v>124</v>
          </cell>
        </row>
        <row r="1661">
          <cell r="A1661">
            <v>35096</v>
          </cell>
          <cell r="B1661" t="str">
            <v>广东</v>
          </cell>
          <cell r="C1661" t="str">
            <v>儿童用品</v>
          </cell>
          <cell r="D1661">
            <v>291</v>
          </cell>
        </row>
        <row r="1662">
          <cell r="A1662">
            <v>35096</v>
          </cell>
          <cell r="B1662" t="str">
            <v>广东</v>
          </cell>
          <cell r="C1662" t="str">
            <v>儿童用品</v>
          </cell>
          <cell r="D1662">
            <v>356</v>
          </cell>
        </row>
        <row r="1663">
          <cell r="A1663">
            <v>35096</v>
          </cell>
          <cell r="B1663" t="str">
            <v>安徽</v>
          </cell>
          <cell r="C1663" t="str">
            <v>儿童用品</v>
          </cell>
          <cell r="D1663">
            <v>374</v>
          </cell>
        </row>
        <row r="1664">
          <cell r="A1664">
            <v>35096</v>
          </cell>
          <cell r="B1664" t="str">
            <v>山东</v>
          </cell>
          <cell r="C1664" t="str">
            <v>儿童用品</v>
          </cell>
          <cell r="D1664">
            <v>511</v>
          </cell>
        </row>
        <row r="1665">
          <cell r="A1665">
            <v>35096</v>
          </cell>
          <cell r="B1665" t="str">
            <v>安徽</v>
          </cell>
          <cell r="C1665" t="str">
            <v>儿童用品</v>
          </cell>
          <cell r="D1665">
            <v>601</v>
          </cell>
        </row>
        <row r="1666">
          <cell r="A1666">
            <v>35096</v>
          </cell>
          <cell r="B1666" t="str">
            <v>安徽</v>
          </cell>
          <cell r="C1666" t="str">
            <v>儿童用品</v>
          </cell>
          <cell r="D1666">
            <v>1050</v>
          </cell>
        </row>
        <row r="1667">
          <cell r="A1667">
            <v>35096</v>
          </cell>
          <cell r="B1667" t="str">
            <v>江西</v>
          </cell>
          <cell r="C1667" t="str">
            <v>儿童用品</v>
          </cell>
          <cell r="D1667">
            <v>1131</v>
          </cell>
        </row>
        <row r="1668">
          <cell r="A1668">
            <v>35096</v>
          </cell>
          <cell r="B1668" t="str">
            <v>安徽</v>
          </cell>
          <cell r="C1668" t="str">
            <v>儿童用品</v>
          </cell>
          <cell r="D1668">
            <v>2516</v>
          </cell>
        </row>
        <row r="1669">
          <cell r="A1669">
            <v>35096</v>
          </cell>
          <cell r="B1669" t="str">
            <v>山东</v>
          </cell>
          <cell r="C1669" t="str">
            <v>儿童用品</v>
          </cell>
          <cell r="D1669">
            <v>1431</v>
          </cell>
        </row>
        <row r="1670">
          <cell r="A1670">
            <v>35096</v>
          </cell>
          <cell r="B1670" t="str">
            <v>广东</v>
          </cell>
          <cell r="C1670" t="str">
            <v>体育用品</v>
          </cell>
          <cell r="D1670">
            <v>1662</v>
          </cell>
        </row>
        <row r="1671">
          <cell r="A1671">
            <v>35096</v>
          </cell>
          <cell r="B1671" t="str">
            <v>广东</v>
          </cell>
          <cell r="C1671" t="str">
            <v>体育用品</v>
          </cell>
          <cell r="D1671">
            <v>1164</v>
          </cell>
        </row>
        <row r="1672">
          <cell r="A1672">
            <v>35096</v>
          </cell>
          <cell r="B1672" t="str">
            <v>安徽</v>
          </cell>
          <cell r="C1672" t="str">
            <v>体育用品</v>
          </cell>
          <cell r="D1672">
            <v>627</v>
          </cell>
        </row>
        <row r="1673">
          <cell r="A1673">
            <v>35096</v>
          </cell>
          <cell r="B1673" t="str">
            <v>江西</v>
          </cell>
          <cell r="C1673" t="str">
            <v>体育用品</v>
          </cell>
          <cell r="D1673">
            <v>165</v>
          </cell>
        </row>
        <row r="1674">
          <cell r="A1674">
            <v>35096</v>
          </cell>
          <cell r="B1674" t="str">
            <v>安徽</v>
          </cell>
          <cell r="C1674" t="str">
            <v>体育用品</v>
          </cell>
          <cell r="D1674">
            <v>53</v>
          </cell>
        </row>
        <row r="1675">
          <cell r="A1675">
            <v>35096</v>
          </cell>
          <cell r="B1675" t="str">
            <v>安徽</v>
          </cell>
          <cell r="C1675" t="str">
            <v>体育用品</v>
          </cell>
          <cell r="D1675">
            <v>69</v>
          </cell>
        </row>
        <row r="1676">
          <cell r="A1676">
            <v>35096</v>
          </cell>
          <cell r="B1676" t="str">
            <v>江苏</v>
          </cell>
          <cell r="C1676" t="str">
            <v>体育用品</v>
          </cell>
          <cell r="D1676">
            <v>69</v>
          </cell>
        </row>
        <row r="1677">
          <cell r="A1677">
            <v>35096</v>
          </cell>
          <cell r="B1677" t="str">
            <v>山东</v>
          </cell>
          <cell r="C1677" t="str">
            <v>体育用品</v>
          </cell>
          <cell r="D1677">
            <v>56</v>
          </cell>
        </row>
        <row r="1678">
          <cell r="A1678">
            <v>35096</v>
          </cell>
          <cell r="B1678" t="str">
            <v>山东</v>
          </cell>
          <cell r="C1678" t="str">
            <v>体育用品</v>
          </cell>
          <cell r="D1678">
            <v>55</v>
          </cell>
        </row>
        <row r="1679">
          <cell r="A1679">
            <v>35096</v>
          </cell>
          <cell r="B1679" t="str">
            <v>广东</v>
          </cell>
          <cell r="C1679" t="str">
            <v>体育用品</v>
          </cell>
          <cell r="D1679">
            <v>306</v>
          </cell>
        </row>
        <row r="1680">
          <cell r="A1680">
            <v>35096</v>
          </cell>
          <cell r="B1680" t="str">
            <v>安徽</v>
          </cell>
          <cell r="C1680" t="str">
            <v>体育用品</v>
          </cell>
          <cell r="D1680">
            <v>53</v>
          </cell>
        </row>
        <row r="1681">
          <cell r="A1681">
            <v>35096</v>
          </cell>
          <cell r="B1681" t="str">
            <v>安徽</v>
          </cell>
          <cell r="C1681" t="str">
            <v>体育用品</v>
          </cell>
          <cell r="D1681">
            <v>79</v>
          </cell>
        </row>
        <row r="1682">
          <cell r="A1682">
            <v>35096</v>
          </cell>
          <cell r="B1682" t="str">
            <v>山东</v>
          </cell>
          <cell r="C1682" t="str">
            <v>体育用品</v>
          </cell>
          <cell r="D1682">
            <v>44</v>
          </cell>
        </row>
        <row r="1683">
          <cell r="A1683">
            <v>35096</v>
          </cell>
          <cell r="B1683" t="str">
            <v>江苏</v>
          </cell>
          <cell r="C1683" t="str">
            <v>体育用品</v>
          </cell>
          <cell r="D1683">
            <v>44</v>
          </cell>
        </row>
        <row r="1684">
          <cell r="A1684">
            <v>35096</v>
          </cell>
          <cell r="B1684" t="str">
            <v>江苏</v>
          </cell>
          <cell r="C1684" t="str">
            <v>体育用品</v>
          </cell>
          <cell r="D1684">
            <v>39</v>
          </cell>
        </row>
        <row r="1685">
          <cell r="A1685">
            <v>35096</v>
          </cell>
          <cell r="B1685" t="str">
            <v>山东</v>
          </cell>
          <cell r="C1685" t="str">
            <v>体育用品</v>
          </cell>
          <cell r="D1685">
            <v>28</v>
          </cell>
        </row>
        <row r="1686">
          <cell r="A1686">
            <v>35096</v>
          </cell>
          <cell r="B1686" t="str">
            <v>广东</v>
          </cell>
          <cell r="C1686" t="str">
            <v>体育用品</v>
          </cell>
          <cell r="D1686">
            <v>23</v>
          </cell>
        </row>
        <row r="1687">
          <cell r="A1687">
            <v>35096</v>
          </cell>
          <cell r="B1687" t="str">
            <v>山东</v>
          </cell>
          <cell r="C1687" t="str">
            <v>体育用品</v>
          </cell>
          <cell r="D1687">
            <v>14</v>
          </cell>
        </row>
        <row r="1688">
          <cell r="A1688">
            <v>35096</v>
          </cell>
          <cell r="B1688" t="str">
            <v>江苏</v>
          </cell>
          <cell r="C1688" t="str">
            <v>体育用品</v>
          </cell>
          <cell r="D1688">
            <v>54</v>
          </cell>
        </row>
        <row r="1689">
          <cell r="A1689">
            <v>35096</v>
          </cell>
          <cell r="B1689" t="str">
            <v>江西</v>
          </cell>
          <cell r="C1689" t="str">
            <v>体育用品</v>
          </cell>
          <cell r="D1689">
            <v>158</v>
          </cell>
        </row>
        <row r="1690">
          <cell r="A1690">
            <v>35096</v>
          </cell>
          <cell r="B1690" t="str">
            <v>江西</v>
          </cell>
          <cell r="C1690" t="str">
            <v>体育用品</v>
          </cell>
          <cell r="D1690">
            <v>113</v>
          </cell>
        </row>
        <row r="1691">
          <cell r="A1691">
            <v>35096</v>
          </cell>
          <cell r="B1691" t="str">
            <v>江苏</v>
          </cell>
          <cell r="C1691" t="str">
            <v>体育用品</v>
          </cell>
          <cell r="D1691">
            <v>77</v>
          </cell>
        </row>
        <row r="1692">
          <cell r="A1692">
            <v>35096</v>
          </cell>
          <cell r="B1692" t="str">
            <v>江西</v>
          </cell>
          <cell r="C1692" t="str">
            <v>体育用品</v>
          </cell>
          <cell r="D1692">
            <v>96</v>
          </cell>
        </row>
        <row r="1693">
          <cell r="A1693">
            <v>35096</v>
          </cell>
          <cell r="B1693" t="str">
            <v>安徽</v>
          </cell>
          <cell r="C1693" t="str">
            <v>体育用品</v>
          </cell>
          <cell r="D1693">
            <v>94</v>
          </cell>
        </row>
        <row r="1694">
          <cell r="A1694">
            <v>35096</v>
          </cell>
          <cell r="B1694" t="str">
            <v>江苏</v>
          </cell>
          <cell r="C1694" t="str">
            <v>体育用品</v>
          </cell>
          <cell r="D1694">
            <v>90</v>
          </cell>
        </row>
        <row r="1695">
          <cell r="A1695">
            <v>35096</v>
          </cell>
          <cell r="B1695" t="str">
            <v>江西</v>
          </cell>
          <cell r="C1695" t="str">
            <v>体育用品</v>
          </cell>
          <cell r="D1695">
            <v>83</v>
          </cell>
        </row>
        <row r="1696">
          <cell r="A1696">
            <v>35096</v>
          </cell>
          <cell r="B1696" t="str">
            <v>广东</v>
          </cell>
          <cell r="C1696" t="str">
            <v>体育用品</v>
          </cell>
          <cell r="D1696">
            <v>79</v>
          </cell>
        </row>
        <row r="1697">
          <cell r="A1697">
            <v>35096</v>
          </cell>
          <cell r="B1697" t="str">
            <v>广东</v>
          </cell>
          <cell r="C1697" t="str">
            <v>体育用品</v>
          </cell>
          <cell r="D1697">
            <v>96</v>
          </cell>
        </row>
        <row r="1698">
          <cell r="A1698">
            <v>35096</v>
          </cell>
          <cell r="B1698" t="str">
            <v>山东</v>
          </cell>
          <cell r="C1698" t="str">
            <v>体育用品</v>
          </cell>
          <cell r="D1698">
            <v>11</v>
          </cell>
        </row>
        <row r="1699">
          <cell r="A1699">
            <v>35125</v>
          </cell>
          <cell r="B1699" t="str">
            <v>江西</v>
          </cell>
          <cell r="C1699" t="str">
            <v>艺术品</v>
          </cell>
          <cell r="D1699">
            <v>1050</v>
          </cell>
        </row>
        <row r="1700">
          <cell r="A1700">
            <v>35125</v>
          </cell>
          <cell r="B1700" t="str">
            <v>广东</v>
          </cell>
          <cell r="C1700" t="str">
            <v>艺术品</v>
          </cell>
          <cell r="D1700">
            <v>1142</v>
          </cell>
        </row>
        <row r="1701">
          <cell r="A1701">
            <v>35125</v>
          </cell>
          <cell r="B1701" t="str">
            <v>山东</v>
          </cell>
          <cell r="C1701" t="str">
            <v>艺术品</v>
          </cell>
          <cell r="D1701">
            <v>1156</v>
          </cell>
        </row>
        <row r="1702">
          <cell r="A1702">
            <v>35125</v>
          </cell>
          <cell r="B1702" t="str">
            <v>广东</v>
          </cell>
          <cell r="C1702" t="str">
            <v>艺术品</v>
          </cell>
          <cell r="D1702">
            <v>1182</v>
          </cell>
        </row>
        <row r="1703">
          <cell r="A1703">
            <v>35125</v>
          </cell>
          <cell r="B1703" t="str">
            <v>山东</v>
          </cell>
          <cell r="C1703" t="str">
            <v>艺术品</v>
          </cell>
          <cell r="D1703">
            <v>825</v>
          </cell>
        </row>
        <row r="1704">
          <cell r="A1704">
            <v>35125</v>
          </cell>
          <cell r="B1704" t="str">
            <v>江苏</v>
          </cell>
          <cell r="C1704" t="str">
            <v>艺术品</v>
          </cell>
          <cell r="D1704">
            <v>214</v>
          </cell>
        </row>
        <row r="1705">
          <cell r="A1705">
            <v>35125</v>
          </cell>
          <cell r="B1705" t="str">
            <v>江苏</v>
          </cell>
          <cell r="C1705" t="str">
            <v>艺术品</v>
          </cell>
          <cell r="D1705">
            <v>55</v>
          </cell>
        </row>
        <row r="1706">
          <cell r="A1706">
            <v>35125</v>
          </cell>
          <cell r="B1706" t="str">
            <v>安徽</v>
          </cell>
          <cell r="C1706" t="str">
            <v>艺术品</v>
          </cell>
          <cell r="D1706">
            <v>79</v>
          </cell>
        </row>
        <row r="1707">
          <cell r="A1707">
            <v>35125</v>
          </cell>
          <cell r="B1707" t="str">
            <v>广东</v>
          </cell>
          <cell r="C1707" t="str">
            <v>艺术品</v>
          </cell>
          <cell r="D1707">
            <v>124</v>
          </cell>
        </row>
        <row r="1708">
          <cell r="A1708">
            <v>35125</v>
          </cell>
          <cell r="B1708" t="str">
            <v>江西</v>
          </cell>
          <cell r="C1708" t="str">
            <v>艺术品</v>
          </cell>
          <cell r="D1708">
            <v>855</v>
          </cell>
        </row>
        <row r="1709">
          <cell r="A1709">
            <v>35125</v>
          </cell>
          <cell r="B1709" t="str">
            <v>安徽</v>
          </cell>
          <cell r="C1709" t="str">
            <v>艺术品</v>
          </cell>
          <cell r="D1709">
            <v>827</v>
          </cell>
        </row>
        <row r="1710">
          <cell r="A1710">
            <v>35125</v>
          </cell>
          <cell r="B1710" t="str">
            <v>安徽</v>
          </cell>
          <cell r="C1710" t="str">
            <v>艺术品</v>
          </cell>
          <cell r="D1710">
            <v>225</v>
          </cell>
        </row>
        <row r="1711">
          <cell r="A1711">
            <v>35125</v>
          </cell>
          <cell r="B1711" t="str">
            <v>安徽</v>
          </cell>
          <cell r="C1711" t="str">
            <v>艺术品</v>
          </cell>
          <cell r="D1711">
            <v>248</v>
          </cell>
        </row>
        <row r="1712">
          <cell r="A1712">
            <v>35125</v>
          </cell>
          <cell r="B1712" t="str">
            <v>江西</v>
          </cell>
          <cell r="C1712" t="str">
            <v>艺术品</v>
          </cell>
          <cell r="D1712">
            <v>270</v>
          </cell>
        </row>
        <row r="1713">
          <cell r="A1713">
            <v>35125</v>
          </cell>
          <cell r="B1713" t="str">
            <v>江西</v>
          </cell>
          <cell r="C1713" t="str">
            <v>艺术品</v>
          </cell>
          <cell r="D1713">
            <v>338</v>
          </cell>
        </row>
        <row r="1714">
          <cell r="A1714">
            <v>35125</v>
          </cell>
          <cell r="B1714" t="str">
            <v>江苏</v>
          </cell>
          <cell r="C1714" t="str">
            <v>艺术品</v>
          </cell>
          <cell r="D1714">
            <v>371</v>
          </cell>
        </row>
        <row r="1715">
          <cell r="A1715">
            <v>35125</v>
          </cell>
          <cell r="B1715" t="str">
            <v>江苏</v>
          </cell>
          <cell r="C1715" t="str">
            <v>艺术品</v>
          </cell>
          <cell r="D1715">
            <v>410</v>
          </cell>
        </row>
        <row r="1716">
          <cell r="A1716">
            <v>35125</v>
          </cell>
          <cell r="B1716" t="str">
            <v>山东</v>
          </cell>
          <cell r="C1716" t="str">
            <v>艺术品</v>
          </cell>
          <cell r="D1716">
            <v>534</v>
          </cell>
        </row>
        <row r="1717">
          <cell r="A1717">
            <v>35125</v>
          </cell>
          <cell r="B1717" t="str">
            <v>广东</v>
          </cell>
          <cell r="C1717" t="str">
            <v>艺术品</v>
          </cell>
          <cell r="D1717">
            <v>681</v>
          </cell>
        </row>
        <row r="1718">
          <cell r="A1718">
            <v>35125</v>
          </cell>
          <cell r="B1718" t="str">
            <v>山东</v>
          </cell>
          <cell r="C1718" t="str">
            <v>艺术品</v>
          </cell>
          <cell r="D1718">
            <v>699</v>
          </cell>
        </row>
        <row r="1719">
          <cell r="A1719">
            <v>35125</v>
          </cell>
          <cell r="B1719" t="str">
            <v>安徽</v>
          </cell>
          <cell r="C1719" t="str">
            <v>自行车</v>
          </cell>
          <cell r="D1719">
            <v>79</v>
          </cell>
        </row>
        <row r="1720">
          <cell r="A1720">
            <v>35125</v>
          </cell>
          <cell r="B1720" t="str">
            <v>山东</v>
          </cell>
          <cell r="C1720" t="str">
            <v>自行车</v>
          </cell>
          <cell r="D1720">
            <v>923</v>
          </cell>
        </row>
        <row r="1721">
          <cell r="A1721">
            <v>35125</v>
          </cell>
          <cell r="B1721" t="str">
            <v>广东</v>
          </cell>
          <cell r="C1721" t="str">
            <v>自行车</v>
          </cell>
          <cell r="D1721">
            <v>101</v>
          </cell>
        </row>
        <row r="1722">
          <cell r="A1722">
            <v>35125</v>
          </cell>
          <cell r="B1722" t="str">
            <v>广东</v>
          </cell>
          <cell r="C1722" t="str">
            <v>自行车</v>
          </cell>
          <cell r="D1722">
            <v>438</v>
          </cell>
        </row>
        <row r="1723">
          <cell r="A1723">
            <v>35125</v>
          </cell>
          <cell r="B1723" t="str">
            <v>江西</v>
          </cell>
          <cell r="C1723" t="str">
            <v>自行车</v>
          </cell>
          <cell r="D1723">
            <v>484</v>
          </cell>
        </row>
        <row r="1724">
          <cell r="A1724">
            <v>35125</v>
          </cell>
          <cell r="B1724" t="str">
            <v>江西</v>
          </cell>
          <cell r="C1724" t="str">
            <v>自行车</v>
          </cell>
          <cell r="D1724">
            <v>492</v>
          </cell>
        </row>
        <row r="1725">
          <cell r="A1725">
            <v>35125</v>
          </cell>
          <cell r="B1725" t="str">
            <v>安徽</v>
          </cell>
          <cell r="C1725" t="str">
            <v>自行车</v>
          </cell>
          <cell r="D1725">
            <v>495</v>
          </cell>
        </row>
        <row r="1726">
          <cell r="A1726">
            <v>35125</v>
          </cell>
          <cell r="B1726" t="str">
            <v>江苏</v>
          </cell>
          <cell r="C1726" t="str">
            <v>自行车</v>
          </cell>
          <cell r="D1726">
            <v>513</v>
          </cell>
        </row>
        <row r="1727">
          <cell r="A1727">
            <v>35125</v>
          </cell>
          <cell r="B1727" t="str">
            <v>山东</v>
          </cell>
          <cell r="C1727" t="str">
            <v>自行车</v>
          </cell>
          <cell r="D1727">
            <v>377</v>
          </cell>
        </row>
        <row r="1728">
          <cell r="A1728">
            <v>35125</v>
          </cell>
          <cell r="B1728" t="str">
            <v>广东</v>
          </cell>
          <cell r="C1728" t="str">
            <v>自行车</v>
          </cell>
          <cell r="D1728">
            <v>653</v>
          </cell>
        </row>
        <row r="1729">
          <cell r="A1729">
            <v>35125</v>
          </cell>
          <cell r="B1729" t="str">
            <v>山东</v>
          </cell>
          <cell r="C1729" t="str">
            <v>自行车</v>
          </cell>
          <cell r="D1729">
            <v>697</v>
          </cell>
        </row>
        <row r="1730">
          <cell r="A1730">
            <v>35125</v>
          </cell>
          <cell r="B1730" t="str">
            <v>江苏</v>
          </cell>
          <cell r="C1730" t="str">
            <v>自行车</v>
          </cell>
          <cell r="D1730">
            <v>245</v>
          </cell>
        </row>
        <row r="1731">
          <cell r="A1731">
            <v>35125</v>
          </cell>
          <cell r="B1731" t="str">
            <v>安徽</v>
          </cell>
          <cell r="C1731" t="str">
            <v>自行车</v>
          </cell>
          <cell r="D1731">
            <v>124</v>
          </cell>
        </row>
        <row r="1732">
          <cell r="A1732">
            <v>35125</v>
          </cell>
          <cell r="B1732" t="str">
            <v>广东</v>
          </cell>
          <cell r="C1732" t="str">
            <v>自行车</v>
          </cell>
          <cell r="D1732">
            <v>140</v>
          </cell>
        </row>
        <row r="1733">
          <cell r="A1733">
            <v>35125</v>
          </cell>
          <cell r="B1733" t="str">
            <v>安徽</v>
          </cell>
          <cell r="C1733" t="str">
            <v>自行车</v>
          </cell>
          <cell r="D1733">
            <v>175</v>
          </cell>
        </row>
        <row r="1734">
          <cell r="A1734">
            <v>35125</v>
          </cell>
          <cell r="B1734" t="str">
            <v>江苏</v>
          </cell>
          <cell r="C1734" t="str">
            <v>自行车</v>
          </cell>
          <cell r="D1734">
            <v>248</v>
          </cell>
        </row>
        <row r="1735">
          <cell r="A1735">
            <v>35125</v>
          </cell>
          <cell r="B1735" t="str">
            <v>山东</v>
          </cell>
          <cell r="C1735" t="str">
            <v>自行车</v>
          </cell>
          <cell r="D1735">
            <v>257</v>
          </cell>
        </row>
        <row r="1736">
          <cell r="A1736">
            <v>35125</v>
          </cell>
          <cell r="B1736" t="str">
            <v>江西</v>
          </cell>
          <cell r="C1736" t="str">
            <v>自行车</v>
          </cell>
          <cell r="D1736">
            <v>315</v>
          </cell>
        </row>
        <row r="1737">
          <cell r="A1737">
            <v>35125</v>
          </cell>
          <cell r="B1737" t="str">
            <v>江苏</v>
          </cell>
          <cell r="C1737" t="str">
            <v>自行车</v>
          </cell>
          <cell r="D1737">
            <v>322</v>
          </cell>
        </row>
        <row r="1738">
          <cell r="A1738">
            <v>35125</v>
          </cell>
          <cell r="B1738" t="str">
            <v>江西</v>
          </cell>
          <cell r="C1738" t="str">
            <v>自行车</v>
          </cell>
          <cell r="D1738">
            <v>203</v>
          </cell>
        </row>
        <row r="1739">
          <cell r="A1739">
            <v>35125</v>
          </cell>
          <cell r="B1739" t="str">
            <v>安徽</v>
          </cell>
          <cell r="C1739" t="str">
            <v>瓷器</v>
          </cell>
          <cell r="D1739">
            <v>79</v>
          </cell>
        </row>
        <row r="1740">
          <cell r="A1740">
            <v>35125</v>
          </cell>
          <cell r="B1740" t="str">
            <v>山东</v>
          </cell>
          <cell r="C1740" t="str">
            <v>瓷器</v>
          </cell>
          <cell r="D1740">
            <v>11</v>
          </cell>
        </row>
        <row r="1741">
          <cell r="A1741">
            <v>35125</v>
          </cell>
          <cell r="B1741" t="str">
            <v>广东</v>
          </cell>
          <cell r="C1741" t="str">
            <v>瓷器</v>
          </cell>
          <cell r="D1741">
            <v>116</v>
          </cell>
        </row>
        <row r="1742">
          <cell r="A1742">
            <v>35125</v>
          </cell>
          <cell r="B1742" t="str">
            <v>江西</v>
          </cell>
          <cell r="C1742" t="str">
            <v>瓷器</v>
          </cell>
          <cell r="D1742">
            <v>158</v>
          </cell>
        </row>
        <row r="1743">
          <cell r="A1743">
            <v>35125</v>
          </cell>
          <cell r="B1743" t="str">
            <v>广东</v>
          </cell>
          <cell r="C1743" t="str">
            <v>瓷器</v>
          </cell>
          <cell r="D1743">
            <v>167</v>
          </cell>
        </row>
        <row r="1744">
          <cell r="A1744">
            <v>35125</v>
          </cell>
          <cell r="B1744" t="str">
            <v>安徽</v>
          </cell>
          <cell r="C1744" t="str">
            <v>瓷器</v>
          </cell>
          <cell r="D1744">
            <v>594</v>
          </cell>
        </row>
        <row r="1745">
          <cell r="A1745">
            <v>35125</v>
          </cell>
          <cell r="B1745" t="str">
            <v>安徽</v>
          </cell>
          <cell r="C1745" t="str">
            <v>瓷器</v>
          </cell>
          <cell r="D1745">
            <v>287</v>
          </cell>
        </row>
        <row r="1746">
          <cell r="A1746">
            <v>35125</v>
          </cell>
          <cell r="B1746" t="str">
            <v>江西</v>
          </cell>
          <cell r="C1746" t="str">
            <v>瓷器</v>
          </cell>
          <cell r="D1746">
            <v>338</v>
          </cell>
        </row>
        <row r="1747">
          <cell r="A1747">
            <v>35125</v>
          </cell>
          <cell r="B1747" t="str">
            <v>江苏</v>
          </cell>
          <cell r="C1747" t="str">
            <v>瓷器</v>
          </cell>
          <cell r="D1747">
            <v>23</v>
          </cell>
        </row>
        <row r="1748">
          <cell r="A1748">
            <v>35125</v>
          </cell>
          <cell r="B1748" t="str">
            <v>广东</v>
          </cell>
          <cell r="C1748" t="str">
            <v>瓷器</v>
          </cell>
          <cell r="D1748">
            <v>23</v>
          </cell>
        </row>
        <row r="1749">
          <cell r="A1749">
            <v>35125</v>
          </cell>
          <cell r="B1749" t="str">
            <v>江苏</v>
          </cell>
          <cell r="C1749" t="str">
            <v>瓷器</v>
          </cell>
          <cell r="D1749">
            <v>23</v>
          </cell>
        </row>
        <row r="1750">
          <cell r="A1750">
            <v>35125</v>
          </cell>
          <cell r="B1750" t="str">
            <v>山东</v>
          </cell>
          <cell r="C1750" t="str">
            <v>瓷器</v>
          </cell>
          <cell r="D1750">
            <v>32</v>
          </cell>
        </row>
        <row r="1751">
          <cell r="A1751">
            <v>35125</v>
          </cell>
          <cell r="B1751" t="str">
            <v>山东</v>
          </cell>
          <cell r="C1751" t="str">
            <v>瓷器</v>
          </cell>
          <cell r="D1751">
            <v>34</v>
          </cell>
        </row>
        <row r="1752">
          <cell r="A1752">
            <v>35125</v>
          </cell>
          <cell r="B1752" t="str">
            <v>山东</v>
          </cell>
          <cell r="C1752" t="str">
            <v>瓷器</v>
          </cell>
          <cell r="D1752">
            <v>35</v>
          </cell>
        </row>
        <row r="1753">
          <cell r="A1753">
            <v>35125</v>
          </cell>
          <cell r="B1753" t="str">
            <v>江苏</v>
          </cell>
          <cell r="C1753" t="str">
            <v>瓷器</v>
          </cell>
          <cell r="D1753">
            <v>46</v>
          </cell>
        </row>
        <row r="1754">
          <cell r="A1754">
            <v>35125</v>
          </cell>
          <cell r="B1754" t="str">
            <v>江西</v>
          </cell>
          <cell r="C1754" t="str">
            <v>瓷器</v>
          </cell>
          <cell r="D1754">
            <v>70</v>
          </cell>
        </row>
        <row r="1755">
          <cell r="A1755">
            <v>35125</v>
          </cell>
          <cell r="B1755" t="str">
            <v>江苏</v>
          </cell>
          <cell r="C1755" t="str">
            <v>瓷器</v>
          </cell>
          <cell r="D1755">
            <v>70</v>
          </cell>
        </row>
        <row r="1756">
          <cell r="A1756">
            <v>35125</v>
          </cell>
          <cell r="B1756" t="str">
            <v>江西</v>
          </cell>
          <cell r="C1756" t="str">
            <v>瓷器</v>
          </cell>
          <cell r="D1756">
            <v>79</v>
          </cell>
        </row>
        <row r="1757">
          <cell r="A1757">
            <v>35125</v>
          </cell>
          <cell r="B1757" t="str">
            <v>安徽</v>
          </cell>
          <cell r="C1757" t="str">
            <v>瓷器</v>
          </cell>
          <cell r="D1757">
            <v>79</v>
          </cell>
        </row>
        <row r="1758">
          <cell r="A1758">
            <v>35125</v>
          </cell>
          <cell r="B1758" t="str">
            <v>广东</v>
          </cell>
          <cell r="C1758" t="str">
            <v>瓷器</v>
          </cell>
          <cell r="D1758">
            <v>18</v>
          </cell>
        </row>
        <row r="1759">
          <cell r="A1759">
            <v>35125</v>
          </cell>
          <cell r="B1759" t="str">
            <v>山东</v>
          </cell>
          <cell r="C1759" t="str">
            <v>服装</v>
          </cell>
          <cell r="D1759">
            <v>149</v>
          </cell>
        </row>
        <row r="1760">
          <cell r="A1760">
            <v>35125</v>
          </cell>
          <cell r="B1760" t="str">
            <v>安徽</v>
          </cell>
          <cell r="C1760" t="str">
            <v>服装</v>
          </cell>
          <cell r="D1760">
            <v>135</v>
          </cell>
        </row>
        <row r="1761">
          <cell r="A1761">
            <v>35125</v>
          </cell>
          <cell r="B1761" t="str">
            <v>山东</v>
          </cell>
          <cell r="C1761" t="str">
            <v>服装</v>
          </cell>
          <cell r="D1761">
            <v>101</v>
          </cell>
        </row>
        <row r="1762">
          <cell r="A1762">
            <v>35125</v>
          </cell>
          <cell r="B1762" t="str">
            <v>安徽</v>
          </cell>
          <cell r="C1762" t="str">
            <v>服装</v>
          </cell>
          <cell r="D1762">
            <v>88</v>
          </cell>
        </row>
        <row r="1763">
          <cell r="A1763">
            <v>35125</v>
          </cell>
          <cell r="B1763" t="str">
            <v>安徽</v>
          </cell>
          <cell r="C1763" t="str">
            <v>服装</v>
          </cell>
          <cell r="D1763">
            <v>79</v>
          </cell>
        </row>
        <row r="1764">
          <cell r="A1764">
            <v>35125</v>
          </cell>
          <cell r="B1764" t="str">
            <v>山东</v>
          </cell>
          <cell r="C1764" t="str">
            <v>服装</v>
          </cell>
          <cell r="D1764">
            <v>72</v>
          </cell>
        </row>
        <row r="1765">
          <cell r="A1765">
            <v>35125</v>
          </cell>
          <cell r="B1765" t="str">
            <v>山东</v>
          </cell>
          <cell r="C1765" t="str">
            <v>服装</v>
          </cell>
          <cell r="D1765">
            <v>63</v>
          </cell>
        </row>
        <row r="1766">
          <cell r="A1766">
            <v>35125</v>
          </cell>
          <cell r="B1766" t="str">
            <v>山东</v>
          </cell>
          <cell r="C1766" t="str">
            <v>服装</v>
          </cell>
          <cell r="D1766">
            <v>950</v>
          </cell>
        </row>
        <row r="1767">
          <cell r="A1767">
            <v>35125</v>
          </cell>
          <cell r="B1767" t="str">
            <v>山东</v>
          </cell>
          <cell r="C1767" t="str">
            <v>服装</v>
          </cell>
          <cell r="D1767">
            <v>1976</v>
          </cell>
        </row>
        <row r="1768">
          <cell r="A1768">
            <v>35125</v>
          </cell>
          <cell r="B1768" t="str">
            <v>安徽</v>
          </cell>
          <cell r="C1768" t="str">
            <v>服装</v>
          </cell>
          <cell r="D1768">
            <v>220</v>
          </cell>
        </row>
        <row r="1769">
          <cell r="A1769">
            <v>35125</v>
          </cell>
          <cell r="B1769" t="str">
            <v>安徽</v>
          </cell>
          <cell r="C1769" t="str">
            <v>服装</v>
          </cell>
          <cell r="D1769">
            <v>275</v>
          </cell>
        </row>
        <row r="1770">
          <cell r="A1770">
            <v>35125</v>
          </cell>
          <cell r="B1770" t="str">
            <v>安徽</v>
          </cell>
          <cell r="C1770" t="str">
            <v>服装</v>
          </cell>
          <cell r="D1770">
            <v>158</v>
          </cell>
        </row>
        <row r="1771">
          <cell r="A1771">
            <v>35125</v>
          </cell>
          <cell r="B1771" t="str">
            <v>江西</v>
          </cell>
          <cell r="C1771" t="str">
            <v>食品</v>
          </cell>
          <cell r="D1771">
            <v>1079</v>
          </cell>
        </row>
        <row r="1772">
          <cell r="A1772">
            <v>35125</v>
          </cell>
          <cell r="B1772" t="str">
            <v>安徽</v>
          </cell>
          <cell r="C1772" t="str">
            <v>食品</v>
          </cell>
          <cell r="D1772">
            <v>525</v>
          </cell>
        </row>
        <row r="1773">
          <cell r="A1773">
            <v>35125</v>
          </cell>
          <cell r="B1773" t="str">
            <v>广东</v>
          </cell>
          <cell r="C1773" t="str">
            <v>食品</v>
          </cell>
          <cell r="D1773">
            <v>525</v>
          </cell>
        </row>
        <row r="1774">
          <cell r="A1774">
            <v>35125</v>
          </cell>
          <cell r="B1774" t="str">
            <v>安徽</v>
          </cell>
          <cell r="C1774" t="str">
            <v>食品</v>
          </cell>
          <cell r="D1774">
            <v>565</v>
          </cell>
        </row>
        <row r="1775">
          <cell r="A1775">
            <v>35125</v>
          </cell>
          <cell r="B1775" t="str">
            <v>安徽</v>
          </cell>
          <cell r="C1775" t="str">
            <v>食品</v>
          </cell>
          <cell r="D1775">
            <v>1047</v>
          </cell>
        </row>
        <row r="1776">
          <cell r="A1776">
            <v>35125</v>
          </cell>
          <cell r="B1776" t="str">
            <v>山东</v>
          </cell>
          <cell r="C1776" t="str">
            <v>食品</v>
          </cell>
          <cell r="D1776">
            <v>1062</v>
          </cell>
        </row>
        <row r="1777">
          <cell r="A1777">
            <v>35125</v>
          </cell>
          <cell r="B1777" t="str">
            <v>山东</v>
          </cell>
          <cell r="C1777" t="str">
            <v>食品</v>
          </cell>
          <cell r="D1777">
            <v>448</v>
          </cell>
        </row>
        <row r="1778">
          <cell r="A1778">
            <v>35125</v>
          </cell>
          <cell r="B1778" t="str">
            <v>山东</v>
          </cell>
          <cell r="C1778" t="str">
            <v>食品</v>
          </cell>
          <cell r="D1778">
            <v>210</v>
          </cell>
        </row>
        <row r="1779">
          <cell r="A1779">
            <v>35125</v>
          </cell>
          <cell r="B1779" t="str">
            <v>山东</v>
          </cell>
          <cell r="C1779" t="str">
            <v>食品</v>
          </cell>
          <cell r="D1779">
            <v>135</v>
          </cell>
        </row>
        <row r="1780">
          <cell r="A1780">
            <v>35125</v>
          </cell>
          <cell r="B1780" t="str">
            <v>江苏</v>
          </cell>
          <cell r="C1780" t="str">
            <v>食品</v>
          </cell>
          <cell r="D1780">
            <v>135</v>
          </cell>
        </row>
        <row r="1781">
          <cell r="A1781">
            <v>35125</v>
          </cell>
          <cell r="B1781" t="str">
            <v>广东</v>
          </cell>
          <cell r="C1781" t="str">
            <v>食品</v>
          </cell>
          <cell r="D1781">
            <v>140</v>
          </cell>
        </row>
        <row r="1782">
          <cell r="A1782">
            <v>35125</v>
          </cell>
          <cell r="B1782" t="str">
            <v>广东</v>
          </cell>
          <cell r="C1782" t="str">
            <v>食品</v>
          </cell>
          <cell r="D1782">
            <v>146</v>
          </cell>
        </row>
        <row r="1783">
          <cell r="A1783">
            <v>35125</v>
          </cell>
          <cell r="B1783" t="str">
            <v>江西</v>
          </cell>
          <cell r="C1783" t="str">
            <v>食品</v>
          </cell>
          <cell r="D1783">
            <v>158</v>
          </cell>
        </row>
        <row r="1784">
          <cell r="A1784">
            <v>35125</v>
          </cell>
          <cell r="B1784" t="str">
            <v>江西</v>
          </cell>
          <cell r="C1784" t="str">
            <v>食品</v>
          </cell>
          <cell r="D1784">
            <v>473</v>
          </cell>
        </row>
        <row r="1785">
          <cell r="A1785">
            <v>35125</v>
          </cell>
          <cell r="B1785" t="str">
            <v>江西</v>
          </cell>
          <cell r="C1785" t="str">
            <v>食品</v>
          </cell>
          <cell r="D1785">
            <v>184</v>
          </cell>
        </row>
        <row r="1786">
          <cell r="A1786">
            <v>35125</v>
          </cell>
          <cell r="B1786" t="str">
            <v>广东</v>
          </cell>
          <cell r="C1786" t="str">
            <v>食品</v>
          </cell>
          <cell r="D1786">
            <v>408</v>
          </cell>
        </row>
        <row r="1787">
          <cell r="A1787">
            <v>35125</v>
          </cell>
          <cell r="B1787" t="str">
            <v>江苏</v>
          </cell>
          <cell r="C1787" t="str">
            <v>食品</v>
          </cell>
          <cell r="D1787">
            <v>184</v>
          </cell>
        </row>
        <row r="1788">
          <cell r="A1788">
            <v>35125</v>
          </cell>
          <cell r="B1788" t="str">
            <v>安徽</v>
          </cell>
          <cell r="C1788" t="str">
            <v>食品</v>
          </cell>
          <cell r="D1788">
            <v>135</v>
          </cell>
        </row>
        <row r="1789">
          <cell r="A1789">
            <v>35125</v>
          </cell>
          <cell r="B1789" t="str">
            <v>江苏</v>
          </cell>
          <cell r="C1789" t="str">
            <v>食品</v>
          </cell>
          <cell r="D1789">
            <v>53</v>
          </cell>
        </row>
        <row r="1790">
          <cell r="A1790">
            <v>35125</v>
          </cell>
          <cell r="B1790" t="str">
            <v>江苏</v>
          </cell>
          <cell r="C1790" t="str">
            <v>食品</v>
          </cell>
          <cell r="D1790">
            <v>86</v>
          </cell>
        </row>
        <row r="1791">
          <cell r="A1791">
            <v>35125</v>
          </cell>
          <cell r="B1791" t="str">
            <v>江苏</v>
          </cell>
          <cell r="C1791" t="str">
            <v>儿童用品</v>
          </cell>
          <cell r="D1791">
            <v>124</v>
          </cell>
        </row>
        <row r="1792">
          <cell r="A1792">
            <v>35125</v>
          </cell>
          <cell r="B1792" t="str">
            <v>山东</v>
          </cell>
          <cell r="C1792" t="str">
            <v>儿童用品</v>
          </cell>
          <cell r="D1792">
            <v>44</v>
          </cell>
        </row>
        <row r="1793">
          <cell r="A1793">
            <v>35125</v>
          </cell>
          <cell r="B1793" t="str">
            <v>江西</v>
          </cell>
          <cell r="C1793" t="str">
            <v>儿童用品</v>
          </cell>
          <cell r="D1793">
            <v>44</v>
          </cell>
        </row>
        <row r="1794">
          <cell r="A1794">
            <v>35125</v>
          </cell>
          <cell r="B1794" t="str">
            <v>江苏</v>
          </cell>
          <cell r="C1794" t="str">
            <v>儿童用品</v>
          </cell>
          <cell r="D1794">
            <v>50</v>
          </cell>
        </row>
        <row r="1795">
          <cell r="A1795">
            <v>35125</v>
          </cell>
          <cell r="B1795" t="str">
            <v>江西</v>
          </cell>
          <cell r="C1795" t="str">
            <v>儿童用品</v>
          </cell>
          <cell r="D1795">
            <v>56</v>
          </cell>
        </row>
        <row r="1796">
          <cell r="A1796">
            <v>35125</v>
          </cell>
          <cell r="B1796" t="str">
            <v>山东</v>
          </cell>
          <cell r="C1796" t="str">
            <v>儿童用品</v>
          </cell>
          <cell r="D1796">
            <v>56</v>
          </cell>
        </row>
        <row r="1797">
          <cell r="A1797">
            <v>35125</v>
          </cell>
          <cell r="B1797" t="str">
            <v>江西</v>
          </cell>
          <cell r="C1797" t="str">
            <v>儿童用品</v>
          </cell>
          <cell r="D1797">
            <v>72</v>
          </cell>
        </row>
        <row r="1798">
          <cell r="A1798">
            <v>35125</v>
          </cell>
          <cell r="B1798" t="str">
            <v>江苏</v>
          </cell>
          <cell r="C1798" t="str">
            <v>儿童用品</v>
          </cell>
          <cell r="D1798">
            <v>79</v>
          </cell>
        </row>
        <row r="1799">
          <cell r="A1799">
            <v>35125</v>
          </cell>
          <cell r="B1799" t="str">
            <v>广东</v>
          </cell>
          <cell r="C1799" t="str">
            <v>儿童用品</v>
          </cell>
          <cell r="D1799">
            <v>277</v>
          </cell>
        </row>
        <row r="1800">
          <cell r="A1800">
            <v>35125</v>
          </cell>
          <cell r="B1800" t="str">
            <v>安徽</v>
          </cell>
          <cell r="C1800" t="str">
            <v>儿童用品</v>
          </cell>
          <cell r="D1800">
            <v>455</v>
          </cell>
        </row>
        <row r="1801">
          <cell r="A1801">
            <v>35125</v>
          </cell>
          <cell r="B1801" t="str">
            <v>安徽</v>
          </cell>
          <cell r="C1801" t="str">
            <v>儿童用品</v>
          </cell>
          <cell r="D1801">
            <v>481</v>
          </cell>
        </row>
        <row r="1802">
          <cell r="A1802">
            <v>35125</v>
          </cell>
          <cell r="B1802" t="str">
            <v>山东</v>
          </cell>
          <cell r="C1802" t="str">
            <v>儿童用品</v>
          </cell>
          <cell r="D1802">
            <v>590</v>
          </cell>
        </row>
        <row r="1803">
          <cell r="A1803">
            <v>35125</v>
          </cell>
          <cell r="B1803" t="str">
            <v>广东</v>
          </cell>
          <cell r="C1803" t="str">
            <v>儿童用品</v>
          </cell>
          <cell r="D1803">
            <v>716</v>
          </cell>
        </row>
        <row r="1804">
          <cell r="A1804">
            <v>35125</v>
          </cell>
          <cell r="B1804" t="str">
            <v>安徽</v>
          </cell>
          <cell r="C1804" t="str">
            <v>儿童用品</v>
          </cell>
          <cell r="D1804">
            <v>1269</v>
          </cell>
        </row>
        <row r="1805">
          <cell r="A1805">
            <v>35125</v>
          </cell>
          <cell r="B1805" t="str">
            <v>山东</v>
          </cell>
          <cell r="C1805" t="str">
            <v>儿童用品</v>
          </cell>
          <cell r="D1805">
            <v>1549</v>
          </cell>
        </row>
        <row r="1806">
          <cell r="A1806">
            <v>35125</v>
          </cell>
          <cell r="B1806" t="str">
            <v>安徽</v>
          </cell>
          <cell r="C1806" t="str">
            <v>儿童用品</v>
          </cell>
          <cell r="D1806">
            <v>2338</v>
          </cell>
        </row>
        <row r="1807">
          <cell r="A1807">
            <v>35125</v>
          </cell>
          <cell r="B1807" t="str">
            <v>江西</v>
          </cell>
          <cell r="C1807" t="str">
            <v>儿童用品</v>
          </cell>
          <cell r="D1807">
            <v>3157</v>
          </cell>
        </row>
        <row r="1808">
          <cell r="A1808">
            <v>35125</v>
          </cell>
          <cell r="B1808" t="str">
            <v>江苏</v>
          </cell>
          <cell r="C1808" t="str">
            <v>儿童用品</v>
          </cell>
          <cell r="D1808">
            <v>112</v>
          </cell>
        </row>
        <row r="1809">
          <cell r="A1809">
            <v>35125</v>
          </cell>
          <cell r="B1809" t="str">
            <v>广东</v>
          </cell>
          <cell r="C1809" t="str">
            <v>儿童用品</v>
          </cell>
          <cell r="D1809">
            <v>131</v>
          </cell>
        </row>
        <row r="1810">
          <cell r="A1810">
            <v>35125</v>
          </cell>
          <cell r="B1810" t="str">
            <v>广东</v>
          </cell>
          <cell r="C1810" t="str">
            <v>儿童用品</v>
          </cell>
          <cell r="D1810">
            <v>124</v>
          </cell>
        </row>
        <row r="1811">
          <cell r="A1811">
            <v>35125</v>
          </cell>
          <cell r="B1811" t="str">
            <v>广东</v>
          </cell>
          <cell r="C1811" t="str">
            <v>体育用品</v>
          </cell>
          <cell r="D1811">
            <v>1860</v>
          </cell>
        </row>
        <row r="1812">
          <cell r="A1812">
            <v>35125</v>
          </cell>
          <cell r="B1812" t="str">
            <v>江苏</v>
          </cell>
          <cell r="C1812" t="str">
            <v>体育用品</v>
          </cell>
          <cell r="D1812">
            <v>69</v>
          </cell>
        </row>
        <row r="1813">
          <cell r="A1813">
            <v>35125</v>
          </cell>
          <cell r="B1813" t="str">
            <v>安徽</v>
          </cell>
          <cell r="C1813" t="str">
            <v>体育用品</v>
          </cell>
          <cell r="D1813">
            <v>66</v>
          </cell>
        </row>
        <row r="1814">
          <cell r="A1814">
            <v>35125</v>
          </cell>
          <cell r="B1814" t="str">
            <v>广东</v>
          </cell>
          <cell r="C1814" t="str">
            <v>体育用品</v>
          </cell>
          <cell r="D1814">
            <v>61</v>
          </cell>
        </row>
        <row r="1815">
          <cell r="A1815">
            <v>35125</v>
          </cell>
          <cell r="B1815" t="str">
            <v>山东</v>
          </cell>
          <cell r="C1815" t="str">
            <v>体育用品</v>
          </cell>
          <cell r="D1815">
            <v>56</v>
          </cell>
        </row>
        <row r="1816">
          <cell r="A1816">
            <v>35125</v>
          </cell>
          <cell r="B1816" t="str">
            <v>江西</v>
          </cell>
          <cell r="C1816" t="str">
            <v>体育用品</v>
          </cell>
          <cell r="D1816">
            <v>53</v>
          </cell>
        </row>
        <row r="1817">
          <cell r="A1817">
            <v>35125</v>
          </cell>
          <cell r="B1817" t="str">
            <v>广东</v>
          </cell>
          <cell r="C1817" t="str">
            <v>体育用品</v>
          </cell>
          <cell r="D1817">
            <v>34</v>
          </cell>
        </row>
        <row r="1818">
          <cell r="A1818">
            <v>35125</v>
          </cell>
          <cell r="B1818" t="str">
            <v>江苏</v>
          </cell>
          <cell r="C1818" t="str">
            <v>体育用品</v>
          </cell>
          <cell r="D1818">
            <v>50</v>
          </cell>
        </row>
        <row r="1819">
          <cell r="A1819">
            <v>35125</v>
          </cell>
          <cell r="B1819" t="str">
            <v>江西</v>
          </cell>
          <cell r="C1819" t="str">
            <v>体育用品</v>
          </cell>
          <cell r="D1819">
            <v>83</v>
          </cell>
        </row>
        <row r="1820">
          <cell r="A1820">
            <v>35125</v>
          </cell>
          <cell r="B1820" t="str">
            <v>山东</v>
          </cell>
          <cell r="C1820" t="str">
            <v>体育用品</v>
          </cell>
          <cell r="D1820">
            <v>44</v>
          </cell>
        </row>
        <row r="1821">
          <cell r="A1821">
            <v>35125</v>
          </cell>
          <cell r="B1821" t="str">
            <v>安徽</v>
          </cell>
          <cell r="C1821" t="str">
            <v>体育用品</v>
          </cell>
          <cell r="D1821">
            <v>44</v>
          </cell>
        </row>
        <row r="1822">
          <cell r="A1822">
            <v>35125</v>
          </cell>
          <cell r="B1822" t="str">
            <v>安徽</v>
          </cell>
          <cell r="C1822" t="str">
            <v>体育用品</v>
          </cell>
          <cell r="D1822">
            <v>42</v>
          </cell>
        </row>
        <row r="1823">
          <cell r="A1823">
            <v>35125</v>
          </cell>
          <cell r="B1823" t="str">
            <v>山东</v>
          </cell>
          <cell r="C1823" t="str">
            <v>体育用品</v>
          </cell>
          <cell r="D1823">
            <v>41</v>
          </cell>
        </row>
        <row r="1824">
          <cell r="A1824">
            <v>35125</v>
          </cell>
          <cell r="B1824" t="str">
            <v>江苏</v>
          </cell>
          <cell r="C1824" t="str">
            <v>体育用品</v>
          </cell>
          <cell r="D1824">
            <v>35</v>
          </cell>
        </row>
        <row r="1825">
          <cell r="A1825">
            <v>35125</v>
          </cell>
          <cell r="B1825" t="str">
            <v>广东</v>
          </cell>
          <cell r="C1825" t="str">
            <v>体育用品</v>
          </cell>
          <cell r="D1825">
            <v>1172</v>
          </cell>
        </row>
        <row r="1826">
          <cell r="A1826">
            <v>35125</v>
          </cell>
          <cell r="B1826" t="str">
            <v>安徽</v>
          </cell>
          <cell r="C1826" t="str">
            <v>体育用品</v>
          </cell>
          <cell r="D1826">
            <v>450</v>
          </cell>
        </row>
        <row r="1827">
          <cell r="A1827">
            <v>35125</v>
          </cell>
          <cell r="B1827" t="str">
            <v>广东</v>
          </cell>
          <cell r="C1827" t="str">
            <v>体育用品</v>
          </cell>
          <cell r="D1827">
            <v>338</v>
          </cell>
        </row>
        <row r="1828">
          <cell r="A1828">
            <v>35125</v>
          </cell>
          <cell r="B1828" t="str">
            <v>江西</v>
          </cell>
          <cell r="C1828" t="str">
            <v>体育用品</v>
          </cell>
          <cell r="D1828">
            <v>79</v>
          </cell>
        </row>
        <row r="1829">
          <cell r="A1829">
            <v>35125</v>
          </cell>
          <cell r="B1829" t="str">
            <v>江西</v>
          </cell>
          <cell r="C1829" t="str">
            <v>体育用品</v>
          </cell>
          <cell r="D1829">
            <v>165</v>
          </cell>
        </row>
        <row r="1830">
          <cell r="A1830">
            <v>35125</v>
          </cell>
          <cell r="B1830" t="str">
            <v>安徽</v>
          </cell>
          <cell r="C1830" t="str">
            <v>体育用品</v>
          </cell>
          <cell r="D1830">
            <v>79</v>
          </cell>
        </row>
        <row r="1831">
          <cell r="A1831">
            <v>35125</v>
          </cell>
          <cell r="B1831" t="str">
            <v>江苏</v>
          </cell>
          <cell r="C1831" t="str">
            <v>体育用品</v>
          </cell>
          <cell r="D1831">
            <v>90</v>
          </cell>
        </row>
        <row r="1832">
          <cell r="A1832">
            <v>35125</v>
          </cell>
          <cell r="B1832" t="str">
            <v>江苏</v>
          </cell>
          <cell r="C1832" t="str">
            <v>体育用品</v>
          </cell>
          <cell r="D1832">
            <v>88</v>
          </cell>
        </row>
        <row r="1833">
          <cell r="A1833">
            <v>35125</v>
          </cell>
          <cell r="B1833" t="str">
            <v>安徽</v>
          </cell>
          <cell r="C1833" t="str">
            <v>体育用品</v>
          </cell>
          <cell r="D1833">
            <v>83</v>
          </cell>
        </row>
        <row r="1834">
          <cell r="A1834">
            <v>35125</v>
          </cell>
          <cell r="B1834" t="str">
            <v>广东</v>
          </cell>
          <cell r="C1834" t="str">
            <v>体育用品</v>
          </cell>
          <cell r="D1834">
            <v>83</v>
          </cell>
        </row>
        <row r="1835">
          <cell r="A1835">
            <v>35125</v>
          </cell>
          <cell r="B1835" t="str">
            <v>山东</v>
          </cell>
          <cell r="C1835" t="str">
            <v>体育用品</v>
          </cell>
          <cell r="D1835">
            <v>33</v>
          </cell>
        </row>
        <row r="1836">
          <cell r="A1836">
            <v>35125</v>
          </cell>
          <cell r="B1836" t="str">
            <v>江西</v>
          </cell>
          <cell r="C1836" t="str">
            <v>体育用品</v>
          </cell>
          <cell r="D1836">
            <v>180</v>
          </cell>
        </row>
        <row r="1837">
          <cell r="A1837">
            <v>35125</v>
          </cell>
          <cell r="B1837" t="str">
            <v>江苏</v>
          </cell>
          <cell r="C1837" t="str">
            <v>体育用品</v>
          </cell>
          <cell r="D1837">
            <v>35</v>
          </cell>
        </row>
        <row r="1838">
          <cell r="A1838">
            <v>35125</v>
          </cell>
          <cell r="B1838" t="str">
            <v>江西</v>
          </cell>
          <cell r="C1838" t="str">
            <v>体育用品</v>
          </cell>
          <cell r="D1838">
            <v>18</v>
          </cell>
        </row>
        <row r="1839">
          <cell r="A1839">
            <v>35125</v>
          </cell>
          <cell r="B1839" t="str">
            <v>山东</v>
          </cell>
          <cell r="C1839" t="str">
            <v>体育用品</v>
          </cell>
          <cell r="D1839">
            <v>11</v>
          </cell>
        </row>
        <row r="1840">
          <cell r="A1840">
            <v>35125</v>
          </cell>
          <cell r="B1840" t="str">
            <v>山东</v>
          </cell>
          <cell r="C1840" t="str">
            <v>体育用品</v>
          </cell>
          <cell r="D1840">
            <v>9</v>
          </cell>
        </row>
        <row r="1841">
          <cell r="A1841">
            <v>35156</v>
          </cell>
          <cell r="B1841" t="str">
            <v>安徽</v>
          </cell>
          <cell r="C1841" t="str">
            <v>艺术品</v>
          </cell>
          <cell r="D1841">
            <v>358</v>
          </cell>
        </row>
        <row r="1842">
          <cell r="A1842">
            <v>35156</v>
          </cell>
          <cell r="B1842" t="str">
            <v>广东</v>
          </cell>
          <cell r="C1842" t="str">
            <v>艺术品</v>
          </cell>
          <cell r="D1842">
            <v>169</v>
          </cell>
        </row>
        <row r="1843">
          <cell r="A1843">
            <v>35156</v>
          </cell>
          <cell r="B1843" t="str">
            <v>江苏</v>
          </cell>
          <cell r="C1843" t="str">
            <v>艺术品</v>
          </cell>
          <cell r="D1843">
            <v>180</v>
          </cell>
        </row>
        <row r="1844">
          <cell r="A1844">
            <v>35156</v>
          </cell>
          <cell r="B1844" t="str">
            <v>安徽</v>
          </cell>
          <cell r="C1844" t="str">
            <v>艺术品</v>
          </cell>
          <cell r="D1844">
            <v>225</v>
          </cell>
        </row>
        <row r="1845">
          <cell r="A1845">
            <v>35156</v>
          </cell>
          <cell r="B1845" t="str">
            <v>江苏</v>
          </cell>
          <cell r="C1845" t="str">
            <v>艺术品</v>
          </cell>
          <cell r="D1845">
            <v>358</v>
          </cell>
        </row>
        <row r="1846">
          <cell r="A1846">
            <v>35156</v>
          </cell>
          <cell r="B1846" t="str">
            <v>江苏</v>
          </cell>
          <cell r="C1846" t="str">
            <v>艺术品</v>
          </cell>
          <cell r="D1846">
            <v>66</v>
          </cell>
        </row>
        <row r="1847">
          <cell r="A1847">
            <v>35156</v>
          </cell>
          <cell r="B1847" t="str">
            <v>江西</v>
          </cell>
          <cell r="C1847" t="str">
            <v>艺术品</v>
          </cell>
          <cell r="D1847">
            <v>371</v>
          </cell>
        </row>
        <row r="1848">
          <cell r="A1848">
            <v>35156</v>
          </cell>
          <cell r="B1848" t="str">
            <v>江苏</v>
          </cell>
          <cell r="C1848" t="str">
            <v>艺术品</v>
          </cell>
          <cell r="D1848">
            <v>378</v>
          </cell>
        </row>
        <row r="1849">
          <cell r="A1849">
            <v>35156</v>
          </cell>
          <cell r="B1849" t="str">
            <v>江西</v>
          </cell>
          <cell r="C1849" t="str">
            <v>艺术品</v>
          </cell>
          <cell r="D1849">
            <v>470</v>
          </cell>
        </row>
        <row r="1850">
          <cell r="A1850">
            <v>35156</v>
          </cell>
          <cell r="B1850" t="str">
            <v>山东</v>
          </cell>
          <cell r="C1850" t="str">
            <v>艺术品</v>
          </cell>
          <cell r="D1850">
            <v>671</v>
          </cell>
        </row>
        <row r="1851">
          <cell r="A1851">
            <v>35156</v>
          </cell>
          <cell r="B1851" t="str">
            <v>广东</v>
          </cell>
          <cell r="C1851" t="str">
            <v>艺术品</v>
          </cell>
          <cell r="D1851">
            <v>786</v>
          </cell>
        </row>
        <row r="1852">
          <cell r="A1852">
            <v>35156</v>
          </cell>
          <cell r="B1852" t="str">
            <v>山东</v>
          </cell>
          <cell r="C1852" t="str">
            <v>艺术品</v>
          </cell>
          <cell r="D1852">
            <v>885</v>
          </cell>
        </row>
        <row r="1853">
          <cell r="A1853">
            <v>35156</v>
          </cell>
          <cell r="B1853" t="str">
            <v>江西</v>
          </cell>
          <cell r="C1853" t="str">
            <v>艺术品</v>
          </cell>
          <cell r="D1853">
            <v>892</v>
          </cell>
        </row>
        <row r="1854">
          <cell r="A1854">
            <v>35156</v>
          </cell>
          <cell r="B1854" t="str">
            <v>广东</v>
          </cell>
          <cell r="C1854" t="str">
            <v>艺术品</v>
          </cell>
          <cell r="D1854">
            <v>944</v>
          </cell>
        </row>
        <row r="1855">
          <cell r="A1855">
            <v>35156</v>
          </cell>
          <cell r="B1855" t="str">
            <v>广东</v>
          </cell>
          <cell r="C1855" t="str">
            <v>艺术品</v>
          </cell>
          <cell r="D1855">
            <v>1106</v>
          </cell>
        </row>
        <row r="1856">
          <cell r="A1856">
            <v>35156</v>
          </cell>
          <cell r="B1856" t="str">
            <v>江西</v>
          </cell>
          <cell r="C1856" t="str">
            <v>艺术品</v>
          </cell>
          <cell r="D1856">
            <v>1318</v>
          </cell>
        </row>
        <row r="1857">
          <cell r="A1857">
            <v>35156</v>
          </cell>
          <cell r="B1857" t="str">
            <v>安徽</v>
          </cell>
          <cell r="C1857" t="str">
            <v>艺术品</v>
          </cell>
          <cell r="D1857">
            <v>248</v>
          </cell>
        </row>
        <row r="1858">
          <cell r="A1858">
            <v>35156</v>
          </cell>
          <cell r="B1858" t="str">
            <v>安徽</v>
          </cell>
          <cell r="C1858" t="str">
            <v>艺术品</v>
          </cell>
          <cell r="D1858">
            <v>56</v>
          </cell>
        </row>
        <row r="1859">
          <cell r="A1859">
            <v>35156</v>
          </cell>
          <cell r="B1859" t="str">
            <v>山东</v>
          </cell>
          <cell r="C1859" t="str">
            <v>艺术品</v>
          </cell>
          <cell r="D1859">
            <v>1543</v>
          </cell>
        </row>
        <row r="1860">
          <cell r="A1860">
            <v>35156</v>
          </cell>
          <cell r="B1860" t="str">
            <v>山东</v>
          </cell>
          <cell r="C1860" t="str">
            <v>艺术品</v>
          </cell>
          <cell r="D1860">
            <v>774</v>
          </cell>
        </row>
        <row r="1861">
          <cell r="A1861">
            <v>35156</v>
          </cell>
          <cell r="B1861" t="str">
            <v>山东</v>
          </cell>
          <cell r="C1861" t="str">
            <v>自行车</v>
          </cell>
          <cell r="D1861">
            <v>697</v>
          </cell>
        </row>
        <row r="1862">
          <cell r="A1862">
            <v>35156</v>
          </cell>
          <cell r="B1862" t="str">
            <v>广东</v>
          </cell>
          <cell r="C1862" t="str">
            <v>自行车</v>
          </cell>
          <cell r="D1862">
            <v>698</v>
          </cell>
        </row>
        <row r="1863">
          <cell r="A1863">
            <v>35156</v>
          </cell>
          <cell r="B1863" t="str">
            <v>广东</v>
          </cell>
          <cell r="C1863" t="str">
            <v>自行车</v>
          </cell>
          <cell r="D1863">
            <v>79</v>
          </cell>
        </row>
        <row r="1864">
          <cell r="A1864">
            <v>35156</v>
          </cell>
          <cell r="B1864" t="str">
            <v>山东</v>
          </cell>
          <cell r="C1864" t="str">
            <v>自行车</v>
          </cell>
          <cell r="D1864">
            <v>1242</v>
          </cell>
        </row>
        <row r="1865">
          <cell r="A1865">
            <v>35156</v>
          </cell>
          <cell r="B1865" t="str">
            <v>安徽</v>
          </cell>
          <cell r="C1865" t="str">
            <v>自行车</v>
          </cell>
          <cell r="D1865">
            <v>68</v>
          </cell>
        </row>
        <row r="1866">
          <cell r="A1866">
            <v>35156</v>
          </cell>
          <cell r="B1866" t="str">
            <v>江苏</v>
          </cell>
          <cell r="C1866" t="str">
            <v>自行车</v>
          </cell>
          <cell r="D1866">
            <v>513</v>
          </cell>
        </row>
        <row r="1867">
          <cell r="A1867">
            <v>35156</v>
          </cell>
          <cell r="B1867" t="str">
            <v>安徽</v>
          </cell>
          <cell r="C1867" t="str">
            <v>自行车</v>
          </cell>
          <cell r="D1867">
            <v>495</v>
          </cell>
        </row>
        <row r="1868">
          <cell r="A1868">
            <v>35156</v>
          </cell>
          <cell r="B1868" t="str">
            <v>江苏</v>
          </cell>
          <cell r="C1868" t="str">
            <v>自行车</v>
          </cell>
          <cell r="D1868">
            <v>236</v>
          </cell>
        </row>
        <row r="1869">
          <cell r="A1869">
            <v>35156</v>
          </cell>
          <cell r="B1869" t="str">
            <v>安徽</v>
          </cell>
          <cell r="C1869" t="str">
            <v>自行车</v>
          </cell>
          <cell r="D1869">
            <v>245</v>
          </cell>
        </row>
        <row r="1870">
          <cell r="A1870">
            <v>35156</v>
          </cell>
          <cell r="B1870" t="str">
            <v>广东</v>
          </cell>
          <cell r="C1870" t="str">
            <v>自行车</v>
          </cell>
          <cell r="D1870">
            <v>149</v>
          </cell>
        </row>
        <row r="1871">
          <cell r="A1871">
            <v>35156</v>
          </cell>
          <cell r="B1871" t="str">
            <v>江西</v>
          </cell>
          <cell r="C1871" t="str">
            <v>自行车</v>
          </cell>
          <cell r="D1871">
            <v>270</v>
          </cell>
        </row>
        <row r="1872">
          <cell r="A1872">
            <v>35156</v>
          </cell>
          <cell r="B1872" t="str">
            <v>山东</v>
          </cell>
          <cell r="C1872" t="str">
            <v>自行车</v>
          </cell>
          <cell r="D1872">
            <v>279</v>
          </cell>
        </row>
        <row r="1873">
          <cell r="A1873">
            <v>35156</v>
          </cell>
          <cell r="B1873" t="str">
            <v>江西</v>
          </cell>
          <cell r="C1873" t="str">
            <v>自行车</v>
          </cell>
          <cell r="D1873">
            <v>315</v>
          </cell>
        </row>
        <row r="1874">
          <cell r="A1874">
            <v>35156</v>
          </cell>
          <cell r="B1874" t="str">
            <v>江西</v>
          </cell>
          <cell r="C1874" t="str">
            <v>自行车</v>
          </cell>
          <cell r="D1874">
            <v>612</v>
          </cell>
        </row>
        <row r="1875">
          <cell r="A1875">
            <v>35156</v>
          </cell>
          <cell r="B1875" t="str">
            <v>江苏</v>
          </cell>
          <cell r="C1875" t="str">
            <v>自行车</v>
          </cell>
          <cell r="D1875">
            <v>365</v>
          </cell>
        </row>
        <row r="1876">
          <cell r="A1876">
            <v>35156</v>
          </cell>
          <cell r="B1876" t="str">
            <v>江苏</v>
          </cell>
          <cell r="C1876" t="str">
            <v>自行车</v>
          </cell>
          <cell r="D1876">
            <v>375</v>
          </cell>
        </row>
        <row r="1877">
          <cell r="A1877">
            <v>35156</v>
          </cell>
          <cell r="B1877" t="str">
            <v>山东</v>
          </cell>
          <cell r="C1877" t="str">
            <v>自行车</v>
          </cell>
          <cell r="D1877">
            <v>410</v>
          </cell>
        </row>
        <row r="1878">
          <cell r="A1878">
            <v>35156</v>
          </cell>
          <cell r="B1878" t="str">
            <v>安徽</v>
          </cell>
          <cell r="C1878" t="str">
            <v>自行车</v>
          </cell>
          <cell r="D1878">
            <v>79</v>
          </cell>
        </row>
        <row r="1879">
          <cell r="A1879">
            <v>35156</v>
          </cell>
          <cell r="B1879" t="str">
            <v>江西</v>
          </cell>
          <cell r="C1879" t="str">
            <v>自行车</v>
          </cell>
          <cell r="D1879">
            <v>426</v>
          </cell>
        </row>
        <row r="1880">
          <cell r="A1880">
            <v>35156</v>
          </cell>
          <cell r="B1880" t="str">
            <v>广东</v>
          </cell>
          <cell r="C1880" t="str">
            <v>自行车</v>
          </cell>
          <cell r="D1880">
            <v>473</v>
          </cell>
        </row>
        <row r="1881">
          <cell r="A1881">
            <v>35156</v>
          </cell>
          <cell r="B1881" t="str">
            <v>江西</v>
          </cell>
          <cell r="C1881" t="str">
            <v>瓷器</v>
          </cell>
          <cell r="D1881">
            <v>450</v>
          </cell>
        </row>
        <row r="1882">
          <cell r="A1882">
            <v>35156</v>
          </cell>
          <cell r="B1882" t="str">
            <v>安徽</v>
          </cell>
          <cell r="C1882" t="str">
            <v>瓷器</v>
          </cell>
          <cell r="D1882">
            <v>605</v>
          </cell>
        </row>
        <row r="1883">
          <cell r="A1883">
            <v>35156</v>
          </cell>
          <cell r="B1883" t="str">
            <v>山东</v>
          </cell>
          <cell r="C1883" t="str">
            <v>瓷器</v>
          </cell>
          <cell r="D1883">
            <v>11</v>
          </cell>
        </row>
        <row r="1884">
          <cell r="A1884">
            <v>35156</v>
          </cell>
          <cell r="B1884" t="str">
            <v>江苏</v>
          </cell>
          <cell r="C1884" t="str">
            <v>瓷器</v>
          </cell>
          <cell r="D1884">
            <v>23</v>
          </cell>
        </row>
        <row r="1885">
          <cell r="A1885">
            <v>35156</v>
          </cell>
          <cell r="B1885" t="str">
            <v>山东</v>
          </cell>
          <cell r="C1885" t="str">
            <v>瓷器</v>
          </cell>
          <cell r="D1885">
            <v>26</v>
          </cell>
        </row>
        <row r="1886">
          <cell r="A1886">
            <v>35156</v>
          </cell>
          <cell r="B1886" t="str">
            <v>山东</v>
          </cell>
          <cell r="C1886" t="str">
            <v>瓷器</v>
          </cell>
          <cell r="D1886">
            <v>32</v>
          </cell>
        </row>
        <row r="1887">
          <cell r="A1887">
            <v>35156</v>
          </cell>
          <cell r="B1887" t="str">
            <v>江苏</v>
          </cell>
          <cell r="C1887" t="str">
            <v>瓷器</v>
          </cell>
          <cell r="D1887">
            <v>34</v>
          </cell>
        </row>
        <row r="1888">
          <cell r="A1888">
            <v>35156</v>
          </cell>
          <cell r="B1888" t="str">
            <v>山东</v>
          </cell>
          <cell r="C1888" t="str">
            <v>瓷器</v>
          </cell>
          <cell r="D1888">
            <v>34</v>
          </cell>
        </row>
        <row r="1889">
          <cell r="A1889">
            <v>35156</v>
          </cell>
          <cell r="B1889" t="str">
            <v>江苏</v>
          </cell>
          <cell r="C1889" t="str">
            <v>瓷器</v>
          </cell>
          <cell r="D1889">
            <v>49</v>
          </cell>
        </row>
        <row r="1890">
          <cell r="A1890">
            <v>35156</v>
          </cell>
          <cell r="B1890" t="str">
            <v>广东</v>
          </cell>
          <cell r="C1890" t="str">
            <v>瓷器</v>
          </cell>
          <cell r="D1890">
            <v>56</v>
          </cell>
        </row>
        <row r="1891">
          <cell r="A1891">
            <v>35156</v>
          </cell>
          <cell r="B1891" t="str">
            <v>广东</v>
          </cell>
          <cell r="C1891" t="str">
            <v>瓷器</v>
          </cell>
          <cell r="D1891">
            <v>26</v>
          </cell>
        </row>
        <row r="1892">
          <cell r="A1892">
            <v>35156</v>
          </cell>
          <cell r="B1892" t="str">
            <v>江西</v>
          </cell>
          <cell r="C1892" t="str">
            <v>瓷器</v>
          </cell>
          <cell r="D1892">
            <v>88</v>
          </cell>
        </row>
        <row r="1893">
          <cell r="A1893">
            <v>35156</v>
          </cell>
          <cell r="B1893" t="str">
            <v>广东</v>
          </cell>
          <cell r="C1893" t="str">
            <v>瓷器</v>
          </cell>
          <cell r="D1893">
            <v>123</v>
          </cell>
        </row>
        <row r="1894">
          <cell r="A1894">
            <v>35156</v>
          </cell>
          <cell r="B1894" t="str">
            <v>江西</v>
          </cell>
          <cell r="C1894" t="str">
            <v>瓷器</v>
          </cell>
          <cell r="D1894">
            <v>149</v>
          </cell>
        </row>
        <row r="1895">
          <cell r="A1895">
            <v>35156</v>
          </cell>
          <cell r="B1895" t="str">
            <v>广东</v>
          </cell>
          <cell r="C1895" t="str">
            <v>瓷器</v>
          </cell>
          <cell r="D1895">
            <v>122</v>
          </cell>
        </row>
        <row r="1896">
          <cell r="A1896">
            <v>35156</v>
          </cell>
          <cell r="B1896" t="str">
            <v>江苏</v>
          </cell>
          <cell r="C1896" t="str">
            <v>瓷器</v>
          </cell>
          <cell r="D1896">
            <v>70</v>
          </cell>
        </row>
        <row r="1897">
          <cell r="A1897">
            <v>35156</v>
          </cell>
          <cell r="B1897" t="str">
            <v>江西</v>
          </cell>
          <cell r="C1897" t="str">
            <v>瓷器</v>
          </cell>
          <cell r="D1897">
            <v>113</v>
          </cell>
        </row>
        <row r="1898">
          <cell r="A1898">
            <v>35156</v>
          </cell>
          <cell r="B1898" t="str">
            <v>安徽</v>
          </cell>
          <cell r="C1898" t="str">
            <v>瓷器</v>
          </cell>
          <cell r="D1898">
            <v>322</v>
          </cell>
        </row>
        <row r="1899">
          <cell r="A1899">
            <v>35156</v>
          </cell>
          <cell r="B1899" t="str">
            <v>安徽</v>
          </cell>
          <cell r="C1899" t="str">
            <v>瓷器</v>
          </cell>
          <cell r="D1899">
            <v>79</v>
          </cell>
        </row>
        <row r="1900">
          <cell r="A1900">
            <v>35156</v>
          </cell>
          <cell r="B1900" t="str">
            <v>安徽</v>
          </cell>
          <cell r="C1900" t="str">
            <v>瓷器</v>
          </cell>
          <cell r="D1900">
            <v>79</v>
          </cell>
        </row>
        <row r="1901">
          <cell r="A1901">
            <v>35156</v>
          </cell>
          <cell r="B1901" t="str">
            <v>山东</v>
          </cell>
          <cell r="C1901" t="str">
            <v>服装</v>
          </cell>
          <cell r="D1901">
            <v>2812</v>
          </cell>
        </row>
        <row r="1902">
          <cell r="A1902">
            <v>35156</v>
          </cell>
          <cell r="B1902" t="str">
            <v>安徽</v>
          </cell>
          <cell r="C1902" t="str">
            <v>服装</v>
          </cell>
          <cell r="D1902">
            <v>248</v>
          </cell>
        </row>
        <row r="1903">
          <cell r="A1903">
            <v>35156</v>
          </cell>
          <cell r="B1903" t="str">
            <v>山东</v>
          </cell>
          <cell r="C1903" t="str">
            <v>服装</v>
          </cell>
          <cell r="D1903">
            <v>3135</v>
          </cell>
        </row>
        <row r="1904">
          <cell r="A1904">
            <v>35156</v>
          </cell>
          <cell r="B1904" t="str">
            <v>山东</v>
          </cell>
          <cell r="C1904" t="str">
            <v>服装</v>
          </cell>
          <cell r="D1904">
            <v>126</v>
          </cell>
        </row>
        <row r="1905">
          <cell r="A1905">
            <v>35156</v>
          </cell>
          <cell r="B1905" t="str">
            <v>安徽</v>
          </cell>
          <cell r="C1905" t="str">
            <v>服装</v>
          </cell>
          <cell r="D1905">
            <v>88</v>
          </cell>
        </row>
        <row r="1906">
          <cell r="A1906">
            <v>35156</v>
          </cell>
          <cell r="B1906" t="str">
            <v>安徽</v>
          </cell>
          <cell r="C1906" t="str">
            <v>服装</v>
          </cell>
          <cell r="D1906">
            <v>90</v>
          </cell>
        </row>
        <row r="1907">
          <cell r="A1907">
            <v>35156</v>
          </cell>
          <cell r="B1907" t="str">
            <v>山东</v>
          </cell>
          <cell r="C1907" t="str">
            <v>服装</v>
          </cell>
          <cell r="D1907">
            <v>70</v>
          </cell>
        </row>
        <row r="1908">
          <cell r="A1908">
            <v>35156</v>
          </cell>
          <cell r="B1908" t="str">
            <v>安徽</v>
          </cell>
          <cell r="C1908" t="str">
            <v>服装</v>
          </cell>
          <cell r="D1908">
            <v>135</v>
          </cell>
        </row>
        <row r="1909">
          <cell r="A1909">
            <v>35156</v>
          </cell>
          <cell r="B1909" t="str">
            <v>安徽</v>
          </cell>
          <cell r="C1909" t="str">
            <v>服装</v>
          </cell>
          <cell r="D1909">
            <v>166</v>
          </cell>
        </row>
        <row r="1910">
          <cell r="A1910">
            <v>35156</v>
          </cell>
          <cell r="B1910" t="str">
            <v>山东</v>
          </cell>
          <cell r="C1910" t="str">
            <v>服装</v>
          </cell>
          <cell r="D1910">
            <v>124</v>
          </cell>
        </row>
        <row r="1911">
          <cell r="A1911">
            <v>35156</v>
          </cell>
          <cell r="B1911" t="str">
            <v>安徽</v>
          </cell>
          <cell r="C1911" t="str">
            <v>服装</v>
          </cell>
          <cell r="D1911">
            <v>220</v>
          </cell>
        </row>
        <row r="1912">
          <cell r="A1912">
            <v>35156</v>
          </cell>
          <cell r="B1912" t="str">
            <v>山东</v>
          </cell>
          <cell r="C1912" t="str">
            <v>服装</v>
          </cell>
          <cell r="D1912">
            <v>83</v>
          </cell>
        </row>
        <row r="1913">
          <cell r="A1913">
            <v>35156</v>
          </cell>
          <cell r="B1913" t="str">
            <v>江苏</v>
          </cell>
          <cell r="C1913" t="str">
            <v>食品</v>
          </cell>
          <cell r="D1913">
            <v>49</v>
          </cell>
        </row>
        <row r="1914">
          <cell r="A1914">
            <v>35156</v>
          </cell>
          <cell r="B1914" t="str">
            <v>江苏</v>
          </cell>
          <cell r="C1914" t="str">
            <v>食品</v>
          </cell>
          <cell r="D1914">
            <v>90</v>
          </cell>
        </row>
        <row r="1915">
          <cell r="A1915">
            <v>35156</v>
          </cell>
          <cell r="B1915" t="str">
            <v>安徽</v>
          </cell>
          <cell r="C1915" t="str">
            <v>食品</v>
          </cell>
          <cell r="D1915">
            <v>657</v>
          </cell>
        </row>
        <row r="1916">
          <cell r="A1916">
            <v>35156</v>
          </cell>
          <cell r="B1916" t="str">
            <v>广东</v>
          </cell>
          <cell r="C1916" t="str">
            <v>食品</v>
          </cell>
          <cell r="D1916">
            <v>664</v>
          </cell>
        </row>
        <row r="1917">
          <cell r="A1917">
            <v>35156</v>
          </cell>
          <cell r="B1917" t="str">
            <v>山东</v>
          </cell>
          <cell r="C1917" t="str">
            <v>食品</v>
          </cell>
          <cell r="D1917">
            <v>890</v>
          </cell>
        </row>
        <row r="1918">
          <cell r="A1918">
            <v>35156</v>
          </cell>
          <cell r="B1918" t="str">
            <v>安徽</v>
          </cell>
          <cell r="C1918" t="str">
            <v>食品</v>
          </cell>
          <cell r="D1918">
            <v>1089</v>
          </cell>
        </row>
        <row r="1919">
          <cell r="A1919">
            <v>35156</v>
          </cell>
          <cell r="B1919" t="str">
            <v>江西</v>
          </cell>
          <cell r="C1919" t="str">
            <v>食品</v>
          </cell>
          <cell r="D1919">
            <v>1208</v>
          </cell>
        </row>
        <row r="1920">
          <cell r="A1920">
            <v>35156</v>
          </cell>
          <cell r="B1920" t="str">
            <v>山东</v>
          </cell>
          <cell r="C1920" t="str">
            <v>食品</v>
          </cell>
          <cell r="D1920">
            <v>458</v>
          </cell>
        </row>
        <row r="1921">
          <cell r="A1921">
            <v>35156</v>
          </cell>
          <cell r="B1921" t="str">
            <v>广东</v>
          </cell>
          <cell r="C1921" t="str">
            <v>食品</v>
          </cell>
          <cell r="D1921">
            <v>430</v>
          </cell>
        </row>
        <row r="1922">
          <cell r="A1922">
            <v>35156</v>
          </cell>
          <cell r="B1922" t="str">
            <v>广东</v>
          </cell>
          <cell r="C1922" t="str">
            <v>食品</v>
          </cell>
          <cell r="D1922">
            <v>158</v>
          </cell>
        </row>
        <row r="1923">
          <cell r="A1923">
            <v>35156</v>
          </cell>
          <cell r="B1923" t="str">
            <v>山东</v>
          </cell>
          <cell r="C1923" t="str">
            <v>食品</v>
          </cell>
          <cell r="D1923">
            <v>123</v>
          </cell>
        </row>
        <row r="1924">
          <cell r="A1924">
            <v>35156</v>
          </cell>
          <cell r="B1924" t="str">
            <v>广东</v>
          </cell>
          <cell r="C1924" t="str">
            <v>食品</v>
          </cell>
          <cell r="D1924">
            <v>123</v>
          </cell>
        </row>
        <row r="1925">
          <cell r="A1925">
            <v>35156</v>
          </cell>
          <cell r="B1925" t="str">
            <v>山东</v>
          </cell>
          <cell r="C1925" t="str">
            <v>食品</v>
          </cell>
          <cell r="D1925">
            <v>135</v>
          </cell>
        </row>
        <row r="1926">
          <cell r="A1926">
            <v>35156</v>
          </cell>
          <cell r="B1926" t="str">
            <v>安徽</v>
          </cell>
          <cell r="C1926" t="str">
            <v>食品</v>
          </cell>
          <cell r="D1926">
            <v>546</v>
          </cell>
        </row>
        <row r="1927">
          <cell r="A1927">
            <v>35156</v>
          </cell>
          <cell r="B1927" t="str">
            <v>江苏</v>
          </cell>
          <cell r="C1927" t="str">
            <v>食品</v>
          </cell>
          <cell r="D1927">
            <v>158</v>
          </cell>
        </row>
        <row r="1928">
          <cell r="A1928">
            <v>35156</v>
          </cell>
          <cell r="B1928" t="str">
            <v>江西</v>
          </cell>
          <cell r="C1928" t="str">
            <v>食品</v>
          </cell>
          <cell r="D1928">
            <v>158</v>
          </cell>
        </row>
        <row r="1929">
          <cell r="A1929">
            <v>35156</v>
          </cell>
          <cell r="B1929" t="str">
            <v>江西</v>
          </cell>
          <cell r="C1929" t="str">
            <v>食品</v>
          </cell>
          <cell r="D1929">
            <v>263</v>
          </cell>
        </row>
        <row r="1930">
          <cell r="A1930">
            <v>35156</v>
          </cell>
          <cell r="B1930" t="str">
            <v>安徽</v>
          </cell>
          <cell r="C1930" t="str">
            <v>食品</v>
          </cell>
          <cell r="D1930">
            <v>270</v>
          </cell>
        </row>
        <row r="1931">
          <cell r="A1931">
            <v>35156</v>
          </cell>
          <cell r="B1931" t="str">
            <v>江西</v>
          </cell>
          <cell r="C1931" t="str">
            <v>食品</v>
          </cell>
          <cell r="D1931">
            <v>405</v>
          </cell>
        </row>
        <row r="1932">
          <cell r="A1932">
            <v>35156</v>
          </cell>
          <cell r="B1932" t="str">
            <v>江苏</v>
          </cell>
          <cell r="C1932" t="str">
            <v>食品</v>
          </cell>
          <cell r="D1932">
            <v>135</v>
          </cell>
        </row>
        <row r="1933">
          <cell r="A1933">
            <v>35156</v>
          </cell>
          <cell r="B1933" t="str">
            <v>安徽</v>
          </cell>
          <cell r="C1933" t="str">
            <v>儿童用品</v>
          </cell>
          <cell r="D1933">
            <v>1072</v>
          </cell>
        </row>
        <row r="1934">
          <cell r="A1934">
            <v>35156</v>
          </cell>
          <cell r="B1934" t="str">
            <v>广东</v>
          </cell>
          <cell r="C1934" t="str">
            <v>儿童用品</v>
          </cell>
          <cell r="D1934">
            <v>1325</v>
          </cell>
        </row>
        <row r="1935">
          <cell r="A1935">
            <v>35156</v>
          </cell>
          <cell r="B1935" t="str">
            <v>山东</v>
          </cell>
          <cell r="C1935" t="str">
            <v>儿童用品</v>
          </cell>
          <cell r="D1935">
            <v>1850</v>
          </cell>
        </row>
        <row r="1936">
          <cell r="A1936">
            <v>35156</v>
          </cell>
          <cell r="B1936" t="str">
            <v>安徽</v>
          </cell>
          <cell r="C1936" t="str">
            <v>儿童用品</v>
          </cell>
          <cell r="D1936">
            <v>2406</v>
          </cell>
        </row>
        <row r="1937">
          <cell r="A1937">
            <v>35156</v>
          </cell>
          <cell r="B1937" t="str">
            <v>江西</v>
          </cell>
          <cell r="C1937" t="str">
            <v>儿童用品</v>
          </cell>
          <cell r="D1937">
            <v>2829</v>
          </cell>
        </row>
        <row r="1938">
          <cell r="A1938">
            <v>35156</v>
          </cell>
          <cell r="B1938" t="str">
            <v>安徽</v>
          </cell>
          <cell r="C1938" t="str">
            <v>儿童用品</v>
          </cell>
          <cell r="D1938">
            <v>491</v>
          </cell>
        </row>
        <row r="1939">
          <cell r="A1939">
            <v>35156</v>
          </cell>
          <cell r="B1939" t="str">
            <v>山东</v>
          </cell>
          <cell r="C1939" t="str">
            <v>儿童用品</v>
          </cell>
          <cell r="D1939">
            <v>700</v>
          </cell>
        </row>
        <row r="1940">
          <cell r="A1940">
            <v>35156</v>
          </cell>
          <cell r="B1940" t="str">
            <v>安徽</v>
          </cell>
          <cell r="C1940" t="str">
            <v>儿童用品</v>
          </cell>
          <cell r="D1940">
            <v>503</v>
          </cell>
        </row>
        <row r="1941">
          <cell r="A1941">
            <v>35156</v>
          </cell>
          <cell r="B1941" t="str">
            <v>江西</v>
          </cell>
          <cell r="C1941" t="str">
            <v>儿童用品</v>
          </cell>
          <cell r="D1941">
            <v>39</v>
          </cell>
        </row>
        <row r="1942">
          <cell r="A1942">
            <v>35156</v>
          </cell>
          <cell r="B1942" t="str">
            <v>山东</v>
          </cell>
          <cell r="C1942" t="str">
            <v>儿童用品</v>
          </cell>
          <cell r="D1942">
            <v>44</v>
          </cell>
        </row>
        <row r="1943">
          <cell r="A1943">
            <v>35156</v>
          </cell>
          <cell r="B1943" t="str">
            <v>江苏</v>
          </cell>
          <cell r="C1943" t="str">
            <v>儿童用品</v>
          </cell>
          <cell r="D1943">
            <v>50</v>
          </cell>
        </row>
        <row r="1944">
          <cell r="A1944">
            <v>35156</v>
          </cell>
          <cell r="B1944" t="str">
            <v>江西</v>
          </cell>
          <cell r="C1944" t="str">
            <v>儿童用品</v>
          </cell>
          <cell r="D1944">
            <v>61</v>
          </cell>
        </row>
        <row r="1945">
          <cell r="A1945">
            <v>35156</v>
          </cell>
          <cell r="B1945" t="str">
            <v>山东</v>
          </cell>
          <cell r="C1945" t="str">
            <v>儿童用品</v>
          </cell>
          <cell r="D1945">
            <v>68</v>
          </cell>
        </row>
        <row r="1946">
          <cell r="A1946">
            <v>35156</v>
          </cell>
          <cell r="B1946" t="str">
            <v>江西</v>
          </cell>
          <cell r="C1946" t="str">
            <v>儿童用品</v>
          </cell>
          <cell r="D1946">
            <v>72</v>
          </cell>
        </row>
        <row r="1947">
          <cell r="A1947">
            <v>35156</v>
          </cell>
          <cell r="B1947" t="str">
            <v>江苏</v>
          </cell>
          <cell r="C1947" t="str">
            <v>儿童用品</v>
          </cell>
          <cell r="D1947">
            <v>88</v>
          </cell>
        </row>
        <row r="1948">
          <cell r="A1948">
            <v>35156</v>
          </cell>
          <cell r="B1948" t="str">
            <v>江苏</v>
          </cell>
          <cell r="C1948" t="str">
            <v>儿童用品</v>
          </cell>
          <cell r="D1948">
            <v>119</v>
          </cell>
        </row>
        <row r="1949">
          <cell r="A1949">
            <v>35156</v>
          </cell>
          <cell r="B1949" t="str">
            <v>广东</v>
          </cell>
          <cell r="C1949" t="str">
            <v>儿童用品</v>
          </cell>
          <cell r="D1949">
            <v>123</v>
          </cell>
        </row>
        <row r="1950">
          <cell r="A1950">
            <v>35156</v>
          </cell>
          <cell r="B1950" t="str">
            <v>江苏</v>
          </cell>
          <cell r="C1950" t="str">
            <v>儿童用品</v>
          </cell>
          <cell r="D1950">
            <v>135</v>
          </cell>
        </row>
        <row r="1951">
          <cell r="A1951">
            <v>35156</v>
          </cell>
          <cell r="B1951" t="str">
            <v>广东</v>
          </cell>
          <cell r="C1951" t="str">
            <v>儿童用品</v>
          </cell>
          <cell r="D1951">
            <v>158</v>
          </cell>
        </row>
        <row r="1952">
          <cell r="A1952">
            <v>35156</v>
          </cell>
          <cell r="B1952" t="str">
            <v>广东</v>
          </cell>
          <cell r="C1952" t="str">
            <v>儿童用品</v>
          </cell>
          <cell r="D1952">
            <v>263</v>
          </cell>
        </row>
        <row r="1953">
          <cell r="A1953">
            <v>35156</v>
          </cell>
          <cell r="B1953" t="str">
            <v>山东</v>
          </cell>
          <cell r="C1953" t="str">
            <v>体育用品</v>
          </cell>
          <cell r="D1953">
            <v>11</v>
          </cell>
        </row>
        <row r="1954">
          <cell r="A1954">
            <v>35156</v>
          </cell>
          <cell r="B1954" t="str">
            <v>江西</v>
          </cell>
          <cell r="C1954" t="str">
            <v>体育用品</v>
          </cell>
          <cell r="D1954">
            <v>18</v>
          </cell>
        </row>
        <row r="1955">
          <cell r="A1955">
            <v>35156</v>
          </cell>
          <cell r="B1955" t="str">
            <v>山东</v>
          </cell>
          <cell r="C1955" t="str">
            <v>体育用品</v>
          </cell>
          <cell r="D1955">
            <v>28</v>
          </cell>
        </row>
        <row r="1956">
          <cell r="A1956">
            <v>35156</v>
          </cell>
          <cell r="B1956" t="str">
            <v>山东</v>
          </cell>
          <cell r="C1956" t="str">
            <v>体育用品</v>
          </cell>
          <cell r="D1956">
            <v>44</v>
          </cell>
        </row>
        <row r="1957">
          <cell r="A1957">
            <v>35156</v>
          </cell>
          <cell r="B1957" t="str">
            <v>安徽</v>
          </cell>
          <cell r="C1957" t="str">
            <v>体育用品</v>
          </cell>
          <cell r="D1957">
            <v>66</v>
          </cell>
        </row>
        <row r="1958">
          <cell r="A1958">
            <v>35156</v>
          </cell>
          <cell r="B1958" t="str">
            <v>山东</v>
          </cell>
          <cell r="C1958" t="str">
            <v>体育用品</v>
          </cell>
          <cell r="D1958">
            <v>55</v>
          </cell>
        </row>
        <row r="1959">
          <cell r="A1959">
            <v>35156</v>
          </cell>
          <cell r="B1959" t="str">
            <v>江西</v>
          </cell>
          <cell r="C1959" t="str">
            <v>体育用品</v>
          </cell>
          <cell r="D1959">
            <v>55</v>
          </cell>
        </row>
        <row r="1960">
          <cell r="A1960">
            <v>35156</v>
          </cell>
          <cell r="B1960" t="str">
            <v>安徽</v>
          </cell>
          <cell r="C1960" t="str">
            <v>体育用品</v>
          </cell>
          <cell r="D1960">
            <v>53</v>
          </cell>
        </row>
        <row r="1961">
          <cell r="A1961">
            <v>35156</v>
          </cell>
          <cell r="B1961" t="str">
            <v>山东</v>
          </cell>
          <cell r="C1961" t="str">
            <v>体育用品</v>
          </cell>
          <cell r="D1961">
            <v>14</v>
          </cell>
        </row>
        <row r="1962">
          <cell r="A1962">
            <v>35156</v>
          </cell>
          <cell r="B1962" t="str">
            <v>山东</v>
          </cell>
          <cell r="C1962" t="str">
            <v>体育用品</v>
          </cell>
          <cell r="D1962">
            <v>45</v>
          </cell>
        </row>
        <row r="1963">
          <cell r="A1963">
            <v>35156</v>
          </cell>
          <cell r="B1963" t="str">
            <v>江苏</v>
          </cell>
          <cell r="C1963" t="str">
            <v>体育用品</v>
          </cell>
          <cell r="D1963">
            <v>44</v>
          </cell>
        </row>
        <row r="1964">
          <cell r="A1964">
            <v>35156</v>
          </cell>
          <cell r="B1964" t="str">
            <v>江苏</v>
          </cell>
          <cell r="C1964" t="str">
            <v>体育用品</v>
          </cell>
          <cell r="D1964">
            <v>41</v>
          </cell>
        </row>
        <row r="1965">
          <cell r="A1965">
            <v>35156</v>
          </cell>
          <cell r="B1965" t="str">
            <v>江苏</v>
          </cell>
          <cell r="C1965" t="str">
            <v>体育用品</v>
          </cell>
          <cell r="D1965">
            <v>39</v>
          </cell>
        </row>
        <row r="1966">
          <cell r="A1966">
            <v>35156</v>
          </cell>
          <cell r="B1966" t="str">
            <v>广东</v>
          </cell>
          <cell r="C1966" t="str">
            <v>体育用品</v>
          </cell>
          <cell r="D1966">
            <v>34</v>
          </cell>
        </row>
        <row r="1967">
          <cell r="A1967">
            <v>35156</v>
          </cell>
          <cell r="B1967" t="str">
            <v>安徽</v>
          </cell>
          <cell r="C1967" t="str">
            <v>体育用品</v>
          </cell>
          <cell r="D1967">
            <v>46</v>
          </cell>
        </row>
        <row r="1968">
          <cell r="A1968">
            <v>35156</v>
          </cell>
          <cell r="B1968" t="str">
            <v>江西</v>
          </cell>
          <cell r="C1968" t="str">
            <v>体育用品</v>
          </cell>
          <cell r="D1968">
            <v>70</v>
          </cell>
        </row>
        <row r="1969">
          <cell r="A1969">
            <v>35156</v>
          </cell>
          <cell r="B1969" t="str">
            <v>安徽</v>
          </cell>
          <cell r="C1969" t="str">
            <v>体育用品</v>
          </cell>
          <cell r="D1969">
            <v>101</v>
          </cell>
        </row>
        <row r="1970">
          <cell r="A1970">
            <v>35156</v>
          </cell>
          <cell r="B1970" t="str">
            <v>安徽</v>
          </cell>
          <cell r="C1970" t="str">
            <v>体育用品</v>
          </cell>
          <cell r="D1970">
            <v>124</v>
          </cell>
        </row>
        <row r="1971">
          <cell r="A1971">
            <v>35156</v>
          </cell>
          <cell r="B1971" t="str">
            <v>江西</v>
          </cell>
          <cell r="C1971" t="str">
            <v>体育用品</v>
          </cell>
          <cell r="D1971">
            <v>113</v>
          </cell>
        </row>
        <row r="1972">
          <cell r="A1972">
            <v>35156</v>
          </cell>
          <cell r="B1972" t="str">
            <v>江苏</v>
          </cell>
          <cell r="C1972" t="str">
            <v>体育用品</v>
          </cell>
          <cell r="D1972">
            <v>101</v>
          </cell>
        </row>
        <row r="1973">
          <cell r="A1973">
            <v>35156</v>
          </cell>
          <cell r="B1973" t="str">
            <v>江西</v>
          </cell>
          <cell r="C1973" t="str">
            <v>体育用品</v>
          </cell>
          <cell r="D1973">
            <v>96</v>
          </cell>
        </row>
        <row r="1974">
          <cell r="A1974">
            <v>35156</v>
          </cell>
          <cell r="B1974" t="str">
            <v>广东</v>
          </cell>
          <cell r="C1974" t="str">
            <v>体育用品</v>
          </cell>
          <cell r="D1974">
            <v>83</v>
          </cell>
        </row>
        <row r="1975">
          <cell r="A1975">
            <v>35156</v>
          </cell>
          <cell r="B1975" t="str">
            <v>广东</v>
          </cell>
          <cell r="C1975" t="str">
            <v>体育用品</v>
          </cell>
          <cell r="D1975">
            <v>70</v>
          </cell>
        </row>
        <row r="1976">
          <cell r="A1976">
            <v>35156</v>
          </cell>
          <cell r="B1976" t="str">
            <v>江苏</v>
          </cell>
          <cell r="C1976" t="str">
            <v>体育用品</v>
          </cell>
          <cell r="D1976">
            <v>116</v>
          </cell>
        </row>
        <row r="1977">
          <cell r="A1977">
            <v>35156</v>
          </cell>
          <cell r="B1977" t="str">
            <v>江西</v>
          </cell>
          <cell r="C1977" t="str">
            <v>体育用品</v>
          </cell>
          <cell r="D1977">
            <v>180</v>
          </cell>
        </row>
        <row r="1978">
          <cell r="A1978">
            <v>35156</v>
          </cell>
          <cell r="B1978" t="str">
            <v>广东</v>
          </cell>
          <cell r="C1978" t="str">
            <v>体育用品</v>
          </cell>
          <cell r="D1978">
            <v>1238</v>
          </cell>
        </row>
        <row r="1979">
          <cell r="A1979">
            <v>35156</v>
          </cell>
          <cell r="B1979" t="str">
            <v>广东</v>
          </cell>
          <cell r="C1979" t="str">
            <v>体育用品</v>
          </cell>
          <cell r="D1979">
            <v>261</v>
          </cell>
        </row>
        <row r="1980">
          <cell r="A1980">
            <v>35156</v>
          </cell>
          <cell r="B1980" t="str">
            <v>广东</v>
          </cell>
          <cell r="C1980" t="str">
            <v>体育用品</v>
          </cell>
          <cell r="D1980">
            <v>1048</v>
          </cell>
        </row>
        <row r="1981">
          <cell r="A1981">
            <v>35156</v>
          </cell>
          <cell r="B1981" t="str">
            <v>安徽</v>
          </cell>
          <cell r="C1981" t="str">
            <v>体育用品</v>
          </cell>
          <cell r="D1981">
            <v>560</v>
          </cell>
        </row>
        <row r="1982">
          <cell r="A1982">
            <v>35156</v>
          </cell>
          <cell r="B1982" t="str">
            <v>江苏</v>
          </cell>
          <cell r="C1982" t="str">
            <v>体育用品</v>
          </cell>
          <cell r="D1982">
            <v>69</v>
          </cell>
        </row>
        <row r="1983">
          <cell r="A1983">
            <v>35186</v>
          </cell>
          <cell r="B1983" t="str">
            <v>广东</v>
          </cell>
          <cell r="C1983" t="str">
            <v>艺术品</v>
          </cell>
          <cell r="D1983">
            <v>774</v>
          </cell>
        </row>
        <row r="1984">
          <cell r="A1984">
            <v>35186</v>
          </cell>
          <cell r="B1984" t="str">
            <v>安徽</v>
          </cell>
          <cell r="C1984" t="str">
            <v>艺术品</v>
          </cell>
          <cell r="D1984">
            <v>270</v>
          </cell>
        </row>
        <row r="1985">
          <cell r="A1985">
            <v>35186</v>
          </cell>
          <cell r="B1985" t="str">
            <v>江苏</v>
          </cell>
          <cell r="C1985" t="str">
            <v>艺术品</v>
          </cell>
          <cell r="D1985">
            <v>315</v>
          </cell>
        </row>
        <row r="1986">
          <cell r="A1986">
            <v>35186</v>
          </cell>
          <cell r="B1986" t="str">
            <v>江西</v>
          </cell>
          <cell r="C1986" t="str">
            <v>艺术品</v>
          </cell>
          <cell r="D1986">
            <v>371</v>
          </cell>
        </row>
        <row r="1987">
          <cell r="A1987">
            <v>35186</v>
          </cell>
          <cell r="B1987" t="str">
            <v>江苏</v>
          </cell>
          <cell r="C1987" t="str">
            <v>艺术品</v>
          </cell>
          <cell r="D1987">
            <v>399</v>
          </cell>
        </row>
        <row r="1988">
          <cell r="A1988">
            <v>35186</v>
          </cell>
          <cell r="B1988" t="str">
            <v>江西</v>
          </cell>
          <cell r="C1988" t="str">
            <v>艺术品</v>
          </cell>
          <cell r="D1988">
            <v>611</v>
          </cell>
        </row>
        <row r="1989">
          <cell r="A1989">
            <v>35186</v>
          </cell>
          <cell r="B1989" t="str">
            <v>山东</v>
          </cell>
          <cell r="C1989" t="str">
            <v>艺术品</v>
          </cell>
          <cell r="D1989">
            <v>614</v>
          </cell>
        </row>
        <row r="1990">
          <cell r="A1990">
            <v>35186</v>
          </cell>
          <cell r="B1990" t="str">
            <v>福建</v>
          </cell>
          <cell r="C1990" t="str">
            <v>艺术品</v>
          </cell>
          <cell r="D1990">
            <v>681</v>
          </cell>
        </row>
        <row r="1991">
          <cell r="A1991">
            <v>35186</v>
          </cell>
          <cell r="B1991" t="str">
            <v>广东</v>
          </cell>
          <cell r="C1991" t="str">
            <v>艺术品</v>
          </cell>
          <cell r="D1991">
            <v>770</v>
          </cell>
        </row>
        <row r="1992">
          <cell r="A1992">
            <v>35186</v>
          </cell>
          <cell r="B1992" t="str">
            <v>安徽</v>
          </cell>
          <cell r="C1992" t="str">
            <v>艺术品</v>
          </cell>
          <cell r="D1992">
            <v>868</v>
          </cell>
        </row>
        <row r="1993">
          <cell r="A1993">
            <v>35186</v>
          </cell>
          <cell r="B1993" t="str">
            <v>山东</v>
          </cell>
          <cell r="C1993" t="str">
            <v>艺术品</v>
          </cell>
          <cell r="D1993">
            <v>1069</v>
          </cell>
        </row>
        <row r="1994">
          <cell r="A1994">
            <v>35186</v>
          </cell>
          <cell r="B1994" t="str">
            <v>江西</v>
          </cell>
          <cell r="C1994" t="str">
            <v>艺术品</v>
          </cell>
          <cell r="D1994">
            <v>1257</v>
          </cell>
        </row>
        <row r="1995">
          <cell r="A1995">
            <v>35186</v>
          </cell>
          <cell r="B1995" t="str">
            <v>福建</v>
          </cell>
          <cell r="C1995" t="str">
            <v>艺术品</v>
          </cell>
          <cell r="D1995">
            <v>1430</v>
          </cell>
        </row>
        <row r="1996">
          <cell r="A1996">
            <v>35186</v>
          </cell>
          <cell r="B1996" t="str">
            <v>广东</v>
          </cell>
          <cell r="C1996" t="str">
            <v>艺术品</v>
          </cell>
          <cell r="D1996">
            <v>1560</v>
          </cell>
        </row>
        <row r="1997">
          <cell r="A1997">
            <v>35186</v>
          </cell>
          <cell r="B1997" t="str">
            <v>山东</v>
          </cell>
          <cell r="C1997" t="str">
            <v>艺术品</v>
          </cell>
          <cell r="D1997">
            <v>1862</v>
          </cell>
        </row>
        <row r="1998">
          <cell r="A1998">
            <v>35186</v>
          </cell>
          <cell r="B1998" t="str">
            <v>山东</v>
          </cell>
          <cell r="C1998" t="str">
            <v>艺术品</v>
          </cell>
          <cell r="D1998">
            <v>684</v>
          </cell>
        </row>
        <row r="1999">
          <cell r="A1999">
            <v>35186</v>
          </cell>
          <cell r="B1999" t="str">
            <v>江苏</v>
          </cell>
          <cell r="C1999" t="str">
            <v>艺术品</v>
          </cell>
          <cell r="D1999">
            <v>158</v>
          </cell>
        </row>
        <row r="2000">
          <cell r="A2000">
            <v>35186</v>
          </cell>
          <cell r="B2000" t="str">
            <v>安徽</v>
          </cell>
          <cell r="C2000" t="str">
            <v>艺术品</v>
          </cell>
          <cell r="D2000">
            <v>220</v>
          </cell>
        </row>
        <row r="2001">
          <cell r="A2001">
            <v>35186</v>
          </cell>
          <cell r="B2001" t="str">
            <v>安徽</v>
          </cell>
          <cell r="C2001" t="str">
            <v>艺术品</v>
          </cell>
          <cell r="D2001">
            <v>34</v>
          </cell>
        </row>
        <row r="2002">
          <cell r="A2002">
            <v>35186</v>
          </cell>
          <cell r="B2002" t="str">
            <v>江苏</v>
          </cell>
          <cell r="C2002" t="str">
            <v>艺术品</v>
          </cell>
          <cell r="D2002">
            <v>77</v>
          </cell>
        </row>
        <row r="2003">
          <cell r="A2003">
            <v>35186</v>
          </cell>
          <cell r="B2003" t="str">
            <v>广东</v>
          </cell>
          <cell r="C2003" t="str">
            <v>艺术品</v>
          </cell>
          <cell r="D2003">
            <v>101</v>
          </cell>
        </row>
        <row r="2004">
          <cell r="A2004">
            <v>35186</v>
          </cell>
          <cell r="B2004" t="str">
            <v>江西</v>
          </cell>
          <cell r="C2004" t="str">
            <v>艺术品</v>
          </cell>
          <cell r="D2004">
            <v>206</v>
          </cell>
        </row>
        <row r="2005">
          <cell r="A2005">
            <v>35186</v>
          </cell>
          <cell r="B2005" t="str">
            <v>福建</v>
          </cell>
          <cell r="C2005" t="str">
            <v>自行车</v>
          </cell>
          <cell r="D2005">
            <v>459</v>
          </cell>
        </row>
        <row r="2006">
          <cell r="A2006">
            <v>35186</v>
          </cell>
          <cell r="B2006" t="str">
            <v>江西</v>
          </cell>
          <cell r="C2006" t="str">
            <v>自行车</v>
          </cell>
          <cell r="D2006">
            <v>663</v>
          </cell>
        </row>
        <row r="2007">
          <cell r="A2007">
            <v>35186</v>
          </cell>
          <cell r="B2007" t="str">
            <v>安徽</v>
          </cell>
          <cell r="C2007" t="str">
            <v>自行车</v>
          </cell>
          <cell r="D2007">
            <v>540</v>
          </cell>
        </row>
        <row r="2008">
          <cell r="A2008">
            <v>35186</v>
          </cell>
          <cell r="B2008" t="str">
            <v>广东</v>
          </cell>
          <cell r="C2008" t="str">
            <v>自行车</v>
          </cell>
          <cell r="D2008">
            <v>578</v>
          </cell>
        </row>
        <row r="2009">
          <cell r="A2009">
            <v>35186</v>
          </cell>
          <cell r="B2009" t="str">
            <v>江苏</v>
          </cell>
          <cell r="C2009" t="str">
            <v>自行车</v>
          </cell>
          <cell r="D2009">
            <v>557</v>
          </cell>
        </row>
        <row r="2010">
          <cell r="A2010">
            <v>35186</v>
          </cell>
          <cell r="B2010" t="str">
            <v>江苏</v>
          </cell>
          <cell r="C2010" t="str">
            <v>自行车</v>
          </cell>
          <cell r="D2010">
            <v>428</v>
          </cell>
        </row>
        <row r="2011">
          <cell r="A2011">
            <v>35186</v>
          </cell>
          <cell r="B2011" t="str">
            <v>山东</v>
          </cell>
          <cell r="C2011" t="str">
            <v>自行车</v>
          </cell>
          <cell r="D2011">
            <v>284</v>
          </cell>
        </row>
        <row r="2012">
          <cell r="A2012">
            <v>35186</v>
          </cell>
          <cell r="B2012" t="str">
            <v>江西</v>
          </cell>
          <cell r="C2012" t="str">
            <v>自行车</v>
          </cell>
          <cell r="D2012">
            <v>270</v>
          </cell>
        </row>
        <row r="2013">
          <cell r="A2013">
            <v>35186</v>
          </cell>
          <cell r="B2013" t="str">
            <v>江西</v>
          </cell>
          <cell r="C2013" t="str">
            <v>自行车</v>
          </cell>
          <cell r="D2013">
            <v>236</v>
          </cell>
        </row>
        <row r="2014">
          <cell r="A2014">
            <v>35186</v>
          </cell>
          <cell r="B2014" t="str">
            <v>江苏</v>
          </cell>
          <cell r="C2014" t="str">
            <v>自行车</v>
          </cell>
          <cell r="D2014">
            <v>228</v>
          </cell>
        </row>
        <row r="2015">
          <cell r="A2015">
            <v>35186</v>
          </cell>
          <cell r="B2015" t="str">
            <v>广东</v>
          </cell>
          <cell r="C2015" t="str">
            <v>自行车</v>
          </cell>
          <cell r="D2015">
            <v>158</v>
          </cell>
        </row>
        <row r="2016">
          <cell r="A2016">
            <v>35186</v>
          </cell>
          <cell r="B2016" t="str">
            <v>江苏</v>
          </cell>
          <cell r="C2016" t="str">
            <v>自行车</v>
          </cell>
          <cell r="D2016">
            <v>371</v>
          </cell>
        </row>
        <row r="2017">
          <cell r="A2017">
            <v>35186</v>
          </cell>
          <cell r="B2017" t="str">
            <v>山东</v>
          </cell>
          <cell r="C2017" t="str">
            <v>自行车</v>
          </cell>
          <cell r="D2017">
            <v>343</v>
          </cell>
        </row>
        <row r="2018">
          <cell r="A2018">
            <v>35186</v>
          </cell>
          <cell r="B2018" t="str">
            <v>安徽</v>
          </cell>
          <cell r="C2018" t="str">
            <v>自行车</v>
          </cell>
          <cell r="D2018">
            <v>298</v>
          </cell>
        </row>
        <row r="2019">
          <cell r="A2019">
            <v>35186</v>
          </cell>
          <cell r="B2019" t="str">
            <v>江西</v>
          </cell>
          <cell r="C2019" t="str">
            <v>自行车</v>
          </cell>
          <cell r="D2019">
            <v>315</v>
          </cell>
        </row>
        <row r="2020">
          <cell r="A2020">
            <v>35186</v>
          </cell>
          <cell r="B2020" t="str">
            <v>福建</v>
          </cell>
          <cell r="C2020" t="str">
            <v>自行车</v>
          </cell>
          <cell r="D2020">
            <v>1012</v>
          </cell>
        </row>
        <row r="2021">
          <cell r="A2021">
            <v>35186</v>
          </cell>
          <cell r="B2021" t="str">
            <v>山东</v>
          </cell>
          <cell r="C2021" t="str">
            <v>自行车</v>
          </cell>
          <cell r="D2021">
            <v>766</v>
          </cell>
        </row>
        <row r="2022">
          <cell r="A2022">
            <v>35186</v>
          </cell>
          <cell r="B2022" t="str">
            <v>广东</v>
          </cell>
          <cell r="C2022" t="str">
            <v>自行车</v>
          </cell>
          <cell r="D2022">
            <v>673</v>
          </cell>
        </row>
        <row r="2023">
          <cell r="A2023">
            <v>35186</v>
          </cell>
          <cell r="B2023" t="str">
            <v>山东</v>
          </cell>
          <cell r="C2023" t="str">
            <v>自行车</v>
          </cell>
          <cell r="D2023">
            <v>1412</v>
          </cell>
        </row>
        <row r="2024">
          <cell r="A2024">
            <v>35186</v>
          </cell>
          <cell r="B2024" t="str">
            <v>广东</v>
          </cell>
          <cell r="C2024" t="str">
            <v>自行车</v>
          </cell>
          <cell r="D2024">
            <v>68</v>
          </cell>
        </row>
        <row r="2025">
          <cell r="A2025">
            <v>35186</v>
          </cell>
          <cell r="B2025" t="str">
            <v>安徽</v>
          </cell>
          <cell r="C2025" t="str">
            <v>自行车</v>
          </cell>
          <cell r="D2025">
            <v>45</v>
          </cell>
        </row>
        <row r="2026">
          <cell r="A2026">
            <v>35186</v>
          </cell>
          <cell r="B2026" t="str">
            <v>安徽</v>
          </cell>
          <cell r="C2026" t="str">
            <v>自行车</v>
          </cell>
          <cell r="D2026">
            <v>96</v>
          </cell>
        </row>
        <row r="2027">
          <cell r="A2027">
            <v>35186</v>
          </cell>
          <cell r="B2027" t="str">
            <v>山东</v>
          </cell>
          <cell r="C2027" t="str">
            <v>瓷器</v>
          </cell>
          <cell r="D2027">
            <v>14</v>
          </cell>
        </row>
        <row r="2028">
          <cell r="A2028">
            <v>35186</v>
          </cell>
          <cell r="B2028" t="str">
            <v>安徽</v>
          </cell>
          <cell r="C2028" t="str">
            <v>瓷器</v>
          </cell>
          <cell r="D2028">
            <v>853</v>
          </cell>
        </row>
        <row r="2029">
          <cell r="A2029">
            <v>35186</v>
          </cell>
          <cell r="B2029" t="str">
            <v>江苏</v>
          </cell>
          <cell r="C2029" t="str">
            <v>瓷器</v>
          </cell>
          <cell r="D2029">
            <v>61</v>
          </cell>
        </row>
        <row r="2030">
          <cell r="A2030">
            <v>35186</v>
          </cell>
          <cell r="B2030" t="str">
            <v>广东</v>
          </cell>
          <cell r="C2030" t="str">
            <v>瓷器</v>
          </cell>
          <cell r="D2030">
            <v>56</v>
          </cell>
        </row>
        <row r="2031">
          <cell r="A2031">
            <v>35186</v>
          </cell>
          <cell r="B2031" t="str">
            <v>江西</v>
          </cell>
          <cell r="C2031" t="str">
            <v>瓷器</v>
          </cell>
          <cell r="D2031">
            <v>105</v>
          </cell>
        </row>
        <row r="2032">
          <cell r="A2032">
            <v>35186</v>
          </cell>
          <cell r="B2032" t="str">
            <v>江西</v>
          </cell>
          <cell r="C2032" t="str">
            <v>瓷器</v>
          </cell>
          <cell r="D2032">
            <v>158</v>
          </cell>
        </row>
        <row r="2033">
          <cell r="A2033">
            <v>35186</v>
          </cell>
          <cell r="B2033" t="str">
            <v>福建</v>
          </cell>
          <cell r="C2033" t="str">
            <v>瓷器</v>
          </cell>
          <cell r="D2033">
            <v>210</v>
          </cell>
        </row>
        <row r="2034">
          <cell r="A2034">
            <v>35186</v>
          </cell>
          <cell r="B2034" t="str">
            <v>广东</v>
          </cell>
          <cell r="C2034" t="str">
            <v>瓷器</v>
          </cell>
          <cell r="D2034">
            <v>112</v>
          </cell>
        </row>
        <row r="2035">
          <cell r="A2035">
            <v>35186</v>
          </cell>
          <cell r="B2035" t="str">
            <v>安徽</v>
          </cell>
          <cell r="C2035" t="str">
            <v>瓷器</v>
          </cell>
          <cell r="D2035">
            <v>70</v>
          </cell>
        </row>
        <row r="2036">
          <cell r="A2036">
            <v>35186</v>
          </cell>
          <cell r="B2036" t="str">
            <v>江西</v>
          </cell>
          <cell r="C2036" t="str">
            <v>瓷器</v>
          </cell>
          <cell r="D2036">
            <v>90</v>
          </cell>
        </row>
        <row r="2037">
          <cell r="A2037">
            <v>35186</v>
          </cell>
          <cell r="B2037" t="str">
            <v>安徽</v>
          </cell>
          <cell r="C2037" t="str">
            <v>瓷器</v>
          </cell>
          <cell r="D2037">
            <v>508</v>
          </cell>
        </row>
        <row r="2038">
          <cell r="A2038">
            <v>35186</v>
          </cell>
          <cell r="B2038" t="str">
            <v>广东</v>
          </cell>
          <cell r="C2038" t="str">
            <v>瓷器</v>
          </cell>
          <cell r="D2038">
            <v>90</v>
          </cell>
        </row>
        <row r="2039">
          <cell r="A2039">
            <v>35186</v>
          </cell>
          <cell r="B2039" t="str">
            <v>江西</v>
          </cell>
          <cell r="C2039" t="str">
            <v>瓷器</v>
          </cell>
          <cell r="D2039">
            <v>530</v>
          </cell>
        </row>
        <row r="2040">
          <cell r="A2040">
            <v>35186</v>
          </cell>
          <cell r="B2040" t="str">
            <v>福建</v>
          </cell>
          <cell r="C2040" t="str">
            <v>瓷器</v>
          </cell>
          <cell r="D2040">
            <v>557</v>
          </cell>
        </row>
        <row r="2041">
          <cell r="A2041">
            <v>35186</v>
          </cell>
          <cell r="B2041" t="str">
            <v>安徽</v>
          </cell>
          <cell r="C2041" t="str">
            <v>瓷器</v>
          </cell>
          <cell r="D2041">
            <v>79</v>
          </cell>
        </row>
        <row r="2042">
          <cell r="A2042">
            <v>35186</v>
          </cell>
          <cell r="B2042" t="str">
            <v>山东</v>
          </cell>
          <cell r="C2042" t="str">
            <v>瓷器</v>
          </cell>
          <cell r="D2042">
            <v>34</v>
          </cell>
        </row>
        <row r="2043">
          <cell r="A2043">
            <v>35186</v>
          </cell>
          <cell r="B2043" t="str">
            <v>山东</v>
          </cell>
          <cell r="C2043" t="str">
            <v>瓷器</v>
          </cell>
          <cell r="D2043">
            <v>35</v>
          </cell>
        </row>
        <row r="2044">
          <cell r="A2044">
            <v>35186</v>
          </cell>
          <cell r="B2044" t="str">
            <v>山东</v>
          </cell>
          <cell r="C2044" t="str">
            <v>瓷器</v>
          </cell>
          <cell r="D2044">
            <v>36</v>
          </cell>
        </row>
        <row r="2045">
          <cell r="A2045">
            <v>35186</v>
          </cell>
          <cell r="B2045" t="str">
            <v>江苏</v>
          </cell>
          <cell r="C2045" t="str">
            <v>瓷器</v>
          </cell>
          <cell r="D2045">
            <v>23</v>
          </cell>
        </row>
        <row r="2046">
          <cell r="A2046">
            <v>35186</v>
          </cell>
          <cell r="B2046" t="str">
            <v>江苏</v>
          </cell>
          <cell r="C2046" t="str">
            <v>瓷器</v>
          </cell>
          <cell r="D2046">
            <v>23</v>
          </cell>
        </row>
        <row r="2047">
          <cell r="A2047">
            <v>35186</v>
          </cell>
          <cell r="B2047" t="str">
            <v>广东</v>
          </cell>
          <cell r="C2047" t="str">
            <v>瓷器</v>
          </cell>
          <cell r="D2047">
            <v>26</v>
          </cell>
        </row>
        <row r="2048">
          <cell r="A2048">
            <v>35186</v>
          </cell>
          <cell r="B2048" t="str">
            <v>江苏</v>
          </cell>
          <cell r="C2048" t="str">
            <v>瓷器</v>
          </cell>
          <cell r="D2048">
            <v>42</v>
          </cell>
        </row>
        <row r="2049">
          <cell r="A2049">
            <v>35186</v>
          </cell>
          <cell r="B2049" t="str">
            <v>山东</v>
          </cell>
          <cell r="C2049" t="str">
            <v>服装</v>
          </cell>
          <cell r="D2049">
            <v>27</v>
          </cell>
        </row>
        <row r="2050">
          <cell r="A2050">
            <v>35186</v>
          </cell>
          <cell r="B2050" t="str">
            <v>山东</v>
          </cell>
          <cell r="C2050" t="str">
            <v>服装</v>
          </cell>
          <cell r="D2050">
            <v>70</v>
          </cell>
        </row>
        <row r="2051">
          <cell r="A2051">
            <v>35186</v>
          </cell>
          <cell r="B2051" t="str">
            <v>安徽</v>
          </cell>
          <cell r="C2051" t="str">
            <v>服装</v>
          </cell>
          <cell r="D2051">
            <v>79</v>
          </cell>
        </row>
        <row r="2052">
          <cell r="A2052">
            <v>35186</v>
          </cell>
          <cell r="B2052" t="str">
            <v>山东</v>
          </cell>
          <cell r="C2052" t="str">
            <v>服装</v>
          </cell>
          <cell r="D2052">
            <v>83</v>
          </cell>
        </row>
        <row r="2053">
          <cell r="A2053">
            <v>35186</v>
          </cell>
          <cell r="B2053" t="str">
            <v>安徽</v>
          </cell>
          <cell r="C2053" t="str">
            <v>服装</v>
          </cell>
          <cell r="D2053">
            <v>88</v>
          </cell>
        </row>
        <row r="2054">
          <cell r="A2054">
            <v>35186</v>
          </cell>
          <cell r="B2054" t="str">
            <v>安徽</v>
          </cell>
          <cell r="C2054" t="str">
            <v>服装</v>
          </cell>
          <cell r="D2054">
            <v>206</v>
          </cell>
        </row>
        <row r="2055">
          <cell r="A2055">
            <v>35186</v>
          </cell>
          <cell r="B2055" t="str">
            <v>山东</v>
          </cell>
          <cell r="C2055" t="str">
            <v>服装</v>
          </cell>
          <cell r="D2055">
            <v>135</v>
          </cell>
        </row>
        <row r="2056">
          <cell r="A2056">
            <v>35186</v>
          </cell>
          <cell r="B2056" t="str">
            <v>安徽</v>
          </cell>
          <cell r="C2056" t="str">
            <v>服装</v>
          </cell>
          <cell r="D2056">
            <v>149</v>
          </cell>
        </row>
        <row r="2057">
          <cell r="A2057">
            <v>35186</v>
          </cell>
          <cell r="B2057" t="str">
            <v>安徽</v>
          </cell>
          <cell r="C2057" t="str">
            <v>服装</v>
          </cell>
          <cell r="D2057">
            <v>135</v>
          </cell>
        </row>
        <row r="2058">
          <cell r="A2058">
            <v>35186</v>
          </cell>
          <cell r="B2058" t="str">
            <v>安徽</v>
          </cell>
          <cell r="C2058" t="str">
            <v>服装</v>
          </cell>
          <cell r="D2058">
            <v>248</v>
          </cell>
        </row>
        <row r="2059">
          <cell r="A2059">
            <v>35186</v>
          </cell>
          <cell r="B2059" t="str">
            <v>山东</v>
          </cell>
          <cell r="C2059" t="str">
            <v>服装</v>
          </cell>
          <cell r="D2059">
            <v>2265</v>
          </cell>
        </row>
        <row r="2060">
          <cell r="A2060">
            <v>35186</v>
          </cell>
          <cell r="B2060" t="str">
            <v>山东</v>
          </cell>
          <cell r="C2060" t="str">
            <v>服装</v>
          </cell>
          <cell r="D2060">
            <v>3296</v>
          </cell>
        </row>
        <row r="2061">
          <cell r="A2061">
            <v>35186</v>
          </cell>
          <cell r="B2061" t="str">
            <v>江苏</v>
          </cell>
          <cell r="C2061" t="str">
            <v>食品</v>
          </cell>
          <cell r="D2061">
            <v>42</v>
          </cell>
        </row>
        <row r="2062">
          <cell r="A2062">
            <v>35186</v>
          </cell>
          <cell r="B2062" t="str">
            <v>安徽</v>
          </cell>
          <cell r="C2062" t="str">
            <v>食品</v>
          </cell>
          <cell r="D2062">
            <v>590</v>
          </cell>
        </row>
        <row r="2063">
          <cell r="A2063">
            <v>35186</v>
          </cell>
          <cell r="B2063" t="str">
            <v>江西</v>
          </cell>
          <cell r="C2063" t="str">
            <v>食品</v>
          </cell>
          <cell r="D2063">
            <v>590</v>
          </cell>
        </row>
        <row r="2064">
          <cell r="A2064">
            <v>35186</v>
          </cell>
          <cell r="B2064" t="str">
            <v>江苏</v>
          </cell>
          <cell r="C2064" t="str">
            <v>食品</v>
          </cell>
          <cell r="D2064">
            <v>81</v>
          </cell>
        </row>
        <row r="2065">
          <cell r="A2065">
            <v>35186</v>
          </cell>
          <cell r="B2065" t="str">
            <v>广东</v>
          </cell>
          <cell r="C2065" t="str">
            <v>食品</v>
          </cell>
          <cell r="D2065">
            <v>751</v>
          </cell>
        </row>
        <row r="2066">
          <cell r="A2066">
            <v>35186</v>
          </cell>
          <cell r="B2066" t="str">
            <v>山东</v>
          </cell>
          <cell r="C2066" t="str">
            <v>食品</v>
          </cell>
          <cell r="D2066">
            <v>856</v>
          </cell>
        </row>
        <row r="2067">
          <cell r="A2067">
            <v>35186</v>
          </cell>
          <cell r="B2067" t="str">
            <v>福建</v>
          </cell>
          <cell r="C2067" t="str">
            <v>食品</v>
          </cell>
          <cell r="D2067">
            <v>491</v>
          </cell>
        </row>
        <row r="2068">
          <cell r="A2068">
            <v>35186</v>
          </cell>
          <cell r="B2068" t="str">
            <v>安徽</v>
          </cell>
          <cell r="C2068" t="str">
            <v>食品</v>
          </cell>
          <cell r="D2068">
            <v>922</v>
          </cell>
        </row>
        <row r="2069">
          <cell r="A2069">
            <v>35186</v>
          </cell>
          <cell r="B2069" t="str">
            <v>山东</v>
          </cell>
          <cell r="C2069" t="str">
            <v>食品</v>
          </cell>
          <cell r="D2069">
            <v>105</v>
          </cell>
        </row>
        <row r="2070">
          <cell r="A2070">
            <v>35186</v>
          </cell>
          <cell r="B2070" t="str">
            <v>广东</v>
          </cell>
          <cell r="C2070" t="str">
            <v>食品</v>
          </cell>
          <cell r="D2070">
            <v>149</v>
          </cell>
        </row>
        <row r="2071">
          <cell r="A2071">
            <v>35186</v>
          </cell>
          <cell r="B2071" t="str">
            <v>江苏</v>
          </cell>
          <cell r="C2071" t="str">
            <v>食品</v>
          </cell>
          <cell r="D2071">
            <v>131</v>
          </cell>
        </row>
        <row r="2072">
          <cell r="A2072">
            <v>35186</v>
          </cell>
          <cell r="B2072" t="str">
            <v>江西</v>
          </cell>
          <cell r="C2072" t="str">
            <v>食品</v>
          </cell>
          <cell r="D2072">
            <v>184</v>
          </cell>
        </row>
        <row r="2073">
          <cell r="A2073">
            <v>35186</v>
          </cell>
          <cell r="B2073" t="str">
            <v>广东</v>
          </cell>
          <cell r="C2073" t="str">
            <v>食品</v>
          </cell>
          <cell r="D2073">
            <v>191</v>
          </cell>
        </row>
        <row r="2074">
          <cell r="A2074">
            <v>35186</v>
          </cell>
          <cell r="B2074" t="str">
            <v>江苏</v>
          </cell>
          <cell r="C2074" t="str">
            <v>食品</v>
          </cell>
          <cell r="D2074">
            <v>124</v>
          </cell>
        </row>
        <row r="2075">
          <cell r="A2075">
            <v>35186</v>
          </cell>
          <cell r="B2075" t="str">
            <v>江西</v>
          </cell>
          <cell r="C2075" t="str">
            <v>食品</v>
          </cell>
          <cell r="D2075">
            <v>315</v>
          </cell>
        </row>
        <row r="2076">
          <cell r="A2076">
            <v>35186</v>
          </cell>
          <cell r="B2076" t="str">
            <v>安徽</v>
          </cell>
          <cell r="C2076" t="str">
            <v>食品</v>
          </cell>
          <cell r="D2076">
            <v>383</v>
          </cell>
        </row>
        <row r="2077">
          <cell r="A2077">
            <v>35186</v>
          </cell>
          <cell r="B2077" t="str">
            <v>福建</v>
          </cell>
          <cell r="C2077" t="str">
            <v>食品</v>
          </cell>
          <cell r="D2077">
            <v>394</v>
          </cell>
        </row>
        <row r="2078">
          <cell r="A2078">
            <v>35186</v>
          </cell>
          <cell r="B2078" t="str">
            <v>江西</v>
          </cell>
          <cell r="C2078" t="str">
            <v>食品</v>
          </cell>
          <cell r="D2078">
            <v>405</v>
          </cell>
        </row>
        <row r="2079">
          <cell r="A2079">
            <v>35186</v>
          </cell>
          <cell r="B2079" t="str">
            <v>山东</v>
          </cell>
          <cell r="C2079" t="str">
            <v>食品</v>
          </cell>
          <cell r="D2079">
            <v>459</v>
          </cell>
        </row>
        <row r="2080">
          <cell r="A2080">
            <v>35186</v>
          </cell>
          <cell r="B2080" t="str">
            <v>广东</v>
          </cell>
          <cell r="C2080" t="str">
            <v>食品</v>
          </cell>
          <cell r="D2080">
            <v>473</v>
          </cell>
        </row>
        <row r="2081">
          <cell r="A2081">
            <v>35186</v>
          </cell>
          <cell r="B2081" t="str">
            <v>安徽</v>
          </cell>
          <cell r="C2081" t="str">
            <v>食品</v>
          </cell>
          <cell r="D2081">
            <v>491</v>
          </cell>
        </row>
        <row r="2082">
          <cell r="A2082">
            <v>35186</v>
          </cell>
          <cell r="B2082" t="str">
            <v>山东</v>
          </cell>
          <cell r="C2082" t="str">
            <v>食品</v>
          </cell>
          <cell r="D2082">
            <v>135</v>
          </cell>
        </row>
        <row r="2083">
          <cell r="A2083">
            <v>35186</v>
          </cell>
          <cell r="B2083" t="str">
            <v>江苏</v>
          </cell>
          <cell r="C2083" t="str">
            <v>儿童用品</v>
          </cell>
          <cell r="D2083">
            <v>105</v>
          </cell>
        </row>
        <row r="2084">
          <cell r="A2084">
            <v>35186</v>
          </cell>
          <cell r="B2084" t="str">
            <v>江西</v>
          </cell>
          <cell r="C2084" t="str">
            <v>儿童用品</v>
          </cell>
          <cell r="D2084">
            <v>2460</v>
          </cell>
        </row>
        <row r="2085">
          <cell r="A2085">
            <v>35186</v>
          </cell>
          <cell r="B2085" t="str">
            <v>江苏</v>
          </cell>
          <cell r="C2085" t="str">
            <v>儿童用品</v>
          </cell>
          <cell r="D2085">
            <v>146</v>
          </cell>
        </row>
        <row r="2086">
          <cell r="A2086">
            <v>35186</v>
          </cell>
          <cell r="B2086" t="str">
            <v>江西</v>
          </cell>
          <cell r="C2086" t="str">
            <v>儿童用品</v>
          </cell>
          <cell r="D2086">
            <v>158</v>
          </cell>
        </row>
        <row r="2087">
          <cell r="A2087">
            <v>35186</v>
          </cell>
          <cell r="B2087" t="str">
            <v>广东</v>
          </cell>
          <cell r="C2087" t="str">
            <v>儿童用品</v>
          </cell>
          <cell r="D2087">
            <v>175</v>
          </cell>
        </row>
        <row r="2088">
          <cell r="A2088">
            <v>35186</v>
          </cell>
          <cell r="B2088" t="str">
            <v>广东</v>
          </cell>
          <cell r="C2088" t="str">
            <v>儿童用品</v>
          </cell>
          <cell r="D2088">
            <v>224</v>
          </cell>
        </row>
        <row r="2089">
          <cell r="A2089">
            <v>35186</v>
          </cell>
          <cell r="B2089" t="str">
            <v>福建</v>
          </cell>
          <cell r="C2089" t="str">
            <v>儿童用品</v>
          </cell>
          <cell r="D2089">
            <v>254</v>
          </cell>
        </row>
        <row r="2090">
          <cell r="A2090">
            <v>35186</v>
          </cell>
          <cell r="B2090" t="str">
            <v>福建</v>
          </cell>
          <cell r="C2090" t="str">
            <v>儿童用品</v>
          </cell>
          <cell r="D2090">
            <v>259</v>
          </cell>
        </row>
        <row r="2091">
          <cell r="A2091">
            <v>35186</v>
          </cell>
          <cell r="B2091" t="str">
            <v>安徽</v>
          </cell>
          <cell r="C2091" t="str">
            <v>儿童用品</v>
          </cell>
          <cell r="D2091">
            <v>524</v>
          </cell>
        </row>
        <row r="2092">
          <cell r="A2092">
            <v>35186</v>
          </cell>
          <cell r="B2092" t="str">
            <v>安徽</v>
          </cell>
          <cell r="C2092" t="str">
            <v>儿童用品</v>
          </cell>
          <cell r="D2092">
            <v>565</v>
          </cell>
        </row>
        <row r="2093">
          <cell r="A2093">
            <v>35186</v>
          </cell>
          <cell r="B2093" t="str">
            <v>山东</v>
          </cell>
          <cell r="C2093" t="str">
            <v>儿童用品</v>
          </cell>
          <cell r="D2093">
            <v>715</v>
          </cell>
        </row>
        <row r="2094">
          <cell r="A2094">
            <v>35186</v>
          </cell>
          <cell r="B2094" t="str">
            <v>山东</v>
          </cell>
          <cell r="C2094" t="str">
            <v>儿童用品</v>
          </cell>
          <cell r="D2094">
            <v>1137</v>
          </cell>
        </row>
        <row r="2095">
          <cell r="A2095">
            <v>35186</v>
          </cell>
          <cell r="B2095" t="str">
            <v>安徽</v>
          </cell>
          <cell r="C2095" t="str">
            <v>儿童用品</v>
          </cell>
          <cell r="D2095">
            <v>1236</v>
          </cell>
        </row>
        <row r="2096">
          <cell r="A2096">
            <v>35186</v>
          </cell>
          <cell r="B2096" t="str">
            <v>安徽</v>
          </cell>
          <cell r="C2096" t="str">
            <v>儿童用品</v>
          </cell>
          <cell r="D2096">
            <v>2182</v>
          </cell>
        </row>
        <row r="2097">
          <cell r="A2097">
            <v>35186</v>
          </cell>
          <cell r="B2097" t="str">
            <v>广东</v>
          </cell>
          <cell r="C2097" t="str">
            <v>儿童用品</v>
          </cell>
          <cell r="D2097">
            <v>1285</v>
          </cell>
        </row>
        <row r="2098">
          <cell r="A2098">
            <v>35186</v>
          </cell>
          <cell r="B2098" t="str">
            <v>江苏</v>
          </cell>
          <cell r="C2098" t="str">
            <v>儿童用品</v>
          </cell>
          <cell r="D2098">
            <v>79</v>
          </cell>
        </row>
        <row r="2099">
          <cell r="A2099">
            <v>35186</v>
          </cell>
          <cell r="B2099" t="str">
            <v>广东</v>
          </cell>
          <cell r="C2099" t="str">
            <v>儿童用品</v>
          </cell>
          <cell r="D2099">
            <v>124</v>
          </cell>
        </row>
        <row r="2100">
          <cell r="A2100">
            <v>35186</v>
          </cell>
          <cell r="B2100" t="str">
            <v>江西</v>
          </cell>
          <cell r="C2100" t="str">
            <v>儿童用品</v>
          </cell>
          <cell r="D2100">
            <v>39</v>
          </cell>
        </row>
        <row r="2101">
          <cell r="A2101">
            <v>35186</v>
          </cell>
          <cell r="B2101" t="str">
            <v>江西</v>
          </cell>
          <cell r="C2101" t="str">
            <v>儿童用品</v>
          </cell>
          <cell r="D2101">
            <v>50</v>
          </cell>
        </row>
        <row r="2102">
          <cell r="A2102">
            <v>35186</v>
          </cell>
          <cell r="B2102" t="str">
            <v>山东</v>
          </cell>
          <cell r="C2102" t="str">
            <v>儿童用品</v>
          </cell>
          <cell r="D2102">
            <v>53</v>
          </cell>
        </row>
        <row r="2103">
          <cell r="A2103">
            <v>35186</v>
          </cell>
          <cell r="B2103" t="str">
            <v>江苏</v>
          </cell>
          <cell r="C2103" t="str">
            <v>儿童用品</v>
          </cell>
          <cell r="D2103">
            <v>63</v>
          </cell>
        </row>
        <row r="2104">
          <cell r="A2104">
            <v>35186</v>
          </cell>
          <cell r="B2104" t="str">
            <v>山东</v>
          </cell>
          <cell r="C2104" t="str">
            <v>儿童用品</v>
          </cell>
          <cell r="D2104">
            <v>68</v>
          </cell>
        </row>
        <row r="2105">
          <cell r="A2105">
            <v>35186</v>
          </cell>
          <cell r="B2105" t="str">
            <v>江苏</v>
          </cell>
          <cell r="C2105" t="str">
            <v>体育用品</v>
          </cell>
          <cell r="D2105">
            <v>69</v>
          </cell>
        </row>
        <row r="2106">
          <cell r="A2106">
            <v>35186</v>
          </cell>
          <cell r="B2106" t="str">
            <v>福建</v>
          </cell>
          <cell r="C2106" t="str">
            <v>体育用品</v>
          </cell>
          <cell r="D2106">
            <v>2214</v>
          </cell>
        </row>
        <row r="2107">
          <cell r="A2107">
            <v>35186</v>
          </cell>
          <cell r="B2107" t="str">
            <v>广东</v>
          </cell>
          <cell r="C2107" t="str">
            <v>体育用品</v>
          </cell>
          <cell r="D2107">
            <v>1370</v>
          </cell>
        </row>
        <row r="2108">
          <cell r="A2108">
            <v>35186</v>
          </cell>
          <cell r="B2108" t="str">
            <v>广东</v>
          </cell>
          <cell r="C2108" t="str">
            <v>体育用品</v>
          </cell>
          <cell r="D2108">
            <v>1256</v>
          </cell>
        </row>
        <row r="2109">
          <cell r="A2109">
            <v>35186</v>
          </cell>
          <cell r="B2109" t="str">
            <v>安徽</v>
          </cell>
          <cell r="C2109" t="str">
            <v>体育用品</v>
          </cell>
          <cell r="D2109">
            <v>624</v>
          </cell>
        </row>
        <row r="2110">
          <cell r="A2110">
            <v>35186</v>
          </cell>
          <cell r="B2110" t="str">
            <v>福建</v>
          </cell>
          <cell r="C2110" t="str">
            <v>体育用品</v>
          </cell>
          <cell r="D2110">
            <v>508</v>
          </cell>
        </row>
        <row r="2111">
          <cell r="A2111">
            <v>35186</v>
          </cell>
          <cell r="B2111" t="str">
            <v>广东</v>
          </cell>
          <cell r="C2111" t="str">
            <v>体育用品</v>
          </cell>
          <cell r="D2111">
            <v>315</v>
          </cell>
        </row>
        <row r="2112">
          <cell r="A2112">
            <v>35186</v>
          </cell>
          <cell r="B2112" t="str">
            <v>江西</v>
          </cell>
          <cell r="C2112" t="str">
            <v>体育用品</v>
          </cell>
          <cell r="D2112">
            <v>225</v>
          </cell>
        </row>
        <row r="2113">
          <cell r="A2113">
            <v>35186</v>
          </cell>
          <cell r="B2113" t="str">
            <v>福建</v>
          </cell>
          <cell r="C2113" t="str">
            <v>体育用品</v>
          </cell>
          <cell r="D2113">
            <v>671</v>
          </cell>
        </row>
        <row r="2114">
          <cell r="A2114">
            <v>35186</v>
          </cell>
          <cell r="B2114" t="str">
            <v>江苏</v>
          </cell>
          <cell r="C2114" t="str">
            <v>体育用品</v>
          </cell>
          <cell r="D2114">
            <v>113</v>
          </cell>
        </row>
        <row r="2115">
          <cell r="A2115">
            <v>35186</v>
          </cell>
          <cell r="B2115" t="str">
            <v>江西</v>
          </cell>
          <cell r="C2115" t="str">
            <v>体育用品</v>
          </cell>
          <cell r="D2115">
            <v>18</v>
          </cell>
        </row>
        <row r="2116">
          <cell r="A2116">
            <v>35186</v>
          </cell>
          <cell r="B2116" t="str">
            <v>安徽</v>
          </cell>
          <cell r="C2116" t="str">
            <v>体育用品</v>
          </cell>
          <cell r="D2116">
            <v>44</v>
          </cell>
        </row>
        <row r="2117">
          <cell r="A2117">
            <v>35186</v>
          </cell>
          <cell r="B2117" t="str">
            <v>山东</v>
          </cell>
          <cell r="C2117" t="str">
            <v>体育用品</v>
          </cell>
          <cell r="D2117">
            <v>41</v>
          </cell>
        </row>
        <row r="2118">
          <cell r="A2118">
            <v>35186</v>
          </cell>
          <cell r="B2118" t="str">
            <v>江苏</v>
          </cell>
          <cell r="C2118" t="str">
            <v>体育用品</v>
          </cell>
          <cell r="D2118">
            <v>41</v>
          </cell>
        </row>
        <row r="2119">
          <cell r="A2119">
            <v>35186</v>
          </cell>
          <cell r="B2119" t="str">
            <v>山东</v>
          </cell>
          <cell r="C2119" t="str">
            <v>体育用品</v>
          </cell>
          <cell r="D2119">
            <v>39</v>
          </cell>
        </row>
        <row r="2120">
          <cell r="A2120">
            <v>35186</v>
          </cell>
          <cell r="B2120" t="str">
            <v>江西</v>
          </cell>
          <cell r="C2120" t="str">
            <v>体育用品</v>
          </cell>
          <cell r="D2120">
            <v>135</v>
          </cell>
        </row>
        <row r="2121">
          <cell r="A2121">
            <v>35186</v>
          </cell>
          <cell r="B2121" t="str">
            <v>江苏</v>
          </cell>
          <cell r="C2121" t="str">
            <v>体育用品</v>
          </cell>
          <cell r="D2121">
            <v>35</v>
          </cell>
        </row>
        <row r="2122">
          <cell r="A2122">
            <v>35186</v>
          </cell>
          <cell r="B2122" t="str">
            <v>安徽</v>
          </cell>
          <cell r="C2122" t="str">
            <v>体育用品</v>
          </cell>
          <cell r="D2122">
            <v>53</v>
          </cell>
        </row>
        <row r="2123">
          <cell r="A2123">
            <v>35186</v>
          </cell>
          <cell r="B2123" t="str">
            <v>山东</v>
          </cell>
          <cell r="C2123" t="str">
            <v>体育用品</v>
          </cell>
          <cell r="D2123">
            <v>11</v>
          </cell>
        </row>
        <row r="2124">
          <cell r="A2124">
            <v>35186</v>
          </cell>
          <cell r="B2124" t="str">
            <v>山东</v>
          </cell>
          <cell r="C2124" t="str">
            <v>体育用品</v>
          </cell>
          <cell r="D2124">
            <v>9</v>
          </cell>
        </row>
        <row r="2125">
          <cell r="A2125">
            <v>35186</v>
          </cell>
          <cell r="B2125" t="str">
            <v>江苏</v>
          </cell>
          <cell r="C2125" t="str">
            <v>体育用品</v>
          </cell>
          <cell r="D2125">
            <v>35</v>
          </cell>
        </row>
        <row r="2126">
          <cell r="A2126">
            <v>35186</v>
          </cell>
          <cell r="B2126" t="str">
            <v>江西</v>
          </cell>
          <cell r="C2126" t="str">
            <v>体育用品</v>
          </cell>
          <cell r="D2126">
            <v>83</v>
          </cell>
        </row>
        <row r="2127">
          <cell r="A2127">
            <v>35186</v>
          </cell>
          <cell r="B2127" t="str">
            <v>江西</v>
          </cell>
          <cell r="C2127" t="str">
            <v>体育用品</v>
          </cell>
          <cell r="D2127">
            <v>110</v>
          </cell>
        </row>
        <row r="2128">
          <cell r="A2128">
            <v>35186</v>
          </cell>
          <cell r="B2128" t="str">
            <v>安徽</v>
          </cell>
          <cell r="C2128" t="str">
            <v>体育用品</v>
          </cell>
          <cell r="D2128">
            <v>96</v>
          </cell>
        </row>
        <row r="2129">
          <cell r="A2129">
            <v>35186</v>
          </cell>
          <cell r="B2129" t="str">
            <v>江西</v>
          </cell>
          <cell r="C2129" t="str">
            <v>体育用品</v>
          </cell>
          <cell r="D2129">
            <v>96</v>
          </cell>
        </row>
        <row r="2130">
          <cell r="A2130">
            <v>35186</v>
          </cell>
          <cell r="B2130" t="str">
            <v>江苏</v>
          </cell>
          <cell r="C2130" t="str">
            <v>体育用品</v>
          </cell>
          <cell r="D2130">
            <v>94</v>
          </cell>
        </row>
        <row r="2131">
          <cell r="A2131">
            <v>35186</v>
          </cell>
          <cell r="B2131" t="str">
            <v>广东</v>
          </cell>
          <cell r="C2131" t="str">
            <v>体育用品</v>
          </cell>
          <cell r="D2131">
            <v>88</v>
          </cell>
        </row>
        <row r="2132">
          <cell r="A2132">
            <v>35186</v>
          </cell>
          <cell r="B2132" t="str">
            <v>安徽</v>
          </cell>
          <cell r="C2132" t="str">
            <v>体育用品</v>
          </cell>
          <cell r="D2132">
            <v>46</v>
          </cell>
        </row>
        <row r="2133">
          <cell r="A2133">
            <v>35186</v>
          </cell>
          <cell r="B2133" t="str">
            <v>山东</v>
          </cell>
          <cell r="C2133" t="str">
            <v>体育用品</v>
          </cell>
          <cell r="D2133">
            <v>68</v>
          </cell>
        </row>
        <row r="2134">
          <cell r="A2134">
            <v>35186</v>
          </cell>
          <cell r="B2134" t="str">
            <v>广东</v>
          </cell>
          <cell r="C2134" t="str">
            <v>体育用品</v>
          </cell>
          <cell r="D2134">
            <v>68</v>
          </cell>
        </row>
        <row r="2135">
          <cell r="A2135">
            <v>35186</v>
          </cell>
          <cell r="B2135" t="str">
            <v>山东</v>
          </cell>
          <cell r="C2135" t="str">
            <v>体育用品</v>
          </cell>
          <cell r="D2135">
            <v>53</v>
          </cell>
        </row>
        <row r="2136">
          <cell r="A2136">
            <v>35186</v>
          </cell>
          <cell r="B2136" t="str">
            <v>安徽</v>
          </cell>
          <cell r="C2136" t="str">
            <v>体育用品</v>
          </cell>
          <cell r="D2136">
            <v>113</v>
          </cell>
        </row>
        <row r="2137">
          <cell r="A2137">
            <v>35186</v>
          </cell>
          <cell r="B2137" t="str">
            <v>广东</v>
          </cell>
          <cell r="C2137" t="str">
            <v>体育用品</v>
          </cell>
          <cell r="D2137">
            <v>83</v>
          </cell>
        </row>
        <row r="2138">
          <cell r="A2138">
            <v>35217</v>
          </cell>
          <cell r="B2138" t="str">
            <v>福建</v>
          </cell>
          <cell r="C2138" t="str">
            <v>艺术品</v>
          </cell>
          <cell r="D2138">
            <v>760</v>
          </cell>
        </row>
        <row r="2139">
          <cell r="A2139">
            <v>35217</v>
          </cell>
          <cell r="B2139" t="str">
            <v>山东</v>
          </cell>
          <cell r="C2139" t="str">
            <v>艺术品</v>
          </cell>
          <cell r="D2139">
            <v>789</v>
          </cell>
        </row>
        <row r="2140">
          <cell r="A2140">
            <v>35217</v>
          </cell>
          <cell r="B2140" t="str">
            <v>广东</v>
          </cell>
          <cell r="C2140" t="str">
            <v>艺术品</v>
          </cell>
          <cell r="D2140">
            <v>790</v>
          </cell>
        </row>
        <row r="2141">
          <cell r="A2141">
            <v>35217</v>
          </cell>
          <cell r="B2141" t="str">
            <v>广东</v>
          </cell>
          <cell r="C2141" t="str">
            <v>艺术品</v>
          </cell>
          <cell r="D2141">
            <v>834</v>
          </cell>
        </row>
        <row r="2142">
          <cell r="A2142">
            <v>35217</v>
          </cell>
          <cell r="B2142" t="str">
            <v>江西</v>
          </cell>
          <cell r="C2142" t="str">
            <v>艺术品</v>
          </cell>
          <cell r="D2142">
            <v>1055</v>
          </cell>
        </row>
        <row r="2143">
          <cell r="A2143">
            <v>35217</v>
          </cell>
          <cell r="B2143" t="str">
            <v>广东</v>
          </cell>
          <cell r="C2143" t="str">
            <v>艺术品</v>
          </cell>
          <cell r="D2143">
            <v>1210</v>
          </cell>
        </row>
        <row r="2144">
          <cell r="A2144">
            <v>35217</v>
          </cell>
          <cell r="B2144" t="str">
            <v>安徽</v>
          </cell>
          <cell r="C2144" t="str">
            <v>艺术品</v>
          </cell>
          <cell r="D2144">
            <v>1596</v>
          </cell>
        </row>
        <row r="2145">
          <cell r="A2145">
            <v>35217</v>
          </cell>
          <cell r="B2145" t="str">
            <v>山东</v>
          </cell>
          <cell r="C2145" t="str">
            <v>艺术品</v>
          </cell>
          <cell r="D2145">
            <v>1655</v>
          </cell>
        </row>
        <row r="2146">
          <cell r="A2146">
            <v>35217</v>
          </cell>
          <cell r="B2146" t="str">
            <v>山东</v>
          </cell>
          <cell r="C2146" t="str">
            <v>艺术品</v>
          </cell>
          <cell r="D2146">
            <v>520</v>
          </cell>
        </row>
        <row r="2147">
          <cell r="A2147">
            <v>35217</v>
          </cell>
          <cell r="B2147" t="str">
            <v>福建</v>
          </cell>
          <cell r="C2147" t="str">
            <v>艺术品</v>
          </cell>
          <cell r="D2147">
            <v>1812</v>
          </cell>
        </row>
        <row r="2148">
          <cell r="A2148">
            <v>35217</v>
          </cell>
          <cell r="B2148" t="str">
            <v>江苏</v>
          </cell>
          <cell r="C2148" t="str">
            <v>艺术品</v>
          </cell>
          <cell r="D2148">
            <v>135</v>
          </cell>
        </row>
        <row r="2149">
          <cell r="A2149">
            <v>35217</v>
          </cell>
          <cell r="B2149" t="str">
            <v>安徽</v>
          </cell>
          <cell r="C2149" t="str">
            <v>艺术品</v>
          </cell>
          <cell r="D2149">
            <v>34</v>
          </cell>
        </row>
        <row r="2150">
          <cell r="A2150">
            <v>35217</v>
          </cell>
          <cell r="B2150" t="str">
            <v>江苏</v>
          </cell>
          <cell r="C2150" t="str">
            <v>艺术品</v>
          </cell>
          <cell r="D2150">
            <v>50</v>
          </cell>
        </row>
        <row r="2151">
          <cell r="A2151">
            <v>35217</v>
          </cell>
          <cell r="B2151" t="str">
            <v>江西</v>
          </cell>
          <cell r="C2151" t="str">
            <v>艺术品</v>
          </cell>
          <cell r="D2151">
            <v>83</v>
          </cell>
        </row>
        <row r="2152">
          <cell r="A2152">
            <v>35217</v>
          </cell>
          <cell r="B2152" t="str">
            <v>广东</v>
          </cell>
          <cell r="C2152" t="str">
            <v>艺术品</v>
          </cell>
          <cell r="D2152">
            <v>124</v>
          </cell>
        </row>
        <row r="2153">
          <cell r="A2153">
            <v>35217</v>
          </cell>
          <cell r="B2153" t="str">
            <v>江西</v>
          </cell>
          <cell r="C2153" t="str">
            <v>艺术品</v>
          </cell>
          <cell r="D2153">
            <v>678</v>
          </cell>
        </row>
        <row r="2154">
          <cell r="A2154">
            <v>35217</v>
          </cell>
          <cell r="B2154" t="str">
            <v>安徽</v>
          </cell>
          <cell r="C2154" t="str">
            <v>艺术品</v>
          </cell>
          <cell r="D2154">
            <v>248</v>
          </cell>
        </row>
        <row r="2155">
          <cell r="A2155">
            <v>35217</v>
          </cell>
          <cell r="B2155" t="str">
            <v>江苏</v>
          </cell>
          <cell r="C2155" t="str">
            <v>艺术品</v>
          </cell>
          <cell r="D2155">
            <v>344</v>
          </cell>
        </row>
        <row r="2156">
          <cell r="A2156">
            <v>35217</v>
          </cell>
          <cell r="B2156" t="str">
            <v>江苏</v>
          </cell>
          <cell r="C2156" t="str">
            <v>艺术品</v>
          </cell>
          <cell r="D2156">
            <v>369</v>
          </cell>
        </row>
        <row r="2157">
          <cell r="A2157">
            <v>35217</v>
          </cell>
          <cell r="B2157" t="str">
            <v>安徽</v>
          </cell>
          <cell r="C2157" t="str">
            <v>艺术品</v>
          </cell>
          <cell r="D2157">
            <v>383</v>
          </cell>
        </row>
        <row r="2158">
          <cell r="A2158">
            <v>35217</v>
          </cell>
          <cell r="B2158" t="str">
            <v>山东</v>
          </cell>
          <cell r="C2158" t="str">
            <v>艺术品</v>
          </cell>
          <cell r="D2158">
            <v>451</v>
          </cell>
        </row>
        <row r="2159">
          <cell r="A2159">
            <v>35217</v>
          </cell>
          <cell r="B2159" t="str">
            <v>江西</v>
          </cell>
          <cell r="C2159" t="str">
            <v>艺术品</v>
          </cell>
          <cell r="D2159">
            <v>492</v>
          </cell>
        </row>
        <row r="2160">
          <cell r="A2160">
            <v>35217</v>
          </cell>
          <cell r="B2160" t="str">
            <v>山东</v>
          </cell>
          <cell r="C2160" t="str">
            <v>自行车</v>
          </cell>
          <cell r="D2160">
            <v>203</v>
          </cell>
        </row>
        <row r="2161">
          <cell r="A2161">
            <v>35217</v>
          </cell>
          <cell r="B2161" t="str">
            <v>江西</v>
          </cell>
          <cell r="C2161" t="str">
            <v>自行车</v>
          </cell>
          <cell r="D2161">
            <v>338</v>
          </cell>
        </row>
        <row r="2162">
          <cell r="A2162">
            <v>35217</v>
          </cell>
          <cell r="B2162" t="str">
            <v>山东</v>
          </cell>
          <cell r="C2162" t="str">
            <v>自行车</v>
          </cell>
          <cell r="D2162">
            <v>171</v>
          </cell>
        </row>
        <row r="2163">
          <cell r="A2163">
            <v>35217</v>
          </cell>
          <cell r="B2163" t="str">
            <v>江苏</v>
          </cell>
          <cell r="C2163" t="str">
            <v>自行车</v>
          </cell>
          <cell r="D2163">
            <v>210</v>
          </cell>
        </row>
        <row r="2164">
          <cell r="A2164">
            <v>35217</v>
          </cell>
          <cell r="B2164" t="str">
            <v>山东</v>
          </cell>
          <cell r="C2164" t="str">
            <v>自行车</v>
          </cell>
          <cell r="D2164">
            <v>1207</v>
          </cell>
        </row>
        <row r="2165">
          <cell r="A2165">
            <v>35217</v>
          </cell>
          <cell r="B2165" t="str">
            <v>江西</v>
          </cell>
          <cell r="C2165" t="str">
            <v>自行车</v>
          </cell>
          <cell r="D2165">
            <v>315</v>
          </cell>
        </row>
        <row r="2166">
          <cell r="A2166">
            <v>35217</v>
          </cell>
          <cell r="B2166" t="str">
            <v>福建</v>
          </cell>
          <cell r="C2166" t="str">
            <v>自行车</v>
          </cell>
          <cell r="D2166">
            <v>1337</v>
          </cell>
        </row>
        <row r="2167">
          <cell r="A2167">
            <v>35217</v>
          </cell>
          <cell r="B2167" t="str">
            <v>广东</v>
          </cell>
          <cell r="C2167" t="str">
            <v>自行车</v>
          </cell>
          <cell r="D2167">
            <v>848</v>
          </cell>
        </row>
        <row r="2168">
          <cell r="A2168">
            <v>35217</v>
          </cell>
          <cell r="B2168" t="str">
            <v>江西</v>
          </cell>
          <cell r="C2168" t="str">
            <v>自行车</v>
          </cell>
          <cell r="D2168">
            <v>341</v>
          </cell>
        </row>
        <row r="2169">
          <cell r="A2169">
            <v>35217</v>
          </cell>
          <cell r="B2169" t="str">
            <v>安徽</v>
          </cell>
          <cell r="C2169" t="str">
            <v>自行车</v>
          </cell>
          <cell r="D2169">
            <v>509</v>
          </cell>
        </row>
        <row r="2170">
          <cell r="A2170">
            <v>35217</v>
          </cell>
          <cell r="B2170" t="str">
            <v>广东</v>
          </cell>
          <cell r="C2170" t="str">
            <v>自行车</v>
          </cell>
          <cell r="D2170">
            <v>489</v>
          </cell>
        </row>
        <row r="2171">
          <cell r="A2171">
            <v>35217</v>
          </cell>
          <cell r="B2171" t="str">
            <v>江西</v>
          </cell>
          <cell r="C2171" t="str">
            <v>自行车</v>
          </cell>
          <cell r="D2171">
            <v>270</v>
          </cell>
        </row>
        <row r="2172">
          <cell r="A2172">
            <v>35217</v>
          </cell>
          <cell r="B2172" t="str">
            <v>广东</v>
          </cell>
          <cell r="C2172" t="str">
            <v>自行车</v>
          </cell>
          <cell r="D2172">
            <v>140</v>
          </cell>
        </row>
        <row r="2173">
          <cell r="A2173">
            <v>35217</v>
          </cell>
          <cell r="B2173" t="str">
            <v>广东</v>
          </cell>
          <cell r="C2173" t="str">
            <v>自行车</v>
          </cell>
          <cell r="D2173">
            <v>135</v>
          </cell>
        </row>
        <row r="2174">
          <cell r="A2174">
            <v>35217</v>
          </cell>
          <cell r="B2174" t="str">
            <v>江苏</v>
          </cell>
          <cell r="C2174" t="str">
            <v>自行车</v>
          </cell>
          <cell r="D2174">
            <v>426</v>
          </cell>
        </row>
        <row r="2175">
          <cell r="A2175">
            <v>35217</v>
          </cell>
          <cell r="B2175" t="str">
            <v>安徽</v>
          </cell>
          <cell r="C2175" t="str">
            <v>自行车</v>
          </cell>
          <cell r="D2175">
            <v>124</v>
          </cell>
        </row>
        <row r="2176">
          <cell r="A2176">
            <v>35217</v>
          </cell>
          <cell r="B2176" t="str">
            <v>安徽</v>
          </cell>
          <cell r="C2176" t="str">
            <v>自行车</v>
          </cell>
          <cell r="D2176">
            <v>79</v>
          </cell>
        </row>
        <row r="2177">
          <cell r="A2177">
            <v>35217</v>
          </cell>
          <cell r="B2177" t="str">
            <v>安徽</v>
          </cell>
          <cell r="C2177" t="str">
            <v>自行车</v>
          </cell>
          <cell r="D2177">
            <v>350</v>
          </cell>
        </row>
        <row r="2178">
          <cell r="A2178">
            <v>35217</v>
          </cell>
          <cell r="B2178" t="str">
            <v>江苏</v>
          </cell>
          <cell r="C2178" t="str">
            <v>自行车</v>
          </cell>
          <cell r="D2178">
            <v>277</v>
          </cell>
        </row>
        <row r="2179">
          <cell r="A2179">
            <v>35217</v>
          </cell>
          <cell r="B2179" t="str">
            <v>山东</v>
          </cell>
          <cell r="C2179" t="str">
            <v>自行车</v>
          </cell>
          <cell r="D2179">
            <v>645</v>
          </cell>
        </row>
        <row r="2180">
          <cell r="A2180">
            <v>35217</v>
          </cell>
          <cell r="B2180" t="str">
            <v>福建</v>
          </cell>
          <cell r="C2180" t="str">
            <v>自行车</v>
          </cell>
          <cell r="D2180">
            <v>557</v>
          </cell>
        </row>
        <row r="2181">
          <cell r="A2181">
            <v>35217</v>
          </cell>
          <cell r="B2181" t="str">
            <v>江苏</v>
          </cell>
          <cell r="C2181" t="str">
            <v>自行车</v>
          </cell>
          <cell r="D2181">
            <v>369</v>
          </cell>
        </row>
        <row r="2182">
          <cell r="A2182">
            <v>35217</v>
          </cell>
          <cell r="B2182" t="str">
            <v>福建</v>
          </cell>
          <cell r="C2182" t="str">
            <v>瓷器</v>
          </cell>
          <cell r="D2182">
            <v>1461</v>
          </cell>
        </row>
        <row r="2183">
          <cell r="A2183">
            <v>35217</v>
          </cell>
          <cell r="B2183" t="str">
            <v>江西</v>
          </cell>
          <cell r="C2183" t="str">
            <v>瓷器</v>
          </cell>
          <cell r="D2183">
            <v>1521</v>
          </cell>
        </row>
        <row r="2184">
          <cell r="A2184">
            <v>35217</v>
          </cell>
          <cell r="B2184" t="str">
            <v>江西</v>
          </cell>
          <cell r="C2184" t="str">
            <v>瓷器</v>
          </cell>
          <cell r="D2184">
            <v>557</v>
          </cell>
        </row>
        <row r="2185">
          <cell r="A2185">
            <v>35217</v>
          </cell>
          <cell r="B2185" t="str">
            <v>福建</v>
          </cell>
          <cell r="C2185" t="str">
            <v>瓷器</v>
          </cell>
          <cell r="D2185">
            <v>714</v>
          </cell>
        </row>
        <row r="2186">
          <cell r="A2186">
            <v>35217</v>
          </cell>
          <cell r="B2186" t="str">
            <v>山东</v>
          </cell>
          <cell r="C2186" t="str">
            <v>瓷器</v>
          </cell>
          <cell r="D2186">
            <v>35</v>
          </cell>
        </row>
        <row r="2187">
          <cell r="A2187">
            <v>35217</v>
          </cell>
          <cell r="B2187" t="str">
            <v>江苏</v>
          </cell>
          <cell r="C2187" t="str">
            <v>瓷器</v>
          </cell>
          <cell r="D2187">
            <v>63</v>
          </cell>
        </row>
        <row r="2188">
          <cell r="A2188">
            <v>35217</v>
          </cell>
          <cell r="B2188" t="str">
            <v>江苏</v>
          </cell>
          <cell r="C2188" t="str">
            <v>瓷器</v>
          </cell>
          <cell r="D2188">
            <v>68</v>
          </cell>
        </row>
        <row r="2189">
          <cell r="A2189">
            <v>35217</v>
          </cell>
          <cell r="B2189" t="str">
            <v>江西</v>
          </cell>
          <cell r="C2189" t="str">
            <v>瓷器</v>
          </cell>
          <cell r="D2189">
            <v>420</v>
          </cell>
        </row>
        <row r="2190">
          <cell r="A2190">
            <v>35217</v>
          </cell>
          <cell r="B2190" t="str">
            <v>江西</v>
          </cell>
          <cell r="C2190" t="str">
            <v>瓷器</v>
          </cell>
          <cell r="D2190">
            <v>315</v>
          </cell>
        </row>
        <row r="2191">
          <cell r="A2191">
            <v>35217</v>
          </cell>
          <cell r="B2191" t="str">
            <v>安徽</v>
          </cell>
          <cell r="C2191" t="str">
            <v>瓷器</v>
          </cell>
          <cell r="D2191">
            <v>1193</v>
          </cell>
        </row>
        <row r="2192">
          <cell r="A2192">
            <v>35217</v>
          </cell>
          <cell r="B2192" t="str">
            <v>安徽</v>
          </cell>
          <cell r="C2192" t="str">
            <v>瓷器</v>
          </cell>
          <cell r="D2192">
            <v>934</v>
          </cell>
        </row>
        <row r="2193">
          <cell r="A2193">
            <v>35217</v>
          </cell>
          <cell r="B2193" t="str">
            <v>安徽</v>
          </cell>
          <cell r="C2193" t="str">
            <v>瓷器</v>
          </cell>
          <cell r="D2193">
            <v>191</v>
          </cell>
        </row>
        <row r="2194">
          <cell r="A2194">
            <v>35217</v>
          </cell>
          <cell r="B2194" t="str">
            <v>广东</v>
          </cell>
          <cell r="C2194" t="str">
            <v>瓷器</v>
          </cell>
          <cell r="D2194">
            <v>175</v>
          </cell>
        </row>
        <row r="2195">
          <cell r="A2195">
            <v>35217</v>
          </cell>
          <cell r="B2195" t="str">
            <v>江苏</v>
          </cell>
          <cell r="C2195" t="str">
            <v>瓷器</v>
          </cell>
          <cell r="D2195">
            <v>166</v>
          </cell>
        </row>
        <row r="2196">
          <cell r="A2196">
            <v>35217</v>
          </cell>
          <cell r="B2196" t="str">
            <v>广东</v>
          </cell>
          <cell r="C2196" t="str">
            <v>瓷器</v>
          </cell>
          <cell r="D2196">
            <v>146</v>
          </cell>
        </row>
        <row r="2197">
          <cell r="A2197">
            <v>35217</v>
          </cell>
          <cell r="B2197" t="str">
            <v>江苏</v>
          </cell>
          <cell r="C2197" t="str">
            <v>瓷器</v>
          </cell>
          <cell r="D2197">
            <v>112</v>
          </cell>
        </row>
        <row r="2198">
          <cell r="A2198">
            <v>35217</v>
          </cell>
          <cell r="B2198" t="str">
            <v>安徽</v>
          </cell>
          <cell r="C2198" t="str">
            <v>瓷器</v>
          </cell>
          <cell r="D2198">
            <v>158</v>
          </cell>
        </row>
        <row r="2199">
          <cell r="A2199">
            <v>35217</v>
          </cell>
          <cell r="B2199" t="str">
            <v>山东</v>
          </cell>
          <cell r="C2199" t="str">
            <v>瓷器</v>
          </cell>
          <cell r="D2199">
            <v>105</v>
          </cell>
        </row>
        <row r="2200">
          <cell r="A2200">
            <v>35217</v>
          </cell>
          <cell r="B2200" t="str">
            <v>广东</v>
          </cell>
          <cell r="C2200" t="str">
            <v>瓷器</v>
          </cell>
          <cell r="D2200">
            <v>70</v>
          </cell>
        </row>
        <row r="2201">
          <cell r="A2201">
            <v>35217</v>
          </cell>
          <cell r="B2201" t="str">
            <v>山东</v>
          </cell>
          <cell r="C2201" t="str">
            <v>瓷器</v>
          </cell>
          <cell r="D2201">
            <v>203</v>
          </cell>
        </row>
        <row r="2202">
          <cell r="A2202">
            <v>35217</v>
          </cell>
          <cell r="B2202" t="str">
            <v>山东</v>
          </cell>
          <cell r="C2202" t="str">
            <v>瓷器</v>
          </cell>
          <cell r="D2202">
            <v>101</v>
          </cell>
        </row>
        <row r="2203">
          <cell r="A2203">
            <v>35217</v>
          </cell>
          <cell r="B2203" t="str">
            <v>广东</v>
          </cell>
          <cell r="C2203" t="str">
            <v>瓷器</v>
          </cell>
          <cell r="D2203">
            <v>225</v>
          </cell>
        </row>
        <row r="2204">
          <cell r="A2204">
            <v>35217</v>
          </cell>
          <cell r="B2204" t="str">
            <v>山东</v>
          </cell>
          <cell r="C2204" t="str">
            <v>服装</v>
          </cell>
          <cell r="D2204">
            <v>77</v>
          </cell>
        </row>
        <row r="2205">
          <cell r="A2205">
            <v>35217</v>
          </cell>
          <cell r="B2205" t="str">
            <v>山东</v>
          </cell>
          <cell r="C2205" t="str">
            <v>服装</v>
          </cell>
          <cell r="D2205">
            <v>99</v>
          </cell>
        </row>
        <row r="2206">
          <cell r="A2206">
            <v>35217</v>
          </cell>
          <cell r="B2206" t="str">
            <v>山东</v>
          </cell>
          <cell r="C2206" t="str">
            <v>服装</v>
          </cell>
          <cell r="D2206">
            <v>113</v>
          </cell>
        </row>
        <row r="2207">
          <cell r="A2207">
            <v>35217</v>
          </cell>
          <cell r="B2207" t="str">
            <v>安徽</v>
          </cell>
          <cell r="C2207" t="str">
            <v>服装</v>
          </cell>
          <cell r="D2207">
            <v>105</v>
          </cell>
        </row>
        <row r="2208">
          <cell r="A2208">
            <v>35217</v>
          </cell>
          <cell r="B2208" t="str">
            <v>山东</v>
          </cell>
          <cell r="C2208" t="str">
            <v>服装</v>
          </cell>
          <cell r="D2208">
            <v>23</v>
          </cell>
        </row>
        <row r="2209">
          <cell r="A2209">
            <v>35217</v>
          </cell>
          <cell r="B2209" t="str">
            <v>安徽</v>
          </cell>
          <cell r="C2209" t="str">
            <v>服装</v>
          </cell>
          <cell r="D2209">
            <v>68</v>
          </cell>
        </row>
        <row r="2210">
          <cell r="A2210">
            <v>35217</v>
          </cell>
          <cell r="B2210" t="str">
            <v>山东</v>
          </cell>
          <cell r="C2210" t="str">
            <v>服装</v>
          </cell>
          <cell r="D2210">
            <v>2914</v>
          </cell>
        </row>
        <row r="2211">
          <cell r="A2211">
            <v>35217</v>
          </cell>
          <cell r="B2211" t="str">
            <v>山东</v>
          </cell>
          <cell r="C2211" t="str">
            <v>服装</v>
          </cell>
          <cell r="D2211">
            <v>2110</v>
          </cell>
        </row>
        <row r="2212">
          <cell r="A2212">
            <v>35217</v>
          </cell>
          <cell r="B2212" t="str">
            <v>安徽</v>
          </cell>
          <cell r="C2212" t="str">
            <v>服装</v>
          </cell>
          <cell r="D2212">
            <v>179</v>
          </cell>
        </row>
        <row r="2213">
          <cell r="A2213">
            <v>35217</v>
          </cell>
          <cell r="B2213" t="str">
            <v>安徽</v>
          </cell>
          <cell r="C2213" t="str">
            <v>服装</v>
          </cell>
          <cell r="D2213">
            <v>248</v>
          </cell>
        </row>
        <row r="2214">
          <cell r="A2214">
            <v>35217</v>
          </cell>
          <cell r="B2214" t="str">
            <v>安徽</v>
          </cell>
          <cell r="C2214" t="str">
            <v>服装</v>
          </cell>
          <cell r="D2214">
            <v>149</v>
          </cell>
        </row>
        <row r="2215">
          <cell r="A2215">
            <v>35217</v>
          </cell>
          <cell r="B2215" t="str">
            <v>安徽</v>
          </cell>
          <cell r="C2215" t="str">
            <v>服装</v>
          </cell>
          <cell r="D2215">
            <v>135</v>
          </cell>
        </row>
        <row r="2216">
          <cell r="A2216">
            <v>35217</v>
          </cell>
          <cell r="B2216" t="str">
            <v>江西</v>
          </cell>
          <cell r="C2216" t="str">
            <v>食品</v>
          </cell>
          <cell r="D2216">
            <v>405</v>
          </cell>
        </row>
        <row r="2217">
          <cell r="A2217">
            <v>35217</v>
          </cell>
          <cell r="B2217" t="str">
            <v>山东</v>
          </cell>
          <cell r="C2217" t="str">
            <v>食品</v>
          </cell>
          <cell r="D2217">
            <v>394</v>
          </cell>
        </row>
        <row r="2218">
          <cell r="A2218">
            <v>35217</v>
          </cell>
          <cell r="B2218" t="str">
            <v>江西</v>
          </cell>
          <cell r="C2218" t="str">
            <v>食品</v>
          </cell>
          <cell r="D2218">
            <v>368</v>
          </cell>
        </row>
        <row r="2219">
          <cell r="A2219">
            <v>35217</v>
          </cell>
          <cell r="B2219" t="str">
            <v>安徽</v>
          </cell>
          <cell r="C2219" t="str">
            <v>食品</v>
          </cell>
          <cell r="D2219">
            <v>360</v>
          </cell>
        </row>
        <row r="2220">
          <cell r="A2220">
            <v>35217</v>
          </cell>
          <cell r="B2220" t="str">
            <v>安徽</v>
          </cell>
          <cell r="C2220" t="str">
            <v>食品</v>
          </cell>
          <cell r="D2220">
            <v>724</v>
          </cell>
        </row>
        <row r="2221">
          <cell r="A2221">
            <v>35217</v>
          </cell>
          <cell r="B2221" t="str">
            <v>山东</v>
          </cell>
          <cell r="C2221" t="str">
            <v>食品</v>
          </cell>
          <cell r="D2221">
            <v>655</v>
          </cell>
        </row>
        <row r="2222">
          <cell r="A2222">
            <v>35217</v>
          </cell>
          <cell r="B2222" t="str">
            <v>江西</v>
          </cell>
          <cell r="C2222" t="str">
            <v>食品</v>
          </cell>
          <cell r="D2222">
            <v>557</v>
          </cell>
        </row>
        <row r="2223">
          <cell r="A2223">
            <v>35217</v>
          </cell>
          <cell r="B2223" t="str">
            <v>福建</v>
          </cell>
          <cell r="C2223" t="str">
            <v>食品</v>
          </cell>
          <cell r="D2223">
            <v>535</v>
          </cell>
        </row>
        <row r="2224">
          <cell r="A2224">
            <v>35217</v>
          </cell>
          <cell r="B2224" t="str">
            <v>广东</v>
          </cell>
          <cell r="C2224" t="str">
            <v>食品</v>
          </cell>
          <cell r="D2224">
            <v>473</v>
          </cell>
        </row>
        <row r="2225">
          <cell r="A2225">
            <v>35217</v>
          </cell>
          <cell r="B2225" t="str">
            <v>福建</v>
          </cell>
          <cell r="C2225" t="str">
            <v>食品</v>
          </cell>
          <cell r="D2225">
            <v>459</v>
          </cell>
        </row>
        <row r="2226">
          <cell r="A2226">
            <v>35217</v>
          </cell>
          <cell r="B2226" t="str">
            <v>安徽</v>
          </cell>
          <cell r="C2226" t="str">
            <v>食品</v>
          </cell>
          <cell r="D2226">
            <v>448</v>
          </cell>
        </row>
        <row r="2227">
          <cell r="A2227">
            <v>35217</v>
          </cell>
          <cell r="B2227" t="str">
            <v>江苏</v>
          </cell>
          <cell r="C2227" t="str">
            <v>食品</v>
          </cell>
          <cell r="D2227">
            <v>113</v>
          </cell>
        </row>
        <row r="2228">
          <cell r="A2228">
            <v>35217</v>
          </cell>
          <cell r="B2228" t="str">
            <v>江苏</v>
          </cell>
          <cell r="C2228" t="str">
            <v>食品</v>
          </cell>
          <cell r="D2228">
            <v>105</v>
          </cell>
        </row>
        <row r="2229">
          <cell r="A2229">
            <v>35217</v>
          </cell>
          <cell r="B2229" t="str">
            <v>广东</v>
          </cell>
          <cell r="C2229" t="str">
            <v>食品</v>
          </cell>
          <cell r="D2229">
            <v>101</v>
          </cell>
        </row>
        <row r="2230">
          <cell r="A2230">
            <v>35217</v>
          </cell>
          <cell r="B2230" t="str">
            <v>江西</v>
          </cell>
          <cell r="C2230" t="str">
            <v>食品</v>
          </cell>
          <cell r="D2230">
            <v>158</v>
          </cell>
        </row>
        <row r="2231">
          <cell r="A2231">
            <v>35217</v>
          </cell>
          <cell r="B2231" t="str">
            <v>广东</v>
          </cell>
          <cell r="C2231" t="str">
            <v>食品</v>
          </cell>
          <cell r="D2231">
            <v>175</v>
          </cell>
        </row>
        <row r="2232">
          <cell r="A2232">
            <v>35217</v>
          </cell>
          <cell r="B2232" t="str">
            <v>山东</v>
          </cell>
          <cell r="C2232" t="str">
            <v>食品</v>
          </cell>
          <cell r="D2232">
            <v>135</v>
          </cell>
        </row>
        <row r="2233">
          <cell r="A2233">
            <v>35217</v>
          </cell>
          <cell r="B2233" t="str">
            <v>广东</v>
          </cell>
          <cell r="C2233" t="str">
            <v>食品</v>
          </cell>
          <cell r="D2233">
            <v>1036</v>
          </cell>
        </row>
        <row r="2234">
          <cell r="A2234">
            <v>35217</v>
          </cell>
          <cell r="B2234" t="str">
            <v>安徽</v>
          </cell>
          <cell r="C2234" t="str">
            <v>食品</v>
          </cell>
          <cell r="D2234">
            <v>748</v>
          </cell>
        </row>
        <row r="2235">
          <cell r="A2235">
            <v>35217</v>
          </cell>
          <cell r="B2235" t="str">
            <v>江苏</v>
          </cell>
          <cell r="C2235" t="str">
            <v>食品</v>
          </cell>
          <cell r="D2235">
            <v>77</v>
          </cell>
        </row>
        <row r="2236">
          <cell r="A2236">
            <v>35217</v>
          </cell>
          <cell r="B2236" t="str">
            <v>山东</v>
          </cell>
          <cell r="C2236" t="str">
            <v>食品</v>
          </cell>
          <cell r="D2236">
            <v>88</v>
          </cell>
        </row>
        <row r="2237">
          <cell r="A2237">
            <v>35217</v>
          </cell>
          <cell r="B2237" t="str">
            <v>江苏</v>
          </cell>
          <cell r="C2237" t="str">
            <v>食品</v>
          </cell>
          <cell r="D2237">
            <v>39</v>
          </cell>
        </row>
        <row r="2238">
          <cell r="A2238">
            <v>35217</v>
          </cell>
          <cell r="B2238" t="str">
            <v>福建</v>
          </cell>
          <cell r="C2238" t="str">
            <v>儿童用品</v>
          </cell>
          <cell r="D2238">
            <v>376</v>
          </cell>
        </row>
        <row r="2239">
          <cell r="A2239">
            <v>35217</v>
          </cell>
          <cell r="B2239" t="str">
            <v>山东</v>
          </cell>
          <cell r="C2239" t="str">
            <v>儿童用品</v>
          </cell>
          <cell r="D2239">
            <v>32</v>
          </cell>
        </row>
        <row r="2240">
          <cell r="A2240">
            <v>35217</v>
          </cell>
          <cell r="B2240" t="str">
            <v>江西</v>
          </cell>
          <cell r="C2240" t="str">
            <v>儿童用品</v>
          </cell>
          <cell r="D2240">
            <v>39</v>
          </cell>
        </row>
        <row r="2241">
          <cell r="A2241">
            <v>35217</v>
          </cell>
          <cell r="B2241" t="str">
            <v>山东</v>
          </cell>
          <cell r="C2241" t="str">
            <v>儿童用品</v>
          </cell>
          <cell r="D2241">
            <v>44</v>
          </cell>
        </row>
        <row r="2242">
          <cell r="A2242">
            <v>35217</v>
          </cell>
          <cell r="B2242" t="str">
            <v>江西</v>
          </cell>
          <cell r="C2242" t="str">
            <v>儿童用品</v>
          </cell>
          <cell r="D2242">
            <v>50</v>
          </cell>
        </row>
        <row r="2243">
          <cell r="A2243">
            <v>35217</v>
          </cell>
          <cell r="B2243" t="str">
            <v>山东</v>
          </cell>
          <cell r="C2243" t="str">
            <v>儿童用品</v>
          </cell>
          <cell r="D2243">
            <v>56</v>
          </cell>
        </row>
        <row r="2244">
          <cell r="A2244">
            <v>35217</v>
          </cell>
          <cell r="B2244" t="str">
            <v>江苏</v>
          </cell>
          <cell r="C2244" t="str">
            <v>儿童用品</v>
          </cell>
          <cell r="D2244">
            <v>68</v>
          </cell>
        </row>
        <row r="2245">
          <cell r="A2245">
            <v>35217</v>
          </cell>
          <cell r="B2245" t="str">
            <v>江苏</v>
          </cell>
          <cell r="C2245" t="str">
            <v>儿童用品</v>
          </cell>
          <cell r="D2245">
            <v>70</v>
          </cell>
        </row>
        <row r="2246">
          <cell r="A2246">
            <v>35217</v>
          </cell>
          <cell r="B2246" t="str">
            <v>江苏</v>
          </cell>
          <cell r="C2246" t="str">
            <v>儿童用品</v>
          </cell>
          <cell r="D2246">
            <v>95</v>
          </cell>
        </row>
        <row r="2247">
          <cell r="A2247">
            <v>35217</v>
          </cell>
          <cell r="B2247" t="str">
            <v>江苏</v>
          </cell>
          <cell r="C2247" t="str">
            <v>儿童用品</v>
          </cell>
          <cell r="D2247">
            <v>124</v>
          </cell>
        </row>
        <row r="2248">
          <cell r="A2248">
            <v>35217</v>
          </cell>
          <cell r="B2248" t="str">
            <v>广东</v>
          </cell>
          <cell r="C2248" t="str">
            <v>儿童用品</v>
          </cell>
          <cell r="D2248">
            <v>146</v>
          </cell>
        </row>
        <row r="2249">
          <cell r="A2249">
            <v>35217</v>
          </cell>
          <cell r="B2249" t="str">
            <v>广东</v>
          </cell>
          <cell r="C2249" t="str">
            <v>儿童用品</v>
          </cell>
          <cell r="D2249">
            <v>158</v>
          </cell>
        </row>
        <row r="2250">
          <cell r="A2250">
            <v>35217</v>
          </cell>
          <cell r="B2250" t="str">
            <v>福建</v>
          </cell>
          <cell r="C2250" t="str">
            <v>儿童用品</v>
          </cell>
          <cell r="D2250">
            <v>203</v>
          </cell>
        </row>
        <row r="2251">
          <cell r="A2251">
            <v>35217</v>
          </cell>
          <cell r="B2251" t="str">
            <v>江西</v>
          </cell>
          <cell r="C2251" t="str">
            <v>儿童用品</v>
          </cell>
          <cell r="D2251">
            <v>333</v>
          </cell>
        </row>
        <row r="2252">
          <cell r="A2252">
            <v>35217</v>
          </cell>
          <cell r="B2252" t="str">
            <v>安徽</v>
          </cell>
          <cell r="C2252" t="str">
            <v>儿童用品</v>
          </cell>
          <cell r="D2252">
            <v>423</v>
          </cell>
        </row>
        <row r="2253">
          <cell r="A2253">
            <v>35217</v>
          </cell>
          <cell r="B2253" t="str">
            <v>安徽</v>
          </cell>
          <cell r="C2253" t="str">
            <v>儿童用品</v>
          </cell>
          <cell r="D2253">
            <v>470</v>
          </cell>
        </row>
        <row r="2254">
          <cell r="A2254">
            <v>35217</v>
          </cell>
          <cell r="B2254" t="str">
            <v>山东</v>
          </cell>
          <cell r="C2254" t="str">
            <v>儿童用品</v>
          </cell>
          <cell r="D2254">
            <v>835</v>
          </cell>
        </row>
        <row r="2255">
          <cell r="A2255">
            <v>35217</v>
          </cell>
          <cell r="B2255" t="str">
            <v>安徽</v>
          </cell>
          <cell r="C2255" t="str">
            <v>儿童用品</v>
          </cell>
          <cell r="D2255">
            <v>1483</v>
          </cell>
        </row>
        <row r="2256">
          <cell r="A2256">
            <v>35217</v>
          </cell>
          <cell r="B2256" t="str">
            <v>广东</v>
          </cell>
          <cell r="C2256" t="str">
            <v>儿童用品</v>
          </cell>
          <cell r="D2256">
            <v>1615</v>
          </cell>
        </row>
        <row r="2257">
          <cell r="A2257">
            <v>35217</v>
          </cell>
          <cell r="B2257" t="str">
            <v>安徽</v>
          </cell>
          <cell r="C2257" t="str">
            <v>儿童用品</v>
          </cell>
          <cell r="D2257">
            <v>2031</v>
          </cell>
        </row>
        <row r="2258">
          <cell r="A2258">
            <v>35217</v>
          </cell>
          <cell r="B2258" t="str">
            <v>江西</v>
          </cell>
          <cell r="C2258" t="str">
            <v>儿童用品</v>
          </cell>
          <cell r="D2258">
            <v>2981</v>
          </cell>
        </row>
        <row r="2259">
          <cell r="A2259">
            <v>35217</v>
          </cell>
          <cell r="B2259" t="str">
            <v>广东</v>
          </cell>
          <cell r="C2259" t="str">
            <v>儿童用品</v>
          </cell>
          <cell r="D2259">
            <v>249</v>
          </cell>
        </row>
        <row r="2260">
          <cell r="A2260">
            <v>35217</v>
          </cell>
          <cell r="B2260" t="str">
            <v>山东</v>
          </cell>
          <cell r="C2260" t="str">
            <v>体育用品</v>
          </cell>
          <cell r="D2260">
            <v>7</v>
          </cell>
        </row>
        <row r="2261">
          <cell r="A2261">
            <v>35217</v>
          </cell>
          <cell r="B2261" t="str">
            <v>山东</v>
          </cell>
          <cell r="C2261" t="str">
            <v>体育用品</v>
          </cell>
          <cell r="D2261">
            <v>9</v>
          </cell>
        </row>
        <row r="2262">
          <cell r="A2262">
            <v>35217</v>
          </cell>
          <cell r="B2262" t="str">
            <v>江西</v>
          </cell>
          <cell r="C2262" t="str">
            <v>体育用品</v>
          </cell>
          <cell r="D2262">
            <v>203</v>
          </cell>
        </row>
        <row r="2263">
          <cell r="A2263">
            <v>35217</v>
          </cell>
          <cell r="B2263" t="str">
            <v>安徽</v>
          </cell>
          <cell r="C2263" t="str">
            <v>体育用品</v>
          </cell>
          <cell r="D2263">
            <v>83</v>
          </cell>
        </row>
        <row r="2264">
          <cell r="A2264">
            <v>35217</v>
          </cell>
          <cell r="B2264" t="str">
            <v>江苏</v>
          </cell>
          <cell r="C2264" t="str">
            <v>体育用品</v>
          </cell>
          <cell r="D2264">
            <v>88</v>
          </cell>
        </row>
        <row r="2265">
          <cell r="A2265">
            <v>35217</v>
          </cell>
          <cell r="B2265" t="str">
            <v>江苏</v>
          </cell>
          <cell r="C2265" t="str">
            <v>体育用品</v>
          </cell>
          <cell r="D2265">
            <v>90</v>
          </cell>
        </row>
        <row r="2266">
          <cell r="A2266">
            <v>35217</v>
          </cell>
          <cell r="B2266" t="str">
            <v>安徽</v>
          </cell>
          <cell r="C2266" t="str">
            <v>体育用品</v>
          </cell>
          <cell r="D2266">
            <v>101</v>
          </cell>
        </row>
        <row r="2267">
          <cell r="A2267">
            <v>35217</v>
          </cell>
          <cell r="B2267" t="str">
            <v>广东</v>
          </cell>
          <cell r="C2267" t="str">
            <v>体育用品</v>
          </cell>
          <cell r="D2267">
            <v>105</v>
          </cell>
        </row>
        <row r="2268">
          <cell r="A2268">
            <v>35217</v>
          </cell>
          <cell r="B2268" t="str">
            <v>江西</v>
          </cell>
          <cell r="C2268" t="str">
            <v>体育用品</v>
          </cell>
          <cell r="D2268">
            <v>105</v>
          </cell>
        </row>
        <row r="2269">
          <cell r="A2269">
            <v>35217</v>
          </cell>
          <cell r="B2269" t="str">
            <v>江西</v>
          </cell>
          <cell r="C2269" t="str">
            <v>体育用品</v>
          </cell>
          <cell r="D2269">
            <v>138</v>
          </cell>
        </row>
        <row r="2270">
          <cell r="A2270">
            <v>35217</v>
          </cell>
          <cell r="B2270" t="str">
            <v>江苏</v>
          </cell>
          <cell r="C2270" t="str">
            <v>体育用品</v>
          </cell>
          <cell r="D2270">
            <v>69</v>
          </cell>
        </row>
        <row r="2271">
          <cell r="A2271">
            <v>35217</v>
          </cell>
          <cell r="B2271" t="str">
            <v>广东</v>
          </cell>
          <cell r="C2271" t="str">
            <v>体育用品</v>
          </cell>
          <cell r="D2271">
            <v>306</v>
          </cell>
        </row>
        <row r="2272">
          <cell r="A2272">
            <v>35217</v>
          </cell>
          <cell r="B2272" t="str">
            <v>福建</v>
          </cell>
          <cell r="C2272" t="str">
            <v>体育用品</v>
          </cell>
          <cell r="D2272">
            <v>641</v>
          </cell>
        </row>
        <row r="2273">
          <cell r="A2273">
            <v>35217</v>
          </cell>
          <cell r="B2273" t="str">
            <v>福建</v>
          </cell>
          <cell r="C2273" t="str">
            <v>体育用品</v>
          </cell>
          <cell r="D2273">
            <v>679</v>
          </cell>
        </row>
        <row r="2274">
          <cell r="A2274">
            <v>35217</v>
          </cell>
          <cell r="B2274" t="str">
            <v>安徽</v>
          </cell>
          <cell r="C2274" t="str">
            <v>体育用品</v>
          </cell>
          <cell r="D2274">
            <v>719</v>
          </cell>
        </row>
        <row r="2275">
          <cell r="A2275">
            <v>35217</v>
          </cell>
          <cell r="B2275" t="str">
            <v>广东</v>
          </cell>
          <cell r="C2275" t="str">
            <v>体育用品</v>
          </cell>
          <cell r="D2275">
            <v>1020</v>
          </cell>
        </row>
        <row r="2276">
          <cell r="A2276">
            <v>35217</v>
          </cell>
          <cell r="B2276" t="str">
            <v>江西</v>
          </cell>
          <cell r="C2276" t="str">
            <v>体育用品</v>
          </cell>
          <cell r="D2276">
            <v>158</v>
          </cell>
        </row>
        <row r="2277">
          <cell r="A2277">
            <v>35217</v>
          </cell>
          <cell r="B2277" t="str">
            <v>安徽</v>
          </cell>
          <cell r="C2277" t="str">
            <v>体育用品</v>
          </cell>
          <cell r="D2277">
            <v>44</v>
          </cell>
        </row>
        <row r="2278">
          <cell r="A2278">
            <v>35217</v>
          </cell>
          <cell r="B2278" t="str">
            <v>山东</v>
          </cell>
          <cell r="C2278" t="str">
            <v>体育用品</v>
          </cell>
          <cell r="D2278">
            <v>33</v>
          </cell>
        </row>
        <row r="2279">
          <cell r="A2279">
            <v>35217</v>
          </cell>
          <cell r="B2279" t="str">
            <v>广东</v>
          </cell>
          <cell r="C2279" t="str">
            <v>体育用品</v>
          </cell>
          <cell r="D2279">
            <v>34</v>
          </cell>
        </row>
        <row r="2280">
          <cell r="A2280">
            <v>35217</v>
          </cell>
          <cell r="B2280" t="str">
            <v>江苏</v>
          </cell>
          <cell r="C2280" t="str">
            <v>体育用品</v>
          </cell>
          <cell r="D2280">
            <v>35</v>
          </cell>
        </row>
        <row r="2281">
          <cell r="A2281">
            <v>35217</v>
          </cell>
          <cell r="B2281" t="str">
            <v>江苏</v>
          </cell>
          <cell r="C2281" t="str">
            <v>体育用品</v>
          </cell>
          <cell r="D2281">
            <v>35</v>
          </cell>
        </row>
        <row r="2282">
          <cell r="A2282">
            <v>35217</v>
          </cell>
          <cell r="B2282" t="str">
            <v>山东</v>
          </cell>
          <cell r="C2282" t="str">
            <v>体育用品</v>
          </cell>
          <cell r="D2282">
            <v>41</v>
          </cell>
        </row>
        <row r="2283">
          <cell r="A2283">
            <v>35217</v>
          </cell>
          <cell r="B2283" t="str">
            <v>广东</v>
          </cell>
          <cell r="C2283" t="str">
            <v>体育用品</v>
          </cell>
          <cell r="D2283">
            <v>83</v>
          </cell>
        </row>
        <row r="2284">
          <cell r="A2284">
            <v>35217</v>
          </cell>
          <cell r="B2284" t="str">
            <v>安徽</v>
          </cell>
          <cell r="C2284" t="str">
            <v>体育用品</v>
          </cell>
          <cell r="D2284">
            <v>42</v>
          </cell>
        </row>
        <row r="2285">
          <cell r="A2285">
            <v>35217</v>
          </cell>
          <cell r="B2285" t="str">
            <v>江西</v>
          </cell>
          <cell r="C2285" t="str">
            <v>体育用品</v>
          </cell>
          <cell r="D2285">
            <v>18</v>
          </cell>
        </row>
        <row r="2286">
          <cell r="A2286">
            <v>35217</v>
          </cell>
          <cell r="B2286" t="str">
            <v>山东</v>
          </cell>
          <cell r="C2286" t="str">
            <v>体育用品</v>
          </cell>
          <cell r="D2286">
            <v>44</v>
          </cell>
        </row>
        <row r="2287">
          <cell r="A2287">
            <v>35217</v>
          </cell>
          <cell r="B2287" t="str">
            <v>安徽</v>
          </cell>
          <cell r="C2287" t="str">
            <v>体育用品</v>
          </cell>
          <cell r="D2287">
            <v>44</v>
          </cell>
        </row>
        <row r="2288">
          <cell r="A2288">
            <v>35217</v>
          </cell>
          <cell r="B2288" t="str">
            <v>江苏</v>
          </cell>
          <cell r="C2288" t="str">
            <v>体育用品</v>
          </cell>
          <cell r="D2288">
            <v>50</v>
          </cell>
        </row>
        <row r="2289">
          <cell r="A2289">
            <v>35217</v>
          </cell>
          <cell r="B2289" t="str">
            <v>山东</v>
          </cell>
          <cell r="C2289" t="str">
            <v>体育用品</v>
          </cell>
          <cell r="D2289">
            <v>68</v>
          </cell>
        </row>
        <row r="2290">
          <cell r="A2290">
            <v>35217</v>
          </cell>
          <cell r="B2290" t="str">
            <v>广东</v>
          </cell>
          <cell r="C2290" t="str">
            <v>体育用品</v>
          </cell>
          <cell r="D2290">
            <v>1319</v>
          </cell>
        </row>
        <row r="2291">
          <cell r="A2291">
            <v>35217</v>
          </cell>
          <cell r="B2291" t="str">
            <v>福建</v>
          </cell>
          <cell r="C2291" t="str">
            <v>体育用品</v>
          </cell>
          <cell r="D2291">
            <v>1565</v>
          </cell>
        </row>
        <row r="2292">
          <cell r="A2292">
            <v>35247</v>
          </cell>
          <cell r="B2292" t="str">
            <v>江苏</v>
          </cell>
          <cell r="C2292" t="str">
            <v>艺术品</v>
          </cell>
          <cell r="D2292">
            <v>428</v>
          </cell>
        </row>
        <row r="2293">
          <cell r="A2293">
            <v>35247</v>
          </cell>
          <cell r="B2293" t="str">
            <v>江苏</v>
          </cell>
          <cell r="C2293" t="str">
            <v>艺术品</v>
          </cell>
          <cell r="D2293">
            <v>72</v>
          </cell>
        </row>
        <row r="2294">
          <cell r="A2294">
            <v>35247</v>
          </cell>
          <cell r="B2294" t="str">
            <v>江西</v>
          </cell>
          <cell r="C2294" t="str">
            <v>艺术品</v>
          </cell>
          <cell r="D2294">
            <v>83</v>
          </cell>
        </row>
        <row r="2295">
          <cell r="A2295">
            <v>35247</v>
          </cell>
          <cell r="B2295" t="str">
            <v>广东</v>
          </cell>
          <cell r="C2295" t="str">
            <v>艺术品</v>
          </cell>
          <cell r="D2295">
            <v>124</v>
          </cell>
        </row>
        <row r="2296">
          <cell r="A2296">
            <v>35247</v>
          </cell>
          <cell r="B2296" t="str">
            <v>江苏</v>
          </cell>
          <cell r="C2296" t="str">
            <v>艺术品</v>
          </cell>
          <cell r="D2296">
            <v>158</v>
          </cell>
        </row>
        <row r="2297">
          <cell r="A2297">
            <v>35247</v>
          </cell>
          <cell r="B2297" t="str">
            <v>江西</v>
          </cell>
          <cell r="C2297" t="str">
            <v>艺术品</v>
          </cell>
          <cell r="D2297">
            <v>203</v>
          </cell>
        </row>
        <row r="2298">
          <cell r="A2298">
            <v>35247</v>
          </cell>
          <cell r="B2298" t="str">
            <v>安徽</v>
          </cell>
          <cell r="C2298" t="str">
            <v>艺术品</v>
          </cell>
          <cell r="D2298">
            <v>203</v>
          </cell>
        </row>
        <row r="2299">
          <cell r="A2299">
            <v>35247</v>
          </cell>
          <cell r="B2299" t="str">
            <v>安徽</v>
          </cell>
          <cell r="C2299" t="str">
            <v>艺术品</v>
          </cell>
          <cell r="D2299">
            <v>220</v>
          </cell>
        </row>
        <row r="2300">
          <cell r="A2300">
            <v>35247</v>
          </cell>
          <cell r="B2300" t="str">
            <v>广东</v>
          </cell>
          <cell r="C2300" t="str">
            <v>艺术品</v>
          </cell>
          <cell r="D2300">
            <v>1061</v>
          </cell>
        </row>
        <row r="2301">
          <cell r="A2301">
            <v>35247</v>
          </cell>
          <cell r="B2301" t="str">
            <v>江苏</v>
          </cell>
          <cell r="C2301" t="str">
            <v>艺术品</v>
          </cell>
          <cell r="D2301">
            <v>385</v>
          </cell>
        </row>
        <row r="2302">
          <cell r="A2302">
            <v>35247</v>
          </cell>
          <cell r="B2302" t="str">
            <v>山东</v>
          </cell>
          <cell r="C2302" t="str">
            <v>艺术品</v>
          </cell>
          <cell r="D2302">
            <v>494</v>
          </cell>
        </row>
        <row r="2303">
          <cell r="A2303">
            <v>35247</v>
          </cell>
          <cell r="B2303" t="str">
            <v>山东</v>
          </cell>
          <cell r="C2303" t="str">
            <v>艺术品</v>
          </cell>
          <cell r="D2303">
            <v>506</v>
          </cell>
        </row>
        <row r="2304">
          <cell r="A2304">
            <v>35247</v>
          </cell>
          <cell r="B2304" t="str">
            <v>安徽</v>
          </cell>
          <cell r="C2304" t="str">
            <v>艺术品</v>
          </cell>
          <cell r="D2304">
            <v>655</v>
          </cell>
        </row>
        <row r="2305">
          <cell r="A2305">
            <v>35247</v>
          </cell>
          <cell r="B2305" t="str">
            <v>山东</v>
          </cell>
          <cell r="C2305" t="str">
            <v>艺术品</v>
          </cell>
          <cell r="D2305">
            <v>678</v>
          </cell>
        </row>
        <row r="2306">
          <cell r="A2306">
            <v>35247</v>
          </cell>
          <cell r="B2306" t="str">
            <v>福建</v>
          </cell>
          <cell r="C2306" t="str">
            <v>艺术品</v>
          </cell>
          <cell r="D2306">
            <v>776</v>
          </cell>
        </row>
        <row r="2307">
          <cell r="A2307">
            <v>35247</v>
          </cell>
          <cell r="B2307" t="str">
            <v>广东</v>
          </cell>
          <cell r="C2307" t="str">
            <v>艺术品</v>
          </cell>
          <cell r="D2307">
            <v>829</v>
          </cell>
        </row>
        <row r="2308">
          <cell r="A2308">
            <v>35247</v>
          </cell>
          <cell r="B2308" t="str">
            <v>江西</v>
          </cell>
          <cell r="C2308" t="str">
            <v>艺术品</v>
          </cell>
          <cell r="D2308">
            <v>304</v>
          </cell>
        </row>
        <row r="2309">
          <cell r="A2309">
            <v>35247</v>
          </cell>
          <cell r="B2309" t="str">
            <v>安徽</v>
          </cell>
          <cell r="C2309" t="str">
            <v>艺术品</v>
          </cell>
          <cell r="D2309">
            <v>56</v>
          </cell>
        </row>
        <row r="2310">
          <cell r="A2310">
            <v>35247</v>
          </cell>
          <cell r="B2310" t="str">
            <v>江西</v>
          </cell>
          <cell r="C2310" t="str">
            <v>艺术品</v>
          </cell>
          <cell r="D2310">
            <v>1529</v>
          </cell>
        </row>
        <row r="2311">
          <cell r="A2311">
            <v>35247</v>
          </cell>
          <cell r="B2311" t="str">
            <v>山东</v>
          </cell>
          <cell r="C2311" t="str">
            <v>艺术品</v>
          </cell>
          <cell r="D2311">
            <v>1681</v>
          </cell>
        </row>
        <row r="2312">
          <cell r="A2312">
            <v>35247</v>
          </cell>
          <cell r="B2312" t="str">
            <v>福建</v>
          </cell>
          <cell r="C2312" t="str">
            <v>艺术品</v>
          </cell>
          <cell r="D2312">
            <v>1932</v>
          </cell>
        </row>
        <row r="2313">
          <cell r="A2313">
            <v>35247</v>
          </cell>
          <cell r="B2313" t="str">
            <v>广东</v>
          </cell>
          <cell r="C2313" t="str">
            <v>艺术品</v>
          </cell>
          <cell r="D2313">
            <v>2414</v>
          </cell>
        </row>
        <row r="2314">
          <cell r="A2314">
            <v>35247</v>
          </cell>
          <cell r="B2314" t="str">
            <v>江西</v>
          </cell>
          <cell r="C2314" t="str">
            <v>自行车</v>
          </cell>
          <cell r="D2314">
            <v>203</v>
          </cell>
        </row>
        <row r="2315">
          <cell r="A2315">
            <v>35247</v>
          </cell>
          <cell r="B2315" t="str">
            <v>山东</v>
          </cell>
          <cell r="C2315" t="str">
            <v>自行车</v>
          </cell>
          <cell r="D2315">
            <v>646</v>
          </cell>
        </row>
        <row r="2316">
          <cell r="A2316">
            <v>35247</v>
          </cell>
          <cell r="B2316" t="str">
            <v>江西</v>
          </cell>
          <cell r="C2316" t="str">
            <v>自行车</v>
          </cell>
          <cell r="D2316">
            <v>459</v>
          </cell>
        </row>
        <row r="2317">
          <cell r="A2317">
            <v>35247</v>
          </cell>
          <cell r="B2317" t="str">
            <v>安徽</v>
          </cell>
          <cell r="C2317" t="str">
            <v>自行车</v>
          </cell>
          <cell r="D2317">
            <v>620</v>
          </cell>
        </row>
        <row r="2318">
          <cell r="A2318">
            <v>35247</v>
          </cell>
          <cell r="B2318" t="str">
            <v>江苏</v>
          </cell>
          <cell r="C2318" t="str">
            <v>自行车</v>
          </cell>
          <cell r="D2318">
            <v>426</v>
          </cell>
        </row>
        <row r="2319">
          <cell r="A2319">
            <v>35247</v>
          </cell>
          <cell r="B2319" t="str">
            <v>广东</v>
          </cell>
          <cell r="C2319" t="str">
            <v>自行车</v>
          </cell>
          <cell r="D2319">
            <v>648</v>
          </cell>
        </row>
        <row r="2320">
          <cell r="A2320">
            <v>35247</v>
          </cell>
          <cell r="B2320" t="str">
            <v>广东</v>
          </cell>
          <cell r="C2320" t="str">
            <v>自行车</v>
          </cell>
          <cell r="D2320">
            <v>158</v>
          </cell>
        </row>
        <row r="2321">
          <cell r="A2321">
            <v>35247</v>
          </cell>
          <cell r="B2321" t="str">
            <v>安徽</v>
          </cell>
          <cell r="C2321" t="str">
            <v>自行车</v>
          </cell>
          <cell r="D2321">
            <v>146</v>
          </cell>
        </row>
        <row r="2322">
          <cell r="A2322">
            <v>35247</v>
          </cell>
          <cell r="B2322" t="str">
            <v>广东</v>
          </cell>
          <cell r="C2322" t="str">
            <v>自行车</v>
          </cell>
          <cell r="D2322">
            <v>158</v>
          </cell>
        </row>
        <row r="2323">
          <cell r="A2323">
            <v>35247</v>
          </cell>
          <cell r="B2323" t="str">
            <v>安徽</v>
          </cell>
          <cell r="C2323" t="str">
            <v>自行车</v>
          </cell>
          <cell r="D2323">
            <v>88</v>
          </cell>
        </row>
        <row r="2324">
          <cell r="A2324">
            <v>35247</v>
          </cell>
          <cell r="B2324" t="str">
            <v>山东</v>
          </cell>
          <cell r="C2324" t="str">
            <v>自行车</v>
          </cell>
          <cell r="D2324">
            <v>239</v>
          </cell>
        </row>
        <row r="2325">
          <cell r="A2325">
            <v>35247</v>
          </cell>
          <cell r="B2325" t="str">
            <v>福建</v>
          </cell>
          <cell r="C2325" t="str">
            <v>自行车</v>
          </cell>
          <cell r="D2325">
            <v>655</v>
          </cell>
        </row>
        <row r="2326">
          <cell r="A2326">
            <v>35247</v>
          </cell>
          <cell r="B2326" t="str">
            <v>江苏</v>
          </cell>
          <cell r="C2326" t="str">
            <v>自行车</v>
          </cell>
          <cell r="D2326">
            <v>245</v>
          </cell>
        </row>
        <row r="2327">
          <cell r="A2327">
            <v>35247</v>
          </cell>
          <cell r="B2327" t="str">
            <v>山东</v>
          </cell>
          <cell r="C2327" t="str">
            <v>自行车</v>
          </cell>
          <cell r="D2327">
            <v>238</v>
          </cell>
        </row>
        <row r="2328">
          <cell r="A2328">
            <v>35247</v>
          </cell>
          <cell r="B2328" t="str">
            <v>江西</v>
          </cell>
          <cell r="C2328" t="str">
            <v>自行车</v>
          </cell>
          <cell r="D2328">
            <v>236</v>
          </cell>
        </row>
        <row r="2329">
          <cell r="A2329">
            <v>35247</v>
          </cell>
          <cell r="B2329" t="str">
            <v>广东</v>
          </cell>
          <cell r="C2329" t="str">
            <v>自行车</v>
          </cell>
          <cell r="D2329">
            <v>917</v>
          </cell>
        </row>
        <row r="2330">
          <cell r="A2330">
            <v>35247</v>
          </cell>
          <cell r="B2330" t="str">
            <v>安徽</v>
          </cell>
          <cell r="C2330" t="str">
            <v>自行车</v>
          </cell>
          <cell r="D2330">
            <v>228</v>
          </cell>
        </row>
        <row r="2331">
          <cell r="A2331">
            <v>35247</v>
          </cell>
          <cell r="B2331" t="str">
            <v>福建</v>
          </cell>
          <cell r="C2331" t="str">
            <v>自行车</v>
          </cell>
          <cell r="D2331">
            <v>1534</v>
          </cell>
        </row>
        <row r="2332">
          <cell r="A2332">
            <v>35247</v>
          </cell>
          <cell r="B2332" t="str">
            <v>山东</v>
          </cell>
          <cell r="C2332" t="str">
            <v>自行车</v>
          </cell>
          <cell r="D2332">
            <v>1292</v>
          </cell>
        </row>
        <row r="2333">
          <cell r="A2333">
            <v>35247</v>
          </cell>
          <cell r="B2333" t="str">
            <v>江苏</v>
          </cell>
          <cell r="C2333" t="str">
            <v>自行车</v>
          </cell>
          <cell r="D2333">
            <v>354</v>
          </cell>
        </row>
        <row r="2334">
          <cell r="A2334">
            <v>35247</v>
          </cell>
          <cell r="B2334" t="str">
            <v>江苏</v>
          </cell>
          <cell r="C2334" t="str">
            <v>自行车</v>
          </cell>
          <cell r="D2334">
            <v>257</v>
          </cell>
        </row>
        <row r="2335">
          <cell r="A2335">
            <v>35247</v>
          </cell>
          <cell r="B2335" t="str">
            <v>江西</v>
          </cell>
          <cell r="C2335" t="str">
            <v>自行车</v>
          </cell>
          <cell r="D2335">
            <v>315</v>
          </cell>
        </row>
        <row r="2336">
          <cell r="A2336">
            <v>35247</v>
          </cell>
          <cell r="B2336" t="str">
            <v>山东</v>
          </cell>
          <cell r="C2336" t="str">
            <v>瓷器</v>
          </cell>
          <cell r="D2336">
            <v>101</v>
          </cell>
        </row>
        <row r="2337">
          <cell r="A2337">
            <v>35247</v>
          </cell>
          <cell r="B2337" t="str">
            <v>安徽</v>
          </cell>
          <cell r="C2337" t="str">
            <v>瓷器</v>
          </cell>
          <cell r="D2337">
            <v>1845</v>
          </cell>
        </row>
        <row r="2338">
          <cell r="A2338">
            <v>35247</v>
          </cell>
          <cell r="B2338" t="str">
            <v>福建</v>
          </cell>
          <cell r="C2338" t="str">
            <v>瓷器</v>
          </cell>
          <cell r="D2338">
            <v>1271</v>
          </cell>
        </row>
        <row r="2339">
          <cell r="A2339">
            <v>35247</v>
          </cell>
          <cell r="B2339" t="str">
            <v>江苏</v>
          </cell>
          <cell r="C2339" t="str">
            <v>瓷器</v>
          </cell>
          <cell r="D2339">
            <v>45</v>
          </cell>
        </row>
        <row r="2340">
          <cell r="A2340">
            <v>35247</v>
          </cell>
          <cell r="B2340" t="str">
            <v>广东</v>
          </cell>
          <cell r="C2340" t="str">
            <v>瓷器</v>
          </cell>
          <cell r="D2340">
            <v>79</v>
          </cell>
        </row>
        <row r="2341">
          <cell r="A2341">
            <v>35247</v>
          </cell>
          <cell r="B2341" t="str">
            <v>江苏</v>
          </cell>
          <cell r="C2341" t="str">
            <v>瓷器</v>
          </cell>
          <cell r="D2341">
            <v>68</v>
          </cell>
        </row>
        <row r="2342">
          <cell r="A2342">
            <v>35247</v>
          </cell>
          <cell r="B2342" t="str">
            <v>广东</v>
          </cell>
          <cell r="C2342" t="str">
            <v>瓷器</v>
          </cell>
          <cell r="D2342">
            <v>225</v>
          </cell>
        </row>
        <row r="2343">
          <cell r="A2343">
            <v>35247</v>
          </cell>
          <cell r="B2343" t="str">
            <v>山东</v>
          </cell>
          <cell r="C2343" t="str">
            <v>瓷器</v>
          </cell>
          <cell r="D2343">
            <v>88</v>
          </cell>
        </row>
        <row r="2344">
          <cell r="A2344">
            <v>35247</v>
          </cell>
          <cell r="B2344" t="str">
            <v>江西</v>
          </cell>
          <cell r="C2344" t="str">
            <v>瓷器</v>
          </cell>
          <cell r="D2344">
            <v>420</v>
          </cell>
        </row>
        <row r="2345">
          <cell r="A2345">
            <v>35247</v>
          </cell>
          <cell r="B2345" t="str">
            <v>江西</v>
          </cell>
          <cell r="C2345" t="str">
            <v>瓷器</v>
          </cell>
          <cell r="D2345">
            <v>434</v>
          </cell>
        </row>
        <row r="2346">
          <cell r="A2346">
            <v>35247</v>
          </cell>
          <cell r="B2346" t="str">
            <v>江苏</v>
          </cell>
          <cell r="C2346" t="str">
            <v>瓷器</v>
          </cell>
          <cell r="D2346">
            <v>193</v>
          </cell>
        </row>
        <row r="2347">
          <cell r="A2347">
            <v>35247</v>
          </cell>
          <cell r="B2347" t="str">
            <v>安徽</v>
          </cell>
          <cell r="C2347" t="str">
            <v>瓷器</v>
          </cell>
          <cell r="D2347">
            <v>175</v>
          </cell>
        </row>
        <row r="2348">
          <cell r="A2348">
            <v>35247</v>
          </cell>
          <cell r="B2348" t="str">
            <v>江苏</v>
          </cell>
          <cell r="C2348" t="str">
            <v>瓷器</v>
          </cell>
          <cell r="D2348">
            <v>172</v>
          </cell>
        </row>
        <row r="2349">
          <cell r="A2349">
            <v>35247</v>
          </cell>
          <cell r="B2349" t="str">
            <v>山东</v>
          </cell>
          <cell r="C2349" t="str">
            <v>瓷器</v>
          </cell>
          <cell r="D2349">
            <v>239</v>
          </cell>
        </row>
        <row r="2350">
          <cell r="A2350">
            <v>35247</v>
          </cell>
          <cell r="B2350" t="str">
            <v>安徽</v>
          </cell>
          <cell r="C2350" t="str">
            <v>瓷器</v>
          </cell>
          <cell r="D2350">
            <v>214</v>
          </cell>
        </row>
        <row r="2351">
          <cell r="A2351">
            <v>35247</v>
          </cell>
          <cell r="B2351" t="str">
            <v>江西</v>
          </cell>
          <cell r="C2351" t="str">
            <v>瓷器</v>
          </cell>
          <cell r="D2351">
            <v>270</v>
          </cell>
        </row>
        <row r="2352">
          <cell r="A2352">
            <v>35247</v>
          </cell>
          <cell r="B2352" t="str">
            <v>江西</v>
          </cell>
          <cell r="C2352" t="str">
            <v>瓷器</v>
          </cell>
          <cell r="D2352">
            <v>338</v>
          </cell>
        </row>
        <row r="2353">
          <cell r="A2353">
            <v>35247</v>
          </cell>
          <cell r="B2353" t="str">
            <v>广东</v>
          </cell>
          <cell r="C2353" t="str">
            <v>瓷器</v>
          </cell>
          <cell r="D2353">
            <v>124</v>
          </cell>
        </row>
        <row r="2354">
          <cell r="A2354">
            <v>35247</v>
          </cell>
          <cell r="B2354" t="str">
            <v>山东</v>
          </cell>
          <cell r="C2354" t="str">
            <v>瓷器</v>
          </cell>
          <cell r="D2354">
            <v>42</v>
          </cell>
        </row>
        <row r="2355">
          <cell r="A2355">
            <v>35247</v>
          </cell>
          <cell r="B2355" t="str">
            <v>广东</v>
          </cell>
          <cell r="C2355" t="str">
            <v>瓷器</v>
          </cell>
          <cell r="D2355">
            <v>140</v>
          </cell>
        </row>
        <row r="2356">
          <cell r="A2356">
            <v>35247</v>
          </cell>
          <cell r="B2356" t="str">
            <v>安徽</v>
          </cell>
          <cell r="C2356" t="str">
            <v>瓷器</v>
          </cell>
          <cell r="D2356">
            <v>123</v>
          </cell>
        </row>
        <row r="2357">
          <cell r="A2357">
            <v>35247</v>
          </cell>
          <cell r="B2357" t="str">
            <v>福建</v>
          </cell>
          <cell r="C2357" t="str">
            <v>瓷器</v>
          </cell>
          <cell r="D2357">
            <v>792</v>
          </cell>
        </row>
        <row r="2358">
          <cell r="A2358">
            <v>35247</v>
          </cell>
          <cell r="B2358" t="str">
            <v>安徽</v>
          </cell>
          <cell r="C2358" t="str">
            <v>服装</v>
          </cell>
          <cell r="D2358">
            <v>158</v>
          </cell>
        </row>
        <row r="2359">
          <cell r="A2359">
            <v>35247</v>
          </cell>
          <cell r="B2359" t="str">
            <v>安徽</v>
          </cell>
          <cell r="C2359" t="str">
            <v>服装</v>
          </cell>
          <cell r="D2359">
            <v>184</v>
          </cell>
        </row>
        <row r="2360">
          <cell r="A2360">
            <v>35247</v>
          </cell>
          <cell r="B2360" t="str">
            <v>山东</v>
          </cell>
          <cell r="C2360" t="str">
            <v>服装</v>
          </cell>
          <cell r="D2360">
            <v>113</v>
          </cell>
        </row>
        <row r="2361">
          <cell r="A2361">
            <v>35247</v>
          </cell>
          <cell r="B2361" t="str">
            <v>安徽</v>
          </cell>
          <cell r="C2361" t="str">
            <v>服装</v>
          </cell>
          <cell r="D2361">
            <v>140</v>
          </cell>
        </row>
        <row r="2362">
          <cell r="A2362">
            <v>35247</v>
          </cell>
          <cell r="B2362" t="str">
            <v>安徽</v>
          </cell>
          <cell r="C2362" t="str">
            <v>服装</v>
          </cell>
          <cell r="D2362">
            <v>248</v>
          </cell>
        </row>
        <row r="2363">
          <cell r="A2363">
            <v>35247</v>
          </cell>
          <cell r="B2363" t="str">
            <v>安徽</v>
          </cell>
          <cell r="C2363" t="str">
            <v>服装</v>
          </cell>
          <cell r="D2363">
            <v>206</v>
          </cell>
        </row>
        <row r="2364">
          <cell r="A2364">
            <v>35247</v>
          </cell>
          <cell r="B2364" t="str">
            <v>山东</v>
          </cell>
          <cell r="C2364" t="str">
            <v>服装</v>
          </cell>
          <cell r="D2364">
            <v>77</v>
          </cell>
        </row>
        <row r="2365">
          <cell r="A2365">
            <v>35247</v>
          </cell>
          <cell r="B2365" t="str">
            <v>安徽</v>
          </cell>
          <cell r="C2365" t="str">
            <v>服装</v>
          </cell>
          <cell r="D2365">
            <v>79</v>
          </cell>
        </row>
        <row r="2366">
          <cell r="A2366">
            <v>35247</v>
          </cell>
          <cell r="B2366" t="str">
            <v>山东</v>
          </cell>
          <cell r="C2366" t="str">
            <v>服装</v>
          </cell>
          <cell r="D2366">
            <v>2058</v>
          </cell>
        </row>
        <row r="2367">
          <cell r="A2367">
            <v>35247</v>
          </cell>
          <cell r="B2367" t="str">
            <v>山东</v>
          </cell>
          <cell r="C2367" t="str">
            <v>服装</v>
          </cell>
          <cell r="D2367">
            <v>110</v>
          </cell>
        </row>
        <row r="2368">
          <cell r="A2368">
            <v>35247</v>
          </cell>
          <cell r="B2368" t="str">
            <v>山东</v>
          </cell>
          <cell r="C2368" t="str">
            <v>服装</v>
          </cell>
          <cell r="D2368">
            <v>2560</v>
          </cell>
        </row>
        <row r="2369">
          <cell r="A2369">
            <v>35247</v>
          </cell>
          <cell r="B2369" t="str">
            <v>山东</v>
          </cell>
          <cell r="C2369" t="str">
            <v>服装</v>
          </cell>
          <cell r="D2369">
            <v>27</v>
          </cell>
        </row>
        <row r="2370">
          <cell r="A2370">
            <v>35247</v>
          </cell>
          <cell r="B2370" t="str">
            <v>山东</v>
          </cell>
          <cell r="C2370" t="str">
            <v>食品</v>
          </cell>
          <cell r="D2370">
            <v>158</v>
          </cell>
        </row>
        <row r="2371">
          <cell r="A2371">
            <v>35247</v>
          </cell>
          <cell r="B2371" t="str">
            <v>广东</v>
          </cell>
          <cell r="C2371" t="str">
            <v>食品</v>
          </cell>
          <cell r="D2371">
            <v>158</v>
          </cell>
        </row>
        <row r="2372">
          <cell r="A2372">
            <v>35247</v>
          </cell>
          <cell r="B2372" t="str">
            <v>江西</v>
          </cell>
          <cell r="C2372" t="str">
            <v>食品</v>
          </cell>
          <cell r="D2372">
            <v>158</v>
          </cell>
        </row>
        <row r="2373">
          <cell r="A2373">
            <v>35247</v>
          </cell>
          <cell r="B2373" t="str">
            <v>广东</v>
          </cell>
          <cell r="C2373" t="str">
            <v>食品</v>
          </cell>
          <cell r="D2373">
            <v>210</v>
          </cell>
        </row>
        <row r="2374">
          <cell r="A2374">
            <v>35247</v>
          </cell>
          <cell r="B2374" t="str">
            <v>江苏</v>
          </cell>
          <cell r="C2374" t="str">
            <v>食品</v>
          </cell>
          <cell r="D2374">
            <v>42</v>
          </cell>
        </row>
        <row r="2375">
          <cell r="A2375">
            <v>35247</v>
          </cell>
          <cell r="B2375" t="str">
            <v>江西</v>
          </cell>
          <cell r="C2375" t="str">
            <v>食品</v>
          </cell>
          <cell r="D2375">
            <v>210</v>
          </cell>
        </row>
        <row r="2376">
          <cell r="A2376">
            <v>35247</v>
          </cell>
          <cell r="B2376" t="str">
            <v>山东</v>
          </cell>
          <cell r="C2376" t="str">
            <v>食品</v>
          </cell>
          <cell r="D2376">
            <v>140</v>
          </cell>
        </row>
        <row r="2377">
          <cell r="A2377">
            <v>35247</v>
          </cell>
          <cell r="B2377" t="str">
            <v>江苏</v>
          </cell>
          <cell r="C2377" t="str">
            <v>食品</v>
          </cell>
          <cell r="D2377">
            <v>99</v>
          </cell>
        </row>
        <row r="2378">
          <cell r="A2378">
            <v>35247</v>
          </cell>
          <cell r="B2378" t="str">
            <v>江苏</v>
          </cell>
          <cell r="C2378" t="str">
            <v>食品</v>
          </cell>
          <cell r="D2378">
            <v>124</v>
          </cell>
        </row>
        <row r="2379">
          <cell r="A2379">
            <v>35247</v>
          </cell>
          <cell r="B2379" t="str">
            <v>江苏</v>
          </cell>
          <cell r="C2379" t="str">
            <v>食品</v>
          </cell>
          <cell r="D2379">
            <v>123</v>
          </cell>
        </row>
        <row r="2380">
          <cell r="A2380">
            <v>35247</v>
          </cell>
          <cell r="B2380" t="str">
            <v>广东</v>
          </cell>
          <cell r="C2380" t="str">
            <v>食品</v>
          </cell>
          <cell r="D2380">
            <v>113</v>
          </cell>
        </row>
        <row r="2381">
          <cell r="A2381">
            <v>35247</v>
          </cell>
          <cell r="B2381" t="str">
            <v>江西</v>
          </cell>
          <cell r="C2381" t="str">
            <v>食品</v>
          </cell>
          <cell r="D2381">
            <v>459</v>
          </cell>
        </row>
        <row r="2382">
          <cell r="A2382">
            <v>35247</v>
          </cell>
          <cell r="B2382" t="str">
            <v>山东</v>
          </cell>
          <cell r="C2382" t="str">
            <v>食品</v>
          </cell>
          <cell r="D2382">
            <v>637</v>
          </cell>
        </row>
        <row r="2383">
          <cell r="A2383">
            <v>35247</v>
          </cell>
          <cell r="B2383" t="str">
            <v>安徽</v>
          </cell>
          <cell r="C2383" t="str">
            <v>食品</v>
          </cell>
          <cell r="D2383">
            <v>437</v>
          </cell>
        </row>
        <row r="2384">
          <cell r="A2384">
            <v>35247</v>
          </cell>
          <cell r="B2384" t="str">
            <v>广东</v>
          </cell>
          <cell r="C2384" t="str">
            <v>食品</v>
          </cell>
          <cell r="D2384">
            <v>540</v>
          </cell>
        </row>
        <row r="2385">
          <cell r="A2385">
            <v>35247</v>
          </cell>
          <cell r="B2385" t="str">
            <v>江西</v>
          </cell>
          <cell r="C2385" t="str">
            <v>食品</v>
          </cell>
          <cell r="D2385">
            <v>464</v>
          </cell>
        </row>
        <row r="2386">
          <cell r="A2386">
            <v>35247</v>
          </cell>
          <cell r="B2386" t="str">
            <v>福建</v>
          </cell>
          <cell r="C2386" t="str">
            <v>食品</v>
          </cell>
          <cell r="D2386">
            <v>560</v>
          </cell>
        </row>
        <row r="2387">
          <cell r="A2387">
            <v>35247</v>
          </cell>
          <cell r="B2387" t="str">
            <v>安徽</v>
          </cell>
          <cell r="C2387" t="str">
            <v>食品</v>
          </cell>
          <cell r="D2387">
            <v>581</v>
          </cell>
        </row>
        <row r="2388">
          <cell r="A2388">
            <v>35247</v>
          </cell>
          <cell r="B2388" t="str">
            <v>安徽</v>
          </cell>
          <cell r="C2388" t="str">
            <v>食品</v>
          </cell>
          <cell r="D2388">
            <v>697</v>
          </cell>
        </row>
        <row r="2389">
          <cell r="A2389">
            <v>35247</v>
          </cell>
          <cell r="B2389" t="str">
            <v>安徽</v>
          </cell>
          <cell r="C2389" t="str">
            <v>食品</v>
          </cell>
          <cell r="D2389">
            <v>495</v>
          </cell>
        </row>
        <row r="2390">
          <cell r="A2390">
            <v>35247</v>
          </cell>
          <cell r="B2390" t="str">
            <v>福建</v>
          </cell>
          <cell r="C2390" t="str">
            <v>食品</v>
          </cell>
          <cell r="D2390">
            <v>371</v>
          </cell>
        </row>
        <row r="2391">
          <cell r="A2391">
            <v>35247</v>
          </cell>
          <cell r="B2391" t="str">
            <v>山东</v>
          </cell>
          <cell r="C2391" t="str">
            <v>食品</v>
          </cell>
          <cell r="D2391">
            <v>383</v>
          </cell>
        </row>
        <row r="2392">
          <cell r="A2392">
            <v>35247</v>
          </cell>
          <cell r="B2392" t="str">
            <v>安徽</v>
          </cell>
          <cell r="C2392" t="str">
            <v>儿童用品</v>
          </cell>
          <cell r="D2392">
            <v>1444</v>
          </cell>
        </row>
        <row r="2393">
          <cell r="A2393">
            <v>35247</v>
          </cell>
          <cell r="B2393" t="str">
            <v>江苏</v>
          </cell>
          <cell r="C2393" t="str">
            <v>儿童用品</v>
          </cell>
          <cell r="D2393">
            <v>102</v>
          </cell>
        </row>
        <row r="2394">
          <cell r="A2394">
            <v>35247</v>
          </cell>
          <cell r="B2394" t="str">
            <v>山东</v>
          </cell>
          <cell r="C2394" t="str">
            <v>儿童用品</v>
          </cell>
          <cell r="D2394">
            <v>44</v>
          </cell>
        </row>
        <row r="2395">
          <cell r="A2395">
            <v>35247</v>
          </cell>
          <cell r="B2395" t="str">
            <v>山东</v>
          </cell>
          <cell r="C2395" t="str">
            <v>儿童用品</v>
          </cell>
          <cell r="D2395">
            <v>46</v>
          </cell>
        </row>
        <row r="2396">
          <cell r="A2396">
            <v>35247</v>
          </cell>
          <cell r="B2396" t="str">
            <v>山东</v>
          </cell>
          <cell r="C2396" t="str">
            <v>儿童用品</v>
          </cell>
          <cell r="D2396">
            <v>56</v>
          </cell>
        </row>
        <row r="2397">
          <cell r="A2397">
            <v>35247</v>
          </cell>
          <cell r="B2397" t="str">
            <v>江西</v>
          </cell>
          <cell r="C2397" t="str">
            <v>儿童用品</v>
          </cell>
          <cell r="D2397">
            <v>63</v>
          </cell>
        </row>
        <row r="2398">
          <cell r="A2398">
            <v>35247</v>
          </cell>
          <cell r="B2398" t="str">
            <v>安徽</v>
          </cell>
          <cell r="C2398" t="str">
            <v>儿童用品</v>
          </cell>
          <cell r="D2398">
            <v>1928</v>
          </cell>
        </row>
        <row r="2399">
          <cell r="A2399">
            <v>35247</v>
          </cell>
          <cell r="B2399" t="str">
            <v>江苏</v>
          </cell>
          <cell r="C2399" t="str">
            <v>儿童用品</v>
          </cell>
          <cell r="D2399">
            <v>79</v>
          </cell>
        </row>
        <row r="2400">
          <cell r="A2400">
            <v>35247</v>
          </cell>
          <cell r="B2400" t="str">
            <v>江西</v>
          </cell>
          <cell r="C2400" t="str">
            <v>儿童用品</v>
          </cell>
          <cell r="D2400">
            <v>1716</v>
          </cell>
        </row>
        <row r="2401">
          <cell r="A2401">
            <v>35247</v>
          </cell>
          <cell r="B2401" t="str">
            <v>江苏</v>
          </cell>
          <cell r="C2401" t="str">
            <v>儿童用品</v>
          </cell>
          <cell r="D2401">
            <v>108</v>
          </cell>
        </row>
        <row r="2402">
          <cell r="A2402">
            <v>35247</v>
          </cell>
          <cell r="B2402" t="str">
            <v>福建</v>
          </cell>
          <cell r="C2402" t="str">
            <v>儿童用品</v>
          </cell>
          <cell r="D2402">
            <v>124</v>
          </cell>
        </row>
        <row r="2403">
          <cell r="A2403">
            <v>35247</v>
          </cell>
          <cell r="B2403" t="str">
            <v>江苏</v>
          </cell>
          <cell r="C2403" t="str">
            <v>儿童用品</v>
          </cell>
          <cell r="D2403">
            <v>135</v>
          </cell>
        </row>
        <row r="2404">
          <cell r="A2404">
            <v>35247</v>
          </cell>
          <cell r="B2404" t="str">
            <v>广东</v>
          </cell>
          <cell r="C2404" t="str">
            <v>儿童用品</v>
          </cell>
          <cell r="D2404">
            <v>146</v>
          </cell>
        </row>
        <row r="2405">
          <cell r="A2405">
            <v>35247</v>
          </cell>
          <cell r="B2405" t="str">
            <v>广东</v>
          </cell>
          <cell r="C2405" t="str">
            <v>儿童用品</v>
          </cell>
          <cell r="D2405">
            <v>175</v>
          </cell>
        </row>
        <row r="2406">
          <cell r="A2406">
            <v>35247</v>
          </cell>
          <cell r="B2406" t="str">
            <v>广东</v>
          </cell>
          <cell r="C2406" t="str">
            <v>儿童用品</v>
          </cell>
          <cell r="D2406">
            <v>249</v>
          </cell>
        </row>
        <row r="2407">
          <cell r="A2407">
            <v>35247</v>
          </cell>
          <cell r="B2407" t="str">
            <v>江西</v>
          </cell>
          <cell r="C2407" t="str">
            <v>儿童用品</v>
          </cell>
          <cell r="D2407">
            <v>298</v>
          </cell>
        </row>
        <row r="2408">
          <cell r="A2408">
            <v>35247</v>
          </cell>
          <cell r="B2408" t="str">
            <v>安徽</v>
          </cell>
          <cell r="C2408" t="str">
            <v>儿童用品</v>
          </cell>
          <cell r="D2408">
            <v>356</v>
          </cell>
        </row>
        <row r="2409">
          <cell r="A2409">
            <v>35247</v>
          </cell>
          <cell r="B2409" t="str">
            <v>福建</v>
          </cell>
          <cell r="C2409" t="str">
            <v>儿童用品</v>
          </cell>
          <cell r="D2409">
            <v>476</v>
          </cell>
        </row>
        <row r="2410">
          <cell r="A2410">
            <v>35247</v>
          </cell>
          <cell r="B2410" t="str">
            <v>安徽</v>
          </cell>
          <cell r="C2410" t="str">
            <v>儿童用品</v>
          </cell>
          <cell r="D2410">
            <v>536</v>
          </cell>
        </row>
        <row r="2411">
          <cell r="A2411">
            <v>35247</v>
          </cell>
          <cell r="B2411" t="str">
            <v>山东</v>
          </cell>
          <cell r="C2411" t="str">
            <v>儿童用品</v>
          </cell>
          <cell r="D2411">
            <v>590</v>
          </cell>
        </row>
        <row r="2412">
          <cell r="A2412">
            <v>35247</v>
          </cell>
          <cell r="B2412" t="str">
            <v>广东</v>
          </cell>
          <cell r="C2412" t="str">
            <v>儿童用品</v>
          </cell>
          <cell r="D2412">
            <v>1258</v>
          </cell>
        </row>
        <row r="2413">
          <cell r="A2413">
            <v>35247</v>
          </cell>
          <cell r="B2413" t="str">
            <v>江西</v>
          </cell>
          <cell r="C2413" t="str">
            <v>儿童用品</v>
          </cell>
          <cell r="D2413">
            <v>72</v>
          </cell>
        </row>
        <row r="2414">
          <cell r="A2414">
            <v>35247</v>
          </cell>
          <cell r="B2414" t="str">
            <v>福建</v>
          </cell>
          <cell r="C2414" t="str">
            <v>体育用品</v>
          </cell>
          <cell r="D2414">
            <v>1689</v>
          </cell>
        </row>
        <row r="2415">
          <cell r="A2415">
            <v>35247</v>
          </cell>
          <cell r="B2415" t="str">
            <v>广东</v>
          </cell>
          <cell r="C2415" t="str">
            <v>体育用品</v>
          </cell>
          <cell r="D2415">
            <v>1532</v>
          </cell>
        </row>
        <row r="2416">
          <cell r="A2416">
            <v>35247</v>
          </cell>
          <cell r="B2416" t="str">
            <v>广东</v>
          </cell>
          <cell r="C2416" t="str">
            <v>体育用品</v>
          </cell>
          <cell r="D2416">
            <v>1023</v>
          </cell>
        </row>
        <row r="2417">
          <cell r="A2417">
            <v>35247</v>
          </cell>
          <cell r="B2417" t="str">
            <v>广东</v>
          </cell>
          <cell r="C2417" t="str">
            <v>体育用品</v>
          </cell>
          <cell r="D2417">
            <v>351</v>
          </cell>
        </row>
        <row r="2418">
          <cell r="A2418">
            <v>35247</v>
          </cell>
          <cell r="B2418" t="str">
            <v>江苏</v>
          </cell>
          <cell r="C2418" t="str">
            <v>体育用品</v>
          </cell>
          <cell r="D2418">
            <v>143</v>
          </cell>
        </row>
        <row r="2419">
          <cell r="A2419">
            <v>35247</v>
          </cell>
          <cell r="B2419" t="str">
            <v>福建</v>
          </cell>
          <cell r="C2419" t="str">
            <v>体育用品</v>
          </cell>
          <cell r="D2419">
            <v>782</v>
          </cell>
        </row>
        <row r="2420">
          <cell r="A2420">
            <v>35247</v>
          </cell>
          <cell r="B2420" t="str">
            <v>江西</v>
          </cell>
          <cell r="C2420" t="str">
            <v>体育用品</v>
          </cell>
          <cell r="D2420">
            <v>110</v>
          </cell>
        </row>
        <row r="2421">
          <cell r="A2421">
            <v>35247</v>
          </cell>
          <cell r="B2421" t="str">
            <v>安徽</v>
          </cell>
          <cell r="C2421" t="str">
            <v>体育用品</v>
          </cell>
          <cell r="D2421">
            <v>714</v>
          </cell>
        </row>
        <row r="2422">
          <cell r="A2422">
            <v>35247</v>
          </cell>
          <cell r="B2422" t="str">
            <v>福建</v>
          </cell>
          <cell r="C2422" t="str">
            <v>体育用品</v>
          </cell>
          <cell r="D2422">
            <v>507</v>
          </cell>
        </row>
        <row r="2423">
          <cell r="A2423">
            <v>35247</v>
          </cell>
          <cell r="B2423" t="str">
            <v>江西</v>
          </cell>
          <cell r="C2423" t="str">
            <v>体育用品</v>
          </cell>
          <cell r="D2423">
            <v>248</v>
          </cell>
        </row>
        <row r="2424">
          <cell r="A2424">
            <v>35247</v>
          </cell>
          <cell r="B2424" t="str">
            <v>安徽</v>
          </cell>
          <cell r="C2424" t="str">
            <v>体育用品</v>
          </cell>
          <cell r="D2424">
            <v>35</v>
          </cell>
        </row>
        <row r="2425">
          <cell r="A2425">
            <v>35247</v>
          </cell>
          <cell r="B2425" t="str">
            <v>江苏</v>
          </cell>
          <cell r="C2425" t="str">
            <v>体育用品</v>
          </cell>
          <cell r="D2425">
            <v>39</v>
          </cell>
        </row>
        <row r="2426">
          <cell r="A2426">
            <v>35247</v>
          </cell>
          <cell r="B2426" t="str">
            <v>安徽</v>
          </cell>
          <cell r="C2426" t="str">
            <v>体育用品</v>
          </cell>
          <cell r="D2426">
            <v>39</v>
          </cell>
        </row>
        <row r="2427">
          <cell r="A2427">
            <v>35247</v>
          </cell>
          <cell r="B2427" t="str">
            <v>山东</v>
          </cell>
          <cell r="C2427" t="str">
            <v>体育用品</v>
          </cell>
          <cell r="D2427">
            <v>39</v>
          </cell>
        </row>
        <row r="2428">
          <cell r="A2428">
            <v>35247</v>
          </cell>
          <cell r="B2428" t="str">
            <v>山东</v>
          </cell>
          <cell r="C2428" t="str">
            <v>体育用品</v>
          </cell>
          <cell r="D2428">
            <v>41</v>
          </cell>
        </row>
        <row r="2429">
          <cell r="A2429">
            <v>35247</v>
          </cell>
          <cell r="B2429" t="str">
            <v>安徽</v>
          </cell>
          <cell r="C2429" t="str">
            <v>体育用品</v>
          </cell>
          <cell r="D2429">
            <v>42</v>
          </cell>
        </row>
        <row r="2430">
          <cell r="A2430">
            <v>35247</v>
          </cell>
          <cell r="B2430" t="str">
            <v>山东</v>
          </cell>
          <cell r="C2430" t="str">
            <v>体育用品</v>
          </cell>
          <cell r="D2430">
            <v>44</v>
          </cell>
        </row>
        <row r="2431">
          <cell r="A2431">
            <v>35247</v>
          </cell>
          <cell r="B2431" t="str">
            <v>山东</v>
          </cell>
          <cell r="C2431" t="str">
            <v>体育用品</v>
          </cell>
          <cell r="D2431">
            <v>56</v>
          </cell>
        </row>
        <row r="2432">
          <cell r="A2432">
            <v>35247</v>
          </cell>
          <cell r="B2432" t="str">
            <v>江苏</v>
          </cell>
          <cell r="C2432" t="str">
            <v>体育用品</v>
          </cell>
          <cell r="D2432">
            <v>59</v>
          </cell>
        </row>
        <row r="2433">
          <cell r="A2433">
            <v>35247</v>
          </cell>
          <cell r="B2433" t="str">
            <v>江西</v>
          </cell>
          <cell r="C2433" t="str">
            <v>体育用品</v>
          </cell>
          <cell r="D2433">
            <v>114</v>
          </cell>
        </row>
        <row r="2434">
          <cell r="A2434">
            <v>35247</v>
          </cell>
          <cell r="B2434" t="str">
            <v>江苏</v>
          </cell>
          <cell r="C2434" t="str">
            <v>体育用品</v>
          </cell>
          <cell r="D2434">
            <v>69</v>
          </cell>
        </row>
        <row r="2435">
          <cell r="A2435">
            <v>35247</v>
          </cell>
          <cell r="B2435" t="str">
            <v>广东</v>
          </cell>
          <cell r="C2435" t="str">
            <v>体育用品</v>
          </cell>
          <cell r="D2435">
            <v>79</v>
          </cell>
        </row>
        <row r="2436">
          <cell r="A2436">
            <v>35247</v>
          </cell>
          <cell r="B2436" t="str">
            <v>广东</v>
          </cell>
          <cell r="C2436" t="str">
            <v>体育用品</v>
          </cell>
          <cell r="D2436">
            <v>83</v>
          </cell>
        </row>
        <row r="2437">
          <cell r="A2437">
            <v>35247</v>
          </cell>
          <cell r="B2437" t="str">
            <v>安徽</v>
          </cell>
          <cell r="C2437" t="str">
            <v>体育用品</v>
          </cell>
          <cell r="D2437">
            <v>96</v>
          </cell>
        </row>
        <row r="2438">
          <cell r="A2438">
            <v>35247</v>
          </cell>
          <cell r="B2438" t="str">
            <v>江苏</v>
          </cell>
          <cell r="C2438" t="str">
            <v>体育用品</v>
          </cell>
          <cell r="D2438">
            <v>101</v>
          </cell>
        </row>
        <row r="2439">
          <cell r="A2439">
            <v>35247</v>
          </cell>
          <cell r="B2439" t="str">
            <v>安徽</v>
          </cell>
          <cell r="C2439" t="str">
            <v>体育用品</v>
          </cell>
          <cell r="D2439">
            <v>113</v>
          </cell>
        </row>
        <row r="2440">
          <cell r="A2440">
            <v>35247</v>
          </cell>
          <cell r="B2440" t="str">
            <v>江西</v>
          </cell>
          <cell r="C2440" t="str">
            <v>体育用品</v>
          </cell>
          <cell r="D2440">
            <v>135</v>
          </cell>
        </row>
        <row r="2441">
          <cell r="A2441">
            <v>35247</v>
          </cell>
          <cell r="B2441" t="str">
            <v>江苏</v>
          </cell>
          <cell r="C2441" t="str">
            <v>体育用品</v>
          </cell>
          <cell r="D2441">
            <v>35</v>
          </cell>
        </row>
        <row r="2442">
          <cell r="A2442">
            <v>35247</v>
          </cell>
          <cell r="B2442" t="str">
            <v>山东</v>
          </cell>
          <cell r="C2442" t="str">
            <v>体育用品</v>
          </cell>
          <cell r="D2442">
            <v>11</v>
          </cell>
        </row>
        <row r="2443">
          <cell r="A2443">
            <v>35247</v>
          </cell>
          <cell r="B2443" t="str">
            <v>山东</v>
          </cell>
          <cell r="C2443" t="str">
            <v>体育用品</v>
          </cell>
          <cell r="D2443">
            <v>14</v>
          </cell>
        </row>
        <row r="2444">
          <cell r="A2444">
            <v>35247</v>
          </cell>
          <cell r="B2444" t="str">
            <v>江西</v>
          </cell>
          <cell r="C2444" t="str">
            <v>体育用品</v>
          </cell>
          <cell r="D2444">
            <v>18</v>
          </cell>
        </row>
        <row r="2445">
          <cell r="A2445">
            <v>35247</v>
          </cell>
          <cell r="B2445" t="str">
            <v>广东</v>
          </cell>
          <cell r="C2445" t="str">
            <v>体育用品</v>
          </cell>
          <cell r="D2445">
            <v>26</v>
          </cell>
        </row>
        <row r="2446">
          <cell r="A2446">
            <v>35247</v>
          </cell>
          <cell r="B2446" t="str">
            <v>江西</v>
          </cell>
          <cell r="C2446" t="str">
            <v>体育用品</v>
          </cell>
          <cell r="D2446">
            <v>28</v>
          </cell>
        </row>
        <row r="2447">
          <cell r="A2447">
            <v>35278</v>
          </cell>
          <cell r="B2447" t="str">
            <v>山东</v>
          </cell>
          <cell r="C2447" t="str">
            <v>艺术品</v>
          </cell>
          <cell r="D2447">
            <v>694</v>
          </cell>
        </row>
        <row r="2448">
          <cell r="A2448">
            <v>35278</v>
          </cell>
          <cell r="B2448" t="str">
            <v>福建</v>
          </cell>
          <cell r="C2448" t="str">
            <v>艺术品</v>
          </cell>
          <cell r="D2448">
            <v>248</v>
          </cell>
        </row>
        <row r="2449">
          <cell r="A2449">
            <v>35278</v>
          </cell>
          <cell r="B2449" t="str">
            <v>福建</v>
          </cell>
          <cell r="C2449" t="str">
            <v>艺术品</v>
          </cell>
          <cell r="D2449">
            <v>248</v>
          </cell>
        </row>
        <row r="2450">
          <cell r="A2450">
            <v>35278</v>
          </cell>
          <cell r="B2450" t="str">
            <v>安徽</v>
          </cell>
          <cell r="C2450" t="str">
            <v>艺术品</v>
          </cell>
          <cell r="D2450">
            <v>248</v>
          </cell>
        </row>
        <row r="2451">
          <cell r="A2451">
            <v>35278</v>
          </cell>
          <cell r="B2451" t="str">
            <v>福建</v>
          </cell>
          <cell r="C2451" t="str">
            <v>艺术品</v>
          </cell>
          <cell r="D2451">
            <v>304</v>
          </cell>
        </row>
        <row r="2452">
          <cell r="A2452">
            <v>35278</v>
          </cell>
          <cell r="B2452" t="str">
            <v>江西</v>
          </cell>
          <cell r="C2452" t="str">
            <v>艺术品</v>
          </cell>
          <cell r="D2452">
            <v>371</v>
          </cell>
        </row>
        <row r="2453">
          <cell r="A2453">
            <v>35278</v>
          </cell>
          <cell r="B2453" t="str">
            <v>安徽</v>
          </cell>
          <cell r="C2453" t="str">
            <v>艺术品</v>
          </cell>
          <cell r="D2453">
            <v>383</v>
          </cell>
        </row>
        <row r="2454">
          <cell r="A2454">
            <v>35278</v>
          </cell>
          <cell r="B2454" t="str">
            <v>江苏</v>
          </cell>
          <cell r="C2454" t="str">
            <v>艺术品</v>
          </cell>
          <cell r="D2454">
            <v>385</v>
          </cell>
        </row>
        <row r="2455">
          <cell r="A2455">
            <v>35278</v>
          </cell>
          <cell r="B2455" t="str">
            <v>江苏</v>
          </cell>
          <cell r="C2455" t="str">
            <v>艺术品</v>
          </cell>
          <cell r="D2455">
            <v>414</v>
          </cell>
        </row>
        <row r="2456">
          <cell r="A2456">
            <v>35278</v>
          </cell>
          <cell r="B2456" t="str">
            <v>福建</v>
          </cell>
          <cell r="C2456" t="str">
            <v>艺术品</v>
          </cell>
          <cell r="D2456">
            <v>441</v>
          </cell>
        </row>
        <row r="2457">
          <cell r="A2457">
            <v>35278</v>
          </cell>
          <cell r="B2457" t="str">
            <v>广东</v>
          </cell>
          <cell r="C2457" t="str">
            <v>艺术品</v>
          </cell>
          <cell r="D2457">
            <v>761</v>
          </cell>
        </row>
        <row r="2458">
          <cell r="A2458">
            <v>35278</v>
          </cell>
          <cell r="B2458" t="str">
            <v>山东</v>
          </cell>
          <cell r="C2458" t="str">
            <v>艺术品</v>
          </cell>
          <cell r="D2458">
            <v>912</v>
          </cell>
        </row>
        <row r="2459">
          <cell r="A2459">
            <v>35278</v>
          </cell>
          <cell r="B2459" t="str">
            <v>江西</v>
          </cell>
          <cell r="C2459" t="str">
            <v>艺术品</v>
          </cell>
          <cell r="D2459">
            <v>980</v>
          </cell>
        </row>
        <row r="2460">
          <cell r="A2460">
            <v>35278</v>
          </cell>
          <cell r="B2460" t="str">
            <v>广东</v>
          </cell>
          <cell r="C2460" t="str">
            <v>艺术品</v>
          </cell>
          <cell r="D2460">
            <v>1351</v>
          </cell>
        </row>
        <row r="2461">
          <cell r="A2461">
            <v>35278</v>
          </cell>
          <cell r="B2461" t="str">
            <v>山东</v>
          </cell>
          <cell r="C2461" t="str">
            <v>艺术品</v>
          </cell>
          <cell r="D2461">
            <v>1906</v>
          </cell>
        </row>
        <row r="2462">
          <cell r="A2462">
            <v>35278</v>
          </cell>
          <cell r="B2462" t="str">
            <v>安徽</v>
          </cell>
          <cell r="C2462" t="str">
            <v>艺术品</v>
          </cell>
          <cell r="D2462">
            <v>2003</v>
          </cell>
        </row>
        <row r="2463">
          <cell r="A2463">
            <v>35278</v>
          </cell>
          <cell r="B2463" t="str">
            <v>山东</v>
          </cell>
          <cell r="C2463" t="str">
            <v>艺术品</v>
          </cell>
          <cell r="D2463">
            <v>494</v>
          </cell>
        </row>
        <row r="2464">
          <cell r="A2464">
            <v>35278</v>
          </cell>
          <cell r="B2464" t="str">
            <v>江苏</v>
          </cell>
          <cell r="C2464" t="str">
            <v>艺术品</v>
          </cell>
          <cell r="D2464">
            <v>146</v>
          </cell>
        </row>
        <row r="2465">
          <cell r="A2465">
            <v>35278</v>
          </cell>
          <cell r="B2465" t="str">
            <v>广东</v>
          </cell>
          <cell r="C2465" t="str">
            <v>艺术品</v>
          </cell>
          <cell r="D2465">
            <v>146</v>
          </cell>
        </row>
        <row r="2466">
          <cell r="A2466">
            <v>35278</v>
          </cell>
          <cell r="B2466" t="str">
            <v>江西</v>
          </cell>
          <cell r="C2466" t="str">
            <v>艺术品</v>
          </cell>
          <cell r="D2466">
            <v>83</v>
          </cell>
        </row>
        <row r="2467">
          <cell r="A2467">
            <v>35278</v>
          </cell>
          <cell r="B2467" t="str">
            <v>江苏</v>
          </cell>
          <cell r="C2467" t="str">
            <v>艺术品</v>
          </cell>
          <cell r="D2467">
            <v>83</v>
          </cell>
        </row>
        <row r="2468">
          <cell r="A2468">
            <v>35278</v>
          </cell>
          <cell r="B2468" t="str">
            <v>安徽</v>
          </cell>
          <cell r="C2468" t="str">
            <v>艺术品</v>
          </cell>
          <cell r="D2468">
            <v>68</v>
          </cell>
        </row>
        <row r="2469">
          <cell r="A2469">
            <v>35278</v>
          </cell>
          <cell r="B2469" t="str">
            <v>广东</v>
          </cell>
          <cell r="C2469" t="str">
            <v>艺术品</v>
          </cell>
          <cell r="D2469">
            <v>225</v>
          </cell>
        </row>
        <row r="2470">
          <cell r="A2470">
            <v>35278</v>
          </cell>
          <cell r="B2470" t="str">
            <v>江西</v>
          </cell>
          <cell r="C2470" t="str">
            <v>艺术品</v>
          </cell>
          <cell r="D2470">
            <v>203</v>
          </cell>
        </row>
        <row r="2471">
          <cell r="A2471">
            <v>35278</v>
          </cell>
          <cell r="B2471" t="str">
            <v>江苏</v>
          </cell>
          <cell r="C2471" t="str">
            <v>自行车</v>
          </cell>
          <cell r="D2471">
            <v>448</v>
          </cell>
        </row>
        <row r="2472">
          <cell r="A2472">
            <v>35278</v>
          </cell>
          <cell r="B2472" t="str">
            <v>广东</v>
          </cell>
          <cell r="C2472" t="str">
            <v>自行车</v>
          </cell>
          <cell r="D2472">
            <v>146</v>
          </cell>
        </row>
        <row r="2473">
          <cell r="A2473">
            <v>35278</v>
          </cell>
          <cell r="B2473" t="str">
            <v>江苏</v>
          </cell>
          <cell r="C2473" t="str">
            <v>自行车</v>
          </cell>
          <cell r="D2473">
            <v>322</v>
          </cell>
        </row>
        <row r="2474">
          <cell r="A2474">
            <v>35278</v>
          </cell>
          <cell r="B2474" t="str">
            <v>广东</v>
          </cell>
          <cell r="C2474" t="str">
            <v>自行车</v>
          </cell>
          <cell r="D2474">
            <v>560</v>
          </cell>
        </row>
        <row r="2475">
          <cell r="A2475">
            <v>35278</v>
          </cell>
          <cell r="B2475" t="str">
            <v>广东</v>
          </cell>
          <cell r="C2475" t="str">
            <v>自行车</v>
          </cell>
          <cell r="D2475">
            <v>131</v>
          </cell>
        </row>
        <row r="2476">
          <cell r="A2476">
            <v>35278</v>
          </cell>
          <cell r="B2476" t="str">
            <v>山东</v>
          </cell>
          <cell r="C2476" t="str">
            <v>自行车</v>
          </cell>
          <cell r="D2476">
            <v>293</v>
          </cell>
        </row>
        <row r="2477">
          <cell r="A2477">
            <v>35278</v>
          </cell>
          <cell r="B2477" t="str">
            <v>安徽</v>
          </cell>
          <cell r="C2477" t="str">
            <v>自行车</v>
          </cell>
          <cell r="D2477">
            <v>114</v>
          </cell>
        </row>
        <row r="2478">
          <cell r="A2478">
            <v>35278</v>
          </cell>
          <cell r="B2478" t="str">
            <v>福建</v>
          </cell>
          <cell r="C2478" t="str">
            <v>自行车</v>
          </cell>
          <cell r="D2478">
            <v>263</v>
          </cell>
        </row>
        <row r="2479">
          <cell r="A2479">
            <v>35278</v>
          </cell>
          <cell r="B2479" t="str">
            <v>安徽</v>
          </cell>
          <cell r="C2479" t="str">
            <v>自行车</v>
          </cell>
          <cell r="D2479">
            <v>263</v>
          </cell>
        </row>
        <row r="2480">
          <cell r="A2480">
            <v>35278</v>
          </cell>
          <cell r="B2480" t="str">
            <v>江西</v>
          </cell>
          <cell r="C2480" t="str">
            <v>自行车</v>
          </cell>
          <cell r="D2480">
            <v>203</v>
          </cell>
        </row>
        <row r="2481">
          <cell r="A2481">
            <v>35278</v>
          </cell>
          <cell r="B2481" t="str">
            <v>山东</v>
          </cell>
          <cell r="C2481" t="str">
            <v>自行车</v>
          </cell>
          <cell r="D2481">
            <v>1366</v>
          </cell>
        </row>
        <row r="2482">
          <cell r="A2482">
            <v>35278</v>
          </cell>
          <cell r="B2482" t="str">
            <v>山东</v>
          </cell>
          <cell r="C2482" t="str">
            <v>自行车</v>
          </cell>
          <cell r="D2482">
            <v>200</v>
          </cell>
        </row>
        <row r="2483">
          <cell r="A2483">
            <v>35278</v>
          </cell>
          <cell r="B2483" t="str">
            <v>江西</v>
          </cell>
          <cell r="C2483" t="str">
            <v>自行车</v>
          </cell>
          <cell r="D2483">
            <v>371</v>
          </cell>
        </row>
        <row r="2484">
          <cell r="A2484">
            <v>35278</v>
          </cell>
          <cell r="B2484" t="str">
            <v>安徽</v>
          </cell>
          <cell r="C2484" t="str">
            <v>自行车</v>
          </cell>
          <cell r="D2484">
            <v>124</v>
          </cell>
        </row>
        <row r="2485">
          <cell r="A2485">
            <v>35278</v>
          </cell>
          <cell r="B2485" t="str">
            <v>江西</v>
          </cell>
          <cell r="C2485" t="str">
            <v>自行车</v>
          </cell>
          <cell r="D2485">
            <v>184</v>
          </cell>
        </row>
        <row r="2486">
          <cell r="A2486">
            <v>35278</v>
          </cell>
          <cell r="B2486" t="str">
            <v>江苏</v>
          </cell>
          <cell r="C2486" t="str">
            <v>自行车</v>
          </cell>
          <cell r="D2486">
            <v>342</v>
          </cell>
        </row>
        <row r="2487">
          <cell r="A2487">
            <v>35278</v>
          </cell>
          <cell r="B2487" t="str">
            <v>福建</v>
          </cell>
          <cell r="C2487" t="str">
            <v>自行车</v>
          </cell>
          <cell r="D2487">
            <v>426</v>
          </cell>
        </row>
        <row r="2488">
          <cell r="A2488">
            <v>35278</v>
          </cell>
          <cell r="B2488" t="str">
            <v>福建</v>
          </cell>
          <cell r="C2488" t="str">
            <v>自行车</v>
          </cell>
          <cell r="D2488">
            <v>248</v>
          </cell>
        </row>
        <row r="2489">
          <cell r="A2489">
            <v>35278</v>
          </cell>
          <cell r="B2489" t="str">
            <v>江苏</v>
          </cell>
          <cell r="C2489" t="str">
            <v>自行车</v>
          </cell>
          <cell r="D2489">
            <v>228</v>
          </cell>
        </row>
        <row r="2490">
          <cell r="A2490">
            <v>35278</v>
          </cell>
          <cell r="B2490" t="str">
            <v>福建</v>
          </cell>
          <cell r="C2490" t="str">
            <v>自行车</v>
          </cell>
          <cell r="D2490">
            <v>140</v>
          </cell>
        </row>
        <row r="2491">
          <cell r="A2491">
            <v>35278</v>
          </cell>
          <cell r="B2491" t="str">
            <v>安徽</v>
          </cell>
          <cell r="C2491" t="str">
            <v>自行车</v>
          </cell>
          <cell r="D2491">
            <v>770</v>
          </cell>
        </row>
        <row r="2492">
          <cell r="A2492">
            <v>35278</v>
          </cell>
          <cell r="B2492" t="str">
            <v>广东</v>
          </cell>
          <cell r="C2492" t="str">
            <v>自行车</v>
          </cell>
          <cell r="D2492">
            <v>836</v>
          </cell>
        </row>
        <row r="2493">
          <cell r="A2493">
            <v>35278</v>
          </cell>
          <cell r="B2493" t="str">
            <v>江西</v>
          </cell>
          <cell r="C2493" t="str">
            <v>自行车</v>
          </cell>
          <cell r="D2493">
            <v>210</v>
          </cell>
        </row>
        <row r="2494">
          <cell r="A2494">
            <v>35278</v>
          </cell>
          <cell r="B2494" t="str">
            <v>山东</v>
          </cell>
          <cell r="C2494" t="str">
            <v>自行车</v>
          </cell>
          <cell r="D2494">
            <v>680</v>
          </cell>
        </row>
        <row r="2495">
          <cell r="A2495">
            <v>35278</v>
          </cell>
          <cell r="B2495" t="str">
            <v>江西</v>
          </cell>
          <cell r="C2495" t="str">
            <v>瓷器</v>
          </cell>
          <cell r="D2495">
            <v>473</v>
          </cell>
        </row>
        <row r="2496">
          <cell r="A2496">
            <v>35278</v>
          </cell>
          <cell r="B2496" t="str">
            <v>福建</v>
          </cell>
          <cell r="C2496" t="str">
            <v>瓷器</v>
          </cell>
          <cell r="D2496">
            <v>1785</v>
          </cell>
        </row>
        <row r="2497">
          <cell r="A2497">
            <v>35278</v>
          </cell>
          <cell r="B2497" t="str">
            <v>山东</v>
          </cell>
          <cell r="C2497" t="str">
            <v>瓷器</v>
          </cell>
          <cell r="D2497">
            <v>46</v>
          </cell>
        </row>
        <row r="2498">
          <cell r="A2498">
            <v>35278</v>
          </cell>
          <cell r="B2498" t="str">
            <v>安徽</v>
          </cell>
          <cell r="C2498" t="str">
            <v>瓷器</v>
          </cell>
          <cell r="D2498">
            <v>184</v>
          </cell>
        </row>
        <row r="2499">
          <cell r="A2499">
            <v>35278</v>
          </cell>
          <cell r="B2499" t="str">
            <v>福建</v>
          </cell>
          <cell r="C2499" t="str">
            <v>瓷器</v>
          </cell>
          <cell r="D2499">
            <v>561</v>
          </cell>
        </row>
        <row r="2500">
          <cell r="A2500">
            <v>35278</v>
          </cell>
          <cell r="B2500" t="str">
            <v>广东</v>
          </cell>
          <cell r="C2500" t="str">
            <v>瓷器</v>
          </cell>
          <cell r="D2500">
            <v>61</v>
          </cell>
        </row>
        <row r="2501">
          <cell r="A2501">
            <v>35278</v>
          </cell>
          <cell r="B2501" t="str">
            <v>江苏</v>
          </cell>
          <cell r="C2501" t="str">
            <v>瓷器</v>
          </cell>
          <cell r="D2501">
            <v>54</v>
          </cell>
        </row>
        <row r="2502">
          <cell r="A2502">
            <v>35278</v>
          </cell>
          <cell r="B2502" t="str">
            <v>江西</v>
          </cell>
          <cell r="C2502" t="str">
            <v>瓷器</v>
          </cell>
          <cell r="D2502">
            <v>722</v>
          </cell>
        </row>
        <row r="2503">
          <cell r="A2503">
            <v>35278</v>
          </cell>
          <cell r="B2503" t="str">
            <v>江苏</v>
          </cell>
          <cell r="C2503" t="str">
            <v>瓷器</v>
          </cell>
          <cell r="D2503">
            <v>175</v>
          </cell>
        </row>
        <row r="2504">
          <cell r="A2504">
            <v>35278</v>
          </cell>
          <cell r="B2504" t="str">
            <v>江苏</v>
          </cell>
          <cell r="C2504" t="str">
            <v>瓷器</v>
          </cell>
          <cell r="D2504">
            <v>56</v>
          </cell>
        </row>
        <row r="2505">
          <cell r="A2505">
            <v>35278</v>
          </cell>
          <cell r="B2505" t="str">
            <v>江西</v>
          </cell>
          <cell r="C2505" t="str">
            <v>瓷器</v>
          </cell>
          <cell r="D2505">
            <v>535</v>
          </cell>
        </row>
        <row r="2506">
          <cell r="A2506">
            <v>35278</v>
          </cell>
          <cell r="B2506" t="str">
            <v>安徽</v>
          </cell>
          <cell r="C2506" t="str">
            <v>瓷器</v>
          </cell>
          <cell r="D2506">
            <v>175</v>
          </cell>
        </row>
        <row r="2507">
          <cell r="A2507">
            <v>35278</v>
          </cell>
          <cell r="B2507" t="str">
            <v>江西</v>
          </cell>
          <cell r="C2507" t="str">
            <v>瓷器</v>
          </cell>
          <cell r="D2507">
            <v>270</v>
          </cell>
        </row>
        <row r="2508">
          <cell r="A2508">
            <v>35278</v>
          </cell>
          <cell r="B2508" t="str">
            <v>山东</v>
          </cell>
          <cell r="C2508" t="str">
            <v>瓷器</v>
          </cell>
          <cell r="D2508">
            <v>101</v>
          </cell>
        </row>
        <row r="2509">
          <cell r="A2509">
            <v>35278</v>
          </cell>
          <cell r="B2509" t="str">
            <v>广东</v>
          </cell>
          <cell r="C2509" t="str">
            <v>瓷器</v>
          </cell>
          <cell r="D2509">
            <v>228</v>
          </cell>
        </row>
        <row r="2510">
          <cell r="A2510">
            <v>35278</v>
          </cell>
          <cell r="B2510" t="str">
            <v>山东</v>
          </cell>
          <cell r="C2510" t="str">
            <v>瓷器</v>
          </cell>
          <cell r="D2510">
            <v>70</v>
          </cell>
        </row>
        <row r="2511">
          <cell r="A2511">
            <v>35278</v>
          </cell>
          <cell r="B2511" t="str">
            <v>安徽</v>
          </cell>
          <cell r="C2511" t="str">
            <v>瓷器</v>
          </cell>
          <cell r="D2511">
            <v>214</v>
          </cell>
        </row>
        <row r="2512">
          <cell r="A2512">
            <v>35278</v>
          </cell>
          <cell r="B2512" t="str">
            <v>山东</v>
          </cell>
          <cell r="C2512" t="str">
            <v>瓷器</v>
          </cell>
          <cell r="D2512">
            <v>392</v>
          </cell>
        </row>
        <row r="2513">
          <cell r="A2513">
            <v>35278</v>
          </cell>
          <cell r="B2513" t="str">
            <v>江苏</v>
          </cell>
          <cell r="C2513" t="str">
            <v>瓷器</v>
          </cell>
          <cell r="D2513">
            <v>196</v>
          </cell>
        </row>
        <row r="2514">
          <cell r="A2514">
            <v>35278</v>
          </cell>
          <cell r="B2514" t="str">
            <v>福建</v>
          </cell>
          <cell r="C2514" t="str">
            <v>瓷器</v>
          </cell>
          <cell r="D2514">
            <v>158</v>
          </cell>
        </row>
        <row r="2515">
          <cell r="A2515">
            <v>35278</v>
          </cell>
          <cell r="B2515" t="str">
            <v>广东</v>
          </cell>
          <cell r="C2515" t="str">
            <v>瓷器</v>
          </cell>
          <cell r="D2515">
            <v>113</v>
          </cell>
        </row>
        <row r="2516">
          <cell r="A2516">
            <v>35278</v>
          </cell>
          <cell r="B2516" t="str">
            <v>广东</v>
          </cell>
          <cell r="C2516" t="str">
            <v>瓷器</v>
          </cell>
          <cell r="D2516">
            <v>203</v>
          </cell>
        </row>
        <row r="2517">
          <cell r="A2517">
            <v>35278</v>
          </cell>
          <cell r="B2517" t="str">
            <v>安徽</v>
          </cell>
          <cell r="C2517" t="str">
            <v>瓷器</v>
          </cell>
          <cell r="D2517">
            <v>2210</v>
          </cell>
        </row>
        <row r="2518">
          <cell r="A2518">
            <v>35278</v>
          </cell>
          <cell r="B2518" t="str">
            <v>福建</v>
          </cell>
          <cell r="C2518" t="str">
            <v>瓷器</v>
          </cell>
          <cell r="D2518">
            <v>203</v>
          </cell>
        </row>
        <row r="2519">
          <cell r="A2519">
            <v>35278</v>
          </cell>
          <cell r="B2519" t="str">
            <v>安徽</v>
          </cell>
          <cell r="C2519" t="str">
            <v>服装</v>
          </cell>
          <cell r="D2519">
            <v>131</v>
          </cell>
        </row>
        <row r="2520">
          <cell r="A2520">
            <v>35278</v>
          </cell>
          <cell r="B2520" t="str">
            <v>安徽</v>
          </cell>
          <cell r="C2520" t="str">
            <v>服装</v>
          </cell>
          <cell r="D2520">
            <v>123</v>
          </cell>
        </row>
        <row r="2521">
          <cell r="A2521">
            <v>35278</v>
          </cell>
          <cell r="B2521" t="str">
            <v>山东</v>
          </cell>
          <cell r="C2521" t="str">
            <v>服装</v>
          </cell>
          <cell r="D2521">
            <v>124</v>
          </cell>
        </row>
        <row r="2522">
          <cell r="A2522">
            <v>35278</v>
          </cell>
          <cell r="B2522" t="str">
            <v>山东</v>
          </cell>
          <cell r="C2522" t="str">
            <v>服装</v>
          </cell>
          <cell r="D2522">
            <v>88</v>
          </cell>
        </row>
        <row r="2523">
          <cell r="A2523">
            <v>35278</v>
          </cell>
          <cell r="B2523" t="str">
            <v>山东</v>
          </cell>
          <cell r="C2523" t="str">
            <v>服装</v>
          </cell>
          <cell r="D2523">
            <v>94</v>
          </cell>
        </row>
        <row r="2524">
          <cell r="A2524">
            <v>35278</v>
          </cell>
          <cell r="B2524" t="str">
            <v>安徽</v>
          </cell>
          <cell r="C2524" t="str">
            <v>服装</v>
          </cell>
          <cell r="D2524">
            <v>275</v>
          </cell>
        </row>
        <row r="2525">
          <cell r="A2525">
            <v>35278</v>
          </cell>
          <cell r="B2525" t="str">
            <v>安徽</v>
          </cell>
          <cell r="C2525" t="str">
            <v>服装</v>
          </cell>
          <cell r="D2525">
            <v>193</v>
          </cell>
        </row>
        <row r="2526">
          <cell r="A2526">
            <v>35278</v>
          </cell>
          <cell r="B2526" t="str">
            <v>山东</v>
          </cell>
          <cell r="C2526" t="str">
            <v>服装</v>
          </cell>
          <cell r="D2526">
            <v>23</v>
          </cell>
        </row>
        <row r="2527">
          <cell r="A2527">
            <v>35278</v>
          </cell>
          <cell r="B2527" t="str">
            <v>安徽</v>
          </cell>
          <cell r="C2527" t="str">
            <v>服装</v>
          </cell>
          <cell r="D2527">
            <v>68</v>
          </cell>
        </row>
        <row r="2528">
          <cell r="A2528">
            <v>35278</v>
          </cell>
          <cell r="B2528" t="str">
            <v>安徽</v>
          </cell>
          <cell r="C2528" t="str">
            <v>服装</v>
          </cell>
          <cell r="D2528">
            <v>180</v>
          </cell>
        </row>
        <row r="2529">
          <cell r="A2529">
            <v>35278</v>
          </cell>
          <cell r="B2529" t="str">
            <v>山东</v>
          </cell>
          <cell r="C2529" t="str">
            <v>服装</v>
          </cell>
          <cell r="D2529">
            <v>2170</v>
          </cell>
        </row>
        <row r="2530">
          <cell r="A2530">
            <v>35278</v>
          </cell>
          <cell r="B2530" t="str">
            <v>山东</v>
          </cell>
          <cell r="C2530" t="str">
            <v>服装</v>
          </cell>
          <cell r="D2530">
            <v>3105</v>
          </cell>
        </row>
        <row r="2531">
          <cell r="A2531">
            <v>35278</v>
          </cell>
          <cell r="B2531" t="str">
            <v>江西</v>
          </cell>
          <cell r="C2531" t="str">
            <v>食品</v>
          </cell>
          <cell r="D2531">
            <v>338</v>
          </cell>
        </row>
        <row r="2532">
          <cell r="A2532">
            <v>35278</v>
          </cell>
          <cell r="B2532" t="str">
            <v>福建</v>
          </cell>
          <cell r="C2532" t="str">
            <v>食品</v>
          </cell>
          <cell r="D2532">
            <v>360</v>
          </cell>
        </row>
        <row r="2533">
          <cell r="A2533">
            <v>35278</v>
          </cell>
          <cell r="B2533" t="str">
            <v>山东</v>
          </cell>
          <cell r="C2533" t="str">
            <v>食品</v>
          </cell>
          <cell r="D2533">
            <v>416</v>
          </cell>
        </row>
        <row r="2534">
          <cell r="A2534">
            <v>35278</v>
          </cell>
          <cell r="B2534" t="str">
            <v>福建</v>
          </cell>
          <cell r="C2534" t="str">
            <v>食品</v>
          </cell>
          <cell r="D2534">
            <v>426</v>
          </cell>
        </row>
        <row r="2535">
          <cell r="A2535">
            <v>35278</v>
          </cell>
          <cell r="B2535" t="str">
            <v>安徽</v>
          </cell>
          <cell r="C2535" t="str">
            <v>食品</v>
          </cell>
          <cell r="D2535">
            <v>404</v>
          </cell>
        </row>
        <row r="2536">
          <cell r="A2536">
            <v>35278</v>
          </cell>
          <cell r="B2536" t="str">
            <v>福建</v>
          </cell>
          <cell r="C2536" t="str">
            <v>食品</v>
          </cell>
          <cell r="D2536">
            <v>245</v>
          </cell>
        </row>
        <row r="2537">
          <cell r="A2537">
            <v>35278</v>
          </cell>
          <cell r="B2537" t="str">
            <v>江西</v>
          </cell>
          <cell r="C2537" t="str">
            <v>食品</v>
          </cell>
          <cell r="D2537">
            <v>158</v>
          </cell>
        </row>
        <row r="2538">
          <cell r="A2538">
            <v>35278</v>
          </cell>
          <cell r="B2538" t="str">
            <v>广东</v>
          </cell>
          <cell r="C2538" t="str">
            <v>食品</v>
          </cell>
          <cell r="D2538">
            <v>263</v>
          </cell>
        </row>
        <row r="2539">
          <cell r="A2539">
            <v>35278</v>
          </cell>
          <cell r="B2539" t="str">
            <v>江西</v>
          </cell>
          <cell r="C2539" t="str">
            <v>食品</v>
          </cell>
          <cell r="D2539">
            <v>131</v>
          </cell>
        </row>
        <row r="2540">
          <cell r="A2540">
            <v>35278</v>
          </cell>
          <cell r="B2540" t="str">
            <v>安徽</v>
          </cell>
          <cell r="C2540" t="str">
            <v>食品</v>
          </cell>
          <cell r="D2540">
            <v>626</v>
          </cell>
        </row>
        <row r="2541">
          <cell r="A2541">
            <v>35278</v>
          </cell>
          <cell r="B2541" t="str">
            <v>山东</v>
          </cell>
          <cell r="C2541" t="str">
            <v>食品</v>
          </cell>
          <cell r="D2541">
            <v>595</v>
          </cell>
        </row>
        <row r="2542">
          <cell r="A2542">
            <v>35278</v>
          </cell>
          <cell r="B2542" t="str">
            <v>山东</v>
          </cell>
          <cell r="C2542" t="str">
            <v>食品</v>
          </cell>
          <cell r="D2542">
            <v>180</v>
          </cell>
        </row>
        <row r="2543">
          <cell r="A2543">
            <v>35278</v>
          </cell>
          <cell r="B2543" t="str">
            <v>广东</v>
          </cell>
          <cell r="C2543" t="str">
            <v>食品</v>
          </cell>
          <cell r="D2543">
            <v>135</v>
          </cell>
        </row>
        <row r="2544">
          <cell r="A2544">
            <v>35278</v>
          </cell>
          <cell r="B2544" t="str">
            <v>安徽</v>
          </cell>
          <cell r="C2544" t="str">
            <v>食品</v>
          </cell>
          <cell r="D2544">
            <v>708</v>
          </cell>
        </row>
        <row r="2545">
          <cell r="A2545">
            <v>35278</v>
          </cell>
          <cell r="B2545" t="str">
            <v>安徽</v>
          </cell>
          <cell r="C2545" t="str">
            <v>食品</v>
          </cell>
          <cell r="D2545">
            <v>527</v>
          </cell>
        </row>
        <row r="2546">
          <cell r="A2546">
            <v>35278</v>
          </cell>
          <cell r="B2546" t="str">
            <v>广东</v>
          </cell>
          <cell r="C2546" t="str">
            <v>食品</v>
          </cell>
          <cell r="D2546">
            <v>166</v>
          </cell>
        </row>
        <row r="2547">
          <cell r="A2547">
            <v>35278</v>
          </cell>
          <cell r="B2547" t="str">
            <v>广东</v>
          </cell>
          <cell r="C2547" t="str">
            <v>食品</v>
          </cell>
          <cell r="D2547">
            <v>470</v>
          </cell>
        </row>
        <row r="2548">
          <cell r="A2548">
            <v>35278</v>
          </cell>
          <cell r="B2548" t="str">
            <v>福建</v>
          </cell>
          <cell r="C2548" t="str">
            <v>食品</v>
          </cell>
          <cell r="D2548">
            <v>131</v>
          </cell>
        </row>
        <row r="2549">
          <cell r="A2549">
            <v>35278</v>
          </cell>
          <cell r="B2549" t="str">
            <v>江西</v>
          </cell>
          <cell r="C2549" t="str">
            <v>食品</v>
          </cell>
          <cell r="D2549">
            <v>459</v>
          </cell>
        </row>
        <row r="2550">
          <cell r="A2550">
            <v>35278</v>
          </cell>
          <cell r="B2550" t="str">
            <v>江苏</v>
          </cell>
          <cell r="C2550" t="str">
            <v>食品</v>
          </cell>
          <cell r="D2550">
            <v>42</v>
          </cell>
        </row>
        <row r="2551">
          <cell r="A2551">
            <v>35278</v>
          </cell>
          <cell r="B2551" t="str">
            <v>山东</v>
          </cell>
          <cell r="C2551" t="str">
            <v>食品</v>
          </cell>
          <cell r="D2551">
            <v>88</v>
          </cell>
        </row>
        <row r="2552">
          <cell r="A2552">
            <v>35278</v>
          </cell>
          <cell r="B2552" t="str">
            <v>江苏</v>
          </cell>
          <cell r="C2552" t="str">
            <v>食品</v>
          </cell>
          <cell r="D2552">
            <v>108</v>
          </cell>
        </row>
        <row r="2553">
          <cell r="A2553">
            <v>35278</v>
          </cell>
          <cell r="B2553" t="str">
            <v>江苏</v>
          </cell>
          <cell r="C2553" t="str">
            <v>食品</v>
          </cell>
          <cell r="D2553">
            <v>113</v>
          </cell>
        </row>
        <row r="2554">
          <cell r="A2554">
            <v>35278</v>
          </cell>
          <cell r="B2554" t="str">
            <v>江苏</v>
          </cell>
          <cell r="C2554" t="str">
            <v>食品</v>
          </cell>
          <cell r="D2554">
            <v>114</v>
          </cell>
        </row>
        <row r="2555">
          <cell r="A2555">
            <v>35278</v>
          </cell>
          <cell r="B2555" t="str">
            <v>江西</v>
          </cell>
          <cell r="C2555" t="str">
            <v>儿童用品</v>
          </cell>
          <cell r="D2555">
            <v>56</v>
          </cell>
        </row>
        <row r="2556">
          <cell r="A2556">
            <v>35278</v>
          </cell>
          <cell r="B2556" t="str">
            <v>广东</v>
          </cell>
          <cell r="C2556" t="str">
            <v>儿童用品</v>
          </cell>
          <cell r="D2556">
            <v>238</v>
          </cell>
        </row>
        <row r="2557">
          <cell r="A2557">
            <v>35278</v>
          </cell>
          <cell r="B2557" t="str">
            <v>山东</v>
          </cell>
          <cell r="C2557" t="str">
            <v>儿童用品</v>
          </cell>
          <cell r="D2557">
            <v>44</v>
          </cell>
        </row>
        <row r="2558">
          <cell r="A2558">
            <v>35278</v>
          </cell>
          <cell r="B2558" t="str">
            <v>山东</v>
          </cell>
          <cell r="C2558" t="str">
            <v>儿童用品</v>
          </cell>
          <cell r="D2558">
            <v>68</v>
          </cell>
        </row>
        <row r="2559">
          <cell r="A2559">
            <v>35278</v>
          </cell>
          <cell r="B2559" t="str">
            <v>江苏</v>
          </cell>
          <cell r="C2559" t="str">
            <v>儿童用品</v>
          </cell>
          <cell r="D2559">
            <v>70</v>
          </cell>
        </row>
        <row r="2560">
          <cell r="A2560">
            <v>35278</v>
          </cell>
          <cell r="B2560" t="str">
            <v>江西</v>
          </cell>
          <cell r="C2560" t="str">
            <v>儿童用品</v>
          </cell>
          <cell r="D2560">
            <v>72</v>
          </cell>
        </row>
        <row r="2561">
          <cell r="A2561">
            <v>35278</v>
          </cell>
          <cell r="B2561" t="str">
            <v>福建</v>
          </cell>
          <cell r="C2561" t="str">
            <v>儿童用品</v>
          </cell>
          <cell r="D2561">
            <v>90</v>
          </cell>
        </row>
        <row r="2562">
          <cell r="A2562">
            <v>35278</v>
          </cell>
          <cell r="B2562" t="str">
            <v>江苏</v>
          </cell>
          <cell r="C2562" t="str">
            <v>儿童用品</v>
          </cell>
          <cell r="D2562">
            <v>104</v>
          </cell>
        </row>
        <row r="2563">
          <cell r="A2563">
            <v>35278</v>
          </cell>
          <cell r="B2563" t="str">
            <v>福建</v>
          </cell>
          <cell r="C2563" t="str">
            <v>儿童用品</v>
          </cell>
          <cell r="D2563">
            <v>105</v>
          </cell>
        </row>
        <row r="2564">
          <cell r="A2564">
            <v>35278</v>
          </cell>
          <cell r="B2564" t="str">
            <v>山东</v>
          </cell>
          <cell r="C2564" t="str">
            <v>儿童用品</v>
          </cell>
          <cell r="D2564">
            <v>105</v>
          </cell>
        </row>
        <row r="2565">
          <cell r="A2565">
            <v>35278</v>
          </cell>
          <cell r="B2565" t="str">
            <v>江苏</v>
          </cell>
          <cell r="C2565" t="str">
            <v>儿童用品</v>
          </cell>
          <cell r="D2565">
            <v>112</v>
          </cell>
        </row>
        <row r="2566">
          <cell r="A2566">
            <v>35278</v>
          </cell>
          <cell r="B2566" t="str">
            <v>广东</v>
          </cell>
          <cell r="C2566" t="str">
            <v>儿童用品</v>
          </cell>
          <cell r="D2566">
            <v>124</v>
          </cell>
        </row>
        <row r="2567">
          <cell r="A2567">
            <v>35278</v>
          </cell>
          <cell r="B2567" t="str">
            <v>江苏</v>
          </cell>
          <cell r="C2567" t="str">
            <v>儿童用品</v>
          </cell>
          <cell r="D2567">
            <v>146</v>
          </cell>
        </row>
        <row r="2568">
          <cell r="A2568">
            <v>35278</v>
          </cell>
          <cell r="B2568" t="str">
            <v>福建</v>
          </cell>
          <cell r="C2568" t="str">
            <v>儿童用品</v>
          </cell>
          <cell r="D2568">
            <v>221</v>
          </cell>
        </row>
        <row r="2569">
          <cell r="A2569">
            <v>35278</v>
          </cell>
          <cell r="B2569" t="str">
            <v>安徽</v>
          </cell>
          <cell r="C2569" t="str">
            <v>儿童用品</v>
          </cell>
          <cell r="D2569">
            <v>387</v>
          </cell>
        </row>
        <row r="2570">
          <cell r="A2570">
            <v>35278</v>
          </cell>
          <cell r="B2570" t="str">
            <v>广东</v>
          </cell>
          <cell r="C2570" t="str">
            <v>儿童用品</v>
          </cell>
          <cell r="D2570">
            <v>228</v>
          </cell>
        </row>
        <row r="2571">
          <cell r="A2571">
            <v>35278</v>
          </cell>
          <cell r="B2571" t="str">
            <v>江西</v>
          </cell>
          <cell r="C2571" t="str">
            <v>儿童用品</v>
          </cell>
          <cell r="D2571">
            <v>459</v>
          </cell>
        </row>
        <row r="2572">
          <cell r="A2572">
            <v>35278</v>
          </cell>
          <cell r="B2572" t="str">
            <v>安徽</v>
          </cell>
          <cell r="C2572" t="str">
            <v>儿童用品</v>
          </cell>
          <cell r="D2572">
            <v>480</v>
          </cell>
        </row>
        <row r="2573">
          <cell r="A2573">
            <v>35278</v>
          </cell>
          <cell r="B2573" t="str">
            <v>福建</v>
          </cell>
          <cell r="C2573" t="str">
            <v>儿童用品</v>
          </cell>
          <cell r="D2573">
            <v>526</v>
          </cell>
        </row>
        <row r="2574">
          <cell r="A2574">
            <v>35278</v>
          </cell>
          <cell r="B2574" t="str">
            <v>山东</v>
          </cell>
          <cell r="C2574" t="str">
            <v>儿童用品</v>
          </cell>
          <cell r="D2574">
            <v>531</v>
          </cell>
        </row>
        <row r="2575">
          <cell r="A2575">
            <v>35278</v>
          </cell>
          <cell r="B2575" t="str">
            <v>江西</v>
          </cell>
          <cell r="C2575" t="str">
            <v>儿童用品</v>
          </cell>
          <cell r="D2575">
            <v>1291</v>
          </cell>
        </row>
        <row r="2576">
          <cell r="A2576">
            <v>35278</v>
          </cell>
          <cell r="B2576" t="str">
            <v>安徽</v>
          </cell>
          <cell r="C2576" t="str">
            <v>儿童用品</v>
          </cell>
          <cell r="D2576">
            <v>1476</v>
          </cell>
        </row>
        <row r="2577">
          <cell r="A2577">
            <v>35278</v>
          </cell>
          <cell r="B2577" t="str">
            <v>安徽</v>
          </cell>
          <cell r="C2577" t="str">
            <v>儿童用品</v>
          </cell>
          <cell r="D2577">
            <v>1658</v>
          </cell>
        </row>
        <row r="2578">
          <cell r="A2578">
            <v>35278</v>
          </cell>
          <cell r="B2578" t="str">
            <v>广东</v>
          </cell>
          <cell r="C2578" t="str">
            <v>儿童用品</v>
          </cell>
          <cell r="D2578">
            <v>1873</v>
          </cell>
        </row>
        <row r="2579">
          <cell r="A2579">
            <v>35278</v>
          </cell>
          <cell r="B2579" t="str">
            <v>福建</v>
          </cell>
          <cell r="C2579" t="str">
            <v>体育用品</v>
          </cell>
          <cell r="D2579">
            <v>1863</v>
          </cell>
        </row>
        <row r="2580">
          <cell r="A2580">
            <v>35278</v>
          </cell>
          <cell r="B2580" t="str">
            <v>安徽</v>
          </cell>
          <cell r="C2580" t="str">
            <v>体育用品</v>
          </cell>
          <cell r="D2580">
            <v>26</v>
          </cell>
        </row>
        <row r="2581">
          <cell r="A2581">
            <v>35278</v>
          </cell>
          <cell r="B2581" t="str">
            <v>山东</v>
          </cell>
          <cell r="C2581" t="str">
            <v>体育用品</v>
          </cell>
          <cell r="D2581">
            <v>7</v>
          </cell>
        </row>
        <row r="2582">
          <cell r="A2582">
            <v>35278</v>
          </cell>
          <cell r="B2582" t="str">
            <v>山东</v>
          </cell>
          <cell r="C2582" t="str">
            <v>体育用品</v>
          </cell>
          <cell r="D2582">
            <v>9</v>
          </cell>
        </row>
        <row r="2583">
          <cell r="A2583">
            <v>35278</v>
          </cell>
          <cell r="B2583" t="str">
            <v>广东</v>
          </cell>
          <cell r="C2583" t="str">
            <v>体育用品</v>
          </cell>
          <cell r="D2583">
            <v>26</v>
          </cell>
        </row>
        <row r="2584">
          <cell r="A2584">
            <v>35278</v>
          </cell>
          <cell r="B2584" t="str">
            <v>江苏</v>
          </cell>
          <cell r="C2584" t="str">
            <v>体育用品</v>
          </cell>
          <cell r="D2584">
            <v>35</v>
          </cell>
        </row>
        <row r="2585">
          <cell r="A2585">
            <v>35278</v>
          </cell>
          <cell r="B2585" t="str">
            <v>山东</v>
          </cell>
          <cell r="C2585" t="str">
            <v>体育用品</v>
          </cell>
          <cell r="D2585">
            <v>35</v>
          </cell>
        </row>
        <row r="2586">
          <cell r="A2586">
            <v>35278</v>
          </cell>
          <cell r="B2586" t="str">
            <v>江苏</v>
          </cell>
          <cell r="C2586" t="str">
            <v>体育用品</v>
          </cell>
          <cell r="D2586">
            <v>39</v>
          </cell>
        </row>
        <row r="2587">
          <cell r="A2587">
            <v>35278</v>
          </cell>
          <cell r="B2587" t="str">
            <v>安徽</v>
          </cell>
          <cell r="C2587" t="str">
            <v>体育用品</v>
          </cell>
          <cell r="D2587">
            <v>39</v>
          </cell>
        </row>
        <row r="2588">
          <cell r="A2588">
            <v>35278</v>
          </cell>
          <cell r="B2588" t="str">
            <v>江苏</v>
          </cell>
          <cell r="C2588" t="str">
            <v>体育用品</v>
          </cell>
          <cell r="D2588">
            <v>41</v>
          </cell>
        </row>
        <row r="2589">
          <cell r="A2589">
            <v>35278</v>
          </cell>
          <cell r="B2589" t="str">
            <v>山东</v>
          </cell>
          <cell r="C2589" t="str">
            <v>体育用品</v>
          </cell>
          <cell r="D2589">
            <v>41</v>
          </cell>
        </row>
        <row r="2590">
          <cell r="A2590">
            <v>35278</v>
          </cell>
          <cell r="B2590" t="str">
            <v>山东</v>
          </cell>
          <cell r="C2590" t="str">
            <v>体育用品</v>
          </cell>
          <cell r="D2590">
            <v>44</v>
          </cell>
        </row>
        <row r="2591">
          <cell r="A2591">
            <v>35278</v>
          </cell>
          <cell r="B2591" t="str">
            <v>安徽</v>
          </cell>
          <cell r="C2591" t="str">
            <v>体育用品</v>
          </cell>
          <cell r="D2591">
            <v>46</v>
          </cell>
        </row>
        <row r="2592">
          <cell r="A2592">
            <v>35278</v>
          </cell>
          <cell r="B2592" t="str">
            <v>江西</v>
          </cell>
          <cell r="C2592" t="str">
            <v>体育用品</v>
          </cell>
          <cell r="D2592">
            <v>18</v>
          </cell>
        </row>
        <row r="2593">
          <cell r="A2593">
            <v>35278</v>
          </cell>
          <cell r="B2593" t="str">
            <v>江苏</v>
          </cell>
          <cell r="C2593" t="str">
            <v>体育用品</v>
          </cell>
          <cell r="D2593">
            <v>69</v>
          </cell>
        </row>
        <row r="2594">
          <cell r="A2594">
            <v>35278</v>
          </cell>
          <cell r="B2594" t="str">
            <v>山东</v>
          </cell>
          <cell r="C2594" t="str">
            <v>体育用品</v>
          </cell>
          <cell r="D2594">
            <v>56</v>
          </cell>
        </row>
        <row r="2595">
          <cell r="A2595">
            <v>35278</v>
          </cell>
          <cell r="B2595" t="str">
            <v>江西</v>
          </cell>
          <cell r="C2595" t="str">
            <v>体育用品</v>
          </cell>
          <cell r="D2595">
            <v>248</v>
          </cell>
        </row>
        <row r="2596">
          <cell r="A2596">
            <v>35278</v>
          </cell>
          <cell r="B2596" t="str">
            <v>广东</v>
          </cell>
          <cell r="C2596" t="str">
            <v>体育用品</v>
          </cell>
          <cell r="D2596">
            <v>347</v>
          </cell>
        </row>
        <row r="2597">
          <cell r="A2597">
            <v>35278</v>
          </cell>
          <cell r="B2597" t="str">
            <v>福建</v>
          </cell>
          <cell r="C2597" t="str">
            <v>体育用品</v>
          </cell>
          <cell r="D2597">
            <v>627</v>
          </cell>
        </row>
        <row r="2598">
          <cell r="A2598">
            <v>35278</v>
          </cell>
          <cell r="B2598" t="str">
            <v>安徽</v>
          </cell>
          <cell r="C2598" t="str">
            <v>体育用品</v>
          </cell>
          <cell r="D2598">
            <v>810</v>
          </cell>
        </row>
        <row r="2599">
          <cell r="A2599">
            <v>35278</v>
          </cell>
          <cell r="B2599" t="str">
            <v>广东</v>
          </cell>
          <cell r="C2599" t="str">
            <v>体育用品</v>
          </cell>
          <cell r="D2599">
            <v>954</v>
          </cell>
        </row>
        <row r="2600">
          <cell r="A2600">
            <v>35278</v>
          </cell>
          <cell r="B2600" t="str">
            <v>广东</v>
          </cell>
          <cell r="C2600" t="str">
            <v>体育用品</v>
          </cell>
          <cell r="D2600">
            <v>1560</v>
          </cell>
        </row>
        <row r="2601">
          <cell r="A2601">
            <v>35278</v>
          </cell>
          <cell r="B2601" t="str">
            <v>江西</v>
          </cell>
          <cell r="C2601" t="str">
            <v>体育用品</v>
          </cell>
          <cell r="D2601">
            <v>124</v>
          </cell>
        </row>
        <row r="2602">
          <cell r="A2602">
            <v>35278</v>
          </cell>
          <cell r="B2602" t="str">
            <v>福建</v>
          </cell>
          <cell r="C2602" t="str">
            <v>体育用品</v>
          </cell>
          <cell r="D2602">
            <v>898</v>
          </cell>
        </row>
        <row r="2603">
          <cell r="A2603">
            <v>35278</v>
          </cell>
          <cell r="B2603" t="str">
            <v>广东</v>
          </cell>
          <cell r="C2603" t="str">
            <v>体育用品</v>
          </cell>
          <cell r="D2603">
            <v>69</v>
          </cell>
        </row>
        <row r="2604">
          <cell r="A2604">
            <v>35278</v>
          </cell>
          <cell r="B2604" t="str">
            <v>福建</v>
          </cell>
          <cell r="C2604" t="str">
            <v>体育用品</v>
          </cell>
          <cell r="D2604">
            <v>77</v>
          </cell>
        </row>
        <row r="2605">
          <cell r="A2605">
            <v>35278</v>
          </cell>
          <cell r="B2605" t="str">
            <v>福建</v>
          </cell>
          <cell r="C2605" t="str">
            <v>体育用品</v>
          </cell>
          <cell r="D2605">
            <v>77</v>
          </cell>
        </row>
        <row r="2606">
          <cell r="A2606">
            <v>35278</v>
          </cell>
          <cell r="B2606" t="str">
            <v>安徽</v>
          </cell>
          <cell r="C2606" t="str">
            <v>体育用品</v>
          </cell>
          <cell r="D2606">
            <v>83</v>
          </cell>
        </row>
        <row r="2607">
          <cell r="A2607">
            <v>35278</v>
          </cell>
          <cell r="B2607" t="str">
            <v>江苏</v>
          </cell>
          <cell r="C2607" t="str">
            <v>体育用品</v>
          </cell>
          <cell r="D2607">
            <v>90</v>
          </cell>
        </row>
        <row r="2608">
          <cell r="A2608">
            <v>35278</v>
          </cell>
          <cell r="B2608" t="str">
            <v>江西</v>
          </cell>
          <cell r="C2608" t="str">
            <v>体育用品</v>
          </cell>
          <cell r="D2608">
            <v>96</v>
          </cell>
        </row>
        <row r="2609">
          <cell r="A2609">
            <v>35278</v>
          </cell>
          <cell r="B2609" t="str">
            <v>安徽</v>
          </cell>
          <cell r="C2609" t="str">
            <v>体育用品</v>
          </cell>
          <cell r="D2609">
            <v>101</v>
          </cell>
        </row>
        <row r="2610">
          <cell r="A2610">
            <v>35278</v>
          </cell>
          <cell r="B2610" t="str">
            <v>江西</v>
          </cell>
          <cell r="C2610" t="str">
            <v>体育用品</v>
          </cell>
          <cell r="D2610">
            <v>105</v>
          </cell>
        </row>
        <row r="2611">
          <cell r="A2611">
            <v>35278</v>
          </cell>
          <cell r="B2611" t="str">
            <v>广东</v>
          </cell>
          <cell r="C2611" t="str">
            <v>体育用品</v>
          </cell>
          <cell r="D2611">
            <v>113</v>
          </cell>
        </row>
        <row r="2612">
          <cell r="A2612">
            <v>35278</v>
          </cell>
          <cell r="B2612" t="str">
            <v>江苏</v>
          </cell>
          <cell r="C2612" t="str">
            <v>体育用品</v>
          </cell>
          <cell r="D2612">
            <v>138</v>
          </cell>
        </row>
        <row r="2613">
          <cell r="A2613">
            <v>35278</v>
          </cell>
          <cell r="B2613" t="str">
            <v>福建</v>
          </cell>
          <cell r="C2613" t="str">
            <v>体育用品</v>
          </cell>
          <cell r="D2613">
            <v>204</v>
          </cell>
        </row>
        <row r="2614">
          <cell r="A2614">
            <v>35309</v>
          </cell>
          <cell r="B2614" t="str">
            <v>广东</v>
          </cell>
          <cell r="C2614" t="str">
            <v>艺术品</v>
          </cell>
          <cell r="D2614">
            <v>293</v>
          </cell>
        </row>
        <row r="2615">
          <cell r="A2615">
            <v>35309</v>
          </cell>
          <cell r="B2615" t="str">
            <v>福建</v>
          </cell>
          <cell r="C2615" t="str">
            <v>艺术品</v>
          </cell>
          <cell r="D2615">
            <v>220</v>
          </cell>
        </row>
        <row r="2616">
          <cell r="A2616">
            <v>35309</v>
          </cell>
          <cell r="B2616" t="str">
            <v>安徽</v>
          </cell>
          <cell r="C2616" t="str">
            <v>艺术品</v>
          </cell>
          <cell r="D2616">
            <v>220</v>
          </cell>
        </row>
        <row r="2617">
          <cell r="A2617">
            <v>35309</v>
          </cell>
          <cell r="B2617" t="str">
            <v>福建</v>
          </cell>
          <cell r="C2617" t="str">
            <v>艺术品</v>
          </cell>
          <cell r="D2617">
            <v>236</v>
          </cell>
        </row>
        <row r="2618">
          <cell r="A2618">
            <v>35309</v>
          </cell>
          <cell r="B2618" t="str">
            <v>福建</v>
          </cell>
          <cell r="C2618" t="str">
            <v>艺术品</v>
          </cell>
          <cell r="D2618">
            <v>360</v>
          </cell>
        </row>
        <row r="2619">
          <cell r="A2619">
            <v>35309</v>
          </cell>
          <cell r="B2619" t="str">
            <v>安徽</v>
          </cell>
          <cell r="C2619" t="str">
            <v>艺术品</v>
          </cell>
          <cell r="D2619">
            <v>428</v>
          </cell>
        </row>
        <row r="2620">
          <cell r="A2620">
            <v>35309</v>
          </cell>
          <cell r="B2620" t="str">
            <v>福建</v>
          </cell>
          <cell r="C2620" t="str">
            <v>艺术品</v>
          </cell>
          <cell r="D2620">
            <v>400</v>
          </cell>
        </row>
        <row r="2621">
          <cell r="A2621">
            <v>35309</v>
          </cell>
          <cell r="B2621" t="str">
            <v>江西</v>
          </cell>
          <cell r="C2621" t="str">
            <v>艺术品</v>
          </cell>
          <cell r="D2621">
            <v>371</v>
          </cell>
        </row>
        <row r="2622">
          <cell r="A2622">
            <v>35309</v>
          </cell>
          <cell r="B2622" t="str">
            <v>江苏</v>
          </cell>
          <cell r="C2622" t="str">
            <v>艺术品</v>
          </cell>
          <cell r="D2622">
            <v>344</v>
          </cell>
        </row>
        <row r="2623">
          <cell r="A2623">
            <v>35309</v>
          </cell>
          <cell r="B2623" t="str">
            <v>江西</v>
          </cell>
          <cell r="C2623" t="str">
            <v>艺术品</v>
          </cell>
          <cell r="D2623">
            <v>338</v>
          </cell>
        </row>
        <row r="2624">
          <cell r="A2624">
            <v>35309</v>
          </cell>
          <cell r="B2624" t="str">
            <v>江苏</v>
          </cell>
          <cell r="C2624" t="str">
            <v>艺术品</v>
          </cell>
          <cell r="D2624">
            <v>160</v>
          </cell>
        </row>
        <row r="2625">
          <cell r="A2625">
            <v>35309</v>
          </cell>
          <cell r="B2625" t="str">
            <v>江苏</v>
          </cell>
          <cell r="C2625" t="str">
            <v>艺术品</v>
          </cell>
          <cell r="D2625">
            <v>387</v>
          </cell>
        </row>
        <row r="2626">
          <cell r="A2626">
            <v>35309</v>
          </cell>
          <cell r="B2626" t="str">
            <v>安徽</v>
          </cell>
          <cell r="C2626" t="str">
            <v>艺术品</v>
          </cell>
          <cell r="D2626">
            <v>68</v>
          </cell>
        </row>
        <row r="2627">
          <cell r="A2627">
            <v>35309</v>
          </cell>
          <cell r="B2627" t="str">
            <v>江西</v>
          </cell>
          <cell r="C2627" t="str">
            <v>艺术品</v>
          </cell>
          <cell r="D2627">
            <v>83</v>
          </cell>
        </row>
        <row r="2628">
          <cell r="A2628">
            <v>35309</v>
          </cell>
          <cell r="B2628" t="str">
            <v>广东</v>
          </cell>
          <cell r="C2628" t="str">
            <v>艺术品</v>
          </cell>
          <cell r="D2628">
            <v>124</v>
          </cell>
        </row>
        <row r="2629">
          <cell r="A2629">
            <v>35309</v>
          </cell>
          <cell r="B2629" t="str">
            <v>江苏</v>
          </cell>
          <cell r="C2629" t="str">
            <v>艺术品</v>
          </cell>
          <cell r="D2629">
            <v>124</v>
          </cell>
        </row>
        <row r="2630">
          <cell r="A2630">
            <v>35309</v>
          </cell>
          <cell r="B2630" t="str">
            <v>山东</v>
          </cell>
          <cell r="C2630" t="str">
            <v>艺术品</v>
          </cell>
          <cell r="D2630">
            <v>2211</v>
          </cell>
        </row>
        <row r="2631">
          <cell r="A2631">
            <v>35309</v>
          </cell>
          <cell r="B2631" t="str">
            <v>广东</v>
          </cell>
          <cell r="C2631" t="str">
            <v>艺术品</v>
          </cell>
          <cell r="D2631">
            <v>843</v>
          </cell>
        </row>
        <row r="2632">
          <cell r="A2632">
            <v>35309</v>
          </cell>
          <cell r="B2632" t="str">
            <v>山东</v>
          </cell>
          <cell r="C2632" t="str">
            <v>艺术品</v>
          </cell>
          <cell r="D2632">
            <v>587</v>
          </cell>
        </row>
        <row r="2633">
          <cell r="A2633">
            <v>35309</v>
          </cell>
          <cell r="B2633" t="str">
            <v>广东</v>
          </cell>
          <cell r="C2633" t="str">
            <v>艺术品</v>
          </cell>
          <cell r="D2633">
            <v>2096</v>
          </cell>
        </row>
        <row r="2634">
          <cell r="A2634">
            <v>35309</v>
          </cell>
          <cell r="B2634" t="str">
            <v>山东</v>
          </cell>
          <cell r="C2634" t="str">
            <v>艺术品</v>
          </cell>
          <cell r="D2634">
            <v>633</v>
          </cell>
        </row>
        <row r="2635">
          <cell r="A2635">
            <v>35309</v>
          </cell>
          <cell r="B2635" t="str">
            <v>江西</v>
          </cell>
          <cell r="C2635" t="str">
            <v>艺术品</v>
          </cell>
          <cell r="D2635">
            <v>948</v>
          </cell>
        </row>
        <row r="2636">
          <cell r="A2636">
            <v>35309</v>
          </cell>
          <cell r="B2636" t="str">
            <v>安徽</v>
          </cell>
          <cell r="C2636" t="str">
            <v>艺术品</v>
          </cell>
          <cell r="D2636">
            <v>3148</v>
          </cell>
        </row>
        <row r="2637">
          <cell r="A2637">
            <v>35309</v>
          </cell>
          <cell r="B2637" t="str">
            <v>山东</v>
          </cell>
          <cell r="C2637" t="str">
            <v>艺术品</v>
          </cell>
          <cell r="D2637">
            <v>743</v>
          </cell>
        </row>
        <row r="2638">
          <cell r="A2638">
            <v>35309</v>
          </cell>
          <cell r="B2638" t="str">
            <v>安徽</v>
          </cell>
          <cell r="C2638" t="str">
            <v>自行车</v>
          </cell>
          <cell r="D2638">
            <v>135</v>
          </cell>
        </row>
        <row r="2639">
          <cell r="A2639">
            <v>35309</v>
          </cell>
          <cell r="B2639" t="str">
            <v>江西</v>
          </cell>
          <cell r="C2639" t="str">
            <v>自行车</v>
          </cell>
          <cell r="D2639">
            <v>158</v>
          </cell>
        </row>
        <row r="2640">
          <cell r="A2640">
            <v>35309</v>
          </cell>
          <cell r="B2640" t="str">
            <v>安徽</v>
          </cell>
          <cell r="C2640" t="str">
            <v>自行车</v>
          </cell>
          <cell r="D2640">
            <v>88</v>
          </cell>
        </row>
        <row r="2641">
          <cell r="A2641">
            <v>35309</v>
          </cell>
          <cell r="B2641" t="str">
            <v>山东</v>
          </cell>
          <cell r="C2641" t="str">
            <v>自行车</v>
          </cell>
          <cell r="D2641">
            <v>1842</v>
          </cell>
        </row>
        <row r="2642">
          <cell r="A2642">
            <v>35309</v>
          </cell>
          <cell r="B2642" t="str">
            <v>广东</v>
          </cell>
          <cell r="C2642" t="str">
            <v>自行车</v>
          </cell>
          <cell r="D2642">
            <v>114</v>
          </cell>
        </row>
        <row r="2643">
          <cell r="A2643">
            <v>35309</v>
          </cell>
          <cell r="B2643" t="str">
            <v>广东</v>
          </cell>
          <cell r="C2643" t="str">
            <v>自行车</v>
          </cell>
          <cell r="D2643">
            <v>631</v>
          </cell>
        </row>
        <row r="2644">
          <cell r="A2644">
            <v>35309</v>
          </cell>
          <cell r="B2644" t="str">
            <v>安徽</v>
          </cell>
          <cell r="C2644" t="str">
            <v>自行车</v>
          </cell>
          <cell r="D2644">
            <v>368</v>
          </cell>
        </row>
        <row r="2645">
          <cell r="A2645">
            <v>35309</v>
          </cell>
          <cell r="B2645" t="str">
            <v>江苏</v>
          </cell>
          <cell r="C2645" t="str">
            <v>自行车</v>
          </cell>
          <cell r="D2645">
            <v>343</v>
          </cell>
        </row>
        <row r="2646">
          <cell r="A2646">
            <v>35309</v>
          </cell>
          <cell r="B2646" t="str">
            <v>江苏</v>
          </cell>
          <cell r="C2646" t="str">
            <v>自行车</v>
          </cell>
          <cell r="D2646">
            <v>524</v>
          </cell>
        </row>
        <row r="2647">
          <cell r="A2647">
            <v>35309</v>
          </cell>
          <cell r="B2647" t="str">
            <v>福建</v>
          </cell>
          <cell r="C2647" t="str">
            <v>自行车</v>
          </cell>
          <cell r="D2647">
            <v>492</v>
          </cell>
        </row>
        <row r="2648">
          <cell r="A2648">
            <v>35309</v>
          </cell>
          <cell r="B2648" t="str">
            <v>江苏</v>
          </cell>
          <cell r="C2648" t="str">
            <v>自行车</v>
          </cell>
          <cell r="D2648">
            <v>428</v>
          </cell>
        </row>
        <row r="2649">
          <cell r="A2649">
            <v>35309</v>
          </cell>
          <cell r="B2649" t="str">
            <v>江西</v>
          </cell>
          <cell r="C2649" t="str">
            <v>自行车</v>
          </cell>
          <cell r="D2649">
            <v>426</v>
          </cell>
        </row>
        <row r="2650">
          <cell r="A2650">
            <v>35309</v>
          </cell>
          <cell r="B2650" t="str">
            <v>江西</v>
          </cell>
          <cell r="C2650" t="str">
            <v>自行车</v>
          </cell>
          <cell r="D2650">
            <v>315</v>
          </cell>
        </row>
        <row r="2651">
          <cell r="A2651">
            <v>35309</v>
          </cell>
          <cell r="B2651" t="str">
            <v>广东</v>
          </cell>
          <cell r="C2651" t="str">
            <v>自行车</v>
          </cell>
          <cell r="D2651">
            <v>844</v>
          </cell>
        </row>
        <row r="2652">
          <cell r="A2652">
            <v>35309</v>
          </cell>
          <cell r="B2652" t="str">
            <v>安徽</v>
          </cell>
          <cell r="C2652" t="str">
            <v>自行车</v>
          </cell>
          <cell r="D2652">
            <v>858</v>
          </cell>
        </row>
        <row r="2653">
          <cell r="A2653">
            <v>35309</v>
          </cell>
          <cell r="B2653" t="str">
            <v>福建</v>
          </cell>
          <cell r="C2653" t="str">
            <v>自行车</v>
          </cell>
          <cell r="D2653">
            <v>210</v>
          </cell>
        </row>
        <row r="2654">
          <cell r="A2654">
            <v>35309</v>
          </cell>
          <cell r="B2654" t="str">
            <v>江西</v>
          </cell>
          <cell r="C2654" t="str">
            <v>自行车</v>
          </cell>
          <cell r="D2654">
            <v>203</v>
          </cell>
        </row>
        <row r="2655">
          <cell r="A2655">
            <v>35309</v>
          </cell>
          <cell r="B2655" t="str">
            <v>山东</v>
          </cell>
          <cell r="C2655" t="str">
            <v>自行车</v>
          </cell>
          <cell r="D2655">
            <v>315</v>
          </cell>
        </row>
        <row r="2656">
          <cell r="A2656">
            <v>35309</v>
          </cell>
          <cell r="B2656" t="str">
            <v>福建</v>
          </cell>
          <cell r="C2656" t="str">
            <v>自行车</v>
          </cell>
          <cell r="D2656">
            <v>315</v>
          </cell>
        </row>
        <row r="2657">
          <cell r="A2657">
            <v>35309</v>
          </cell>
          <cell r="B2657" t="str">
            <v>福建</v>
          </cell>
          <cell r="C2657" t="str">
            <v>自行车</v>
          </cell>
          <cell r="D2657">
            <v>298</v>
          </cell>
        </row>
        <row r="2658">
          <cell r="A2658">
            <v>35309</v>
          </cell>
          <cell r="B2658" t="str">
            <v>山东</v>
          </cell>
          <cell r="C2658" t="str">
            <v>自行车</v>
          </cell>
          <cell r="D2658">
            <v>228</v>
          </cell>
        </row>
        <row r="2659">
          <cell r="A2659">
            <v>35309</v>
          </cell>
          <cell r="B2659" t="str">
            <v>广东</v>
          </cell>
          <cell r="C2659" t="str">
            <v>自行车</v>
          </cell>
          <cell r="D2659">
            <v>180</v>
          </cell>
        </row>
        <row r="2660">
          <cell r="A2660">
            <v>35309</v>
          </cell>
          <cell r="B2660" t="str">
            <v>山东</v>
          </cell>
          <cell r="C2660" t="str">
            <v>自行车</v>
          </cell>
          <cell r="D2660">
            <v>723</v>
          </cell>
        </row>
        <row r="2661">
          <cell r="A2661">
            <v>35309</v>
          </cell>
          <cell r="B2661" t="str">
            <v>江苏</v>
          </cell>
          <cell r="C2661" t="str">
            <v>自行车</v>
          </cell>
          <cell r="D2661">
            <v>254</v>
          </cell>
        </row>
        <row r="2662">
          <cell r="A2662">
            <v>35309</v>
          </cell>
          <cell r="B2662" t="str">
            <v>山东</v>
          </cell>
          <cell r="C2662" t="str">
            <v>瓷器</v>
          </cell>
          <cell r="D2662">
            <v>428</v>
          </cell>
        </row>
        <row r="2663">
          <cell r="A2663">
            <v>35309</v>
          </cell>
          <cell r="B2663" t="str">
            <v>福建</v>
          </cell>
          <cell r="C2663" t="str">
            <v>瓷器</v>
          </cell>
          <cell r="D2663">
            <v>203</v>
          </cell>
        </row>
        <row r="2664">
          <cell r="A2664">
            <v>35309</v>
          </cell>
          <cell r="B2664" t="str">
            <v>广东</v>
          </cell>
          <cell r="C2664" t="str">
            <v>瓷器</v>
          </cell>
          <cell r="D2664">
            <v>203</v>
          </cell>
        </row>
        <row r="2665">
          <cell r="A2665">
            <v>35309</v>
          </cell>
          <cell r="B2665" t="str">
            <v>江西</v>
          </cell>
          <cell r="C2665" t="str">
            <v>瓷器</v>
          </cell>
          <cell r="D2665">
            <v>420</v>
          </cell>
        </row>
        <row r="2666">
          <cell r="A2666">
            <v>35309</v>
          </cell>
          <cell r="B2666" t="str">
            <v>江苏</v>
          </cell>
          <cell r="C2666" t="str">
            <v>瓷器</v>
          </cell>
          <cell r="D2666">
            <v>201</v>
          </cell>
        </row>
        <row r="2667">
          <cell r="A2667">
            <v>35309</v>
          </cell>
          <cell r="B2667" t="str">
            <v>山东</v>
          </cell>
          <cell r="C2667" t="str">
            <v>瓷器</v>
          </cell>
          <cell r="D2667">
            <v>46</v>
          </cell>
        </row>
        <row r="2668">
          <cell r="A2668">
            <v>35309</v>
          </cell>
          <cell r="B2668" t="str">
            <v>安徽</v>
          </cell>
          <cell r="C2668" t="str">
            <v>瓷器</v>
          </cell>
          <cell r="D2668">
            <v>166</v>
          </cell>
        </row>
        <row r="2669">
          <cell r="A2669">
            <v>35309</v>
          </cell>
          <cell r="B2669" t="str">
            <v>广东</v>
          </cell>
          <cell r="C2669" t="str">
            <v>瓷器</v>
          </cell>
          <cell r="D2669">
            <v>70</v>
          </cell>
        </row>
        <row r="2670">
          <cell r="A2670">
            <v>35309</v>
          </cell>
          <cell r="B2670" t="str">
            <v>山东</v>
          </cell>
          <cell r="C2670" t="str">
            <v>瓷器</v>
          </cell>
          <cell r="D2670">
            <v>70</v>
          </cell>
        </row>
        <row r="2671">
          <cell r="A2671">
            <v>35309</v>
          </cell>
          <cell r="B2671" t="str">
            <v>江苏</v>
          </cell>
          <cell r="C2671" t="str">
            <v>瓷器</v>
          </cell>
          <cell r="D2671">
            <v>79</v>
          </cell>
        </row>
        <row r="2672">
          <cell r="A2672">
            <v>35309</v>
          </cell>
          <cell r="B2672" t="str">
            <v>广东</v>
          </cell>
          <cell r="C2672" t="str">
            <v>瓷器</v>
          </cell>
          <cell r="D2672">
            <v>333</v>
          </cell>
        </row>
        <row r="2673">
          <cell r="A2673">
            <v>35309</v>
          </cell>
          <cell r="B2673" t="str">
            <v>山东</v>
          </cell>
          <cell r="C2673" t="str">
            <v>瓷器</v>
          </cell>
          <cell r="D2673">
            <v>90</v>
          </cell>
        </row>
        <row r="2674">
          <cell r="A2674">
            <v>35309</v>
          </cell>
          <cell r="B2674" t="str">
            <v>江苏</v>
          </cell>
          <cell r="C2674" t="str">
            <v>瓷器</v>
          </cell>
          <cell r="D2674">
            <v>81</v>
          </cell>
        </row>
        <row r="2675">
          <cell r="A2675">
            <v>35309</v>
          </cell>
          <cell r="B2675" t="str">
            <v>广东</v>
          </cell>
          <cell r="C2675" t="str">
            <v>瓷器</v>
          </cell>
          <cell r="D2675">
            <v>113</v>
          </cell>
        </row>
        <row r="2676">
          <cell r="A2676">
            <v>35309</v>
          </cell>
          <cell r="B2676" t="str">
            <v>安徽</v>
          </cell>
          <cell r="C2676" t="str">
            <v>瓷器</v>
          </cell>
          <cell r="D2676">
            <v>203</v>
          </cell>
        </row>
        <row r="2677">
          <cell r="A2677">
            <v>35309</v>
          </cell>
          <cell r="B2677" t="str">
            <v>江西</v>
          </cell>
          <cell r="C2677" t="str">
            <v>瓷器</v>
          </cell>
          <cell r="D2677">
            <v>338</v>
          </cell>
        </row>
        <row r="2678">
          <cell r="A2678">
            <v>35309</v>
          </cell>
          <cell r="B2678" t="str">
            <v>江苏</v>
          </cell>
          <cell r="C2678" t="str">
            <v>瓷器</v>
          </cell>
          <cell r="D2678">
            <v>210</v>
          </cell>
        </row>
        <row r="2679">
          <cell r="A2679">
            <v>35309</v>
          </cell>
          <cell r="B2679" t="str">
            <v>江西</v>
          </cell>
          <cell r="C2679" t="str">
            <v>瓷器</v>
          </cell>
          <cell r="D2679">
            <v>921</v>
          </cell>
        </row>
        <row r="2680">
          <cell r="A2680">
            <v>35309</v>
          </cell>
          <cell r="B2680" t="str">
            <v>福建</v>
          </cell>
          <cell r="C2680" t="str">
            <v>瓷器</v>
          </cell>
          <cell r="D2680">
            <v>561</v>
          </cell>
        </row>
        <row r="2681">
          <cell r="A2681">
            <v>35309</v>
          </cell>
          <cell r="B2681" t="str">
            <v>安徽</v>
          </cell>
          <cell r="C2681" t="str">
            <v>瓷器</v>
          </cell>
          <cell r="D2681">
            <v>1730</v>
          </cell>
        </row>
        <row r="2682">
          <cell r="A2682">
            <v>35309</v>
          </cell>
          <cell r="B2682" t="str">
            <v>福建</v>
          </cell>
          <cell r="C2682" t="str">
            <v>瓷器</v>
          </cell>
          <cell r="D2682">
            <v>140</v>
          </cell>
        </row>
        <row r="2683">
          <cell r="A2683">
            <v>35309</v>
          </cell>
          <cell r="B2683" t="str">
            <v>福建</v>
          </cell>
          <cell r="C2683" t="str">
            <v>瓷器</v>
          </cell>
          <cell r="D2683">
            <v>1463</v>
          </cell>
        </row>
        <row r="2684">
          <cell r="A2684">
            <v>35309</v>
          </cell>
          <cell r="B2684" t="str">
            <v>安徽</v>
          </cell>
          <cell r="C2684" t="str">
            <v>瓷器</v>
          </cell>
          <cell r="D2684">
            <v>158</v>
          </cell>
        </row>
        <row r="2685">
          <cell r="A2685">
            <v>35309</v>
          </cell>
          <cell r="B2685" t="str">
            <v>江西</v>
          </cell>
          <cell r="C2685" t="str">
            <v>瓷器</v>
          </cell>
          <cell r="D2685">
            <v>560</v>
          </cell>
        </row>
        <row r="2686">
          <cell r="A2686">
            <v>35309</v>
          </cell>
          <cell r="B2686" t="str">
            <v>山东</v>
          </cell>
          <cell r="C2686" t="str">
            <v>服装</v>
          </cell>
          <cell r="D2686">
            <v>94</v>
          </cell>
        </row>
        <row r="2687">
          <cell r="A2687">
            <v>35309</v>
          </cell>
          <cell r="B2687" t="str">
            <v>安徽</v>
          </cell>
          <cell r="C2687" t="str">
            <v>服装</v>
          </cell>
          <cell r="D2687">
            <v>114</v>
          </cell>
        </row>
        <row r="2688">
          <cell r="A2688">
            <v>35309</v>
          </cell>
          <cell r="B2688" t="str">
            <v>安徽</v>
          </cell>
          <cell r="C2688" t="str">
            <v>服装</v>
          </cell>
          <cell r="D2688">
            <v>123</v>
          </cell>
        </row>
        <row r="2689">
          <cell r="A2689">
            <v>35309</v>
          </cell>
          <cell r="B2689" t="str">
            <v>山东</v>
          </cell>
          <cell r="C2689" t="str">
            <v>服装</v>
          </cell>
          <cell r="D2689">
            <v>124</v>
          </cell>
        </row>
        <row r="2690">
          <cell r="A2690">
            <v>35309</v>
          </cell>
          <cell r="B2690" t="str">
            <v>山东</v>
          </cell>
          <cell r="C2690" t="str">
            <v>服装</v>
          </cell>
          <cell r="D2690">
            <v>23</v>
          </cell>
        </row>
        <row r="2691">
          <cell r="A2691">
            <v>35309</v>
          </cell>
          <cell r="B2691" t="str">
            <v>安徽</v>
          </cell>
          <cell r="C2691" t="str">
            <v>服装</v>
          </cell>
          <cell r="D2691">
            <v>68</v>
          </cell>
        </row>
        <row r="2692">
          <cell r="A2692">
            <v>35309</v>
          </cell>
          <cell r="B2692" t="str">
            <v>山东</v>
          </cell>
          <cell r="C2692" t="str">
            <v>服装</v>
          </cell>
          <cell r="D2692">
            <v>88</v>
          </cell>
        </row>
        <row r="2693">
          <cell r="A2693">
            <v>35309</v>
          </cell>
          <cell r="B2693" t="str">
            <v>安徽</v>
          </cell>
          <cell r="C2693" t="str">
            <v>服装</v>
          </cell>
          <cell r="D2693">
            <v>303</v>
          </cell>
        </row>
        <row r="2694">
          <cell r="A2694">
            <v>35309</v>
          </cell>
          <cell r="B2694" t="str">
            <v>山东</v>
          </cell>
          <cell r="C2694" t="str">
            <v>服装</v>
          </cell>
          <cell r="D2694">
            <v>1786</v>
          </cell>
        </row>
        <row r="2695">
          <cell r="A2695">
            <v>35309</v>
          </cell>
          <cell r="B2695" t="str">
            <v>山东</v>
          </cell>
          <cell r="C2695" t="str">
            <v>服装</v>
          </cell>
          <cell r="D2695">
            <v>1849</v>
          </cell>
        </row>
        <row r="2696">
          <cell r="A2696">
            <v>35309</v>
          </cell>
          <cell r="B2696" t="str">
            <v>安徽</v>
          </cell>
          <cell r="C2696" t="str">
            <v>服装</v>
          </cell>
          <cell r="D2696">
            <v>206</v>
          </cell>
        </row>
        <row r="2697">
          <cell r="A2697">
            <v>35309</v>
          </cell>
          <cell r="B2697" t="str">
            <v>安徽</v>
          </cell>
          <cell r="C2697" t="str">
            <v>服装</v>
          </cell>
          <cell r="D2697">
            <v>158</v>
          </cell>
        </row>
        <row r="2698">
          <cell r="A2698">
            <v>35309</v>
          </cell>
          <cell r="B2698" t="str">
            <v>江西</v>
          </cell>
          <cell r="C2698" t="str">
            <v>食品</v>
          </cell>
          <cell r="D2698">
            <v>158</v>
          </cell>
        </row>
        <row r="2699">
          <cell r="A2699">
            <v>35309</v>
          </cell>
          <cell r="B2699" t="str">
            <v>江西</v>
          </cell>
          <cell r="C2699" t="str">
            <v>食品</v>
          </cell>
          <cell r="D2699">
            <v>210</v>
          </cell>
        </row>
        <row r="2700">
          <cell r="A2700">
            <v>35309</v>
          </cell>
          <cell r="B2700" t="str">
            <v>福建</v>
          </cell>
          <cell r="C2700" t="str">
            <v>食品</v>
          </cell>
          <cell r="D2700">
            <v>158</v>
          </cell>
        </row>
        <row r="2701">
          <cell r="A2701">
            <v>35309</v>
          </cell>
          <cell r="B2701" t="str">
            <v>广东</v>
          </cell>
          <cell r="C2701" t="str">
            <v>食品</v>
          </cell>
          <cell r="D2701">
            <v>280</v>
          </cell>
        </row>
        <row r="2702">
          <cell r="A2702">
            <v>35309</v>
          </cell>
          <cell r="B2702" t="str">
            <v>广东</v>
          </cell>
          <cell r="C2702" t="str">
            <v>食品</v>
          </cell>
          <cell r="D2702">
            <v>124</v>
          </cell>
        </row>
        <row r="2703">
          <cell r="A2703">
            <v>35309</v>
          </cell>
          <cell r="B2703" t="str">
            <v>山东</v>
          </cell>
          <cell r="C2703" t="str">
            <v>食品</v>
          </cell>
          <cell r="D2703">
            <v>158</v>
          </cell>
        </row>
        <row r="2704">
          <cell r="A2704">
            <v>35309</v>
          </cell>
          <cell r="B2704" t="str">
            <v>江苏</v>
          </cell>
          <cell r="C2704" t="str">
            <v>食品</v>
          </cell>
          <cell r="D2704">
            <v>144</v>
          </cell>
        </row>
        <row r="2705">
          <cell r="A2705">
            <v>35309</v>
          </cell>
          <cell r="B2705" t="str">
            <v>江苏</v>
          </cell>
          <cell r="C2705" t="str">
            <v>食品</v>
          </cell>
          <cell r="D2705">
            <v>135</v>
          </cell>
        </row>
        <row r="2706">
          <cell r="A2706">
            <v>35309</v>
          </cell>
          <cell r="B2706" t="str">
            <v>广东</v>
          </cell>
          <cell r="C2706" t="str">
            <v>食品</v>
          </cell>
          <cell r="D2706">
            <v>149</v>
          </cell>
        </row>
        <row r="2707">
          <cell r="A2707">
            <v>35309</v>
          </cell>
          <cell r="B2707" t="str">
            <v>安徽</v>
          </cell>
          <cell r="C2707" t="str">
            <v>食品</v>
          </cell>
          <cell r="D2707">
            <v>767</v>
          </cell>
        </row>
        <row r="2708">
          <cell r="A2708">
            <v>35309</v>
          </cell>
          <cell r="B2708" t="str">
            <v>福建</v>
          </cell>
          <cell r="C2708" t="str">
            <v>食品</v>
          </cell>
          <cell r="D2708">
            <v>761</v>
          </cell>
        </row>
        <row r="2709">
          <cell r="A2709">
            <v>35309</v>
          </cell>
          <cell r="B2709" t="str">
            <v>安徽</v>
          </cell>
          <cell r="C2709" t="str">
            <v>食品</v>
          </cell>
          <cell r="D2709">
            <v>657</v>
          </cell>
        </row>
        <row r="2710">
          <cell r="A2710">
            <v>35309</v>
          </cell>
          <cell r="B2710" t="str">
            <v>安徽</v>
          </cell>
          <cell r="C2710" t="str">
            <v>食品</v>
          </cell>
          <cell r="D2710">
            <v>561</v>
          </cell>
        </row>
        <row r="2711">
          <cell r="A2711">
            <v>35309</v>
          </cell>
          <cell r="B2711" t="str">
            <v>江西</v>
          </cell>
          <cell r="C2711" t="str">
            <v>食品</v>
          </cell>
          <cell r="D2711">
            <v>426</v>
          </cell>
        </row>
        <row r="2712">
          <cell r="A2712">
            <v>35309</v>
          </cell>
          <cell r="B2712" t="str">
            <v>山东</v>
          </cell>
          <cell r="C2712" t="str">
            <v>食品</v>
          </cell>
          <cell r="D2712">
            <v>415</v>
          </cell>
        </row>
        <row r="2713">
          <cell r="A2713">
            <v>35309</v>
          </cell>
          <cell r="B2713" t="str">
            <v>福建</v>
          </cell>
          <cell r="C2713" t="str">
            <v>食品</v>
          </cell>
          <cell r="D2713">
            <v>368</v>
          </cell>
        </row>
        <row r="2714">
          <cell r="A2714">
            <v>35309</v>
          </cell>
          <cell r="B2714" t="str">
            <v>江西</v>
          </cell>
          <cell r="C2714" t="str">
            <v>食品</v>
          </cell>
          <cell r="D2714">
            <v>529</v>
          </cell>
        </row>
        <row r="2715">
          <cell r="A2715">
            <v>35309</v>
          </cell>
          <cell r="B2715" t="str">
            <v>广东</v>
          </cell>
          <cell r="C2715" t="str">
            <v>食品</v>
          </cell>
          <cell r="D2715">
            <v>506</v>
          </cell>
        </row>
        <row r="2716">
          <cell r="A2716">
            <v>35309</v>
          </cell>
          <cell r="B2716" t="str">
            <v>山东</v>
          </cell>
          <cell r="C2716" t="str">
            <v>食品</v>
          </cell>
          <cell r="D2716">
            <v>502</v>
          </cell>
        </row>
        <row r="2717">
          <cell r="A2717">
            <v>35309</v>
          </cell>
          <cell r="B2717" t="str">
            <v>安徽</v>
          </cell>
          <cell r="C2717" t="str">
            <v>食品</v>
          </cell>
          <cell r="D2717">
            <v>469</v>
          </cell>
        </row>
        <row r="2718">
          <cell r="A2718">
            <v>35309</v>
          </cell>
          <cell r="B2718" t="str">
            <v>福建</v>
          </cell>
          <cell r="C2718" t="str">
            <v>食品</v>
          </cell>
          <cell r="D2718">
            <v>428</v>
          </cell>
        </row>
        <row r="2719">
          <cell r="A2719">
            <v>35309</v>
          </cell>
          <cell r="B2719" t="str">
            <v>江苏</v>
          </cell>
          <cell r="C2719" t="str">
            <v>食品</v>
          </cell>
          <cell r="D2719">
            <v>46</v>
          </cell>
        </row>
        <row r="2720">
          <cell r="A2720">
            <v>35309</v>
          </cell>
          <cell r="B2720" t="str">
            <v>江苏</v>
          </cell>
          <cell r="C2720" t="str">
            <v>食品</v>
          </cell>
          <cell r="D2720">
            <v>105</v>
          </cell>
        </row>
        <row r="2721">
          <cell r="A2721">
            <v>35309</v>
          </cell>
          <cell r="B2721" t="str">
            <v>山东</v>
          </cell>
          <cell r="C2721" t="str">
            <v>食品</v>
          </cell>
          <cell r="D2721">
            <v>88</v>
          </cell>
        </row>
        <row r="2722">
          <cell r="A2722">
            <v>35309</v>
          </cell>
          <cell r="B2722" t="str">
            <v>福建</v>
          </cell>
          <cell r="C2722" t="str">
            <v>儿童用品</v>
          </cell>
          <cell r="D2722">
            <v>186</v>
          </cell>
        </row>
        <row r="2723">
          <cell r="A2723">
            <v>35309</v>
          </cell>
          <cell r="B2723" t="str">
            <v>广东</v>
          </cell>
          <cell r="C2723" t="str">
            <v>儿童用品</v>
          </cell>
          <cell r="D2723">
            <v>224</v>
          </cell>
        </row>
        <row r="2724">
          <cell r="A2724">
            <v>35309</v>
          </cell>
          <cell r="B2724" t="str">
            <v>江苏</v>
          </cell>
          <cell r="C2724" t="str">
            <v>儿童用品</v>
          </cell>
          <cell r="D2724">
            <v>225</v>
          </cell>
        </row>
        <row r="2725">
          <cell r="A2725">
            <v>35309</v>
          </cell>
          <cell r="B2725" t="str">
            <v>山东</v>
          </cell>
          <cell r="C2725" t="str">
            <v>儿童用品</v>
          </cell>
          <cell r="D2725">
            <v>228</v>
          </cell>
        </row>
        <row r="2726">
          <cell r="A2726">
            <v>35309</v>
          </cell>
          <cell r="B2726" t="str">
            <v>广东</v>
          </cell>
          <cell r="C2726" t="str">
            <v>儿童用品</v>
          </cell>
          <cell r="D2726">
            <v>254</v>
          </cell>
        </row>
        <row r="2727">
          <cell r="A2727">
            <v>35309</v>
          </cell>
          <cell r="B2727" t="str">
            <v>安徽</v>
          </cell>
          <cell r="C2727" t="str">
            <v>儿童用品</v>
          </cell>
          <cell r="D2727">
            <v>405</v>
          </cell>
        </row>
        <row r="2728">
          <cell r="A2728">
            <v>35309</v>
          </cell>
          <cell r="B2728" t="str">
            <v>山东</v>
          </cell>
          <cell r="C2728" t="str">
            <v>儿童用品</v>
          </cell>
          <cell r="D2728">
            <v>455</v>
          </cell>
        </row>
        <row r="2729">
          <cell r="A2729">
            <v>35309</v>
          </cell>
          <cell r="B2729" t="str">
            <v>江西</v>
          </cell>
          <cell r="C2729" t="str">
            <v>儿童用品</v>
          </cell>
          <cell r="D2729">
            <v>536</v>
          </cell>
        </row>
        <row r="2730">
          <cell r="A2730">
            <v>35309</v>
          </cell>
          <cell r="B2730" t="str">
            <v>安徽</v>
          </cell>
          <cell r="C2730" t="str">
            <v>儿童用品</v>
          </cell>
          <cell r="D2730">
            <v>644</v>
          </cell>
        </row>
        <row r="2731">
          <cell r="A2731">
            <v>35309</v>
          </cell>
          <cell r="B2731" t="str">
            <v>江西</v>
          </cell>
          <cell r="C2731" t="str">
            <v>儿童用品</v>
          </cell>
          <cell r="D2731">
            <v>955</v>
          </cell>
        </row>
        <row r="2732">
          <cell r="A2732">
            <v>35309</v>
          </cell>
          <cell r="B2732" t="str">
            <v>安徽</v>
          </cell>
          <cell r="C2732" t="str">
            <v>儿童用品</v>
          </cell>
          <cell r="D2732">
            <v>1664</v>
          </cell>
        </row>
        <row r="2733">
          <cell r="A2733">
            <v>35309</v>
          </cell>
          <cell r="B2733" t="str">
            <v>安徽</v>
          </cell>
          <cell r="C2733" t="str">
            <v>儿童用品</v>
          </cell>
          <cell r="D2733">
            <v>1727</v>
          </cell>
        </row>
        <row r="2734">
          <cell r="A2734">
            <v>35309</v>
          </cell>
          <cell r="B2734" t="str">
            <v>福建</v>
          </cell>
          <cell r="C2734" t="str">
            <v>儿童用品</v>
          </cell>
          <cell r="D2734">
            <v>124</v>
          </cell>
        </row>
        <row r="2735">
          <cell r="A2735">
            <v>35309</v>
          </cell>
          <cell r="B2735" t="str">
            <v>广东</v>
          </cell>
          <cell r="C2735" t="str">
            <v>儿童用品</v>
          </cell>
          <cell r="D2735">
            <v>2687</v>
          </cell>
        </row>
        <row r="2736">
          <cell r="A2736">
            <v>35309</v>
          </cell>
          <cell r="B2736" t="str">
            <v>福建</v>
          </cell>
          <cell r="C2736" t="str">
            <v>儿童用品</v>
          </cell>
          <cell r="D2736">
            <v>153</v>
          </cell>
        </row>
        <row r="2737">
          <cell r="A2737">
            <v>35309</v>
          </cell>
          <cell r="B2737" t="str">
            <v>江苏</v>
          </cell>
          <cell r="C2737" t="str">
            <v>儿童用品</v>
          </cell>
          <cell r="D2737">
            <v>140</v>
          </cell>
        </row>
        <row r="2738">
          <cell r="A2738">
            <v>35309</v>
          </cell>
          <cell r="B2738" t="str">
            <v>福建</v>
          </cell>
          <cell r="C2738" t="str">
            <v>儿童用品</v>
          </cell>
          <cell r="D2738">
            <v>44</v>
          </cell>
        </row>
        <row r="2739">
          <cell r="A2739">
            <v>35309</v>
          </cell>
          <cell r="B2739" t="str">
            <v>山东</v>
          </cell>
          <cell r="C2739" t="str">
            <v>儿童用品</v>
          </cell>
          <cell r="D2739">
            <v>44</v>
          </cell>
        </row>
        <row r="2740">
          <cell r="A2740">
            <v>35309</v>
          </cell>
          <cell r="B2740" t="str">
            <v>江西</v>
          </cell>
          <cell r="C2740" t="str">
            <v>儿童用品</v>
          </cell>
          <cell r="D2740">
            <v>56</v>
          </cell>
        </row>
        <row r="2741">
          <cell r="A2741">
            <v>35309</v>
          </cell>
          <cell r="B2741" t="str">
            <v>山东</v>
          </cell>
          <cell r="C2741" t="str">
            <v>儿童用品</v>
          </cell>
          <cell r="D2741">
            <v>68</v>
          </cell>
        </row>
        <row r="2742">
          <cell r="A2742">
            <v>35309</v>
          </cell>
          <cell r="B2742" t="str">
            <v>江西</v>
          </cell>
          <cell r="C2742" t="str">
            <v>儿童用品</v>
          </cell>
          <cell r="D2742">
            <v>72</v>
          </cell>
        </row>
        <row r="2743">
          <cell r="A2743">
            <v>35309</v>
          </cell>
          <cell r="B2743" t="str">
            <v>江苏</v>
          </cell>
          <cell r="C2743" t="str">
            <v>儿童用品</v>
          </cell>
          <cell r="D2743">
            <v>79</v>
          </cell>
        </row>
        <row r="2744">
          <cell r="A2744">
            <v>35309</v>
          </cell>
          <cell r="B2744" t="str">
            <v>广东</v>
          </cell>
          <cell r="C2744" t="str">
            <v>儿童用品</v>
          </cell>
          <cell r="D2744">
            <v>101</v>
          </cell>
        </row>
        <row r="2745">
          <cell r="A2745">
            <v>35309</v>
          </cell>
          <cell r="B2745" t="str">
            <v>江苏</v>
          </cell>
          <cell r="C2745" t="str">
            <v>儿童用品</v>
          </cell>
          <cell r="D2745">
            <v>123</v>
          </cell>
        </row>
        <row r="2746">
          <cell r="A2746">
            <v>35309</v>
          </cell>
          <cell r="B2746" t="str">
            <v>福建</v>
          </cell>
          <cell r="C2746" t="str">
            <v>体育用品</v>
          </cell>
          <cell r="D2746">
            <v>668</v>
          </cell>
        </row>
        <row r="2747">
          <cell r="A2747">
            <v>35309</v>
          </cell>
          <cell r="B2747" t="str">
            <v>安徽</v>
          </cell>
          <cell r="C2747" t="str">
            <v>体育用品</v>
          </cell>
          <cell r="D2747">
            <v>716</v>
          </cell>
        </row>
        <row r="2748">
          <cell r="A2748">
            <v>35309</v>
          </cell>
          <cell r="B2748" t="str">
            <v>广东</v>
          </cell>
          <cell r="C2748" t="str">
            <v>体育用品</v>
          </cell>
          <cell r="D2748">
            <v>1185</v>
          </cell>
        </row>
        <row r="2749">
          <cell r="A2749">
            <v>35309</v>
          </cell>
          <cell r="B2749" t="str">
            <v>福建</v>
          </cell>
          <cell r="C2749" t="str">
            <v>体育用品</v>
          </cell>
          <cell r="D2749">
            <v>1237</v>
          </cell>
        </row>
        <row r="2750">
          <cell r="A2750">
            <v>35309</v>
          </cell>
          <cell r="B2750" t="str">
            <v>广东</v>
          </cell>
          <cell r="C2750" t="str">
            <v>体育用品</v>
          </cell>
          <cell r="D2750">
            <v>1496</v>
          </cell>
        </row>
        <row r="2751">
          <cell r="A2751">
            <v>35309</v>
          </cell>
          <cell r="B2751" t="str">
            <v>福建</v>
          </cell>
          <cell r="C2751" t="str">
            <v>体育用品</v>
          </cell>
          <cell r="D2751">
            <v>1849</v>
          </cell>
        </row>
        <row r="2752">
          <cell r="A2752">
            <v>35309</v>
          </cell>
          <cell r="B2752" t="str">
            <v>江苏</v>
          </cell>
          <cell r="C2752" t="str">
            <v>体育用品</v>
          </cell>
          <cell r="D2752">
            <v>42</v>
          </cell>
        </row>
        <row r="2753">
          <cell r="A2753">
            <v>35309</v>
          </cell>
          <cell r="B2753" t="str">
            <v>山东</v>
          </cell>
          <cell r="C2753" t="str">
            <v>体育用品</v>
          </cell>
          <cell r="D2753">
            <v>41</v>
          </cell>
        </row>
        <row r="2754">
          <cell r="A2754">
            <v>35309</v>
          </cell>
          <cell r="B2754" t="str">
            <v>安徽</v>
          </cell>
          <cell r="C2754" t="str">
            <v>体育用品</v>
          </cell>
          <cell r="D2754">
            <v>124</v>
          </cell>
        </row>
        <row r="2755">
          <cell r="A2755">
            <v>35309</v>
          </cell>
          <cell r="B2755" t="str">
            <v>江西</v>
          </cell>
          <cell r="C2755" t="str">
            <v>体育用品</v>
          </cell>
          <cell r="D2755">
            <v>69</v>
          </cell>
        </row>
        <row r="2756">
          <cell r="A2756">
            <v>35309</v>
          </cell>
          <cell r="B2756" t="str">
            <v>福建</v>
          </cell>
          <cell r="C2756" t="str">
            <v>体育用品</v>
          </cell>
          <cell r="D2756">
            <v>77</v>
          </cell>
        </row>
        <row r="2757">
          <cell r="A2757">
            <v>35309</v>
          </cell>
          <cell r="B2757" t="str">
            <v>山东</v>
          </cell>
          <cell r="C2757" t="str">
            <v>体育用品</v>
          </cell>
          <cell r="D2757">
            <v>68</v>
          </cell>
        </row>
        <row r="2758">
          <cell r="A2758">
            <v>35309</v>
          </cell>
          <cell r="B2758" t="str">
            <v>江西</v>
          </cell>
          <cell r="C2758" t="str">
            <v>体育用品</v>
          </cell>
          <cell r="D2758">
            <v>79</v>
          </cell>
        </row>
        <row r="2759">
          <cell r="A2759">
            <v>35309</v>
          </cell>
          <cell r="B2759" t="str">
            <v>广东</v>
          </cell>
          <cell r="C2759" t="str">
            <v>体育用品</v>
          </cell>
          <cell r="D2759">
            <v>83</v>
          </cell>
        </row>
        <row r="2760">
          <cell r="A2760">
            <v>35309</v>
          </cell>
          <cell r="B2760" t="str">
            <v>江苏</v>
          </cell>
          <cell r="C2760" t="str">
            <v>体育用品</v>
          </cell>
          <cell r="D2760">
            <v>96</v>
          </cell>
        </row>
        <row r="2761">
          <cell r="A2761">
            <v>35309</v>
          </cell>
          <cell r="B2761" t="str">
            <v>安徽</v>
          </cell>
          <cell r="C2761" t="str">
            <v>体育用品</v>
          </cell>
          <cell r="D2761">
            <v>101</v>
          </cell>
        </row>
        <row r="2762">
          <cell r="A2762">
            <v>35309</v>
          </cell>
          <cell r="B2762" t="str">
            <v>江西</v>
          </cell>
          <cell r="C2762" t="str">
            <v>体育用品</v>
          </cell>
          <cell r="D2762">
            <v>113</v>
          </cell>
        </row>
        <row r="2763">
          <cell r="A2763">
            <v>35309</v>
          </cell>
          <cell r="B2763" t="str">
            <v>江苏</v>
          </cell>
          <cell r="C2763" t="str">
            <v>体育用品</v>
          </cell>
          <cell r="D2763">
            <v>116</v>
          </cell>
        </row>
        <row r="2764">
          <cell r="A2764">
            <v>35309</v>
          </cell>
          <cell r="B2764" t="str">
            <v>江苏</v>
          </cell>
          <cell r="C2764" t="str">
            <v>体育用品</v>
          </cell>
          <cell r="D2764">
            <v>63</v>
          </cell>
        </row>
        <row r="2765">
          <cell r="A2765">
            <v>35309</v>
          </cell>
          <cell r="B2765" t="str">
            <v>福建</v>
          </cell>
          <cell r="C2765" t="str">
            <v>体育用品</v>
          </cell>
          <cell r="D2765">
            <v>138</v>
          </cell>
        </row>
        <row r="2766">
          <cell r="A2766">
            <v>35309</v>
          </cell>
          <cell r="B2766" t="str">
            <v>江苏</v>
          </cell>
          <cell r="C2766" t="str">
            <v>体育用品</v>
          </cell>
          <cell r="D2766">
            <v>146</v>
          </cell>
        </row>
        <row r="2767">
          <cell r="A2767">
            <v>35309</v>
          </cell>
          <cell r="B2767" t="str">
            <v>安徽</v>
          </cell>
          <cell r="C2767" t="str">
            <v>体育用品</v>
          </cell>
          <cell r="D2767">
            <v>55</v>
          </cell>
        </row>
        <row r="2768">
          <cell r="A2768">
            <v>35309</v>
          </cell>
          <cell r="B2768" t="str">
            <v>山东</v>
          </cell>
          <cell r="C2768" t="str">
            <v>体育用品</v>
          </cell>
          <cell r="D2768">
            <v>50</v>
          </cell>
        </row>
        <row r="2769">
          <cell r="A2769">
            <v>35309</v>
          </cell>
          <cell r="B2769" t="str">
            <v>安徽</v>
          </cell>
          <cell r="C2769" t="str">
            <v>体育用品</v>
          </cell>
          <cell r="D2769">
            <v>46</v>
          </cell>
        </row>
        <row r="2770">
          <cell r="A2770">
            <v>35309</v>
          </cell>
          <cell r="B2770" t="str">
            <v>广东</v>
          </cell>
          <cell r="C2770" t="str">
            <v>体育用品</v>
          </cell>
          <cell r="D2770">
            <v>44</v>
          </cell>
        </row>
        <row r="2771">
          <cell r="A2771">
            <v>35309</v>
          </cell>
          <cell r="B2771" t="str">
            <v>江西</v>
          </cell>
          <cell r="C2771" t="str">
            <v>体育用品</v>
          </cell>
          <cell r="D2771">
            <v>270</v>
          </cell>
        </row>
        <row r="2772">
          <cell r="A2772">
            <v>35309</v>
          </cell>
          <cell r="B2772" t="str">
            <v>广东</v>
          </cell>
          <cell r="C2772" t="str">
            <v>体育用品</v>
          </cell>
          <cell r="D2772">
            <v>396</v>
          </cell>
        </row>
        <row r="2773">
          <cell r="A2773">
            <v>35309</v>
          </cell>
          <cell r="B2773" t="str">
            <v>广东</v>
          </cell>
          <cell r="C2773" t="str">
            <v>体育用品</v>
          </cell>
          <cell r="D2773">
            <v>124</v>
          </cell>
        </row>
        <row r="2774">
          <cell r="A2774">
            <v>35309</v>
          </cell>
          <cell r="B2774" t="str">
            <v>山东</v>
          </cell>
          <cell r="C2774" t="str">
            <v>体育用品</v>
          </cell>
          <cell r="D2774">
            <v>35</v>
          </cell>
        </row>
        <row r="2775">
          <cell r="A2775">
            <v>35309</v>
          </cell>
          <cell r="B2775" t="str">
            <v>安徽</v>
          </cell>
          <cell r="C2775" t="str">
            <v>体育用品</v>
          </cell>
          <cell r="D2775">
            <v>35</v>
          </cell>
        </row>
        <row r="2776">
          <cell r="A2776">
            <v>35309</v>
          </cell>
          <cell r="B2776" t="str">
            <v>江苏</v>
          </cell>
          <cell r="C2776" t="str">
            <v>体育用品</v>
          </cell>
          <cell r="D2776">
            <v>35</v>
          </cell>
        </row>
        <row r="2777">
          <cell r="A2777">
            <v>35309</v>
          </cell>
          <cell r="B2777" t="str">
            <v>福建</v>
          </cell>
          <cell r="C2777" t="str">
            <v>体育用品</v>
          </cell>
          <cell r="D2777">
            <v>18</v>
          </cell>
        </row>
        <row r="2778">
          <cell r="A2778">
            <v>35309</v>
          </cell>
          <cell r="B2778" t="str">
            <v>山东</v>
          </cell>
          <cell r="C2778" t="str">
            <v>体育用品</v>
          </cell>
          <cell r="D2778">
            <v>14</v>
          </cell>
        </row>
        <row r="2779">
          <cell r="A2779">
            <v>35309</v>
          </cell>
          <cell r="B2779" t="str">
            <v>山东</v>
          </cell>
          <cell r="C2779" t="str">
            <v>体育用品</v>
          </cell>
          <cell r="D2779">
            <v>11</v>
          </cell>
        </row>
        <row r="2780">
          <cell r="A2780">
            <v>35339</v>
          </cell>
          <cell r="B2780" t="str">
            <v>山东</v>
          </cell>
          <cell r="C2780" t="str">
            <v>艺术品</v>
          </cell>
          <cell r="D2780">
            <v>66</v>
          </cell>
        </row>
        <row r="2781">
          <cell r="A2781">
            <v>35339</v>
          </cell>
          <cell r="B2781" t="str">
            <v>江苏</v>
          </cell>
          <cell r="C2781" t="str">
            <v>艺术品</v>
          </cell>
          <cell r="D2781">
            <v>165</v>
          </cell>
        </row>
        <row r="2782">
          <cell r="A2782">
            <v>35339</v>
          </cell>
          <cell r="B2782" t="str">
            <v>山东</v>
          </cell>
          <cell r="C2782" t="str">
            <v>艺术品</v>
          </cell>
          <cell r="D2782">
            <v>508</v>
          </cell>
        </row>
        <row r="2783">
          <cell r="A2783">
            <v>35339</v>
          </cell>
          <cell r="B2783" t="str">
            <v>江苏</v>
          </cell>
          <cell r="C2783" t="str">
            <v>艺术品</v>
          </cell>
          <cell r="D2783">
            <v>464</v>
          </cell>
        </row>
        <row r="2784">
          <cell r="A2784">
            <v>35339</v>
          </cell>
          <cell r="B2784" t="str">
            <v>安徽</v>
          </cell>
          <cell r="C2784" t="str">
            <v>艺术品</v>
          </cell>
          <cell r="D2784">
            <v>450</v>
          </cell>
        </row>
        <row r="2785">
          <cell r="A2785">
            <v>35339</v>
          </cell>
          <cell r="B2785" t="str">
            <v>福建</v>
          </cell>
          <cell r="C2785" t="str">
            <v>艺术品</v>
          </cell>
          <cell r="D2785">
            <v>450</v>
          </cell>
        </row>
        <row r="2786">
          <cell r="A2786">
            <v>35339</v>
          </cell>
          <cell r="B2786" t="str">
            <v>江西</v>
          </cell>
          <cell r="C2786" t="str">
            <v>艺术品</v>
          </cell>
          <cell r="D2786">
            <v>426</v>
          </cell>
        </row>
        <row r="2787">
          <cell r="A2787">
            <v>35339</v>
          </cell>
          <cell r="B2787" t="str">
            <v>江西</v>
          </cell>
          <cell r="C2787" t="str">
            <v>艺术品</v>
          </cell>
          <cell r="D2787">
            <v>405</v>
          </cell>
        </row>
        <row r="2788">
          <cell r="A2788">
            <v>35339</v>
          </cell>
          <cell r="B2788" t="str">
            <v>江苏</v>
          </cell>
          <cell r="C2788" t="str">
            <v>艺术品</v>
          </cell>
          <cell r="D2788">
            <v>176</v>
          </cell>
        </row>
        <row r="2789">
          <cell r="A2789">
            <v>35339</v>
          </cell>
          <cell r="B2789" t="str">
            <v>安徽</v>
          </cell>
          <cell r="C2789" t="str">
            <v>艺术品</v>
          </cell>
          <cell r="D2789">
            <v>385</v>
          </cell>
        </row>
        <row r="2790">
          <cell r="A2790">
            <v>35339</v>
          </cell>
          <cell r="B2790" t="str">
            <v>福建</v>
          </cell>
          <cell r="C2790" t="str">
            <v>艺术品</v>
          </cell>
          <cell r="D2790">
            <v>371</v>
          </cell>
        </row>
        <row r="2791">
          <cell r="A2791">
            <v>35339</v>
          </cell>
          <cell r="B2791" t="str">
            <v>广东</v>
          </cell>
          <cell r="C2791" t="str">
            <v>艺术品</v>
          </cell>
          <cell r="D2791">
            <v>338</v>
          </cell>
        </row>
        <row r="2792">
          <cell r="A2792">
            <v>35339</v>
          </cell>
          <cell r="B2792" t="str">
            <v>安徽</v>
          </cell>
          <cell r="C2792" t="str">
            <v>艺术品</v>
          </cell>
          <cell r="D2792">
            <v>2914</v>
          </cell>
        </row>
        <row r="2793">
          <cell r="A2793">
            <v>35339</v>
          </cell>
          <cell r="B2793" t="str">
            <v>福建</v>
          </cell>
          <cell r="C2793" t="str">
            <v>艺术品</v>
          </cell>
          <cell r="D2793">
            <v>521</v>
          </cell>
        </row>
        <row r="2794">
          <cell r="A2794">
            <v>35339</v>
          </cell>
          <cell r="B2794" t="str">
            <v>广东</v>
          </cell>
          <cell r="C2794" t="str">
            <v>艺术品</v>
          </cell>
          <cell r="D2794">
            <v>788</v>
          </cell>
        </row>
        <row r="2795">
          <cell r="A2795">
            <v>35339</v>
          </cell>
          <cell r="B2795" t="str">
            <v>江西</v>
          </cell>
          <cell r="C2795" t="str">
            <v>艺术品</v>
          </cell>
          <cell r="D2795">
            <v>989</v>
          </cell>
        </row>
        <row r="2796">
          <cell r="A2796">
            <v>35339</v>
          </cell>
          <cell r="B2796" t="str">
            <v>山东</v>
          </cell>
          <cell r="C2796" t="str">
            <v>艺术品</v>
          </cell>
          <cell r="D2796">
            <v>1566</v>
          </cell>
        </row>
        <row r="2797">
          <cell r="A2797">
            <v>35339</v>
          </cell>
          <cell r="B2797" t="str">
            <v>广东</v>
          </cell>
          <cell r="C2797" t="str">
            <v>艺术品</v>
          </cell>
          <cell r="D2797">
            <v>1826</v>
          </cell>
        </row>
        <row r="2798">
          <cell r="A2798">
            <v>35339</v>
          </cell>
          <cell r="B2798" t="str">
            <v>福建</v>
          </cell>
          <cell r="C2798" t="str">
            <v>艺术品</v>
          </cell>
          <cell r="D2798">
            <v>385</v>
          </cell>
        </row>
        <row r="2799">
          <cell r="A2799">
            <v>35339</v>
          </cell>
          <cell r="B2799" t="str">
            <v>江苏</v>
          </cell>
          <cell r="C2799" t="str">
            <v>艺术品</v>
          </cell>
          <cell r="D2799">
            <v>124</v>
          </cell>
        </row>
        <row r="2800">
          <cell r="A2800">
            <v>35339</v>
          </cell>
          <cell r="B2800" t="str">
            <v>安徽</v>
          </cell>
          <cell r="C2800" t="str">
            <v>艺术品</v>
          </cell>
          <cell r="D2800">
            <v>79</v>
          </cell>
        </row>
        <row r="2801">
          <cell r="A2801">
            <v>35339</v>
          </cell>
          <cell r="B2801" t="str">
            <v>江西</v>
          </cell>
          <cell r="C2801" t="str">
            <v>艺术品</v>
          </cell>
          <cell r="D2801">
            <v>83</v>
          </cell>
        </row>
        <row r="2802">
          <cell r="A2802">
            <v>35339</v>
          </cell>
          <cell r="B2802" t="str">
            <v>广东</v>
          </cell>
          <cell r="C2802" t="str">
            <v>艺术品</v>
          </cell>
          <cell r="D2802">
            <v>135</v>
          </cell>
        </row>
        <row r="2803">
          <cell r="A2803">
            <v>35339</v>
          </cell>
          <cell r="B2803" t="str">
            <v>山东</v>
          </cell>
          <cell r="C2803" t="str">
            <v>艺术品</v>
          </cell>
          <cell r="D2803">
            <v>45</v>
          </cell>
        </row>
        <row r="2804">
          <cell r="A2804">
            <v>35339</v>
          </cell>
          <cell r="B2804" t="str">
            <v>江西</v>
          </cell>
          <cell r="C2804" t="str">
            <v>自行车</v>
          </cell>
          <cell r="D2804">
            <v>203</v>
          </cell>
        </row>
        <row r="2805">
          <cell r="A2805">
            <v>35339</v>
          </cell>
          <cell r="B2805" t="str">
            <v>江苏</v>
          </cell>
          <cell r="C2805" t="str">
            <v>自行车</v>
          </cell>
          <cell r="D2805">
            <v>184</v>
          </cell>
        </row>
        <row r="2806">
          <cell r="A2806">
            <v>35339</v>
          </cell>
          <cell r="B2806" t="str">
            <v>福建</v>
          </cell>
          <cell r="C2806" t="str">
            <v>自行车</v>
          </cell>
          <cell r="D2806">
            <v>175</v>
          </cell>
        </row>
        <row r="2807">
          <cell r="A2807">
            <v>35339</v>
          </cell>
          <cell r="B2807" t="str">
            <v>广东</v>
          </cell>
          <cell r="C2807" t="str">
            <v>自行车</v>
          </cell>
          <cell r="D2807">
            <v>169</v>
          </cell>
        </row>
        <row r="2808">
          <cell r="A2808">
            <v>35339</v>
          </cell>
          <cell r="B2808" t="str">
            <v>江苏</v>
          </cell>
          <cell r="C2808" t="str">
            <v>自行车</v>
          </cell>
          <cell r="D2808">
            <v>343</v>
          </cell>
        </row>
        <row r="2809">
          <cell r="A2809">
            <v>35339</v>
          </cell>
          <cell r="B2809" t="str">
            <v>江西</v>
          </cell>
          <cell r="C2809" t="str">
            <v>自行车</v>
          </cell>
          <cell r="D2809">
            <v>315</v>
          </cell>
        </row>
        <row r="2810">
          <cell r="A2810">
            <v>35339</v>
          </cell>
          <cell r="B2810" t="str">
            <v>福建</v>
          </cell>
          <cell r="C2810" t="str">
            <v>自行车</v>
          </cell>
          <cell r="D2810">
            <v>263</v>
          </cell>
        </row>
        <row r="2811">
          <cell r="A2811">
            <v>35339</v>
          </cell>
          <cell r="B2811" t="str">
            <v>江苏</v>
          </cell>
          <cell r="C2811" t="str">
            <v>自行车</v>
          </cell>
          <cell r="D2811">
            <v>257</v>
          </cell>
        </row>
        <row r="2812">
          <cell r="A2812">
            <v>35339</v>
          </cell>
          <cell r="B2812" t="str">
            <v>福建</v>
          </cell>
          <cell r="C2812" t="str">
            <v>自行车</v>
          </cell>
          <cell r="D2812">
            <v>248</v>
          </cell>
        </row>
        <row r="2813">
          <cell r="A2813">
            <v>35339</v>
          </cell>
          <cell r="B2813" t="str">
            <v>安徽</v>
          </cell>
          <cell r="C2813" t="str">
            <v>自行车</v>
          </cell>
          <cell r="D2813">
            <v>96</v>
          </cell>
        </row>
        <row r="2814">
          <cell r="A2814">
            <v>35339</v>
          </cell>
          <cell r="B2814" t="str">
            <v>安徽</v>
          </cell>
          <cell r="C2814" t="str">
            <v>自行车</v>
          </cell>
          <cell r="D2814">
            <v>146</v>
          </cell>
        </row>
        <row r="2815">
          <cell r="A2815">
            <v>35339</v>
          </cell>
          <cell r="B2815" t="str">
            <v>广东</v>
          </cell>
          <cell r="C2815" t="str">
            <v>自行车</v>
          </cell>
          <cell r="D2815">
            <v>131</v>
          </cell>
        </row>
        <row r="2816">
          <cell r="A2816">
            <v>35339</v>
          </cell>
          <cell r="B2816" t="str">
            <v>山东</v>
          </cell>
          <cell r="C2816" t="str">
            <v>自行车</v>
          </cell>
          <cell r="D2816">
            <v>1221</v>
          </cell>
        </row>
        <row r="2817">
          <cell r="A2817">
            <v>35339</v>
          </cell>
          <cell r="B2817" t="str">
            <v>江西</v>
          </cell>
          <cell r="C2817" t="str">
            <v>自行车</v>
          </cell>
          <cell r="D2817">
            <v>459</v>
          </cell>
        </row>
        <row r="2818">
          <cell r="A2818">
            <v>35339</v>
          </cell>
          <cell r="B2818" t="str">
            <v>山东</v>
          </cell>
          <cell r="C2818" t="str">
            <v>自行车</v>
          </cell>
          <cell r="D2818">
            <v>417</v>
          </cell>
        </row>
        <row r="2819">
          <cell r="A2819">
            <v>35339</v>
          </cell>
          <cell r="B2819" t="str">
            <v>安徽</v>
          </cell>
          <cell r="C2819" t="str">
            <v>自行车</v>
          </cell>
          <cell r="D2819">
            <v>394</v>
          </cell>
        </row>
        <row r="2820">
          <cell r="A2820">
            <v>35339</v>
          </cell>
          <cell r="B2820" t="str">
            <v>安徽</v>
          </cell>
          <cell r="C2820" t="str">
            <v>自行车</v>
          </cell>
          <cell r="D2820">
            <v>918</v>
          </cell>
        </row>
        <row r="2821">
          <cell r="A2821">
            <v>35339</v>
          </cell>
          <cell r="B2821" t="str">
            <v>广东</v>
          </cell>
          <cell r="C2821" t="str">
            <v>自行车</v>
          </cell>
          <cell r="D2821">
            <v>907</v>
          </cell>
        </row>
        <row r="2822">
          <cell r="A2822">
            <v>35339</v>
          </cell>
          <cell r="B2822" t="str">
            <v>福建</v>
          </cell>
          <cell r="C2822" t="str">
            <v>自行车</v>
          </cell>
          <cell r="D2822">
            <v>688</v>
          </cell>
        </row>
        <row r="2823">
          <cell r="A2823">
            <v>35339</v>
          </cell>
          <cell r="B2823" t="str">
            <v>广东</v>
          </cell>
          <cell r="C2823" t="str">
            <v>自行车</v>
          </cell>
          <cell r="D2823">
            <v>637</v>
          </cell>
        </row>
        <row r="2824">
          <cell r="A2824">
            <v>35339</v>
          </cell>
          <cell r="B2824" t="str">
            <v>江苏</v>
          </cell>
          <cell r="C2824" t="str">
            <v>自行车</v>
          </cell>
          <cell r="D2824">
            <v>535</v>
          </cell>
        </row>
        <row r="2825">
          <cell r="A2825">
            <v>35339</v>
          </cell>
          <cell r="B2825" t="str">
            <v>江西</v>
          </cell>
          <cell r="C2825" t="str">
            <v>自行车</v>
          </cell>
          <cell r="D2825">
            <v>525</v>
          </cell>
        </row>
        <row r="2826">
          <cell r="A2826">
            <v>35339</v>
          </cell>
          <cell r="B2826" t="str">
            <v>山东</v>
          </cell>
          <cell r="C2826" t="str">
            <v>自行车</v>
          </cell>
          <cell r="D2826">
            <v>42</v>
          </cell>
        </row>
        <row r="2827">
          <cell r="A2827">
            <v>35339</v>
          </cell>
          <cell r="B2827" t="str">
            <v>山东</v>
          </cell>
          <cell r="C2827" t="str">
            <v>自行车</v>
          </cell>
          <cell r="D2827">
            <v>54</v>
          </cell>
        </row>
        <row r="2828">
          <cell r="A2828">
            <v>35339</v>
          </cell>
          <cell r="B2828" t="str">
            <v>安徽</v>
          </cell>
          <cell r="C2828" t="str">
            <v>瓷器</v>
          </cell>
          <cell r="D2828">
            <v>175</v>
          </cell>
        </row>
        <row r="2829">
          <cell r="A2829">
            <v>35339</v>
          </cell>
          <cell r="B2829" t="str">
            <v>福建</v>
          </cell>
          <cell r="C2829" t="str">
            <v>瓷器</v>
          </cell>
          <cell r="D2829">
            <v>158</v>
          </cell>
        </row>
        <row r="2830">
          <cell r="A2830">
            <v>35339</v>
          </cell>
          <cell r="B2830" t="str">
            <v>广东</v>
          </cell>
          <cell r="C2830" t="str">
            <v>瓷器</v>
          </cell>
          <cell r="D2830">
            <v>124</v>
          </cell>
        </row>
        <row r="2831">
          <cell r="A2831">
            <v>35339</v>
          </cell>
          <cell r="B2831" t="str">
            <v>江苏</v>
          </cell>
          <cell r="C2831" t="str">
            <v>瓷器</v>
          </cell>
          <cell r="D2831">
            <v>131</v>
          </cell>
        </row>
        <row r="2832">
          <cell r="A2832">
            <v>35339</v>
          </cell>
          <cell r="B2832" t="str">
            <v>福建</v>
          </cell>
          <cell r="C2832" t="str">
            <v>瓷器</v>
          </cell>
          <cell r="D2832">
            <v>1238</v>
          </cell>
        </row>
        <row r="2833">
          <cell r="A2833">
            <v>35339</v>
          </cell>
          <cell r="B2833" t="str">
            <v>江西</v>
          </cell>
          <cell r="C2833" t="str">
            <v>瓷器</v>
          </cell>
          <cell r="D2833">
            <v>1019</v>
          </cell>
        </row>
        <row r="2834">
          <cell r="A2834">
            <v>35339</v>
          </cell>
          <cell r="B2834" t="str">
            <v>江苏</v>
          </cell>
          <cell r="C2834" t="str">
            <v>瓷器</v>
          </cell>
          <cell r="D2834">
            <v>189</v>
          </cell>
        </row>
        <row r="2835">
          <cell r="A2835">
            <v>35339</v>
          </cell>
          <cell r="B2835" t="str">
            <v>广东</v>
          </cell>
          <cell r="C2835" t="str">
            <v>瓷器</v>
          </cell>
          <cell r="D2835">
            <v>225</v>
          </cell>
        </row>
        <row r="2836">
          <cell r="A2836">
            <v>35339</v>
          </cell>
          <cell r="B2836" t="str">
            <v>广东</v>
          </cell>
          <cell r="C2836" t="str">
            <v>瓷器</v>
          </cell>
          <cell r="D2836">
            <v>228</v>
          </cell>
        </row>
        <row r="2837">
          <cell r="A2837">
            <v>35339</v>
          </cell>
          <cell r="B2837" t="str">
            <v>安徽</v>
          </cell>
          <cell r="C2837" t="str">
            <v>瓷器</v>
          </cell>
          <cell r="D2837">
            <v>88</v>
          </cell>
        </row>
        <row r="2838">
          <cell r="A2838">
            <v>35339</v>
          </cell>
          <cell r="B2838" t="str">
            <v>安徽</v>
          </cell>
          <cell r="C2838" t="str">
            <v>瓷器</v>
          </cell>
          <cell r="D2838">
            <v>191</v>
          </cell>
        </row>
        <row r="2839">
          <cell r="A2839">
            <v>35339</v>
          </cell>
          <cell r="B2839" t="str">
            <v>江西</v>
          </cell>
          <cell r="C2839" t="str">
            <v>瓷器</v>
          </cell>
          <cell r="D2839">
            <v>713</v>
          </cell>
        </row>
        <row r="2840">
          <cell r="A2840">
            <v>35339</v>
          </cell>
          <cell r="B2840" t="str">
            <v>山东</v>
          </cell>
          <cell r="C2840" t="str">
            <v>瓷器</v>
          </cell>
          <cell r="D2840">
            <v>68</v>
          </cell>
        </row>
        <row r="2841">
          <cell r="A2841">
            <v>35339</v>
          </cell>
          <cell r="B2841" t="str">
            <v>福建</v>
          </cell>
          <cell r="C2841" t="str">
            <v>瓷器</v>
          </cell>
          <cell r="D2841">
            <v>612</v>
          </cell>
        </row>
        <row r="2842">
          <cell r="A2842">
            <v>35339</v>
          </cell>
          <cell r="B2842" t="str">
            <v>山东</v>
          </cell>
          <cell r="C2842" t="str">
            <v>瓷器</v>
          </cell>
          <cell r="D2842">
            <v>464</v>
          </cell>
        </row>
        <row r="2843">
          <cell r="A2843">
            <v>35339</v>
          </cell>
          <cell r="B2843" t="str">
            <v>江西</v>
          </cell>
          <cell r="C2843" t="str">
            <v>瓷器</v>
          </cell>
          <cell r="D2843">
            <v>456</v>
          </cell>
        </row>
        <row r="2844">
          <cell r="A2844">
            <v>35339</v>
          </cell>
          <cell r="B2844" t="str">
            <v>安徽</v>
          </cell>
          <cell r="C2844" t="str">
            <v>瓷器</v>
          </cell>
          <cell r="D2844">
            <v>1536</v>
          </cell>
        </row>
        <row r="2845">
          <cell r="A2845">
            <v>35339</v>
          </cell>
          <cell r="B2845" t="str">
            <v>福建</v>
          </cell>
          <cell r="C2845" t="str">
            <v>瓷器</v>
          </cell>
          <cell r="D2845">
            <v>180</v>
          </cell>
        </row>
        <row r="2846">
          <cell r="A2846">
            <v>35339</v>
          </cell>
          <cell r="B2846" t="str">
            <v>江西</v>
          </cell>
          <cell r="C2846" t="str">
            <v>瓷器</v>
          </cell>
          <cell r="D2846">
            <v>405</v>
          </cell>
        </row>
        <row r="2847">
          <cell r="A2847">
            <v>35339</v>
          </cell>
          <cell r="B2847" t="str">
            <v>江苏</v>
          </cell>
          <cell r="C2847" t="str">
            <v>瓷器</v>
          </cell>
          <cell r="D2847">
            <v>50</v>
          </cell>
        </row>
        <row r="2848">
          <cell r="A2848">
            <v>35339</v>
          </cell>
          <cell r="B2848" t="str">
            <v>山东</v>
          </cell>
          <cell r="C2848" t="str">
            <v>瓷器</v>
          </cell>
          <cell r="D2848">
            <v>46</v>
          </cell>
        </row>
        <row r="2849">
          <cell r="A2849">
            <v>35339</v>
          </cell>
          <cell r="B2849" t="str">
            <v>山东</v>
          </cell>
          <cell r="C2849" t="str">
            <v>瓷器</v>
          </cell>
          <cell r="D2849">
            <v>44</v>
          </cell>
        </row>
        <row r="2850">
          <cell r="A2850">
            <v>35339</v>
          </cell>
          <cell r="B2850" t="str">
            <v>江苏</v>
          </cell>
          <cell r="C2850" t="str">
            <v>瓷器</v>
          </cell>
          <cell r="D2850">
            <v>34</v>
          </cell>
        </row>
        <row r="2851">
          <cell r="A2851">
            <v>35339</v>
          </cell>
          <cell r="B2851" t="str">
            <v>广东</v>
          </cell>
          <cell r="C2851" t="str">
            <v>瓷器</v>
          </cell>
          <cell r="D2851">
            <v>61</v>
          </cell>
        </row>
        <row r="2852">
          <cell r="A2852">
            <v>35339</v>
          </cell>
          <cell r="B2852" t="str">
            <v>安徽</v>
          </cell>
          <cell r="C2852" t="str">
            <v>服装</v>
          </cell>
          <cell r="D2852">
            <v>193</v>
          </cell>
        </row>
        <row r="2853">
          <cell r="A2853">
            <v>35339</v>
          </cell>
          <cell r="B2853" t="str">
            <v>山东</v>
          </cell>
          <cell r="C2853" t="str">
            <v>服装</v>
          </cell>
          <cell r="D2853">
            <v>1337</v>
          </cell>
        </row>
        <row r="2854">
          <cell r="A2854">
            <v>35339</v>
          </cell>
          <cell r="B2854" t="str">
            <v>山东</v>
          </cell>
          <cell r="C2854" t="str">
            <v>服装</v>
          </cell>
          <cell r="D2854">
            <v>1518</v>
          </cell>
        </row>
        <row r="2855">
          <cell r="A2855">
            <v>35339</v>
          </cell>
          <cell r="B2855" t="str">
            <v>安徽</v>
          </cell>
          <cell r="C2855" t="str">
            <v>服装</v>
          </cell>
          <cell r="D2855">
            <v>330</v>
          </cell>
        </row>
        <row r="2856">
          <cell r="A2856">
            <v>35339</v>
          </cell>
          <cell r="B2856" t="str">
            <v>山东</v>
          </cell>
          <cell r="C2856" t="str">
            <v>服装</v>
          </cell>
          <cell r="D2856">
            <v>68</v>
          </cell>
        </row>
        <row r="2857">
          <cell r="A2857">
            <v>35339</v>
          </cell>
          <cell r="B2857" t="str">
            <v>山东</v>
          </cell>
          <cell r="C2857" t="str">
            <v>服装</v>
          </cell>
          <cell r="D2857">
            <v>99</v>
          </cell>
        </row>
        <row r="2858">
          <cell r="A2858">
            <v>35339</v>
          </cell>
          <cell r="B2858" t="str">
            <v>山东</v>
          </cell>
          <cell r="C2858" t="str">
            <v>服装</v>
          </cell>
          <cell r="D2858">
            <v>88</v>
          </cell>
        </row>
        <row r="2859">
          <cell r="A2859">
            <v>35339</v>
          </cell>
          <cell r="B2859" t="str">
            <v>安徽</v>
          </cell>
          <cell r="C2859" t="str">
            <v>服装</v>
          </cell>
          <cell r="D2859">
            <v>158</v>
          </cell>
        </row>
        <row r="2860">
          <cell r="A2860">
            <v>35339</v>
          </cell>
          <cell r="B2860" t="str">
            <v>安徽</v>
          </cell>
          <cell r="C2860" t="str">
            <v>服装</v>
          </cell>
          <cell r="D2860">
            <v>140</v>
          </cell>
        </row>
        <row r="2861">
          <cell r="A2861">
            <v>35339</v>
          </cell>
          <cell r="B2861" t="str">
            <v>安徽</v>
          </cell>
          <cell r="C2861" t="str">
            <v>服装</v>
          </cell>
          <cell r="D2861">
            <v>61</v>
          </cell>
        </row>
        <row r="2862">
          <cell r="A2862">
            <v>35339</v>
          </cell>
          <cell r="B2862" t="str">
            <v>安徽</v>
          </cell>
          <cell r="C2862" t="str">
            <v>服装</v>
          </cell>
          <cell r="D2862">
            <v>56</v>
          </cell>
        </row>
        <row r="2863">
          <cell r="A2863">
            <v>35339</v>
          </cell>
          <cell r="B2863" t="str">
            <v>山东</v>
          </cell>
          <cell r="C2863" t="str">
            <v>服装</v>
          </cell>
          <cell r="D2863">
            <v>18</v>
          </cell>
        </row>
        <row r="2864">
          <cell r="A2864">
            <v>35339</v>
          </cell>
          <cell r="B2864" t="str">
            <v>福建</v>
          </cell>
          <cell r="C2864" t="str">
            <v>食品</v>
          </cell>
          <cell r="D2864">
            <v>473</v>
          </cell>
        </row>
        <row r="2865">
          <cell r="A2865">
            <v>35339</v>
          </cell>
          <cell r="B2865" t="str">
            <v>山东</v>
          </cell>
          <cell r="C2865" t="str">
            <v>食品</v>
          </cell>
          <cell r="D2865">
            <v>88</v>
          </cell>
        </row>
        <row r="2866">
          <cell r="A2866">
            <v>35339</v>
          </cell>
          <cell r="B2866" t="str">
            <v>江苏</v>
          </cell>
          <cell r="C2866" t="str">
            <v>食品</v>
          </cell>
          <cell r="D2866">
            <v>79</v>
          </cell>
        </row>
        <row r="2867">
          <cell r="A2867">
            <v>35339</v>
          </cell>
          <cell r="B2867" t="str">
            <v>江西</v>
          </cell>
          <cell r="C2867" t="str">
            <v>食品</v>
          </cell>
          <cell r="D2867">
            <v>184</v>
          </cell>
        </row>
        <row r="2868">
          <cell r="A2868">
            <v>35339</v>
          </cell>
          <cell r="B2868" t="str">
            <v>福建</v>
          </cell>
          <cell r="C2868" t="str">
            <v>食品</v>
          </cell>
          <cell r="D2868">
            <v>245</v>
          </cell>
        </row>
        <row r="2869">
          <cell r="A2869">
            <v>35339</v>
          </cell>
          <cell r="B2869" t="str">
            <v>广东</v>
          </cell>
          <cell r="C2869" t="str">
            <v>食品</v>
          </cell>
          <cell r="D2869">
            <v>582</v>
          </cell>
        </row>
        <row r="2870">
          <cell r="A2870">
            <v>35339</v>
          </cell>
          <cell r="B2870" t="str">
            <v>山东</v>
          </cell>
          <cell r="C2870" t="str">
            <v>食品</v>
          </cell>
          <cell r="D2870">
            <v>306</v>
          </cell>
        </row>
        <row r="2871">
          <cell r="A2871">
            <v>35339</v>
          </cell>
          <cell r="B2871" t="str">
            <v>广东</v>
          </cell>
          <cell r="C2871" t="str">
            <v>食品</v>
          </cell>
          <cell r="D2871">
            <v>149</v>
          </cell>
        </row>
        <row r="2872">
          <cell r="A2872">
            <v>35339</v>
          </cell>
          <cell r="B2872" t="str">
            <v>广东</v>
          </cell>
          <cell r="C2872" t="str">
            <v>食品</v>
          </cell>
          <cell r="D2872">
            <v>146</v>
          </cell>
        </row>
        <row r="2873">
          <cell r="A2873">
            <v>35339</v>
          </cell>
          <cell r="B2873" t="str">
            <v>山东</v>
          </cell>
          <cell r="C2873" t="str">
            <v>食品</v>
          </cell>
          <cell r="D2873">
            <v>158</v>
          </cell>
        </row>
        <row r="2874">
          <cell r="A2874">
            <v>35339</v>
          </cell>
          <cell r="B2874" t="str">
            <v>安徽</v>
          </cell>
          <cell r="C2874" t="str">
            <v>食品</v>
          </cell>
          <cell r="D2874">
            <v>333</v>
          </cell>
        </row>
        <row r="2875">
          <cell r="A2875">
            <v>35339</v>
          </cell>
          <cell r="B2875" t="str">
            <v>江苏</v>
          </cell>
          <cell r="C2875" t="str">
            <v>食品</v>
          </cell>
          <cell r="D2875">
            <v>144</v>
          </cell>
        </row>
        <row r="2876">
          <cell r="A2876">
            <v>35339</v>
          </cell>
          <cell r="B2876" t="str">
            <v>安徽</v>
          </cell>
          <cell r="C2876" t="str">
            <v>食品</v>
          </cell>
          <cell r="D2876">
            <v>338</v>
          </cell>
        </row>
        <row r="2877">
          <cell r="A2877">
            <v>35339</v>
          </cell>
          <cell r="B2877" t="str">
            <v>江苏</v>
          </cell>
          <cell r="C2877" t="str">
            <v>食品</v>
          </cell>
          <cell r="D2877">
            <v>113</v>
          </cell>
        </row>
        <row r="2878">
          <cell r="A2878">
            <v>35339</v>
          </cell>
          <cell r="B2878" t="str">
            <v>江西</v>
          </cell>
          <cell r="C2878" t="str">
            <v>食品</v>
          </cell>
          <cell r="D2878">
            <v>426</v>
          </cell>
        </row>
        <row r="2879">
          <cell r="A2879">
            <v>35339</v>
          </cell>
          <cell r="B2879" t="str">
            <v>广东</v>
          </cell>
          <cell r="C2879" t="str">
            <v>食品</v>
          </cell>
          <cell r="D2879">
            <v>368</v>
          </cell>
        </row>
        <row r="2880">
          <cell r="A2880">
            <v>35339</v>
          </cell>
          <cell r="B2880" t="str">
            <v>福建</v>
          </cell>
          <cell r="C2880" t="str">
            <v>食品</v>
          </cell>
          <cell r="D2880">
            <v>263</v>
          </cell>
        </row>
        <row r="2881">
          <cell r="A2881">
            <v>35339</v>
          </cell>
          <cell r="B2881" t="str">
            <v>江西</v>
          </cell>
          <cell r="C2881" t="str">
            <v>食品</v>
          </cell>
          <cell r="D2881">
            <v>263</v>
          </cell>
        </row>
        <row r="2882">
          <cell r="A2882">
            <v>35339</v>
          </cell>
          <cell r="B2882" t="str">
            <v>山东</v>
          </cell>
          <cell r="C2882" t="str">
            <v>食品</v>
          </cell>
          <cell r="D2882">
            <v>259</v>
          </cell>
        </row>
        <row r="2883">
          <cell r="A2883">
            <v>35339</v>
          </cell>
          <cell r="B2883" t="str">
            <v>福建</v>
          </cell>
          <cell r="C2883" t="str">
            <v>食品</v>
          </cell>
          <cell r="D2883">
            <v>985</v>
          </cell>
        </row>
        <row r="2884">
          <cell r="A2884">
            <v>35339</v>
          </cell>
          <cell r="B2884" t="str">
            <v>安徽</v>
          </cell>
          <cell r="C2884" t="str">
            <v>食品</v>
          </cell>
          <cell r="D2884">
            <v>769</v>
          </cell>
        </row>
        <row r="2885">
          <cell r="A2885">
            <v>35339</v>
          </cell>
          <cell r="B2885" t="str">
            <v>江西</v>
          </cell>
          <cell r="C2885" t="str">
            <v>食品</v>
          </cell>
          <cell r="D2885">
            <v>727</v>
          </cell>
        </row>
        <row r="2886">
          <cell r="A2886">
            <v>35339</v>
          </cell>
          <cell r="B2886" t="str">
            <v>安徽</v>
          </cell>
          <cell r="C2886" t="str">
            <v>食品</v>
          </cell>
          <cell r="D2886">
            <v>1005</v>
          </cell>
        </row>
        <row r="2887">
          <cell r="A2887">
            <v>35339</v>
          </cell>
          <cell r="B2887" t="str">
            <v>江苏</v>
          </cell>
          <cell r="C2887" t="str">
            <v>食品</v>
          </cell>
          <cell r="D2887">
            <v>39</v>
          </cell>
        </row>
        <row r="2888">
          <cell r="A2888">
            <v>35339</v>
          </cell>
          <cell r="B2888" t="str">
            <v>江西</v>
          </cell>
          <cell r="C2888" t="str">
            <v>儿童用品</v>
          </cell>
          <cell r="D2888">
            <v>731</v>
          </cell>
        </row>
        <row r="2889">
          <cell r="A2889">
            <v>35339</v>
          </cell>
          <cell r="B2889" t="str">
            <v>江西</v>
          </cell>
          <cell r="C2889" t="str">
            <v>儿童用品</v>
          </cell>
          <cell r="D2889">
            <v>81</v>
          </cell>
        </row>
        <row r="2890">
          <cell r="A2890">
            <v>35339</v>
          </cell>
          <cell r="B2890" t="str">
            <v>广东</v>
          </cell>
          <cell r="C2890" t="str">
            <v>儿童用品</v>
          </cell>
          <cell r="D2890">
            <v>90</v>
          </cell>
        </row>
        <row r="2891">
          <cell r="A2891">
            <v>35339</v>
          </cell>
          <cell r="B2891" t="str">
            <v>江西</v>
          </cell>
          <cell r="C2891" t="str">
            <v>儿童用品</v>
          </cell>
          <cell r="D2891">
            <v>104</v>
          </cell>
        </row>
        <row r="2892">
          <cell r="A2892">
            <v>35339</v>
          </cell>
          <cell r="B2892" t="str">
            <v>江苏</v>
          </cell>
          <cell r="C2892" t="str">
            <v>儿童用品</v>
          </cell>
          <cell r="D2892">
            <v>123</v>
          </cell>
        </row>
        <row r="2893">
          <cell r="A2893">
            <v>35339</v>
          </cell>
          <cell r="B2893" t="str">
            <v>广东</v>
          </cell>
          <cell r="C2893" t="str">
            <v>儿童用品</v>
          </cell>
          <cell r="D2893">
            <v>123</v>
          </cell>
        </row>
        <row r="2894">
          <cell r="A2894">
            <v>35339</v>
          </cell>
          <cell r="B2894" t="str">
            <v>江苏</v>
          </cell>
          <cell r="C2894" t="str">
            <v>儿童用品</v>
          </cell>
          <cell r="D2894">
            <v>158</v>
          </cell>
        </row>
        <row r="2895">
          <cell r="A2895">
            <v>35339</v>
          </cell>
          <cell r="B2895" t="str">
            <v>福建</v>
          </cell>
          <cell r="C2895" t="str">
            <v>儿童用品</v>
          </cell>
          <cell r="D2895">
            <v>158</v>
          </cell>
        </row>
        <row r="2896">
          <cell r="A2896">
            <v>35339</v>
          </cell>
          <cell r="B2896" t="str">
            <v>江苏</v>
          </cell>
          <cell r="C2896" t="str">
            <v>儿童用品</v>
          </cell>
          <cell r="D2896">
            <v>185</v>
          </cell>
        </row>
        <row r="2897">
          <cell r="A2897">
            <v>35339</v>
          </cell>
          <cell r="B2897" t="str">
            <v>山东</v>
          </cell>
          <cell r="C2897" t="str">
            <v>儿童用品</v>
          </cell>
          <cell r="D2897">
            <v>193</v>
          </cell>
        </row>
        <row r="2898">
          <cell r="A2898">
            <v>35339</v>
          </cell>
          <cell r="B2898" t="str">
            <v>福建</v>
          </cell>
          <cell r="C2898" t="str">
            <v>儿童用品</v>
          </cell>
          <cell r="D2898">
            <v>221</v>
          </cell>
        </row>
        <row r="2899">
          <cell r="A2899">
            <v>35339</v>
          </cell>
          <cell r="B2899" t="str">
            <v>福建</v>
          </cell>
          <cell r="C2899" t="str">
            <v>儿童用品</v>
          </cell>
          <cell r="D2899">
            <v>248</v>
          </cell>
        </row>
        <row r="2900">
          <cell r="A2900">
            <v>35339</v>
          </cell>
          <cell r="B2900" t="str">
            <v>广东</v>
          </cell>
          <cell r="C2900" t="str">
            <v>儿童用品</v>
          </cell>
          <cell r="D2900">
            <v>354</v>
          </cell>
        </row>
        <row r="2901">
          <cell r="A2901">
            <v>35339</v>
          </cell>
          <cell r="B2901" t="str">
            <v>安徽</v>
          </cell>
          <cell r="C2901" t="str">
            <v>儿童用品</v>
          </cell>
          <cell r="D2901">
            <v>426</v>
          </cell>
        </row>
        <row r="2902">
          <cell r="A2902">
            <v>35339</v>
          </cell>
          <cell r="B2902" t="str">
            <v>江西</v>
          </cell>
          <cell r="C2902" t="str">
            <v>儿童用品</v>
          </cell>
          <cell r="D2902">
            <v>765</v>
          </cell>
        </row>
        <row r="2903">
          <cell r="A2903">
            <v>35339</v>
          </cell>
          <cell r="B2903" t="str">
            <v>安徽</v>
          </cell>
          <cell r="C2903" t="str">
            <v>儿童用品</v>
          </cell>
          <cell r="D2903">
            <v>1189</v>
          </cell>
        </row>
        <row r="2904">
          <cell r="A2904">
            <v>35339</v>
          </cell>
          <cell r="B2904" t="str">
            <v>安徽</v>
          </cell>
          <cell r="C2904" t="str">
            <v>儿童用品</v>
          </cell>
          <cell r="D2904">
            <v>1327</v>
          </cell>
        </row>
        <row r="2905">
          <cell r="A2905">
            <v>35339</v>
          </cell>
          <cell r="B2905" t="str">
            <v>广东</v>
          </cell>
          <cell r="C2905" t="str">
            <v>儿童用品</v>
          </cell>
          <cell r="D2905">
            <v>3392</v>
          </cell>
        </row>
        <row r="2906">
          <cell r="A2906">
            <v>35339</v>
          </cell>
          <cell r="B2906" t="str">
            <v>安徽</v>
          </cell>
          <cell r="C2906" t="str">
            <v>儿童用品</v>
          </cell>
          <cell r="D2906">
            <v>387</v>
          </cell>
        </row>
        <row r="2907">
          <cell r="A2907">
            <v>35339</v>
          </cell>
          <cell r="B2907" t="str">
            <v>山东</v>
          </cell>
          <cell r="C2907" t="str">
            <v>儿童用品</v>
          </cell>
          <cell r="D2907">
            <v>34</v>
          </cell>
        </row>
        <row r="2908">
          <cell r="A2908">
            <v>35339</v>
          </cell>
          <cell r="B2908" t="str">
            <v>山东</v>
          </cell>
          <cell r="C2908" t="str">
            <v>儿童用品</v>
          </cell>
          <cell r="D2908">
            <v>26</v>
          </cell>
        </row>
        <row r="2909">
          <cell r="A2909">
            <v>35339</v>
          </cell>
          <cell r="B2909" t="str">
            <v>山东</v>
          </cell>
          <cell r="C2909" t="str">
            <v>儿童用品</v>
          </cell>
          <cell r="D2909">
            <v>36</v>
          </cell>
        </row>
        <row r="2910">
          <cell r="A2910">
            <v>35339</v>
          </cell>
          <cell r="B2910" t="str">
            <v>江苏</v>
          </cell>
          <cell r="C2910" t="str">
            <v>儿童用品</v>
          </cell>
          <cell r="D2910">
            <v>61</v>
          </cell>
        </row>
        <row r="2911">
          <cell r="A2911">
            <v>35339</v>
          </cell>
          <cell r="B2911" t="str">
            <v>福建</v>
          </cell>
          <cell r="C2911" t="str">
            <v>儿童用品</v>
          </cell>
          <cell r="D2911">
            <v>44</v>
          </cell>
        </row>
        <row r="2912">
          <cell r="A2912">
            <v>35339</v>
          </cell>
          <cell r="B2912" t="str">
            <v>江西</v>
          </cell>
          <cell r="C2912" t="str">
            <v>体育用品</v>
          </cell>
          <cell r="D2912">
            <v>124</v>
          </cell>
        </row>
        <row r="2913">
          <cell r="A2913">
            <v>35339</v>
          </cell>
          <cell r="B2913" t="str">
            <v>江苏</v>
          </cell>
          <cell r="C2913" t="str">
            <v>体育用品</v>
          </cell>
          <cell r="D2913">
            <v>138</v>
          </cell>
        </row>
        <row r="2914">
          <cell r="A2914">
            <v>35339</v>
          </cell>
          <cell r="B2914" t="str">
            <v>江苏</v>
          </cell>
          <cell r="C2914" t="str">
            <v>体育用品</v>
          </cell>
          <cell r="D2914">
            <v>146</v>
          </cell>
        </row>
        <row r="2915">
          <cell r="A2915">
            <v>35339</v>
          </cell>
          <cell r="B2915" t="str">
            <v>江西</v>
          </cell>
          <cell r="C2915" t="str">
            <v>体育用品</v>
          </cell>
          <cell r="D2915">
            <v>248</v>
          </cell>
        </row>
        <row r="2916">
          <cell r="A2916">
            <v>35339</v>
          </cell>
          <cell r="B2916" t="str">
            <v>安徽</v>
          </cell>
          <cell r="C2916" t="str">
            <v>体育用品</v>
          </cell>
          <cell r="D2916">
            <v>110</v>
          </cell>
        </row>
        <row r="2917">
          <cell r="A2917">
            <v>35339</v>
          </cell>
          <cell r="B2917" t="str">
            <v>福建</v>
          </cell>
          <cell r="C2917" t="str">
            <v>体育用品</v>
          </cell>
          <cell r="D2917">
            <v>72</v>
          </cell>
        </row>
        <row r="2918">
          <cell r="A2918">
            <v>35339</v>
          </cell>
          <cell r="B2918" t="str">
            <v>江西</v>
          </cell>
          <cell r="C2918" t="str">
            <v>体育用品</v>
          </cell>
          <cell r="D2918">
            <v>70</v>
          </cell>
        </row>
        <row r="2919">
          <cell r="A2919">
            <v>35339</v>
          </cell>
          <cell r="B2919" t="str">
            <v>江苏</v>
          </cell>
          <cell r="C2919" t="str">
            <v>体育用品</v>
          </cell>
          <cell r="D2919">
            <v>96</v>
          </cell>
        </row>
        <row r="2920">
          <cell r="A2920">
            <v>35339</v>
          </cell>
          <cell r="B2920" t="str">
            <v>广东</v>
          </cell>
          <cell r="C2920" t="str">
            <v>体育用品</v>
          </cell>
          <cell r="D2920">
            <v>96</v>
          </cell>
        </row>
        <row r="2921">
          <cell r="A2921">
            <v>35339</v>
          </cell>
          <cell r="B2921" t="str">
            <v>福建</v>
          </cell>
          <cell r="C2921" t="str">
            <v>体育用品</v>
          </cell>
          <cell r="D2921">
            <v>90</v>
          </cell>
        </row>
        <row r="2922">
          <cell r="A2922">
            <v>35339</v>
          </cell>
          <cell r="B2922" t="str">
            <v>安徽</v>
          </cell>
          <cell r="C2922" t="str">
            <v>体育用品</v>
          </cell>
          <cell r="D2922">
            <v>79</v>
          </cell>
        </row>
        <row r="2923">
          <cell r="A2923">
            <v>35339</v>
          </cell>
          <cell r="B2923" t="str">
            <v>广东</v>
          </cell>
          <cell r="C2923" t="str">
            <v>体育用品</v>
          </cell>
          <cell r="D2923">
            <v>77</v>
          </cell>
        </row>
        <row r="2924">
          <cell r="A2924">
            <v>35339</v>
          </cell>
          <cell r="B2924" t="str">
            <v>福建</v>
          </cell>
          <cell r="C2924" t="str">
            <v>体育用品</v>
          </cell>
          <cell r="D2924">
            <v>77</v>
          </cell>
        </row>
        <row r="2925">
          <cell r="A2925">
            <v>35339</v>
          </cell>
          <cell r="B2925" t="str">
            <v>江西</v>
          </cell>
          <cell r="C2925" t="str">
            <v>体育用品</v>
          </cell>
          <cell r="D2925">
            <v>83</v>
          </cell>
        </row>
        <row r="2926">
          <cell r="A2926">
            <v>35339</v>
          </cell>
          <cell r="B2926" t="str">
            <v>福建</v>
          </cell>
          <cell r="C2926" t="str">
            <v>体育用品</v>
          </cell>
          <cell r="D2926">
            <v>1489</v>
          </cell>
        </row>
        <row r="2927">
          <cell r="A2927">
            <v>35339</v>
          </cell>
          <cell r="B2927" t="str">
            <v>福建</v>
          </cell>
          <cell r="C2927" t="str">
            <v>体育用品</v>
          </cell>
          <cell r="D2927">
            <v>817</v>
          </cell>
        </row>
        <row r="2928">
          <cell r="A2928">
            <v>35339</v>
          </cell>
          <cell r="B2928" t="str">
            <v>安徽</v>
          </cell>
          <cell r="C2928" t="str">
            <v>体育用品</v>
          </cell>
          <cell r="D2928">
            <v>797</v>
          </cell>
        </row>
        <row r="2929">
          <cell r="A2929">
            <v>35339</v>
          </cell>
          <cell r="B2929" t="str">
            <v>广东</v>
          </cell>
          <cell r="C2929" t="str">
            <v>体育用品</v>
          </cell>
          <cell r="D2929">
            <v>360</v>
          </cell>
        </row>
        <row r="2930">
          <cell r="A2930">
            <v>35339</v>
          </cell>
          <cell r="B2930" t="str">
            <v>广东</v>
          </cell>
          <cell r="C2930" t="str">
            <v>体育用品</v>
          </cell>
          <cell r="D2930">
            <v>2759</v>
          </cell>
        </row>
        <row r="2931">
          <cell r="A2931">
            <v>35339</v>
          </cell>
          <cell r="B2931" t="str">
            <v>山东</v>
          </cell>
          <cell r="C2931" t="str">
            <v>体育用品</v>
          </cell>
          <cell r="D2931">
            <v>9</v>
          </cell>
        </row>
        <row r="2932">
          <cell r="A2932">
            <v>35339</v>
          </cell>
          <cell r="B2932" t="str">
            <v>山东</v>
          </cell>
          <cell r="C2932" t="str">
            <v>体育用品</v>
          </cell>
          <cell r="D2932">
            <v>44</v>
          </cell>
        </row>
        <row r="2933">
          <cell r="A2933">
            <v>35339</v>
          </cell>
          <cell r="B2933" t="str">
            <v>江苏</v>
          </cell>
          <cell r="C2933" t="str">
            <v>体育用品</v>
          </cell>
          <cell r="D2933">
            <v>42</v>
          </cell>
        </row>
        <row r="2934">
          <cell r="A2934">
            <v>35339</v>
          </cell>
          <cell r="B2934" t="str">
            <v>江苏</v>
          </cell>
          <cell r="C2934" t="str">
            <v>体育用品</v>
          </cell>
          <cell r="D2934">
            <v>50</v>
          </cell>
        </row>
        <row r="2935">
          <cell r="A2935">
            <v>35339</v>
          </cell>
          <cell r="B2935" t="str">
            <v>广东</v>
          </cell>
          <cell r="C2935" t="str">
            <v>体育用品</v>
          </cell>
          <cell r="D2935">
            <v>53</v>
          </cell>
        </row>
        <row r="2936">
          <cell r="A2936">
            <v>35339</v>
          </cell>
          <cell r="B2936" t="str">
            <v>广东</v>
          </cell>
          <cell r="C2936" t="str">
            <v>体育用品</v>
          </cell>
          <cell r="D2936">
            <v>45</v>
          </cell>
        </row>
        <row r="2937">
          <cell r="A2937">
            <v>35339</v>
          </cell>
          <cell r="B2937" t="str">
            <v>山东</v>
          </cell>
          <cell r="C2937" t="str">
            <v>体育用品</v>
          </cell>
          <cell r="D2937">
            <v>56</v>
          </cell>
        </row>
        <row r="2938">
          <cell r="A2938">
            <v>35339</v>
          </cell>
          <cell r="B2938" t="str">
            <v>山东</v>
          </cell>
          <cell r="C2938" t="str">
            <v>体育用品</v>
          </cell>
          <cell r="D2938">
            <v>26</v>
          </cell>
        </row>
        <row r="2939">
          <cell r="A2939">
            <v>35339</v>
          </cell>
          <cell r="B2939" t="str">
            <v>安徽</v>
          </cell>
          <cell r="C2939" t="str">
            <v>体育用品</v>
          </cell>
          <cell r="D2939">
            <v>26</v>
          </cell>
        </row>
        <row r="2940">
          <cell r="A2940">
            <v>35339</v>
          </cell>
          <cell r="B2940" t="str">
            <v>安徽</v>
          </cell>
          <cell r="C2940" t="str">
            <v>体育用品</v>
          </cell>
          <cell r="D2940">
            <v>25</v>
          </cell>
        </row>
        <row r="2941">
          <cell r="A2941">
            <v>35339</v>
          </cell>
          <cell r="B2941" t="str">
            <v>安徽</v>
          </cell>
          <cell r="C2941" t="str">
            <v>体育用品</v>
          </cell>
          <cell r="D2941">
            <v>44</v>
          </cell>
        </row>
        <row r="2942">
          <cell r="A2942">
            <v>35339</v>
          </cell>
          <cell r="B2942" t="str">
            <v>山东</v>
          </cell>
          <cell r="C2942" t="str">
            <v>体育用品</v>
          </cell>
          <cell r="D2942">
            <v>28</v>
          </cell>
        </row>
        <row r="2943">
          <cell r="A2943">
            <v>35339</v>
          </cell>
          <cell r="B2943" t="str">
            <v>山东</v>
          </cell>
          <cell r="C2943" t="str">
            <v>体育用品</v>
          </cell>
          <cell r="D2943">
            <v>7</v>
          </cell>
        </row>
        <row r="2944">
          <cell r="A2944">
            <v>35339</v>
          </cell>
          <cell r="B2944" t="str">
            <v>江苏</v>
          </cell>
          <cell r="C2944" t="str">
            <v>体育用品</v>
          </cell>
          <cell r="D2944">
            <v>26</v>
          </cell>
        </row>
        <row r="2945">
          <cell r="A2945">
            <v>35370</v>
          </cell>
          <cell r="B2945" t="str">
            <v>江苏</v>
          </cell>
          <cell r="C2945" t="str">
            <v>艺术品</v>
          </cell>
          <cell r="D2945">
            <v>308</v>
          </cell>
        </row>
        <row r="2946">
          <cell r="A2946">
            <v>35370</v>
          </cell>
          <cell r="B2946" t="str">
            <v>福建</v>
          </cell>
          <cell r="C2946" t="str">
            <v>艺术品</v>
          </cell>
          <cell r="D2946">
            <v>431</v>
          </cell>
        </row>
        <row r="2947">
          <cell r="A2947">
            <v>35370</v>
          </cell>
          <cell r="B2947" t="str">
            <v>江西</v>
          </cell>
          <cell r="C2947" t="str">
            <v>艺术品</v>
          </cell>
          <cell r="D2947">
            <v>405</v>
          </cell>
        </row>
        <row r="2948">
          <cell r="A2948">
            <v>35370</v>
          </cell>
          <cell r="B2948" t="str">
            <v>江西</v>
          </cell>
          <cell r="C2948" t="str">
            <v>艺术品</v>
          </cell>
          <cell r="D2948">
            <v>371</v>
          </cell>
        </row>
        <row r="2949">
          <cell r="A2949">
            <v>35370</v>
          </cell>
          <cell r="B2949" t="str">
            <v>浙江</v>
          </cell>
          <cell r="C2949" t="str">
            <v>艺术品</v>
          </cell>
          <cell r="D2949">
            <v>358</v>
          </cell>
        </row>
        <row r="2950">
          <cell r="A2950">
            <v>35370</v>
          </cell>
          <cell r="B2950" t="str">
            <v>福建</v>
          </cell>
          <cell r="C2950" t="str">
            <v>艺术品</v>
          </cell>
          <cell r="D2950">
            <v>338</v>
          </cell>
        </row>
        <row r="2951">
          <cell r="A2951">
            <v>35370</v>
          </cell>
          <cell r="B2951" t="str">
            <v>浙江</v>
          </cell>
          <cell r="C2951" t="str">
            <v>艺术品</v>
          </cell>
          <cell r="D2951">
            <v>338</v>
          </cell>
        </row>
        <row r="2952">
          <cell r="A2952">
            <v>35370</v>
          </cell>
          <cell r="B2952" t="str">
            <v>山东</v>
          </cell>
          <cell r="C2952" t="str">
            <v>艺术品</v>
          </cell>
          <cell r="D2952">
            <v>54</v>
          </cell>
        </row>
        <row r="2953">
          <cell r="A2953">
            <v>35370</v>
          </cell>
          <cell r="B2953" t="str">
            <v>山东</v>
          </cell>
          <cell r="C2953" t="str">
            <v>艺术品</v>
          </cell>
          <cell r="D2953">
            <v>94</v>
          </cell>
        </row>
        <row r="2954">
          <cell r="A2954">
            <v>35370</v>
          </cell>
          <cell r="B2954" t="str">
            <v>广东</v>
          </cell>
          <cell r="C2954" t="str">
            <v>艺术品</v>
          </cell>
          <cell r="D2954">
            <v>158</v>
          </cell>
        </row>
        <row r="2955">
          <cell r="A2955">
            <v>35370</v>
          </cell>
          <cell r="B2955" t="str">
            <v>福建</v>
          </cell>
          <cell r="C2955" t="str">
            <v>艺术品</v>
          </cell>
          <cell r="D2955">
            <v>225</v>
          </cell>
        </row>
        <row r="2956">
          <cell r="A2956">
            <v>35370</v>
          </cell>
          <cell r="B2956" t="str">
            <v>安徽</v>
          </cell>
          <cell r="C2956" t="str">
            <v>艺术品</v>
          </cell>
          <cell r="D2956">
            <v>330</v>
          </cell>
        </row>
        <row r="2957">
          <cell r="A2957">
            <v>35370</v>
          </cell>
          <cell r="B2957" t="str">
            <v>安徽</v>
          </cell>
          <cell r="C2957" t="str">
            <v>艺术品</v>
          </cell>
          <cell r="D2957">
            <v>248</v>
          </cell>
        </row>
        <row r="2958">
          <cell r="A2958">
            <v>35370</v>
          </cell>
          <cell r="B2958" t="str">
            <v>安徽</v>
          </cell>
          <cell r="C2958" t="str">
            <v>艺术品</v>
          </cell>
          <cell r="D2958">
            <v>90</v>
          </cell>
        </row>
        <row r="2959">
          <cell r="A2959">
            <v>35370</v>
          </cell>
          <cell r="B2959" t="str">
            <v>江西</v>
          </cell>
          <cell r="C2959" t="str">
            <v>艺术品</v>
          </cell>
          <cell r="D2959">
            <v>83</v>
          </cell>
        </row>
        <row r="2960">
          <cell r="A2960">
            <v>35370</v>
          </cell>
          <cell r="B2960" t="str">
            <v>江苏</v>
          </cell>
          <cell r="C2960" t="str">
            <v>艺术品</v>
          </cell>
          <cell r="D2960">
            <v>289</v>
          </cell>
        </row>
        <row r="2961">
          <cell r="A2961">
            <v>35370</v>
          </cell>
          <cell r="B2961" t="str">
            <v>广东</v>
          </cell>
          <cell r="C2961" t="str">
            <v>艺术品</v>
          </cell>
          <cell r="D2961">
            <v>411</v>
          </cell>
        </row>
        <row r="2962">
          <cell r="A2962">
            <v>35370</v>
          </cell>
          <cell r="B2962" t="str">
            <v>江苏</v>
          </cell>
          <cell r="C2962" t="str">
            <v>艺术品</v>
          </cell>
          <cell r="D2962">
            <v>146</v>
          </cell>
        </row>
        <row r="2963">
          <cell r="A2963">
            <v>35370</v>
          </cell>
          <cell r="B2963" t="str">
            <v>江西</v>
          </cell>
          <cell r="C2963" t="str">
            <v>艺术品</v>
          </cell>
          <cell r="D2963">
            <v>897</v>
          </cell>
        </row>
        <row r="2964">
          <cell r="A2964">
            <v>35370</v>
          </cell>
          <cell r="B2964" t="str">
            <v>安徽</v>
          </cell>
          <cell r="C2964" t="str">
            <v>艺术品</v>
          </cell>
          <cell r="D2964">
            <v>2455</v>
          </cell>
        </row>
        <row r="2965">
          <cell r="A2965">
            <v>35370</v>
          </cell>
          <cell r="B2965" t="str">
            <v>山东</v>
          </cell>
          <cell r="C2965" t="str">
            <v>艺术品</v>
          </cell>
          <cell r="D2965">
            <v>1684</v>
          </cell>
        </row>
        <row r="2966">
          <cell r="A2966">
            <v>35370</v>
          </cell>
          <cell r="B2966" t="str">
            <v>广东</v>
          </cell>
          <cell r="C2966" t="str">
            <v>艺术品</v>
          </cell>
          <cell r="D2966">
            <v>1079</v>
          </cell>
        </row>
        <row r="2967">
          <cell r="A2967">
            <v>35370</v>
          </cell>
          <cell r="B2967" t="str">
            <v>广东</v>
          </cell>
          <cell r="C2967" t="str">
            <v>艺术品</v>
          </cell>
          <cell r="D2967">
            <v>1025</v>
          </cell>
        </row>
        <row r="2968">
          <cell r="A2968">
            <v>35370</v>
          </cell>
          <cell r="B2968" t="str">
            <v>山东</v>
          </cell>
          <cell r="C2968" t="str">
            <v>艺术品</v>
          </cell>
          <cell r="D2968">
            <v>761</v>
          </cell>
        </row>
        <row r="2969">
          <cell r="A2969">
            <v>35370</v>
          </cell>
          <cell r="B2969" t="str">
            <v>江苏</v>
          </cell>
          <cell r="C2969" t="str">
            <v>艺术品</v>
          </cell>
          <cell r="D2969">
            <v>610</v>
          </cell>
        </row>
        <row r="2970">
          <cell r="A2970">
            <v>35370</v>
          </cell>
          <cell r="B2970" t="str">
            <v>福建</v>
          </cell>
          <cell r="C2970" t="str">
            <v>艺术品</v>
          </cell>
          <cell r="D2970">
            <v>681</v>
          </cell>
        </row>
        <row r="2971">
          <cell r="A2971">
            <v>35370</v>
          </cell>
          <cell r="B2971" t="str">
            <v>广东</v>
          </cell>
          <cell r="C2971" t="str">
            <v>自行车</v>
          </cell>
          <cell r="D2971">
            <v>123</v>
          </cell>
        </row>
        <row r="2972">
          <cell r="A2972">
            <v>35370</v>
          </cell>
          <cell r="B2972" t="str">
            <v>安徽</v>
          </cell>
          <cell r="C2972" t="str">
            <v>自行车</v>
          </cell>
          <cell r="D2972">
            <v>146</v>
          </cell>
        </row>
        <row r="2973">
          <cell r="A2973">
            <v>35370</v>
          </cell>
          <cell r="B2973" t="str">
            <v>广东</v>
          </cell>
          <cell r="C2973" t="str">
            <v>自行车</v>
          </cell>
          <cell r="D2973">
            <v>180</v>
          </cell>
        </row>
        <row r="2974">
          <cell r="A2974">
            <v>35370</v>
          </cell>
          <cell r="B2974" t="str">
            <v>山东</v>
          </cell>
          <cell r="C2974" t="str">
            <v>自行车</v>
          </cell>
          <cell r="D2974">
            <v>68</v>
          </cell>
        </row>
        <row r="2975">
          <cell r="A2975">
            <v>35370</v>
          </cell>
          <cell r="B2975" t="str">
            <v>安徽</v>
          </cell>
          <cell r="C2975" t="str">
            <v>自行车</v>
          </cell>
          <cell r="D2975">
            <v>79</v>
          </cell>
        </row>
        <row r="2976">
          <cell r="A2976">
            <v>35370</v>
          </cell>
          <cell r="B2976" t="str">
            <v>江苏</v>
          </cell>
          <cell r="C2976" t="str">
            <v>自行车</v>
          </cell>
          <cell r="D2976">
            <v>375</v>
          </cell>
        </row>
        <row r="2977">
          <cell r="A2977">
            <v>35370</v>
          </cell>
          <cell r="B2977" t="str">
            <v>江西</v>
          </cell>
          <cell r="C2977" t="str">
            <v>自行车</v>
          </cell>
          <cell r="D2977">
            <v>557</v>
          </cell>
        </row>
        <row r="2978">
          <cell r="A2978">
            <v>35370</v>
          </cell>
          <cell r="B2978" t="str">
            <v>安徽</v>
          </cell>
          <cell r="C2978" t="str">
            <v>自行车</v>
          </cell>
          <cell r="D2978">
            <v>816</v>
          </cell>
        </row>
        <row r="2979">
          <cell r="A2979">
            <v>35370</v>
          </cell>
          <cell r="B2979" t="str">
            <v>安徽</v>
          </cell>
          <cell r="C2979" t="str">
            <v>自行车</v>
          </cell>
          <cell r="D2979">
            <v>333</v>
          </cell>
        </row>
        <row r="2980">
          <cell r="A2980">
            <v>35370</v>
          </cell>
          <cell r="B2980" t="str">
            <v>江西</v>
          </cell>
          <cell r="C2980" t="str">
            <v>自行车</v>
          </cell>
          <cell r="D2980">
            <v>368</v>
          </cell>
        </row>
        <row r="2981">
          <cell r="A2981">
            <v>35370</v>
          </cell>
          <cell r="B2981" t="str">
            <v>山东</v>
          </cell>
          <cell r="C2981" t="str">
            <v>自行车</v>
          </cell>
          <cell r="D2981">
            <v>1113</v>
          </cell>
        </row>
        <row r="2982">
          <cell r="A2982">
            <v>35370</v>
          </cell>
          <cell r="B2982" t="str">
            <v>广东</v>
          </cell>
          <cell r="C2982" t="str">
            <v>自行车</v>
          </cell>
          <cell r="D2982">
            <v>675</v>
          </cell>
        </row>
        <row r="2983">
          <cell r="A2983">
            <v>35370</v>
          </cell>
          <cell r="B2983" t="str">
            <v>福建</v>
          </cell>
          <cell r="C2983" t="str">
            <v>自行车</v>
          </cell>
          <cell r="D2983">
            <v>826</v>
          </cell>
        </row>
        <row r="2984">
          <cell r="A2984">
            <v>35370</v>
          </cell>
          <cell r="B2984" t="str">
            <v>福建</v>
          </cell>
          <cell r="C2984" t="str">
            <v>自行车</v>
          </cell>
          <cell r="D2984">
            <v>385</v>
          </cell>
        </row>
        <row r="2985">
          <cell r="A2985">
            <v>35370</v>
          </cell>
          <cell r="B2985" t="str">
            <v>江苏</v>
          </cell>
          <cell r="C2985" t="str">
            <v>自行车</v>
          </cell>
          <cell r="D2985">
            <v>428</v>
          </cell>
        </row>
        <row r="2986">
          <cell r="A2986">
            <v>35370</v>
          </cell>
          <cell r="B2986" t="str">
            <v>山东</v>
          </cell>
          <cell r="C2986" t="str">
            <v>自行车</v>
          </cell>
          <cell r="D2986">
            <v>467</v>
          </cell>
        </row>
        <row r="2987">
          <cell r="A2987">
            <v>35370</v>
          </cell>
          <cell r="B2987" t="str">
            <v>广东</v>
          </cell>
          <cell r="C2987" t="str">
            <v>自行车</v>
          </cell>
          <cell r="D2987">
            <v>581</v>
          </cell>
        </row>
        <row r="2988">
          <cell r="A2988">
            <v>35370</v>
          </cell>
          <cell r="B2988" t="str">
            <v>江苏</v>
          </cell>
          <cell r="C2988" t="str">
            <v>自行车</v>
          </cell>
          <cell r="D2988">
            <v>491</v>
          </cell>
        </row>
        <row r="2989">
          <cell r="A2989">
            <v>35370</v>
          </cell>
          <cell r="B2989" t="str">
            <v>江西</v>
          </cell>
          <cell r="C2989" t="str">
            <v>自行车</v>
          </cell>
          <cell r="D2989">
            <v>525</v>
          </cell>
        </row>
        <row r="2990">
          <cell r="A2990">
            <v>35370</v>
          </cell>
          <cell r="B2990" t="str">
            <v>江西</v>
          </cell>
          <cell r="C2990" t="str">
            <v>自行车</v>
          </cell>
          <cell r="D2990">
            <v>203</v>
          </cell>
        </row>
        <row r="2991">
          <cell r="A2991">
            <v>35370</v>
          </cell>
          <cell r="B2991" t="str">
            <v>福建</v>
          </cell>
          <cell r="C2991" t="str">
            <v>自行车</v>
          </cell>
          <cell r="D2991">
            <v>225</v>
          </cell>
        </row>
        <row r="2992">
          <cell r="A2992">
            <v>35370</v>
          </cell>
          <cell r="B2992" t="str">
            <v>山东</v>
          </cell>
          <cell r="C2992" t="str">
            <v>自行车</v>
          </cell>
          <cell r="D2992">
            <v>53</v>
          </cell>
        </row>
        <row r="2993">
          <cell r="A2993">
            <v>35370</v>
          </cell>
          <cell r="B2993" t="str">
            <v>浙江</v>
          </cell>
          <cell r="C2993" t="str">
            <v>自行车</v>
          </cell>
          <cell r="D2993">
            <v>270</v>
          </cell>
        </row>
        <row r="2994">
          <cell r="A2994">
            <v>35370</v>
          </cell>
          <cell r="B2994" t="str">
            <v>福建</v>
          </cell>
          <cell r="C2994" t="str">
            <v>自行车</v>
          </cell>
          <cell r="D2994">
            <v>263</v>
          </cell>
        </row>
        <row r="2995">
          <cell r="A2995">
            <v>35370</v>
          </cell>
          <cell r="B2995" t="str">
            <v>浙江</v>
          </cell>
          <cell r="C2995" t="str">
            <v>自行车</v>
          </cell>
          <cell r="D2995">
            <v>263</v>
          </cell>
        </row>
        <row r="2996">
          <cell r="A2996">
            <v>35370</v>
          </cell>
          <cell r="B2996" t="str">
            <v>江苏</v>
          </cell>
          <cell r="C2996" t="str">
            <v>自行车</v>
          </cell>
          <cell r="D2996">
            <v>236</v>
          </cell>
        </row>
        <row r="2997">
          <cell r="A2997">
            <v>35370</v>
          </cell>
          <cell r="B2997" t="str">
            <v>安徽</v>
          </cell>
          <cell r="C2997" t="str">
            <v>瓷器</v>
          </cell>
          <cell r="D2997">
            <v>1550</v>
          </cell>
        </row>
        <row r="2998">
          <cell r="A2998">
            <v>35370</v>
          </cell>
          <cell r="B2998" t="str">
            <v>福建</v>
          </cell>
          <cell r="C2998" t="str">
            <v>瓷器</v>
          </cell>
          <cell r="D2998">
            <v>663</v>
          </cell>
        </row>
        <row r="2999">
          <cell r="A2999">
            <v>35370</v>
          </cell>
          <cell r="B2999" t="str">
            <v>江西</v>
          </cell>
          <cell r="C2999" t="str">
            <v>瓷器</v>
          </cell>
          <cell r="D2999">
            <v>764</v>
          </cell>
        </row>
        <row r="3000">
          <cell r="A3000">
            <v>35370</v>
          </cell>
          <cell r="B3000" t="str">
            <v>福建</v>
          </cell>
          <cell r="C3000" t="str">
            <v>瓷器</v>
          </cell>
          <cell r="D3000">
            <v>1177</v>
          </cell>
        </row>
        <row r="3001">
          <cell r="A3001">
            <v>35370</v>
          </cell>
          <cell r="B3001" t="str">
            <v>山东</v>
          </cell>
          <cell r="C3001" t="str">
            <v>瓷器</v>
          </cell>
          <cell r="D3001">
            <v>707</v>
          </cell>
        </row>
        <row r="3002">
          <cell r="A3002">
            <v>35370</v>
          </cell>
          <cell r="B3002" t="str">
            <v>安徽</v>
          </cell>
          <cell r="C3002" t="str">
            <v>瓷器</v>
          </cell>
          <cell r="D3002">
            <v>70</v>
          </cell>
        </row>
        <row r="3003">
          <cell r="A3003">
            <v>35370</v>
          </cell>
          <cell r="B3003" t="str">
            <v>福建</v>
          </cell>
          <cell r="C3003" t="str">
            <v>瓷器</v>
          </cell>
          <cell r="D3003">
            <v>203</v>
          </cell>
        </row>
        <row r="3004">
          <cell r="A3004">
            <v>35370</v>
          </cell>
          <cell r="B3004" t="str">
            <v>江苏</v>
          </cell>
          <cell r="C3004" t="str">
            <v>瓷器</v>
          </cell>
          <cell r="D3004">
            <v>193</v>
          </cell>
        </row>
        <row r="3005">
          <cell r="A3005">
            <v>35370</v>
          </cell>
          <cell r="B3005" t="str">
            <v>安徽</v>
          </cell>
          <cell r="C3005" t="str">
            <v>瓷器</v>
          </cell>
          <cell r="D3005">
            <v>210</v>
          </cell>
        </row>
        <row r="3006">
          <cell r="A3006">
            <v>35370</v>
          </cell>
          <cell r="B3006" t="str">
            <v>浙江</v>
          </cell>
          <cell r="C3006" t="str">
            <v>瓷器</v>
          </cell>
          <cell r="D3006">
            <v>228</v>
          </cell>
        </row>
        <row r="3007">
          <cell r="A3007">
            <v>35370</v>
          </cell>
          <cell r="B3007" t="str">
            <v>福建</v>
          </cell>
          <cell r="C3007" t="str">
            <v>瓷器</v>
          </cell>
          <cell r="D3007">
            <v>140</v>
          </cell>
        </row>
        <row r="3008">
          <cell r="A3008">
            <v>35370</v>
          </cell>
          <cell r="B3008" t="str">
            <v>广东</v>
          </cell>
          <cell r="C3008" t="str">
            <v>瓷器</v>
          </cell>
          <cell r="D3008">
            <v>124</v>
          </cell>
        </row>
        <row r="3009">
          <cell r="A3009">
            <v>35370</v>
          </cell>
          <cell r="B3009" t="str">
            <v>山东</v>
          </cell>
          <cell r="C3009" t="str">
            <v>瓷器</v>
          </cell>
          <cell r="D3009">
            <v>113</v>
          </cell>
        </row>
        <row r="3010">
          <cell r="A3010">
            <v>35370</v>
          </cell>
          <cell r="B3010" t="str">
            <v>广东</v>
          </cell>
          <cell r="C3010" t="str">
            <v>瓷器</v>
          </cell>
          <cell r="D3010">
            <v>248</v>
          </cell>
        </row>
        <row r="3011">
          <cell r="A3011">
            <v>35370</v>
          </cell>
          <cell r="B3011" t="str">
            <v>广东</v>
          </cell>
          <cell r="C3011" t="str">
            <v>瓷器</v>
          </cell>
          <cell r="D3011">
            <v>280</v>
          </cell>
        </row>
        <row r="3012">
          <cell r="A3012">
            <v>35370</v>
          </cell>
          <cell r="B3012" t="str">
            <v>山东</v>
          </cell>
          <cell r="C3012" t="str">
            <v>瓷器</v>
          </cell>
          <cell r="D3012">
            <v>35</v>
          </cell>
        </row>
        <row r="3013">
          <cell r="A3013">
            <v>35370</v>
          </cell>
          <cell r="B3013" t="str">
            <v>江苏</v>
          </cell>
          <cell r="C3013" t="str">
            <v>瓷器</v>
          </cell>
          <cell r="D3013">
            <v>77</v>
          </cell>
        </row>
        <row r="3014">
          <cell r="A3014">
            <v>35370</v>
          </cell>
          <cell r="B3014" t="str">
            <v>江西</v>
          </cell>
          <cell r="C3014" t="str">
            <v>瓷器</v>
          </cell>
          <cell r="D3014">
            <v>473</v>
          </cell>
        </row>
        <row r="3015">
          <cell r="A3015">
            <v>35370</v>
          </cell>
          <cell r="B3015" t="str">
            <v>安徽</v>
          </cell>
          <cell r="C3015" t="str">
            <v>瓷器</v>
          </cell>
          <cell r="D3015">
            <v>304</v>
          </cell>
        </row>
        <row r="3016">
          <cell r="A3016">
            <v>35370</v>
          </cell>
          <cell r="B3016" t="str">
            <v>浙江</v>
          </cell>
          <cell r="C3016" t="str">
            <v>瓷器</v>
          </cell>
          <cell r="D3016">
            <v>338</v>
          </cell>
        </row>
        <row r="3017">
          <cell r="A3017">
            <v>35370</v>
          </cell>
          <cell r="B3017" t="str">
            <v>江西</v>
          </cell>
          <cell r="C3017" t="str">
            <v>瓷器</v>
          </cell>
          <cell r="D3017">
            <v>338</v>
          </cell>
        </row>
        <row r="3018">
          <cell r="A3018">
            <v>35370</v>
          </cell>
          <cell r="B3018" t="str">
            <v>江西</v>
          </cell>
          <cell r="C3018" t="str">
            <v>瓷器</v>
          </cell>
          <cell r="D3018">
            <v>371</v>
          </cell>
        </row>
        <row r="3019">
          <cell r="A3019">
            <v>35370</v>
          </cell>
          <cell r="B3019" t="str">
            <v>广东</v>
          </cell>
          <cell r="C3019" t="str">
            <v>瓷器</v>
          </cell>
          <cell r="D3019">
            <v>53</v>
          </cell>
        </row>
        <row r="3020">
          <cell r="A3020">
            <v>35370</v>
          </cell>
          <cell r="B3020" t="str">
            <v>山东</v>
          </cell>
          <cell r="C3020" t="str">
            <v>瓷器</v>
          </cell>
          <cell r="D3020">
            <v>42</v>
          </cell>
        </row>
        <row r="3021">
          <cell r="A3021">
            <v>35370</v>
          </cell>
          <cell r="B3021" t="str">
            <v>江苏</v>
          </cell>
          <cell r="C3021" t="str">
            <v>瓷器</v>
          </cell>
          <cell r="D3021">
            <v>221</v>
          </cell>
        </row>
        <row r="3022">
          <cell r="A3022">
            <v>35370</v>
          </cell>
          <cell r="B3022" t="str">
            <v>江苏</v>
          </cell>
          <cell r="C3022" t="str">
            <v>瓷器</v>
          </cell>
          <cell r="D3022">
            <v>79</v>
          </cell>
        </row>
        <row r="3023">
          <cell r="A3023">
            <v>35370</v>
          </cell>
          <cell r="B3023" t="str">
            <v>安徽</v>
          </cell>
          <cell r="C3023" t="str">
            <v>服装</v>
          </cell>
          <cell r="D3023">
            <v>68</v>
          </cell>
        </row>
        <row r="3024">
          <cell r="A3024">
            <v>35370</v>
          </cell>
          <cell r="B3024" t="str">
            <v>山东</v>
          </cell>
          <cell r="C3024" t="str">
            <v>服装</v>
          </cell>
          <cell r="D3024">
            <v>999</v>
          </cell>
        </row>
        <row r="3025">
          <cell r="A3025">
            <v>35370</v>
          </cell>
          <cell r="B3025" t="str">
            <v>山东</v>
          </cell>
          <cell r="C3025" t="str">
            <v>服装</v>
          </cell>
          <cell r="D3025">
            <v>90</v>
          </cell>
        </row>
        <row r="3026">
          <cell r="A3026">
            <v>35370</v>
          </cell>
          <cell r="B3026" t="str">
            <v>山东</v>
          </cell>
          <cell r="C3026" t="str">
            <v>服装</v>
          </cell>
          <cell r="D3026">
            <v>95</v>
          </cell>
        </row>
        <row r="3027">
          <cell r="A3027">
            <v>35370</v>
          </cell>
          <cell r="B3027" t="str">
            <v>安徽</v>
          </cell>
          <cell r="C3027" t="str">
            <v>服装</v>
          </cell>
          <cell r="D3027">
            <v>140</v>
          </cell>
        </row>
        <row r="3028">
          <cell r="A3028">
            <v>35370</v>
          </cell>
          <cell r="B3028" t="str">
            <v>山东</v>
          </cell>
          <cell r="C3028" t="str">
            <v>服装</v>
          </cell>
          <cell r="D3028">
            <v>99</v>
          </cell>
        </row>
        <row r="3029">
          <cell r="A3029">
            <v>35370</v>
          </cell>
          <cell r="B3029" t="str">
            <v>安徽</v>
          </cell>
          <cell r="C3029" t="str">
            <v>服装</v>
          </cell>
          <cell r="D3029">
            <v>88</v>
          </cell>
        </row>
        <row r="3030">
          <cell r="A3030">
            <v>35370</v>
          </cell>
          <cell r="B3030" t="str">
            <v>安徽</v>
          </cell>
          <cell r="C3030" t="str">
            <v>服装</v>
          </cell>
          <cell r="D3030">
            <v>261</v>
          </cell>
        </row>
        <row r="3031">
          <cell r="A3031">
            <v>35370</v>
          </cell>
          <cell r="B3031" t="str">
            <v>安徽</v>
          </cell>
          <cell r="C3031" t="str">
            <v>服装</v>
          </cell>
          <cell r="D3031">
            <v>303</v>
          </cell>
        </row>
        <row r="3032">
          <cell r="A3032">
            <v>35370</v>
          </cell>
          <cell r="B3032" t="str">
            <v>山东</v>
          </cell>
          <cell r="C3032" t="str">
            <v>服装</v>
          </cell>
          <cell r="D3032">
            <v>1889</v>
          </cell>
        </row>
        <row r="3033">
          <cell r="A3033">
            <v>35370</v>
          </cell>
          <cell r="B3033" t="str">
            <v>山东</v>
          </cell>
          <cell r="C3033" t="str">
            <v>服装</v>
          </cell>
          <cell r="D3033">
            <v>18</v>
          </cell>
        </row>
        <row r="3034">
          <cell r="A3034">
            <v>35370</v>
          </cell>
          <cell r="B3034" t="str">
            <v>安徽</v>
          </cell>
          <cell r="C3034" t="str">
            <v>服装</v>
          </cell>
          <cell r="D3034">
            <v>180</v>
          </cell>
        </row>
        <row r="3035">
          <cell r="A3035">
            <v>35370</v>
          </cell>
          <cell r="B3035" t="str">
            <v>安徽</v>
          </cell>
          <cell r="C3035" t="str">
            <v>食品</v>
          </cell>
          <cell r="D3035">
            <v>403</v>
          </cell>
        </row>
        <row r="3036">
          <cell r="A3036">
            <v>35370</v>
          </cell>
          <cell r="B3036" t="str">
            <v>江西</v>
          </cell>
          <cell r="C3036" t="str">
            <v>食品</v>
          </cell>
          <cell r="D3036">
            <v>210</v>
          </cell>
        </row>
        <row r="3037">
          <cell r="A3037">
            <v>35370</v>
          </cell>
          <cell r="B3037" t="str">
            <v>浙江</v>
          </cell>
          <cell r="C3037" t="str">
            <v>食品</v>
          </cell>
          <cell r="D3037">
            <v>105</v>
          </cell>
        </row>
        <row r="3038">
          <cell r="A3038">
            <v>35370</v>
          </cell>
          <cell r="B3038" t="str">
            <v>江苏</v>
          </cell>
          <cell r="C3038" t="str">
            <v>食品</v>
          </cell>
          <cell r="D3038">
            <v>96</v>
          </cell>
        </row>
        <row r="3039">
          <cell r="A3039">
            <v>35370</v>
          </cell>
          <cell r="B3039" t="str">
            <v>福建</v>
          </cell>
          <cell r="C3039" t="str">
            <v>食品</v>
          </cell>
          <cell r="D3039">
            <v>394</v>
          </cell>
        </row>
        <row r="3040">
          <cell r="A3040">
            <v>35370</v>
          </cell>
          <cell r="B3040" t="str">
            <v>福建</v>
          </cell>
          <cell r="C3040" t="str">
            <v>食品</v>
          </cell>
          <cell r="D3040">
            <v>210</v>
          </cell>
        </row>
        <row r="3041">
          <cell r="A3041">
            <v>35370</v>
          </cell>
          <cell r="B3041" t="str">
            <v>浙江</v>
          </cell>
          <cell r="C3041" t="str">
            <v>食品</v>
          </cell>
          <cell r="D3041">
            <v>293</v>
          </cell>
        </row>
        <row r="3042">
          <cell r="A3042">
            <v>35370</v>
          </cell>
          <cell r="B3042" t="str">
            <v>广东</v>
          </cell>
          <cell r="C3042" t="str">
            <v>食品</v>
          </cell>
          <cell r="D3042">
            <v>124</v>
          </cell>
        </row>
        <row r="3043">
          <cell r="A3043">
            <v>35370</v>
          </cell>
          <cell r="B3043" t="str">
            <v>山东</v>
          </cell>
          <cell r="C3043" t="str">
            <v>食品</v>
          </cell>
          <cell r="D3043">
            <v>360</v>
          </cell>
        </row>
        <row r="3044">
          <cell r="A3044">
            <v>35370</v>
          </cell>
          <cell r="B3044" t="str">
            <v>江苏</v>
          </cell>
          <cell r="C3044" t="str">
            <v>食品</v>
          </cell>
          <cell r="D3044">
            <v>198</v>
          </cell>
        </row>
        <row r="3045">
          <cell r="A3045">
            <v>35370</v>
          </cell>
          <cell r="B3045" t="str">
            <v>山东</v>
          </cell>
          <cell r="C3045" t="str">
            <v>食品</v>
          </cell>
          <cell r="D3045">
            <v>359</v>
          </cell>
        </row>
        <row r="3046">
          <cell r="A3046">
            <v>35370</v>
          </cell>
          <cell r="B3046" t="str">
            <v>江苏</v>
          </cell>
          <cell r="C3046" t="str">
            <v>食品</v>
          </cell>
          <cell r="D3046">
            <v>146</v>
          </cell>
        </row>
        <row r="3047">
          <cell r="A3047">
            <v>35370</v>
          </cell>
          <cell r="B3047" t="str">
            <v>江西</v>
          </cell>
          <cell r="C3047" t="str">
            <v>食品</v>
          </cell>
          <cell r="D3047">
            <v>184</v>
          </cell>
        </row>
        <row r="3048">
          <cell r="A3048">
            <v>35370</v>
          </cell>
          <cell r="B3048" t="str">
            <v>广东</v>
          </cell>
          <cell r="C3048" t="str">
            <v>食品</v>
          </cell>
          <cell r="D3048">
            <v>184</v>
          </cell>
        </row>
        <row r="3049">
          <cell r="A3049">
            <v>35370</v>
          </cell>
          <cell r="B3049" t="str">
            <v>山东</v>
          </cell>
          <cell r="C3049" t="str">
            <v>食品</v>
          </cell>
          <cell r="D3049">
            <v>180</v>
          </cell>
        </row>
        <row r="3050">
          <cell r="A3050">
            <v>35370</v>
          </cell>
          <cell r="B3050" t="str">
            <v>广东</v>
          </cell>
          <cell r="C3050" t="str">
            <v>食品</v>
          </cell>
          <cell r="D3050">
            <v>333</v>
          </cell>
        </row>
        <row r="3051">
          <cell r="A3051">
            <v>35370</v>
          </cell>
          <cell r="B3051" t="str">
            <v>福建</v>
          </cell>
          <cell r="C3051" t="str">
            <v>食品</v>
          </cell>
          <cell r="D3051">
            <v>715</v>
          </cell>
        </row>
        <row r="3052">
          <cell r="A3052">
            <v>35370</v>
          </cell>
          <cell r="B3052" t="str">
            <v>江西</v>
          </cell>
          <cell r="C3052" t="str">
            <v>食品</v>
          </cell>
          <cell r="D3052">
            <v>768</v>
          </cell>
        </row>
        <row r="3053">
          <cell r="A3053">
            <v>35370</v>
          </cell>
          <cell r="B3053" t="str">
            <v>福建</v>
          </cell>
          <cell r="C3053" t="str">
            <v>食品</v>
          </cell>
          <cell r="D3053">
            <v>954</v>
          </cell>
        </row>
        <row r="3054">
          <cell r="A3054">
            <v>35370</v>
          </cell>
          <cell r="B3054" t="str">
            <v>安徽</v>
          </cell>
          <cell r="C3054" t="str">
            <v>食品</v>
          </cell>
          <cell r="D3054">
            <v>1054</v>
          </cell>
        </row>
        <row r="3055">
          <cell r="A3055">
            <v>35370</v>
          </cell>
          <cell r="B3055" t="str">
            <v>江苏</v>
          </cell>
          <cell r="C3055" t="str">
            <v>食品</v>
          </cell>
          <cell r="D3055">
            <v>39</v>
          </cell>
        </row>
        <row r="3056">
          <cell r="A3056">
            <v>35370</v>
          </cell>
          <cell r="B3056" t="str">
            <v>广东</v>
          </cell>
          <cell r="C3056" t="str">
            <v>食品</v>
          </cell>
          <cell r="D3056">
            <v>585</v>
          </cell>
        </row>
        <row r="3057">
          <cell r="A3057">
            <v>35370</v>
          </cell>
          <cell r="B3057" t="str">
            <v>山东</v>
          </cell>
          <cell r="C3057" t="str">
            <v>食品</v>
          </cell>
          <cell r="D3057">
            <v>88</v>
          </cell>
        </row>
        <row r="3058">
          <cell r="A3058">
            <v>35370</v>
          </cell>
          <cell r="B3058" t="str">
            <v>江西</v>
          </cell>
          <cell r="C3058" t="str">
            <v>食品</v>
          </cell>
          <cell r="D3058">
            <v>459</v>
          </cell>
        </row>
        <row r="3059">
          <cell r="A3059">
            <v>35370</v>
          </cell>
          <cell r="B3059" t="str">
            <v>安徽</v>
          </cell>
          <cell r="C3059" t="str">
            <v>食品</v>
          </cell>
          <cell r="D3059">
            <v>609</v>
          </cell>
        </row>
        <row r="3060">
          <cell r="A3060">
            <v>35370</v>
          </cell>
          <cell r="B3060" t="str">
            <v>安徽</v>
          </cell>
          <cell r="C3060" t="str">
            <v>食品</v>
          </cell>
          <cell r="D3060">
            <v>470</v>
          </cell>
        </row>
        <row r="3061">
          <cell r="A3061">
            <v>35370</v>
          </cell>
          <cell r="B3061" t="str">
            <v>江苏</v>
          </cell>
          <cell r="C3061" t="str">
            <v>儿童用品</v>
          </cell>
          <cell r="D3061">
            <v>302</v>
          </cell>
        </row>
        <row r="3062">
          <cell r="A3062">
            <v>35370</v>
          </cell>
          <cell r="B3062" t="str">
            <v>福建</v>
          </cell>
          <cell r="C3062" t="str">
            <v>儿童用品</v>
          </cell>
          <cell r="D3062">
            <v>291</v>
          </cell>
        </row>
        <row r="3063">
          <cell r="A3063">
            <v>35370</v>
          </cell>
          <cell r="B3063" t="str">
            <v>浙江</v>
          </cell>
          <cell r="C3063" t="str">
            <v>儿童用品</v>
          </cell>
          <cell r="D3063">
            <v>288</v>
          </cell>
        </row>
        <row r="3064">
          <cell r="A3064">
            <v>35370</v>
          </cell>
          <cell r="B3064" t="str">
            <v>广东</v>
          </cell>
          <cell r="C3064" t="str">
            <v>儿童用品</v>
          </cell>
          <cell r="D3064">
            <v>2112</v>
          </cell>
        </row>
        <row r="3065">
          <cell r="A3065">
            <v>35370</v>
          </cell>
          <cell r="B3065" t="str">
            <v>广东</v>
          </cell>
          <cell r="C3065" t="str">
            <v>儿童用品</v>
          </cell>
          <cell r="D3065">
            <v>553</v>
          </cell>
        </row>
        <row r="3066">
          <cell r="A3066">
            <v>35370</v>
          </cell>
          <cell r="B3066" t="str">
            <v>安徽</v>
          </cell>
          <cell r="C3066" t="str">
            <v>儿童用品</v>
          </cell>
          <cell r="D3066">
            <v>441</v>
          </cell>
        </row>
        <row r="3067">
          <cell r="A3067">
            <v>35370</v>
          </cell>
          <cell r="B3067" t="str">
            <v>福建</v>
          </cell>
          <cell r="C3067" t="str">
            <v>儿童用品</v>
          </cell>
          <cell r="D3067">
            <v>304</v>
          </cell>
        </row>
        <row r="3068">
          <cell r="A3068">
            <v>35370</v>
          </cell>
          <cell r="B3068" t="str">
            <v>安徽</v>
          </cell>
          <cell r="C3068" t="str">
            <v>儿童用品</v>
          </cell>
          <cell r="D3068">
            <v>568</v>
          </cell>
        </row>
        <row r="3069">
          <cell r="A3069">
            <v>35370</v>
          </cell>
          <cell r="B3069" t="str">
            <v>江西</v>
          </cell>
          <cell r="C3069" t="str">
            <v>儿童用品</v>
          </cell>
          <cell r="D3069">
            <v>399</v>
          </cell>
        </row>
        <row r="3070">
          <cell r="A3070">
            <v>35370</v>
          </cell>
          <cell r="B3070" t="str">
            <v>安徽</v>
          </cell>
          <cell r="C3070" t="str">
            <v>儿童用品</v>
          </cell>
          <cell r="D3070">
            <v>1358</v>
          </cell>
        </row>
        <row r="3071">
          <cell r="A3071">
            <v>35370</v>
          </cell>
          <cell r="B3071" t="str">
            <v>安徽</v>
          </cell>
          <cell r="C3071" t="str">
            <v>儿童用品</v>
          </cell>
          <cell r="D3071">
            <v>1744</v>
          </cell>
        </row>
        <row r="3072">
          <cell r="A3072">
            <v>35370</v>
          </cell>
          <cell r="B3072" t="str">
            <v>江西</v>
          </cell>
          <cell r="C3072" t="str">
            <v>儿童用品</v>
          </cell>
          <cell r="D3072">
            <v>667</v>
          </cell>
        </row>
        <row r="3073">
          <cell r="A3073">
            <v>35370</v>
          </cell>
          <cell r="B3073" t="str">
            <v>山东</v>
          </cell>
          <cell r="C3073" t="str">
            <v>儿童用品</v>
          </cell>
          <cell r="D3073">
            <v>319</v>
          </cell>
        </row>
        <row r="3074">
          <cell r="A3074">
            <v>35370</v>
          </cell>
          <cell r="B3074" t="str">
            <v>福建</v>
          </cell>
          <cell r="C3074" t="str">
            <v>儿童用品</v>
          </cell>
          <cell r="D3074">
            <v>96</v>
          </cell>
        </row>
        <row r="3075">
          <cell r="A3075">
            <v>35370</v>
          </cell>
          <cell r="B3075" t="str">
            <v>广东</v>
          </cell>
          <cell r="C3075" t="str">
            <v>儿童用品</v>
          </cell>
          <cell r="D3075">
            <v>114</v>
          </cell>
        </row>
        <row r="3076">
          <cell r="A3076">
            <v>35370</v>
          </cell>
          <cell r="B3076" t="str">
            <v>山东</v>
          </cell>
          <cell r="C3076" t="str">
            <v>儿童用品</v>
          </cell>
          <cell r="D3076">
            <v>56</v>
          </cell>
        </row>
        <row r="3077">
          <cell r="A3077">
            <v>35370</v>
          </cell>
          <cell r="B3077" t="str">
            <v>江苏</v>
          </cell>
          <cell r="C3077" t="str">
            <v>儿童用品</v>
          </cell>
          <cell r="D3077">
            <v>137</v>
          </cell>
        </row>
        <row r="3078">
          <cell r="A3078">
            <v>35370</v>
          </cell>
          <cell r="B3078" t="str">
            <v>山东</v>
          </cell>
          <cell r="C3078" t="str">
            <v>儿童用品</v>
          </cell>
          <cell r="D3078">
            <v>45</v>
          </cell>
        </row>
        <row r="3079">
          <cell r="A3079">
            <v>35370</v>
          </cell>
          <cell r="B3079" t="str">
            <v>江西</v>
          </cell>
          <cell r="C3079" t="str">
            <v>儿童用品</v>
          </cell>
          <cell r="D3079">
            <v>104</v>
          </cell>
        </row>
        <row r="3080">
          <cell r="A3080">
            <v>35370</v>
          </cell>
          <cell r="B3080" t="str">
            <v>江西</v>
          </cell>
          <cell r="C3080" t="str">
            <v>儿童用品</v>
          </cell>
          <cell r="D3080">
            <v>95</v>
          </cell>
        </row>
        <row r="3081">
          <cell r="A3081">
            <v>35370</v>
          </cell>
          <cell r="B3081" t="str">
            <v>江苏</v>
          </cell>
          <cell r="C3081" t="str">
            <v>儿童用品</v>
          </cell>
          <cell r="D3081">
            <v>70</v>
          </cell>
        </row>
        <row r="3082">
          <cell r="A3082">
            <v>35370</v>
          </cell>
          <cell r="B3082" t="str">
            <v>山东</v>
          </cell>
          <cell r="C3082" t="str">
            <v>儿童用品</v>
          </cell>
          <cell r="D3082">
            <v>35</v>
          </cell>
        </row>
        <row r="3083">
          <cell r="A3083">
            <v>35370</v>
          </cell>
          <cell r="B3083" t="str">
            <v>广东</v>
          </cell>
          <cell r="C3083" t="str">
            <v>儿童用品</v>
          </cell>
          <cell r="D3083">
            <v>101</v>
          </cell>
        </row>
        <row r="3084">
          <cell r="A3084">
            <v>35370</v>
          </cell>
          <cell r="B3084" t="str">
            <v>江苏</v>
          </cell>
          <cell r="C3084" t="str">
            <v>儿童用品</v>
          </cell>
          <cell r="D3084">
            <v>236</v>
          </cell>
        </row>
        <row r="3085">
          <cell r="A3085">
            <v>35370</v>
          </cell>
          <cell r="B3085" t="str">
            <v>福建</v>
          </cell>
          <cell r="C3085" t="str">
            <v>儿童用品</v>
          </cell>
          <cell r="D3085">
            <v>203</v>
          </cell>
        </row>
        <row r="3086">
          <cell r="A3086">
            <v>35370</v>
          </cell>
          <cell r="B3086" t="str">
            <v>浙江</v>
          </cell>
          <cell r="C3086" t="str">
            <v>儿童用品</v>
          </cell>
          <cell r="D3086">
            <v>186</v>
          </cell>
        </row>
        <row r="3087">
          <cell r="A3087">
            <v>35370</v>
          </cell>
          <cell r="B3087" t="str">
            <v>安徽</v>
          </cell>
          <cell r="C3087" t="str">
            <v>体育用品</v>
          </cell>
          <cell r="D3087">
            <v>35</v>
          </cell>
        </row>
        <row r="3088">
          <cell r="A3088">
            <v>35370</v>
          </cell>
          <cell r="B3088" t="str">
            <v>广东</v>
          </cell>
          <cell r="C3088" t="str">
            <v>体育用品</v>
          </cell>
          <cell r="D3088">
            <v>18</v>
          </cell>
        </row>
        <row r="3089">
          <cell r="A3089">
            <v>35370</v>
          </cell>
          <cell r="B3089" t="str">
            <v>广东</v>
          </cell>
          <cell r="C3089" t="str">
            <v>体育用品</v>
          </cell>
          <cell r="D3089">
            <v>1379</v>
          </cell>
        </row>
        <row r="3090">
          <cell r="A3090">
            <v>35370</v>
          </cell>
          <cell r="B3090" t="str">
            <v>山东</v>
          </cell>
          <cell r="C3090" t="str">
            <v>体育用品</v>
          </cell>
          <cell r="D3090">
            <v>18</v>
          </cell>
        </row>
        <row r="3091">
          <cell r="A3091">
            <v>35370</v>
          </cell>
          <cell r="B3091" t="str">
            <v>安徽</v>
          </cell>
          <cell r="C3091" t="str">
            <v>体育用品</v>
          </cell>
          <cell r="D3091">
            <v>26</v>
          </cell>
        </row>
        <row r="3092">
          <cell r="A3092">
            <v>35370</v>
          </cell>
          <cell r="B3092" t="str">
            <v>山东</v>
          </cell>
          <cell r="C3092" t="str">
            <v>体育用品</v>
          </cell>
          <cell r="D3092">
            <v>35</v>
          </cell>
        </row>
        <row r="3093">
          <cell r="A3093">
            <v>35370</v>
          </cell>
          <cell r="B3093" t="str">
            <v>江苏</v>
          </cell>
          <cell r="C3093" t="str">
            <v>体育用品</v>
          </cell>
          <cell r="D3093">
            <v>35</v>
          </cell>
        </row>
        <row r="3094">
          <cell r="A3094">
            <v>35370</v>
          </cell>
          <cell r="B3094" t="str">
            <v>山东</v>
          </cell>
          <cell r="C3094" t="str">
            <v>体育用品</v>
          </cell>
          <cell r="D3094">
            <v>41</v>
          </cell>
        </row>
        <row r="3095">
          <cell r="A3095">
            <v>35370</v>
          </cell>
          <cell r="B3095" t="str">
            <v>福建</v>
          </cell>
          <cell r="C3095" t="str">
            <v>体育用品</v>
          </cell>
          <cell r="D3095">
            <v>1327</v>
          </cell>
        </row>
        <row r="3096">
          <cell r="A3096">
            <v>35370</v>
          </cell>
          <cell r="B3096" t="str">
            <v>山东</v>
          </cell>
          <cell r="C3096" t="str">
            <v>体育用品</v>
          </cell>
          <cell r="D3096">
            <v>7</v>
          </cell>
        </row>
        <row r="3097">
          <cell r="A3097">
            <v>35370</v>
          </cell>
          <cell r="B3097" t="str">
            <v>浙江</v>
          </cell>
          <cell r="C3097" t="str">
            <v>体育用品</v>
          </cell>
          <cell r="D3097">
            <v>154</v>
          </cell>
        </row>
        <row r="3098">
          <cell r="A3098">
            <v>35370</v>
          </cell>
          <cell r="B3098" t="str">
            <v>福建</v>
          </cell>
          <cell r="C3098" t="str">
            <v>体育用品</v>
          </cell>
          <cell r="D3098">
            <v>99</v>
          </cell>
        </row>
        <row r="3099">
          <cell r="A3099">
            <v>35370</v>
          </cell>
          <cell r="B3099" t="str">
            <v>浙江</v>
          </cell>
          <cell r="C3099" t="str">
            <v>体育用品</v>
          </cell>
          <cell r="D3099">
            <v>116</v>
          </cell>
        </row>
        <row r="3100">
          <cell r="A3100">
            <v>35370</v>
          </cell>
          <cell r="B3100" t="str">
            <v>安徽</v>
          </cell>
          <cell r="C3100" t="str">
            <v>体育用品</v>
          </cell>
          <cell r="D3100">
            <v>124</v>
          </cell>
        </row>
        <row r="3101">
          <cell r="A3101">
            <v>35370</v>
          </cell>
          <cell r="B3101" t="str">
            <v>广东</v>
          </cell>
          <cell r="C3101" t="str">
            <v>体育用品</v>
          </cell>
          <cell r="D3101">
            <v>133</v>
          </cell>
        </row>
        <row r="3102">
          <cell r="A3102">
            <v>35370</v>
          </cell>
          <cell r="B3102" t="str">
            <v>福建</v>
          </cell>
          <cell r="C3102" t="str">
            <v>体育用品</v>
          </cell>
          <cell r="D3102">
            <v>135</v>
          </cell>
        </row>
        <row r="3103">
          <cell r="A3103">
            <v>35370</v>
          </cell>
          <cell r="B3103" t="str">
            <v>广东</v>
          </cell>
          <cell r="C3103" t="str">
            <v>体育用品</v>
          </cell>
          <cell r="D3103">
            <v>347</v>
          </cell>
        </row>
        <row r="3104">
          <cell r="A3104">
            <v>35370</v>
          </cell>
          <cell r="B3104" t="str">
            <v>江西</v>
          </cell>
          <cell r="C3104" t="str">
            <v>体育用品</v>
          </cell>
          <cell r="D3104">
            <v>135</v>
          </cell>
        </row>
        <row r="3105">
          <cell r="A3105">
            <v>35370</v>
          </cell>
          <cell r="B3105" t="str">
            <v>安徽</v>
          </cell>
          <cell r="C3105" t="str">
            <v>体育用品</v>
          </cell>
          <cell r="D3105">
            <v>90</v>
          </cell>
        </row>
        <row r="3106">
          <cell r="A3106">
            <v>35370</v>
          </cell>
          <cell r="B3106" t="str">
            <v>江苏</v>
          </cell>
          <cell r="C3106" t="str">
            <v>体育用品</v>
          </cell>
          <cell r="D3106">
            <v>179</v>
          </cell>
        </row>
        <row r="3107">
          <cell r="A3107">
            <v>35370</v>
          </cell>
          <cell r="B3107" t="str">
            <v>江苏</v>
          </cell>
          <cell r="C3107" t="str">
            <v>体育用品</v>
          </cell>
          <cell r="D3107">
            <v>191</v>
          </cell>
        </row>
        <row r="3108">
          <cell r="A3108">
            <v>35370</v>
          </cell>
          <cell r="B3108" t="str">
            <v>江苏</v>
          </cell>
          <cell r="C3108" t="str">
            <v>体育用品</v>
          </cell>
          <cell r="D3108">
            <v>46</v>
          </cell>
        </row>
        <row r="3109">
          <cell r="A3109">
            <v>35370</v>
          </cell>
          <cell r="B3109" t="str">
            <v>江苏</v>
          </cell>
          <cell r="C3109" t="str">
            <v>体育用品</v>
          </cell>
          <cell r="D3109">
            <v>226</v>
          </cell>
        </row>
        <row r="3110">
          <cell r="A3110">
            <v>35370</v>
          </cell>
          <cell r="B3110" t="str">
            <v>浙江</v>
          </cell>
          <cell r="C3110" t="str">
            <v>体育用品</v>
          </cell>
          <cell r="D3110">
            <v>830</v>
          </cell>
        </row>
        <row r="3111">
          <cell r="A3111">
            <v>35370</v>
          </cell>
          <cell r="B3111" t="str">
            <v>江苏</v>
          </cell>
          <cell r="C3111" t="str">
            <v>体育用品</v>
          </cell>
          <cell r="D3111">
            <v>54</v>
          </cell>
        </row>
        <row r="3112">
          <cell r="A3112">
            <v>35370</v>
          </cell>
          <cell r="B3112" t="str">
            <v>江西</v>
          </cell>
          <cell r="C3112" t="str">
            <v>体育用品</v>
          </cell>
          <cell r="D3112">
            <v>225</v>
          </cell>
        </row>
        <row r="3113">
          <cell r="A3113">
            <v>35370</v>
          </cell>
          <cell r="B3113" t="str">
            <v>安徽</v>
          </cell>
          <cell r="C3113" t="str">
            <v>体育用品</v>
          </cell>
          <cell r="D3113">
            <v>677</v>
          </cell>
        </row>
        <row r="3114">
          <cell r="A3114">
            <v>35370</v>
          </cell>
          <cell r="B3114" t="str">
            <v>广东</v>
          </cell>
          <cell r="C3114" t="str">
            <v>体育用品</v>
          </cell>
          <cell r="D3114">
            <v>56</v>
          </cell>
        </row>
        <row r="3115">
          <cell r="A3115">
            <v>35370</v>
          </cell>
          <cell r="B3115" t="str">
            <v>安徽</v>
          </cell>
          <cell r="C3115" t="str">
            <v>体育用品</v>
          </cell>
          <cell r="D3115">
            <v>66</v>
          </cell>
        </row>
        <row r="3116">
          <cell r="A3116">
            <v>35370</v>
          </cell>
          <cell r="B3116" t="str">
            <v>山东</v>
          </cell>
          <cell r="C3116" t="str">
            <v>体育用品</v>
          </cell>
          <cell r="D3116">
            <v>68</v>
          </cell>
        </row>
        <row r="3117">
          <cell r="A3117">
            <v>35370</v>
          </cell>
          <cell r="B3117" t="str">
            <v>广东</v>
          </cell>
          <cell r="C3117" t="str">
            <v>体育用品</v>
          </cell>
          <cell r="D3117">
            <v>96</v>
          </cell>
        </row>
        <row r="3118">
          <cell r="A3118">
            <v>35370</v>
          </cell>
          <cell r="B3118" t="str">
            <v>山东</v>
          </cell>
          <cell r="C3118" t="str">
            <v>体育用品</v>
          </cell>
          <cell r="D3118">
            <v>72</v>
          </cell>
        </row>
        <row r="3119">
          <cell r="A3119">
            <v>35370</v>
          </cell>
          <cell r="B3119" t="str">
            <v>江西</v>
          </cell>
          <cell r="C3119" t="str">
            <v>体育用品</v>
          </cell>
          <cell r="D3119">
            <v>79</v>
          </cell>
        </row>
        <row r="3120">
          <cell r="A3120">
            <v>35370</v>
          </cell>
          <cell r="B3120" t="str">
            <v>江西</v>
          </cell>
          <cell r="C3120" t="str">
            <v>体育用品</v>
          </cell>
          <cell r="D3120">
            <v>83</v>
          </cell>
        </row>
        <row r="3121">
          <cell r="A3121">
            <v>35370</v>
          </cell>
          <cell r="B3121" t="str">
            <v>福建</v>
          </cell>
          <cell r="C3121" t="str">
            <v>体育用品</v>
          </cell>
          <cell r="D3121">
            <v>90</v>
          </cell>
        </row>
        <row r="3122">
          <cell r="A3122">
            <v>35370</v>
          </cell>
          <cell r="B3122" t="str">
            <v>福建</v>
          </cell>
          <cell r="C3122" t="str">
            <v>体育用品</v>
          </cell>
          <cell r="D3122">
            <v>867</v>
          </cell>
        </row>
        <row r="3123">
          <cell r="A3123">
            <v>35400</v>
          </cell>
          <cell r="B3123" t="str">
            <v>山东</v>
          </cell>
          <cell r="C3123" t="str">
            <v>艺术品</v>
          </cell>
          <cell r="D3123">
            <v>83</v>
          </cell>
        </row>
        <row r="3124">
          <cell r="A3124">
            <v>35400</v>
          </cell>
          <cell r="B3124" t="str">
            <v>浙江</v>
          </cell>
          <cell r="C3124" t="str">
            <v>艺术品</v>
          </cell>
          <cell r="D3124">
            <v>360</v>
          </cell>
        </row>
        <row r="3125">
          <cell r="A3125">
            <v>35400</v>
          </cell>
          <cell r="B3125" t="str">
            <v>广东</v>
          </cell>
          <cell r="C3125" t="str">
            <v>艺术品</v>
          </cell>
          <cell r="D3125">
            <v>338</v>
          </cell>
        </row>
        <row r="3126">
          <cell r="A3126">
            <v>35400</v>
          </cell>
          <cell r="B3126" t="str">
            <v>山东</v>
          </cell>
          <cell r="C3126" t="str">
            <v>艺术品</v>
          </cell>
          <cell r="D3126">
            <v>99</v>
          </cell>
        </row>
        <row r="3127">
          <cell r="A3127">
            <v>35400</v>
          </cell>
          <cell r="B3127" t="str">
            <v>江苏</v>
          </cell>
          <cell r="C3127" t="str">
            <v>艺术品</v>
          </cell>
          <cell r="D3127">
            <v>314</v>
          </cell>
        </row>
        <row r="3128">
          <cell r="A3128">
            <v>35400</v>
          </cell>
          <cell r="B3128" t="str">
            <v>安徽</v>
          </cell>
          <cell r="C3128" t="str">
            <v>艺术品</v>
          </cell>
          <cell r="D3128">
            <v>113</v>
          </cell>
        </row>
        <row r="3129">
          <cell r="A3129">
            <v>35400</v>
          </cell>
          <cell r="B3129" t="str">
            <v>山东</v>
          </cell>
          <cell r="C3129" t="str">
            <v>艺术品</v>
          </cell>
          <cell r="D3129">
            <v>1863</v>
          </cell>
        </row>
        <row r="3130">
          <cell r="A3130">
            <v>35400</v>
          </cell>
          <cell r="B3130" t="str">
            <v>广东</v>
          </cell>
          <cell r="C3130" t="str">
            <v>艺术品</v>
          </cell>
          <cell r="D3130">
            <v>180</v>
          </cell>
        </row>
        <row r="3131">
          <cell r="A3131">
            <v>35400</v>
          </cell>
          <cell r="B3131" t="str">
            <v>江苏</v>
          </cell>
          <cell r="C3131" t="str">
            <v>艺术品</v>
          </cell>
          <cell r="D3131">
            <v>214</v>
          </cell>
        </row>
        <row r="3132">
          <cell r="A3132">
            <v>35400</v>
          </cell>
          <cell r="B3132" t="str">
            <v>安徽</v>
          </cell>
          <cell r="C3132" t="str">
            <v>艺术品</v>
          </cell>
          <cell r="D3132">
            <v>225</v>
          </cell>
        </row>
        <row r="3133">
          <cell r="A3133">
            <v>35400</v>
          </cell>
          <cell r="B3133" t="str">
            <v>福建</v>
          </cell>
          <cell r="C3133" t="str">
            <v>艺术品</v>
          </cell>
          <cell r="D3133">
            <v>158</v>
          </cell>
        </row>
        <row r="3134">
          <cell r="A3134">
            <v>35400</v>
          </cell>
          <cell r="B3134" t="str">
            <v>江西</v>
          </cell>
          <cell r="C3134" t="str">
            <v>艺术品</v>
          </cell>
          <cell r="D3134">
            <v>124</v>
          </cell>
        </row>
        <row r="3135">
          <cell r="A3135">
            <v>35400</v>
          </cell>
          <cell r="B3135" t="str">
            <v>福建</v>
          </cell>
          <cell r="C3135" t="str">
            <v>艺术品</v>
          </cell>
          <cell r="D3135">
            <v>138</v>
          </cell>
        </row>
        <row r="3136">
          <cell r="A3136">
            <v>35400</v>
          </cell>
          <cell r="B3136" t="str">
            <v>江西</v>
          </cell>
          <cell r="C3136" t="str">
            <v>艺术品</v>
          </cell>
          <cell r="D3136">
            <v>531</v>
          </cell>
        </row>
        <row r="3137">
          <cell r="A3137">
            <v>35400</v>
          </cell>
          <cell r="B3137" t="str">
            <v>安徽</v>
          </cell>
          <cell r="C3137" t="str">
            <v>艺术品</v>
          </cell>
          <cell r="D3137">
            <v>523</v>
          </cell>
        </row>
        <row r="3138">
          <cell r="A3138">
            <v>35400</v>
          </cell>
          <cell r="B3138" t="str">
            <v>福建</v>
          </cell>
          <cell r="C3138" t="str">
            <v>艺术品</v>
          </cell>
          <cell r="D3138">
            <v>623</v>
          </cell>
        </row>
        <row r="3139">
          <cell r="A3139">
            <v>35400</v>
          </cell>
          <cell r="B3139" t="str">
            <v>广东</v>
          </cell>
          <cell r="C3139" t="str">
            <v>艺术品</v>
          </cell>
          <cell r="D3139">
            <v>694</v>
          </cell>
        </row>
        <row r="3140">
          <cell r="A3140">
            <v>35400</v>
          </cell>
          <cell r="B3140" t="str">
            <v>安徽</v>
          </cell>
          <cell r="C3140" t="str">
            <v>艺术品</v>
          </cell>
          <cell r="D3140">
            <v>3873</v>
          </cell>
        </row>
        <row r="3141">
          <cell r="A3141">
            <v>35400</v>
          </cell>
          <cell r="B3141" t="str">
            <v>浙江</v>
          </cell>
          <cell r="C3141" t="str">
            <v>艺术品</v>
          </cell>
          <cell r="D3141">
            <v>413</v>
          </cell>
        </row>
        <row r="3142">
          <cell r="A3142">
            <v>35400</v>
          </cell>
          <cell r="B3142" t="str">
            <v>江苏</v>
          </cell>
          <cell r="C3142" t="str">
            <v>艺术品</v>
          </cell>
          <cell r="D3142">
            <v>854</v>
          </cell>
        </row>
        <row r="3143">
          <cell r="A3143">
            <v>35400</v>
          </cell>
          <cell r="B3143" t="str">
            <v>山东</v>
          </cell>
          <cell r="C3143" t="str">
            <v>艺术品</v>
          </cell>
          <cell r="D3143">
            <v>957</v>
          </cell>
        </row>
        <row r="3144">
          <cell r="A3144">
            <v>35400</v>
          </cell>
          <cell r="B3144" t="str">
            <v>江西</v>
          </cell>
          <cell r="C3144" t="str">
            <v>艺术品</v>
          </cell>
          <cell r="D3144">
            <v>1051</v>
          </cell>
        </row>
        <row r="3145">
          <cell r="A3145">
            <v>35400</v>
          </cell>
          <cell r="B3145" t="str">
            <v>江西</v>
          </cell>
          <cell r="C3145" t="str">
            <v>艺术品</v>
          </cell>
          <cell r="D3145">
            <v>405</v>
          </cell>
        </row>
        <row r="3146">
          <cell r="A3146">
            <v>35400</v>
          </cell>
          <cell r="B3146" t="str">
            <v>广东</v>
          </cell>
          <cell r="C3146" t="str">
            <v>艺术品</v>
          </cell>
          <cell r="D3146">
            <v>1118</v>
          </cell>
        </row>
        <row r="3147">
          <cell r="A3147">
            <v>35400</v>
          </cell>
          <cell r="B3147" t="str">
            <v>福建</v>
          </cell>
          <cell r="C3147" t="str">
            <v>艺术品</v>
          </cell>
          <cell r="D3147">
            <v>1319</v>
          </cell>
        </row>
        <row r="3148">
          <cell r="A3148">
            <v>35400</v>
          </cell>
          <cell r="B3148" t="str">
            <v>江苏</v>
          </cell>
          <cell r="C3148" t="str">
            <v>艺术品</v>
          </cell>
          <cell r="D3148">
            <v>385</v>
          </cell>
        </row>
        <row r="3149">
          <cell r="A3149">
            <v>35400</v>
          </cell>
          <cell r="B3149" t="str">
            <v>福建</v>
          </cell>
          <cell r="C3149" t="str">
            <v>自行车</v>
          </cell>
          <cell r="D3149">
            <v>508</v>
          </cell>
        </row>
        <row r="3150">
          <cell r="A3150">
            <v>35400</v>
          </cell>
          <cell r="B3150" t="str">
            <v>江西</v>
          </cell>
          <cell r="C3150" t="str">
            <v>自行车</v>
          </cell>
          <cell r="D3150">
            <v>158</v>
          </cell>
        </row>
        <row r="3151">
          <cell r="A3151">
            <v>35400</v>
          </cell>
          <cell r="B3151" t="str">
            <v>江西</v>
          </cell>
          <cell r="C3151" t="str">
            <v>自行车</v>
          </cell>
          <cell r="D3151">
            <v>341</v>
          </cell>
        </row>
        <row r="3152">
          <cell r="A3152">
            <v>35400</v>
          </cell>
          <cell r="B3152" t="str">
            <v>山东</v>
          </cell>
          <cell r="C3152" t="str">
            <v>自行车</v>
          </cell>
          <cell r="D3152">
            <v>1408</v>
          </cell>
        </row>
        <row r="3153">
          <cell r="A3153">
            <v>35400</v>
          </cell>
          <cell r="B3153" t="str">
            <v>江西</v>
          </cell>
          <cell r="C3153" t="str">
            <v>自行车</v>
          </cell>
          <cell r="D3153">
            <v>203</v>
          </cell>
        </row>
        <row r="3154">
          <cell r="A3154">
            <v>35400</v>
          </cell>
          <cell r="B3154" t="str">
            <v>广东</v>
          </cell>
          <cell r="C3154" t="str">
            <v>自行车</v>
          </cell>
          <cell r="D3154">
            <v>533</v>
          </cell>
        </row>
        <row r="3155">
          <cell r="A3155">
            <v>35400</v>
          </cell>
          <cell r="B3155" t="str">
            <v>福建</v>
          </cell>
          <cell r="C3155" t="str">
            <v>自行车</v>
          </cell>
          <cell r="D3155">
            <v>622</v>
          </cell>
        </row>
        <row r="3156">
          <cell r="A3156">
            <v>35400</v>
          </cell>
          <cell r="B3156" t="str">
            <v>江苏</v>
          </cell>
          <cell r="C3156" t="str">
            <v>自行车</v>
          </cell>
          <cell r="D3156">
            <v>645</v>
          </cell>
        </row>
        <row r="3157">
          <cell r="A3157">
            <v>35400</v>
          </cell>
          <cell r="B3157" t="str">
            <v>山东</v>
          </cell>
          <cell r="C3157" t="str">
            <v>自行车</v>
          </cell>
          <cell r="D3157">
            <v>740</v>
          </cell>
        </row>
        <row r="3158">
          <cell r="A3158">
            <v>35400</v>
          </cell>
          <cell r="B3158" t="str">
            <v>福建</v>
          </cell>
          <cell r="C3158" t="str">
            <v>自行车</v>
          </cell>
          <cell r="D3158">
            <v>289</v>
          </cell>
        </row>
        <row r="3159">
          <cell r="A3159">
            <v>35400</v>
          </cell>
          <cell r="B3159" t="str">
            <v>广东</v>
          </cell>
          <cell r="C3159" t="str">
            <v>自行车</v>
          </cell>
          <cell r="D3159">
            <v>180</v>
          </cell>
        </row>
        <row r="3160">
          <cell r="A3160">
            <v>35400</v>
          </cell>
          <cell r="B3160" t="str">
            <v>安徽</v>
          </cell>
          <cell r="C3160" t="str">
            <v>自行车</v>
          </cell>
          <cell r="D3160">
            <v>333</v>
          </cell>
        </row>
        <row r="3161">
          <cell r="A3161">
            <v>35400</v>
          </cell>
          <cell r="B3161" t="str">
            <v>江苏</v>
          </cell>
          <cell r="C3161" t="str">
            <v>自行车</v>
          </cell>
          <cell r="D3161">
            <v>364</v>
          </cell>
        </row>
        <row r="3162">
          <cell r="A3162">
            <v>35400</v>
          </cell>
          <cell r="B3162" t="str">
            <v>广东</v>
          </cell>
          <cell r="C3162" t="str">
            <v>自行车</v>
          </cell>
          <cell r="D3162">
            <v>808</v>
          </cell>
        </row>
        <row r="3163">
          <cell r="A3163">
            <v>35400</v>
          </cell>
          <cell r="B3163" t="str">
            <v>福建</v>
          </cell>
          <cell r="C3163" t="str">
            <v>自行车</v>
          </cell>
          <cell r="D3163">
            <v>293</v>
          </cell>
        </row>
        <row r="3164">
          <cell r="A3164">
            <v>35400</v>
          </cell>
          <cell r="B3164" t="str">
            <v>江苏</v>
          </cell>
          <cell r="C3164" t="str">
            <v>自行车</v>
          </cell>
          <cell r="D3164">
            <v>298</v>
          </cell>
        </row>
        <row r="3165">
          <cell r="A3165">
            <v>35400</v>
          </cell>
          <cell r="B3165" t="str">
            <v>安徽</v>
          </cell>
          <cell r="C3165" t="str">
            <v>自行车</v>
          </cell>
          <cell r="D3165">
            <v>995</v>
          </cell>
        </row>
        <row r="3166">
          <cell r="A3166">
            <v>35400</v>
          </cell>
          <cell r="B3166" t="str">
            <v>江西</v>
          </cell>
          <cell r="C3166" t="str">
            <v>自行车</v>
          </cell>
          <cell r="D3166">
            <v>304</v>
          </cell>
        </row>
        <row r="3167">
          <cell r="A3167">
            <v>35400</v>
          </cell>
          <cell r="B3167" t="str">
            <v>浙江</v>
          </cell>
          <cell r="C3167" t="str">
            <v>自行车</v>
          </cell>
          <cell r="D3167">
            <v>263</v>
          </cell>
        </row>
        <row r="3168">
          <cell r="A3168">
            <v>35400</v>
          </cell>
          <cell r="B3168" t="str">
            <v>浙江</v>
          </cell>
          <cell r="C3168" t="str">
            <v>自行车</v>
          </cell>
          <cell r="D3168">
            <v>180</v>
          </cell>
        </row>
        <row r="3169">
          <cell r="A3169">
            <v>35400</v>
          </cell>
          <cell r="B3169" t="str">
            <v>广东</v>
          </cell>
          <cell r="C3169" t="str">
            <v>自行车</v>
          </cell>
          <cell r="D3169">
            <v>131</v>
          </cell>
        </row>
        <row r="3170">
          <cell r="A3170">
            <v>35400</v>
          </cell>
          <cell r="B3170" t="str">
            <v>山东</v>
          </cell>
          <cell r="C3170" t="str">
            <v>自行车</v>
          </cell>
          <cell r="D3170">
            <v>60</v>
          </cell>
        </row>
        <row r="3171">
          <cell r="A3171">
            <v>35400</v>
          </cell>
          <cell r="B3171" t="str">
            <v>安徽</v>
          </cell>
          <cell r="C3171" t="str">
            <v>自行车</v>
          </cell>
          <cell r="D3171">
            <v>70</v>
          </cell>
        </row>
        <row r="3172">
          <cell r="A3172">
            <v>35400</v>
          </cell>
          <cell r="B3172" t="str">
            <v>山东</v>
          </cell>
          <cell r="C3172" t="str">
            <v>自行车</v>
          </cell>
          <cell r="D3172">
            <v>68</v>
          </cell>
        </row>
        <row r="3173">
          <cell r="A3173">
            <v>35400</v>
          </cell>
          <cell r="B3173" t="str">
            <v>江苏</v>
          </cell>
          <cell r="C3173" t="str">
            <v>自行车</v>
          </cell>
          <cell r="D3173">
            <v>612</v>
          </cell>
        </row>
        <row r="3174">
          <cell r="A3174">
            <v>35400</v>
          </cell>
          <cell r="B3174" t="str">
            <v>安徽</v>
          </cell>
          <cell r="C3174" t="str">
            <v>自行车</v>
          </cell>
          <cell r="D3174">
            <v>158</v>
          </cell>
        </row>
        <row r="3175">
          <cell r="A3175">
            <v>35400</v>
          </cell>
          <cell r="B3175" t="str">
            <v>江西</v>
          </cell>
          <cell r="C3175" t="str">
            <v>瓷器</v>
          </cell>
          <cell r="D3175">
            <v>663</v>
          </cell>
        </row>
        <row r="3176">
          <cell r="A3176">
            <v>35400</v>
          </cell>
          <cell r="B3176" t="str">
            <v>福建</v>
          </cell>
          <cell r="C3176" t="str">
            <v>瓷器</v>
          </cell>
          <cell r="D3176">
            <v>792</v>
          </cell>
        </row>
        <row r="3177">
          <cell r="A3177">
            <v>35400</v>
          </cell>
          <cell r="B3177" t="str">
            <v>福建</v>
          </cell>
          <cell r="C3177" t="str">
            <v>瓷器</v>
          </cell>
          <cell r="D3177">
            <v>1177</v>
          </cell>
        </row>
        <row r="3178">
          <cell r="A3178">
            <v>35400</v>
          </cell>
          <cell r="B3178" t="str">
            <v>安徽</v>
          </cell>
          <cell r="C3178" t="str">
            <v>瓷器</v>
          </cell>
          <cell r="D3178">
            <v>2131</v>
          </cell>
        </row>
        <row r="3179">
          <cell r="A3179">
            <v>35400</v>
          </cell>
          <cell r="B3179" t="str">
            <v>广东</v>
          </cell>
          <cell r="C3179" t="str">
            <v>瓷器</v>
          </cell>
          <cell r="D3179">
            <v>263</v>
          </cell>
        </row>
        <row r="3180">
          <cell r="A3180">
            <v>35400</v>
          </cell>
          <cell r="B3180" t="str">
            <v>浙江</v>
          </cell>
          <cell r="C3180" t="str">
            <v>瓷器</v>
          </cell>
          <cell r="D3180">
            <v>383</v>
          </cell>
        </row>
        <row r="3181">
          <cell r="A3181">
            <v>35400</v>
          </cell>
          <cell r="B3181" t="str">
            <v>山东</v>
          </cell>
          <cell r="C3181" t="str">
            <v>瓷器</v>
          </cell>
          <cell r="D3181">
            <v>35</v>
          </cell>
        </row>
        <row r="3182">
          <cell r="A3182">
            <v>35400</v>
          </cell>
          <cell r="B3182" t="str">
            <v>广东</v>
          </cell>
          <cell r="C3182" t="str">
            <v>瓷器</v>
          </cell>
          <cell r="D3182">
            <v>338</v>
          </cell>
        </row>
        <row r="3183">
          <cell r="A3183">
            <v>35400</v>
          </cell>
          <cell r="B3183" t="str">
            <v>山东</v>
          </cell>
          <cell r="C3183" t="str">
            <v>瓷器</v>
          </cell>
          <cell r="D3183">
            <v>46</v>
          </cell>
        </row>
        <row r="3184">
          <cell r="A3184">
            <v>35400</v>
          </cell>
          <cell r="B3184" t="str">
            <v>广东</v>
          </cell>
          <cell r="C3184" t="str">
            <v>瓷器</v>
          </cell>
          <cell r="D3184">
            <v>61</v>
          </cell>
        </row>
        <row r="3185">
          <cell r="A3185">
            <v>35400</v>
          </cell>
          <cell r="B3185" t="str">
            <v>江苏</v>
          </cell>
          <cell r="C3185" t="str">
            <v>瓷器</v>
          </cell>
          <cell r="D3185">
            <v>273</v>
          </cell>
        </row>
        <row r="3186">
          <cell r="A3186">
            <v>35400</v>
          </cell>
          <cell r="B3186" t="str">
            <v>江西</v>
          </cell>
          <cell r="C3186" t="str">
            <v>瓷器</v>
          </cell>
          <cell r="D3186">
            <v>405</v>
          </cell>
        </row>
        <row r="3187">
          <cell r="A3187">
            <v>35400</v>
          </cell>
          <cell r="B3187" t="str">
            <v>江苏</v>
          </cell>
          <cell r="C3187" t="str">
            <v>瓷器</v>
          </cell>
          <cell r="D3187">
            <v>101</v>
          </cell>
        </row>
        <row r="3188">
          <cell r="A3188">
            <v>35400</v>
          </cell>
          <cell r="B3188" t="str">
            <v>安徽</v>
          </cell>
          <cell r="C3188" t="str">
            <v>瓷器</v>
          </cell>
          <cell r="D3188">
            <v>280</v>
          </cell>
        </row>
        <row r="3189">
          <cell r="A3189">
            <v>35400</v>
          </cell>
          <cell r="B3189" t="str">
            <v>江苏</v>
          </cell>
          <cell r="C3189" t="str">
            <v>瓷器</v>
          </cell>
          <cell r="D3189">
            <v>105</v>
          </cell>
        </row>
        <row r="3190">
          <cell r="A3190">
            <v>35400</v>
          </cell>
          <cell r="B3190" t="str">
            <v>安徽</v>
          </cell>
          <cell r="C3190" t="str">
            <v>瓷器</v>
          </cell>
          <cell r="D3190">
            <v>114</v>
          </cell>
        </row>
        <row r="3191">
          <cell r="A3191">
            <v>35400</v>
          </cell>
          <cell r="B3191" t="str">
            <v>浙江</v>
          </cell>
          <cell r="C3191" t="str">
            <v>瓷器</v>
          </cell>
          <cell r="D3191">
            <v>228</v>
          </cell>
        </row>
        <row r="3192">
          <cell r="A3192">
            <v>35400</v>
          </cell>
          <cell r="B3192" t="str">
            <v>山东</v>
          </cell>
          <cell r="C3192" t="str">
            <v>瓷器</v>
          </cell>
          <cell r="D3192">
            <v>124</v>
          </cell>
        </row>
        <row r="3193">
          <cell r="A3193">
            <v>35400</v>
          </cell>
          <cell r="B3193" t="str">
            <v>福建</v>
          </cell>
          <cell r="C3193" t="str">
            <v>瓷器</v>
          </cell>
          <cell r="D3193">
            <v>180</v>
          </cell>
        </row>
        <row r="3194">
          <cell r="A3194">
            <v>35400</v>
          </cell>
          <cell r="B3194" t="str">
            <v>福建</v>
          </cell>
          <cell r="C3194" t="str">
            <v>瓷器</v>
          </cell>
          <cell r="D3194">
            <v>158</v>
          </cell>
        </row>
        <row r="3195">
          <cell r="A3195">
            <v>35400</v>
          </cell>
          <cell r="B3195" t="str">
            <v>广东</v>
          </cell>
          <cell r="C3195" t="str">
            <v>瓷器</v>
          </cell>
          <cell r="D3195">
            <v>158</v>
          </cell>
        </row>
        <row r="3196">
          <cell r="A3196">
            <v>35400</v>
          </cell>
          <cell r="B3196" t="str">
            <v>江苏</v>
          </cell>
          <cell r="C3196" t="str">
            <v>瓷器</v>
          </cell>
          <cell r="D3196">
            <v>86</v>
          </cell>
        </row>
        <row r="3197">
          <cell r="A3197">
            <v>35400</v>
          </cell>
          <cell r="B3197" t="str">
            <v>江西</v>
          </cell>
          <cell r="C3197" t="str">
            <v>瓷器</v>
          </cell>
          <cell r="D3197">
            <v>473</v>
          </cell>
        </row>
        <row r="3198">
          <cell r="A3198">
            <v>35400</v>
          </cell>
          <cell r="B3198" t="str">
            <v>山东</v>
          </cell>
          <cell r="C3198" t="str">
            <v>瓷器</v>
          </cell>
          <cell r="D3198">
            <v>450</v>
          </cell>
        </row>
        <row r="3199">
          <cell r="A3199">
            <v>35400</v>
          </cell>
          <cell r="B3199" t="str">
            <v>江西</v>
          </cell>
          <cell r="C3199" t="str">
            <v>瓷器</v>
          </cell>
          <cell r="D3199">
            <v>459</v>
          </cell>
        </row>
        <row r="3200">
          <cell r="A3200">
            <v>35400</v>
          </cell>
          <cell r="B3200" t="str">
            <v>安徽</v>
          </cell>
          <cell r="C3200" t="str">
            <v>瓷器</v>
          </cell>
          <cell r="D3200">
            <v>459</v>
          </cell>
        </row>
        <row r="3201">
          <cell r="A3201">
            <v>35400</v>
          </cell>
          <cell r="B3201" t="str">
            <v>安徽</v>
          </cell>
          <cell r="C3201" t="str">
            <v>服装</v>
          </cell>
          <cell r="D3201">
            <v>330</v>
          </cell>
        </row>
        <row r="3202">
          <cell r="A3202">
            <v>35400</v>
          </cell>
          <cell r="B3202" t="str">
            <v>安徽</v>
          </cell>
          <cell r="C3202" t="str">
            <v>服装</v>
          </cell>
          <cell r="D3202">
            <v>330</v>
          </cell>
        </row>
        <row r="3203">
          <cell r="A3203">
            <v>35400</v>
          </cell>
          <cell r="B3203" t="str">
            <v>山东</v>
          </cell>
          <cell r="C3203" t="str">
            <v>服装</v>
          </cell>
          <cell r="D3203">
            <v>55</v>
          </cell>
        </row>
        <row r="3204">
          <cell r="A3204">
            <v>35400</v>
          </cell>
          <cell r="B3204" t="str">
            <v>安徽</v>
          </cell>
          <cell r="C3204" t="str">
            <v>服装</v>
          </cell>
          <cell r="D3204">
            <v>123</v>
          </cell>
        </row>
        <row r="3205">
          <cell r="A3205">
            <v>35400</v>
          </cell>
          <cell r="B3205" t="str">
            <v>山东</v>
          </cell>
          <cell r="C3205" t="str">
            <v>服装</v>
          </cell>
          <cell r="D3205">
            <v>124</v>
          </cell>
        </row>
        <row r="3206">
          <cell r="A3206">
            <v>35400</v>
          </cell>
          <cell r="B3206" t="str">
            <v>山东</v>
          </cell>
          <cell r="C3206" t="str">
            <v>服装</v>
          </cell>
          <cell r="D3206">
            <v>105</v>
          </cell>
        </row>
        <row r="3207">
          <cell r="A3207">
            <v>35400</v>
          </cell>
          <cell r="B3207" t="str">
            <v>安徽</v>
          </cell>
          <cell r="C3207" t="str">
            <v>服装</v>
          </cell>
          <cell r="D3207">
            <v>175</v>
          </cell>
        </row>
        <row r="3208">
          <cell r="A3208">
            <v>35400</v>
          </cell>
          <cell r="B3208" t="str">
            <v>安徽</v>
          </cell>
          <cell r="C3208" t="str">
            <v>服装</v>
          </cell>
          <cell r="D3208">
            <v>158</v>
          </cell>
        </row>
        <row r="3209">
          <cell r="A3209">
            <v>35400</v>
          </cell>
          <cell r="B3209" t="str">
            <v>安徽</v>
          </cell>
          <cell r="C3209" t="str">
            <v>服装</v>
          </cell>
          <cell r="D3209">
            <v>79</v>
          </cell>
        </row>
        <row r="3210">
          <cell r="A3210">
            <v>35400</v>
          </cell>
          <cell r="B3210" t="str">
            <v>山东</v>
          </cell>
          <cell r="C3210" t="str">
            <v>服装</v>
          </cell>
          <cell r="D3210">
            <v>799</v>
          </cell>
        </row>
        <row r="3211">
          <cell r="A3211">
            <v>35400</v>
          </cell>
          <cell r="B3211" t="str">
            <v>山东</v>
          </cell>
          <cell r="C3211" t="str">
            <v>服装</v>
          </cell>
          <cell r="D3211">
            <v>2160</v>
          </cell>
        </row>
        <row r="3212">
          <cell r="A3212">
            <v>35400</v>
          </cell>
          <cell r="B3212" t="str">
            <v>山东</v>
          </cell>
          <cell r="C3212" t="str">
            <v>服装</v>
          </cell>
          <cell r="D3212">
            <v>27</v>
          </cell>
        </row>
        <row r="3213">
          <cell r="A3213">
            <v>35400</v>
          </cell>
          <cell r="B3213" t="str">
            <v>江苏</v>
          </cell>
          <cell r="C3213" t="str">
            <v>食品</v>
          </cell>
          <cell r="D3213">
            <v>96</v>
          </cell>
        </row>
        <row r="3214">
          <cell r="A3214">
            <v>35400</v>
          </cell>
          <cell r="B3214" t="str">
            <v>山东</v>
          </cell>
          <cell r="C3214" t="str">
            <v>食品</v>
          </cell>
          <cell r="D3214">
            <v>158</v>
          </cell>
        </row>
        <row r="3215">
          <cell r="A3215">
            <v>35400</v>
          </cell>
          <cell r="B3215" t="str">
            <v>安徽</v>
          </cell>
          <cell r="C3215" t="str">
            <v>食品</v>
          </cell>
          <cell r="D3215">
            <v>627</v>
          </cell>
        </row>
        <row r="3216">
          <cell r="A3216">
            <v>35400</v>
          </cell>
          <cell r="B3216" t="str">
            <v>广东</v>
          </cell>
          <cell r="C3216" t="str">
            <v>食品</v>
          </cell>
          <cell r="D3216">
            <v>514</v>
          </cell>
        </row>
        <row r="3217">
          <cell r="A3217">
            <v>35400</v>
          </cell>
          <cell r="B3217" t="str">
            <v>广东</v>
          </cell>
          <cell r="C3217" t="str">
            <v>食品</v>
          </cell>
          <cell r="D3217">
            <v>146</v>
          </cell>
        </row>
        <row r="3218">
          <cell r="A3218">
            <v>35400</v>
          </cell>
          <cell r="B3218" t="str">
            <v>广东</v>
          </cell>
          <cell r="C3218" t="str">
            <v>食品</v>
          </cell>
          <cell r="D3218">
            <v>131</v>
          </cell>
        </row>
        <row r="3219">
          <cell r="A3219">
            <v>35400</v>
          </cell>
          <cell r="B3219" t="str">
            <v>福建</v>
          </cell>
          <cell r="C3219" t="str">
            <v>食品</v>
          </cell>
          <cell r="D3219">
            <v>263</v>
          </cell>
        </row>
        <row r="3220">
          <cell r="A3220">
            <v>35400</v>
          </cell>
          <cell r="B3220" t="str">
            <v>浙江</v>
          </cell>
          <cell r="C3220" t="str">
            <v>食品</v>
          </cell>
          <cell r="D3220">
            <v>248</v>
          </cell>
        </row>
        <row r="3221">
          <cell r="A3221">
            <v>35400</v>
          </cell>
          <cell r="B3221" t="str">
            <v>安徽</v>
          </cell>
          <cell r="C3221" t="str">
            <v>食品</v>
          </cell>
          <cell r="D3221">
            <v>645</v>
          </cell>
        </row>
        <row r="3222">
          <cell r="A3222">
            <v>35400</v>
          </cell>
          <cell r="B3222" t="str">
            <v>江苏</v>
          </cell>
          <cell r="C3222" t="str">
            <v>食品</v>
          </cell>
          <cell r="D3222">
            <v>214</v>
          </cell>
        </row>
        <row r="3223">
          <cell r="A3223">
            <v>35400</v>
          </cell>
          <cell r="B3223" t="str">
            <v>山东</v>
          </cell>
          <cell r="C3223" t="str">
            <v>食品</v>
          </cell>
          <cell r="D3223">
            <v>105</v>
          </cell>
        </row>
        <row r="3224">
          <cell r="A3224">
            <v>35400</v>
          </cell>
          <cell r="B3224" t="str">
            <v>福建</v>
          </cell>
          <cell r="C3224" t="str">
            <v>食品</v>
          </cell>
          <cell r="D3224">
            <v>368</v>
          </cell>
        </row>
        <row r="3225">
          <cell r="A3225">
            <v>35400</v>
          </cell>
          <cell r="B3225" t="str">
            <v>江西</v>
          </cell>
          <cell r="C3225" t="str">
            <v>食品</v>
          </cell>
          <cell r="D3225">
            <v>263</v>
          </cell>
        </row>
        <row r="3226">
          <cell r="A3226">
            <v>35400</v>
          </cell>
          <cell r="B3226" t="str">
            <v>江苏</v>
          </cell>
          <cell r="C3226" t="str">
            <v>食品</v>
          </cell>
          <cell r="D3226">
            <v>49</v>
          </cell>
        </row>
        <row r="3227">
          <cell r="A3227">
            <v>35400</v>
          </cell>
          <cell r="B3227" t="str">
            <v>山东</v>
          </cell>
          <cell r="C3227" t="str">
            <v>食品</v>
          </cell>
          <cell r="D3227">
            <v>298</v>
          </cell>
        </row>
        <row r="3228">
          <cell r="A3228">
            <v>35400</v>
          </cell>
          <cell r="B3228" t="str">
            <v>江西</v>
          </cell>
          <cell r="C3228" t="str">
            <v>食品</v>
          </cell>
          <cell r="D3228">
            <v>338</v>
          </cell>
        </row>
        <row r="3229">
          <cell r="A3229">
            <v>35400</v>
          </cell>
          <cell r="B3229" t="str">
            <v>江西</v>
          </cell>
          <cell r="C3229" t="str">
            <v>食品</v>
          </cell>
          <cell r="D3229">
            <v>368</v>
          </cell>
        </row>
        <row r="3230">
          <cell r="A3230">
            <v>35400</v>
          </cell>
          <cell r="B3230" t="str">
            <v>福建</v>
          </cell>
          <cell r="C3230" t="str">
            <v>食品</v>
          </cell>
          <cell r="D3230">
            <v>857</v>
          </cell>
        </row>
        <row r="3231">
          <cell r="A3231">
            <v>35400</v>
          </cell>
          <cell r="B3231" t="str">
            <v>福建</v>
          </cell>
          <cell r="C3231" t="str">
            <v>食品</v>
          </cell>
          <cell r="D3231">
            <v>1207</v>
          </cell>
        </row>
        <row r="3232">
          <cell r="A3232">
            <v>35400</v>
          </cell>
          <cell r="B3232" t="str">
            <v>广东</v>
          </cell>
          <cell r="C3232" t="str">
            <v>食品</v>
          </cell>
          <cell r="D3232">
            <v>385</v>
          </cell>
        </row>
        <row r="3233">
          <cell r="A3233">
            <v>35400</v>
          </cell>
          <cell r="B3233" t="str">
            <v>安徽</v>
          </cell>
          <cell r="C3233" t="str">
            <v>食品</v>
          </cell>
          <cell r="D3233">
            <v>996</v>
          </cell>
        </row>
        <row r="3234">
          <cell r="A3234">
            <v>35400</v>
          </cell>
          <cell r="B3234" t="str">
            <v>山东</v>
          </cell>
          <cell r="C3234" t="str">
            <v>食品</v>
          </cell>
          <cell r="D3234">
            <v>426</v>
          </cell>
        </row>
        <row r="3235">
          <cell r="A3235">
            <v>35400</v>
          </cell>
          <cell r="B3235" t="str">
            <v>浙江</v>
          </cell>
          <cell r="C3235" t="str">
            <v>食品</v>
          </cell>
          <cell r="D3235">
            <v>70</v>
          </cell>
        </row>
        <row r="3236">
          <cell r="A3236">
            <v>35400</v>
          </cell>
          <cell r="B3236" t="str">
            <v>江苏</v>
          </cell>
          <cell r="C3236" t="str">
            <v>食品</v>
          </cell>
          <cell r="D3236">
            <v>266</v>
          </cell>
        </row>
        <row r="3237">
          <cell r="A3237">
            <v>35400</v>
          </cell>
          <cell r="B3237" t="str">
            <v>安徽</v>
          </cell>
          <cell r="C3237" t="str">
            <v>食品</v>
          </cell>
          <cell r="D3237">
            <v>407</v>
          </cell>
        </row>
        <row r="3238">
          <cell r="A3238">
            <v>35400</v>
          </cell>
          <cell r="B3238" t="str">
            <v>江西</v>
          </cell>
          <cell r="C3238" t="str">
            <v>食品</v>
          </cell>
          <cell r="D3238">
            <v>426</v>
          </cell>
        </row>
        <row r="3239">
          <cell r="A3239">
            <v>35400</v>
          </cell>
          <cell r="B3239" t="str">
            <v>江西</v>
          </cell>
          <cell r="C3239" t="str">
            <v>儿童用品</v>
          </cell>
          <cell r="D3239">
            <v>133</v>
          </cell>
        </row>
        <row r="3240">
          <cell r="A3240">
            <v>35400</v>
          </cell>
          <cell r="B3240" t="str">
            <v>广东</v>
          </cell>
          <cell r="C3240" t="str">
            <v>儿童用品</v>
          </cell>
          <cell r="D3240">
            <v>96</v>
          </cell>
        </row>
        <row r="3241">
          <cell r="A3241">
            <v>35400</v>
          </cell>
          <cell r="B3241" t="str">
            <v>山东</v>
          </cell>
          <cell r="C3241" t="str">
            <v>儿童用品</v>
          </cell>
          <cell r="D3241">
            <v>26</v>
          </cell>
        </row>
        <row r="3242">
          <cell r="A3242">
            <v>35400</v>
          </cell>
          <cell r="B3242" t="str">
            <v>福建</v>
          </cell>
          <cell r="C3242" t="str">
            <v>儿童用品</v>
          </cell>
          <cell r="D3242">
            <v>96</v>
          </cell>
        </row>
        <row r="3243">
          <cell r="A3243">
            <v>35400</v>
          </cell>
          <cell r="B3243" t="str">
            <v>广东</v>
          </cell>
          <cell r="C3243" t="str">
            <v>儿童用品</v>
          </cell>
          <cell r="D3243">
            <v>68</v>
          </cell>
        </row>
        <row r="3244">
          <cell r="A3244">
            <v>35400</v>
          </cell>
          <cell r="B3244" t="str">
            <v>山东</v>
          </cell>
          <cell r="C3244" t="str">
            <v>儿童用品</v>
          </cell>
          <cell r="D3244">
            <v>68</v>
          </cell>
        </row>
        <row r="3245">
          <cell r="A3245">
            <v>35400</v>
          </cell>
          <cell r="B3245" t="str">
            <v>江西</v>
          </cell>
          <cell r="C3245" t="str">
            <v>儿童用品</v>
          </cell>
          <cell r="D3245">
            <v>122</v>
          </cell>
        </row>
        <row r="3246">
          <cell r="A3246">
            <v>35400</v>
          </cell>
          <cell r="B3246" t="str">
            <v>山东</v>
          </cell>
          <cell r="C3246" t="str">
            <v>儿童用品</v>
          </cell>
          <cell r="D3246">
            <v>59</v>
          </cell>
        </row>
        <row r="3247">
          <cell r="A3247">
            <v>35400</v>
          </cell>
          <cell r="B3247" t="str">
            <v>江苏</v>
          </cell>
          <cell r="C3247" t="str">
            <v>儿童用品</v>
          </cell>
          <cell r="D3247">
            <v>53</v>
          </cell>
        </row>
        <row r="3248">
          <cell r="A3248">
            <v>35400</v>
          </cell>
          <cell r="B3248" t="str">
            <v>江西</v>
          </cell>
          <cell r="C3248" t="str">
            <v>儿童用品</v>
          </cell>
          <cell r="D3248">
            <v>56</v>
          </cell>
        </row>
        <row r="3249">
          <cell r="A3249">
            <v>35400</v>
          </cell>
          <cell r="B3249" t="str">
            <v>江苏</v>
          </cell>
          <cell r="C3249" t="str">
            <v>儿童用品</v>
          </cell>
          <cell r="D3249">
            <v>410</v>
          </cell>
        </row>
        <row r="3250">
          <cell r="A3250">
            <v>35400</v>
          </cell>
          <cell r="B3250" t="str">
            <v>福建</v>
          </cell>
          <cell r="C3250" t="str">
            <v>儿童用品</v>
          </cell>
          <cell r="D3250">
            <v>396</v>
          </cell>
        </row>
        <row r="3251">
          <cell r="A3251">
            <v>35400</v>
          </cell>
          <cell r="B3251" t="str">
            <v>安徽</v>
          </cell>
          <cell r="C3251" t="str">
            <v>儿童用品</v>
          </cell>
          <cell r="D3251">
            <v>1257</v>
          </cell>
        </row>
        <row r="3252">
          <cell r="A3252">
            <v>35400</v>
          </cell>
          <cell r="B3252" t="str">
            <v>福建</v>
          </cell>
          <cell r="C3252" t="str">
            <v>儿童用品</v>
          </cell>
          <cell r="D3252">
            <v>252</v>
          </cell>
        </row>
        <row r="3253">
          <cell r="A3253">
            <v>35400</v>
          </cell>
          <cell r="B3253" t="str">
            <v>安徽</v>
          </cell>
          <cell r="C3253" t="str">
            <v>儿童用品</v>
          </cell>
          <cell r="D3253">
            <v>1316</v>
          </cell>
        </row>
        <row r="3254">
          <cell r="A3254">
            <v>35400</v>
          </cell>
          <cell r="B3254" t="str">
            <v>浙江</v>
          </cell>
          <cell r="C3254" t="str">
            <v>儿童用品</v>
          </cell>
          <cell r="D3254">
            <v>270</v>
          </cell>
        </row>
        <row r="3255">
          <cell r="A3255">
            <v>35400</v>
          </cell>
          <cell r="B3255" t="str">
            <v>山东</v>
          </cell>
          <cell r="C3255" t="str">
            <v>儿童用品</v>
          </cell>
          <cell r="D3255">
            <v>364</v>
          </cell>
        </row>
        <row r="3256">
          <cell r="A3256">
            <v>35400</v>
          </cell>
          <cell r="B3256" t="str">
            <v>广东</v>
          </cell>
          <cell r="C3256" t="str">
            <v>儿童用品</v>
          </cell>
          <cell r="D3256">
            <v>2282</v>
          </cell>
        </row>
        <row r="3257">
          <cell r="A3257">
            <v>35400</v>
          </cell>
          <cell r="B3257" t="str">
            <v>福建</v>
          </cell>
          <cell r="C3257" t="str">
            <v>儿童用品</v>
          </cell>
          <cell r="D3257">
            <v>304</v>
          </cell>
        </row>
        <row r="3258">
          <cell r="A3258">
            <v>35400</v>
          </cell>
          <cell r="B3258" t="str">
            <v>江苏</v>
          </cell>
          <cell r="C3258" t="str">
            <v>儿童用品</v>
          </cell>
          <cell r="D3258">
            <v>326</v>
          </cell>
        </row>
        <row r="3259">
          <cell r="A3259">
            <v>35400</v>
          </cell>
          <cell r="B3259" t="str">
            <v>广东</v>
          </cell>
          <cell r="C3259" t="str">
            <v>儿童用品</v>
          </cell>
          <cell r="D3259">
            <v>580</v>
          </cell>
        </row>
        <row r="3260">
          <cell r="A3260">
            <v>35400</v>
          </cell>
          <cell r="B3260" t="str">
            <v>安徽</v>
          </cell>
          <cell r="C3260" t="str">
            <v>儿童用品</v>
          </cell>
          <cell r="D3260">
            <v>455</v>
          </cell>
        </row>
        <row r="3261">
          <cell r="A3261">
            <v>35400</v>
          </cell>
          <cell r="B3261" t="str">
            <v>安徽</v>
          </cell>
          <cell r="C3261" t="str">
            <v>儿童用品</v>
          </cell>
          <cell r="D3261">
            <v>699</v>
          </cell>
        </row>
        <row r="3262">
          <cell r="A3262">
            <v>35400</v>
          </cell>
          <cell r="B3262" t="str">
            <v>浙江</v>
          </cell>
          <cell r="C3262" t="str">
            <v>儿童用品</v>
          </cell>
          <cell r="D3262">
            <v>172</v>
          </cell>
        </row>
        <row r="3263">
          <cell r="A3263">
            <v>35400</v>
          </cell>
          <cell r="B3263" t="str">
            <v>江苏</v>
          </cell>
          <cell r="C3263" t="str">
            <v>儿童用品</v>
          </cell>
          <cell r="D3263">
            <v>175</v>
          </cell>
        </row>
        <row r="3264">
          <cell r="A3264">
            <v>35400</v>
          </cell>
          <cell r="B3264" t="str">
            <v>江西</v>
          </cell>
          <cell r="C3264" t="str">
            <v>儿童用品</v>
          </cell>
          <cell r="D3264">
            <v>175</v>
          </cell>
        </row>
        <row r="3265">
          <cell r="A3265">
            <v>35400</v>
          </cell>
          <cell r="B3265" t="str">
            <v>安徽</v>
          </cell>
          <cell r="C3265" t="str">
            <v>体育用品</v>
          </cell>
          <cell r="D3265">
            <v>798</v>
          </cell>
        </row>
        <row r="3266">
          <cell r="A3266">
            <v>35400</v>
          </cell>
          <cell r="B3266" t="str">
            <v>江苏</v>
          </cell>
          <cell r="C3266" t="str">
            <v>体育用品</v>
          </cell>
          <cell r="D3266">
            <v>46</v>
          </cell>
        </row>
        <row r="3267">
          <cell r="A3267">
            <v>35400</v>
          </cell>
          <cell r="B3267" t="str">
            <v>安徽</v>
          </cell>
          <cell r="C3267" t="str">
            <v>体育用品</v>
          </cell>
          <cell r="D3267">
            <v>46</v>
          </cell>
        </row>
        <row r="3268">
          <cell r="A3268">
            <v>35400</v>
          </cell>
          <cell r="B3268" t="str">
            <v>广东</v>
          </cell>
          <cell r="C3268" t="str">
            <v>体育用品</v>
          </cell>
          <cell r="D3268">
            <v>45</v>
          </cell>
        </row>
        <row r="3269">
          <cell r="A3269">
            <v>35400</v>
          </cell>
          <cell r="B3269" t="str">
            <v>浙江</v>
          </cell>
          <cell r="C3269" t="str">
            <v>体育用品</v>
          </cell>
          <cell r="D3269">
            <v>888</v>
          </cell>
        </row>
        <row r="3270">
          <cell r="A3270">
            <v>35400</v>
          </cell>
          <cell r="B3270" t="str">
            <v>安徽</v>
          </cell>
          <cell r="C3270" t="str">
            <v>体育用品</v>
          </cell>
          <cell r="D3270">
            <v>55</v>
          </cell>
        </row>
        <row r="3271">
          <cell r="A3271">
            <v>35400</v>
          </cell>
          <cell r="B3271" t="str">
            <v>安徽</v>
          </cell>
          <cell r="C3271" t="str">
            <v>体育用品</v>
          </cell>
          <cell r="D3271">
            <v>26</v>
          </cell>
        </row>
        <row r="3272">
          <cell r="A3272">
            <v>35400</v>
          </cell>
          <cell r="B3272" t="str">
            <v>山东</v>
          </cell>
          <cell r="C3272" t="str">
            <v>体育用品</v>
          </cell>
          <cell r="D3272">
            <v>23</v>
          </cell>
        </row>
        <row r="3273">
          <cell r="A3273">
            <v>35400</v>
          </cell>
          <cell r="B3273" t="str">
            <v>福建</v>
          </cell>
          <cell r="C3273" t="str">
            <v>体育用品</v>
          </cell>
          <cell r="D3273">
            <v>1355</v>
          </cell>
        </row>
        <row r="3274">
          <cell r="A3274">
            <v>35400</v>
          </cell>
          <cell r="B3274" t="str">
            <v>山东</v>
          </cell>
          <cell r="C3274" t="str">
            <v>体育用品</v>
          </cell>
          <cell r="D3274">
            <v>18</v>
          </cell>
        </row>
        <row r="3275">
          <cell r="A3275">
            <v>35400</v>
          </cell>
          <cell r="B3275" t="str">
            <v>广东</v>
          </cell>
          <cell r="C3275" t="str">
            <v>体育用品</v>
          </cell>
          <cell r="D3275">
            <v>26</v>
          </cell>
        </row>
        <row r="3276">
          <cell r="A3276">
            <v>35400</v>
          </cell>
          <cell r="B3276" t="str">
            <v>广东</v>
          </cell>
          <cell r="C3276" t="str">
            <v>体育用品</v>
          </cell>
          <cell r="D3276">
            <v>1453</v>
          </cell>
        </row>
        <row r="3277">
          <cell r="A3277">
            <v>35400</v>
          </cell>
          <cell r="B3277" t="str">
            <v>福建</v>
          </cell>
          <cell r="C3277" t="str">
            <v>体育用品</v>
          </cell>
          <cell r="D3277">
            <v>921</v>
          </cell>
        </row>
        <row r="3278">
          <cell r="A3278">
            <v>35400</v>
          </cell>
          <cell r="B3278" t="str">
            <v>浙江</v>
          </cell>
          <cell r="C3278" t="str">
            <v>体育用品</v>
          </cell>
          <cell r="D3278">
            <v>98</v>
          </cell>
        </row>
        <row r="3279">
          <cell r="A3279">
            <v>35400</v>
          </cell>
          <cell r="B3279" t="str">
            <v>安徽</v>
          </cell>
          <cell r="C3279" t="str">
            <v>体育用品</v>
          </cell>
          <cell r="D3279">
            <v>113</v>
          </cell>
        </row>
        <row r="3280">
          <cell r="A3280">
            <v>35400</v>
          </cell>
          <cell r="B3280" t="str">
            <v>福建</v>
          </cell>
          <cell r="C3280" t="str">
            <v>体育用品</v>
          </cell>
          <cell r="D3280">
            <v>68</v>
          </cell>
        </row>
        <row r="3281">
          <cell r="A3281">
            <v>35400</v>
          </cell>
          <cell r="B3281" t="str">
            <v>江苏</v>
          </cell>
          <cell r="C3281" t="str">
            <v>体育用品</v>
          </cell>
          <cell r="D3281">
            <v>248</v>
          </cell>
        </row>
        <row r="3282">
          <cell r="A3282">
            <v>35400</v>
          </cell>
          <cell r="B3282" t="str">
            <v>广东</v>
          </cell>
          <cell r="C3282" t="str">
            <v>体育用品</v>
          </cell>
          <cell r="D3282">
            <v>228</v>
          </cell>
        </row>
        <row r="3283">
          <cell r="A3283">
            <v>35400</v>
          </cell>
          <cell r="B3283" t="str">
            <v>广东</v>
          </cell>
          <cell r="C3283" t="str">
            <v>体育用品</v>
          </cell>
          <cell r="D3283">
            <v>124</v>
          </cell>
        </row>
        <row r="3284">
          <cell r="A3284">
            <v>35400</v>
          </cell>
          <cell r="B3284" t="str">
            <v>福建</v>
          </cell>
          <cell r="C3284" t="str">
            <v>体育用品</v>
          </cell>
          <cell r="D3284">
            <v>126</v>
          </cell>
        </row>
        <row r="3285">
          <cell r="A3285">
            <v>35400</v>
          </cell>
          <cell r="B3285" t="str">
            <v>江西</v>
          </cell>
          <cell r="C3285" t="str">
            <v>体育用品</v>
          </cell>
          <cell r="D3285">
            <v>203</v>
          </cell>
        </row>
        <row r="3286">
          <cell r="A3286">
            <v>35400</v>
          </cell>
          <cell r="B3286" t="str">
            <v>江西</v>
          </cell>
          <cell r="C3286" t="str">
            <v>体育用品</v>
          </cell>
          <cell r="D3286">
            <v>135</v>
          </cell>
        </row>
        <row r="3287">
          <cell r="A3287">
            <v>35400</v>
          </cell>
          <cell r="B3287" t="str">
            <v>浙江</v>
          </cell>
          <cell r="C3287" t="str">
            <v>体育用品</v>
          </cell>
          <cell r="D3287">
            <v>138</v>
          </cell>
        </row>
        <row r="3288">
          <cell r="A3288">
            <v>35400</v>
          </cell>
          <cell r="B3288" t="str">
            <v>山东</v>
          </cell>
          <cell r="C3288" t="str">
            <v>体育用品</v>
          </cell>
          <cell r="D3288">
            <v>116</v>
          </cell>
        </row>
        <row r="3289">
          <cell r="A3289">
            <v>35400</v>
          </cell>
          <cell r="B3289" t="str">
            <v>江苏</v>
          </cell>
          <cell r="C3289" t="str">
            <v>体育用品</v>
          </cell>
          <cell r="D3289">
            <v>281</v>
          </cell>
        </row>
        <row r="3290">
          <cell r="A3290">
            <v>35400</v>
          </cell>
          <cell r="B3290" t="str">
            <v>山东</v>
          </cell>
          <cell r="C3290" t="str">
            <v>体育用品</v>
          </cell>
          <cell r="D3290">
            <v>55</v>
          </cell>
        </row>
        <row r="3291">
          <cell r="A3291">
            <v>35400</v>
          </cell>
          <cell r="B3291" t="str">
            <v>山东</v>
          </cell>
          <cell r="C3291" t="str">
            <v>体育用品</v>
          </cell>
          <cell r="D3291">
            <v>11</v>
          </cell>
        </row>
        <row r="3292">
          <cell r="A3292">
            <v>35400</v>
          </cell>
          <cell r="B3292" t="str">
            <v>江苏</v>
          </cell>
          <cell r="C3292" t="str">
            <v>体育用品</v>
          </cell>
          <cell r="D3292">
            <v>61</v>
          </cell>
        </row>
        <row r="3293">
          <cell r="A3293">
            <v>35400</v>
          </cell>
          <cell r="B3293" t="str">
            <v>安徽</v>
          </cell>
          <cell r="C3293" t="str">
            <v>体育用品</v>
          </cell>
          <cell r="D3293">
            <v>151</v>
          </cell>
        </row>
        <row r="3294">
          <cell r="A3294">
            <v>35400</v>
          </cell>
          <cell r="B3294" t="str">
            <v>江西</v>
          </cell>
          <cell r="C3294" t="str">
            <v>体育用品</v>
          </cell>
          <cell r="D3294">
            <v>96</v>
          </cell>
        </row>
        <row r="3295">
          <cell r="A3295">
            <v>35400</v>
          </cell>
          <cell r="B3295" t="str">
            <v>江苏</v>
          </cell>
          <cell r="C3295" t="str">
            <v>体育用品</v>
          </cell>
          <cell r="D3295">
            <v>72</v>
          </cell>
        </row>
        <row r="3296">
          <cell r="A3296">
            <v>35400</v>
          </cell>
          <cell r="B3296" t="str">
            <v>山东</v>
          </cell>
          <cell r="C3296" t="str">
            <v>体育用品</v>
          </cell>
          <cell r="D3296">
            <v>79</v>
          </cell>
        </row>
        <row r="3297">
          <cell r="A3297">
            <v>35400</v>
          </cell>
          <cell r="B3297" t="str">
            <v>江苏</v>
          </cell>
          <cell r="C3297" t="str">
            <v>体育用品</v>
          </cell>
          <cell r="D3297">
            <v>270</v>
          </cell>
        </row>
        <row r="3298">
          <cell r="A3298">
            <v>35400</v>
          </cell>
          <cell r="B3298" t="str">
            <v>江西</v>
          </cell>
          <cell r="C3298" t="str">
            <v>体育用品</v>
          </cell>
          <cell r="D3298">
            <v>79</v>
          </cell>
        </row>
        <row r="3299">
          <cell r="A3299">
            <v>35400</v>
          </cell>
          <cell r="B3299" t="str">
            <v>福建</v>
          </cell>
          <cell r="C3299" t="str">
            <v>体育用品</v>
          </cell>
          <cell r="D3299">
            <v>94</v>
          </cell>
        </row>
        <row r="3300">
          <cell r="A3300">
            <v>35400</v>
          </cell>
          <cell r="B3300" t="str">
            <v>广东</v>
          </cell>
          <cell r="C3300" t="str">
            <v>体育用品</v>
          </cell>
          <cell r="D3300">
            <v>293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3题"/>
      <sheetName val="第4题"/>
      <sheetName val="第5题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3题"/>
      <sheetName val="第4题"/>
      <sheetName val="第5题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3题"/>
      <sheetName val="第4题"/>
      <sheetName val="第5题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3题"/>
      <sheetName val="第4题"/>
      <sheetName val="第5题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解答"/>
      <sheetName val="第2题解答"/>
      <sheetName val="第3题解答"/>
      <sheetName val="第4题解答"/>
      <sheetName val="第5题解答"/>
      <sheetName val="第6题解答"/>
      <sheetName val="第7题解答"/>
      <sheetName val="第8题解答"/>
      <sheetName val="第9题解答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订购年</v>
          </cell>
          <cell r="B1" t="str">
            <v>订购日期</v>
          </cell>
          <cell r="C1" t="str">
            <v>货主国家</v>
          </cell>
          <cell r="D1" t="str">
            <v>类别名称</v>
          </cell>
          <cell r="E1" t="str">
            <v>销售额</v>
          </cell>
        </row>
        <row r="2">
          <cell r="A2">
            <v>1994</v>
          </cell>
          <cell r="B2">
            <v>34551</v>
          </cell>
          <cell r="C2" t="str">
            <v>美国</v>
          </cell>
          <cell r="D2" t="str">
            <v>农产品</v>
          </cell>
          <cell r="E2">
            <v>167.4</v>
          </cell>
        </row>
        <row r="3">
          <cell r="A3">
            <v>1994</v>
          </cell>
          <cell r="B3">
            <v>34551</v>
          </cell>
          <cell r="C3" t="str">
            <v>美国</v>
          </cell>
          <cell r="D3" t="str">
            <v>农产品</v>
          </cell>
          <cell r="E3">
            <v>1696</v>
          </cell>
        </row>
        <row r="4">
          <cell r="A4">
            <v>1994</v>
          </cell>
          <cell r="B4">
            <v>34565</v>
          </cell>
          <cell r="C4" t="str">
            <v>美国</v>
          </cell>
          <cell r="D4" t="str">
            <v>海洋食品</v>
          </cell>
          <cell r="E4">
            <v>92.4</v>
          </cell>
        </row>
        <row r="5">
          <cell r="A5">
            <v>1994</v>
          </cell>
          <cell r="B5">
            <v>34565</v>
          </cell>
          <cell r="C5" t="str">
            <v>美国</v>
          </cell>
          <cell r="D5" t="str">
            <v>面食/谷类</v>
          </cell>
          <cell r="E5">
            <v>780</v>
          </cell>
        </row>
        <row r="6">
          <cell r="A6">
            <v>1994</v>
          </cell>
          <cell r="B6">
            <v>34565</v>
          </cell>
          <cell r="C6" t="str">
            <v>美国</v>
          </cell>
          <cell r="D6" t="str">
            <v>糖果</v>
          </cell>
          <cell r="E6">
            <v>443.25</v>
          </cell>
        </row>
        <row r="7">
          <cell r="A7">
            <v>1994</v>
          </cell>
          <cell r="B7">
            <v>34565</v>
          </cell>
          <cell r="C7" t="str">
            <v>美国</v>
          </cell>
          <cell r="D7" t="str">
            <v>饮料</v>
          </cell>
          <cell r="E7">
            <v>189</v>
          </cell>
        </row>
        <row r="8">
          <cell r="A8">
            <v>1994</v>
          </cell>
          <cell r="B8">
            <v>34568</v>
          </cell>
          <cell r="C8" t="str">
            <v>加拿大</v>
          </cell>
          <cell r="D8" t="str">
            <v>香料</v>
          </cell>
          <cell r="E8">
            <v>163.19999939203262</v>
          </cell>
        </row>
        <row r="9">
          <cell r="A9">
            <v>1994</v>
          </cell>
          <cell r="B9">
            <v>34568</v>
          </cell>
          <cell r="C9" t="str">
            <v>加拿大</v>
          </cell>
          <cell r="D9" t="str">
            <v>农产品</v>
          </cell>
          <cell r="E9">
            <v>360</v>
          </cell>
        </row>
        <row r="10">
          <cell r="A10">
            <v>1994</v>
          </cell>
          <cell r="B10">
            <v>34568</v>
          </cell>
          <cell r="C10" t="str">
            <v>加拿大</v>
          </cell>
          <cell r="D10" t="str">
            <v>面食/谷类</v>
          </cell>
          <cell r="E10">
            <v>60.8</v>
          </cell>
        </row>
        <row r="11">
          <cell r="A11">
            <v>1994</v>
          </cell>
          <cell r="B11">
            <v>34575</v>
          </cell>
          <cell r="C11" t="str">
            <v>美国</v>
          </cell>
          <cell r="D11" t="str">
            <v>海洋食品</v>
          </cell>
          <cell r="E11">
            <v>735</v>
          </cell>
        </row>
        <row r="12">
          <cell r="A12">
            <v>1994</v>
          </cell>
          <cell r="B12">
            <v>34575</v>
          </cell>
          <cell r="C12" t="str">
            <v>美国</v>
          </cell>
          <cell r="D12" t="str">
            <v>乳制品</v>
          </cell>
          <cell r="E12">
            <v>2617.9999816417694</v>
          </cell>
        </row>
        <row r="13">
          <cell r="A13">
            <v>1994</v>
          </cell>
          <cell r="B13">
            <v>34575</v>
          </cell>
          <cell r="C13" t="str">
            <v>美国</v>
          </cell>
          <cell r="D13" t="str">
            <v>饮料</v>
          </cell>
          <cell r="E13">
            <v>183.59999871253967</v>
          </cell>
        </row>
        <row r="14">
          <cell r="A14">
            <v>1994</v>
          </cell>
          <cell r="B14">
            <v>34577</v>
          </cell>
          <cell r="C14" t="str">
            <v>加拿大</v>
          </cell>
          <cell r="D14" t="str">
            <v>乳制品</v>
          </cell>
          <cell r="E14">
            <v>113.99999991059303</v>
          </cell>
        </row>
        <row r="15">
          <cell r="A15">
            <v>1994</v>
          </cell>
          <cell r="B15">
            <v>34577</v>
          </cell>
          <cell r="C15" t="str">
            <v>加拿大</v>
          </cell>
          <cell r="D15" t="str">
            <v>乳制品</v>
          </cell>
          <cell r="E15">
            <v>528.19999958574772</v>
          </cell>
        </row>
        <row r="16">
          <cell r="A16">
            <v>1994</v>
          </cell>
          <cell r="B16">
            <v>34578</v>
          </cell>
          <cell r="C16" t="str">
            <v>加拿大</v>
          </cell>
          <cell r="D16" t="str">
            <v>乳制品</v>
          </cell>
          <cell r="E16">
            <v>48</v>
          </cell>
        </row>
        <row r="17">
          <cell r="A17">
            <v>1994</v>
          </cell>
          <cell r="B17">
            <v>34579</v>
          </cell>
          <cell r="C17" t="str">
            <v>加拿大</v>
          </cell>
          <cell r="D17" t="str">
            <v>糖果</v>
          </cell>
          <cell r="E17">
            <v>388.8</v>
          </cell>
        </row>
        <row r="18">
          <cell r="A18">
            <v>1994</v>
          </cell>
          <cell r="B18">
            <v>34579</v>
          </cell>
          <cell r="C18" t="str">
            <v>加拿大</v>
          </cell>
          <cell r="D18" t="str">
            <v>乳制品</v>
          </cell>
          <cell r="E18">
            <v>400</v>
          </cell>
        </row>
        <row r="19">
          <cell r="A19">
            <v>1994</v>
          </cell>
          <cell r="B19">
            <v>34579</v>
          </cell>
          <cell r="C19" t="str">
            <v>加拿大</v>
          </cell>
          <cell r="D19" t="str">
            <v>乳制品</v>
          </cell>
          <cell r="E19">
            <v>667.2</v>
          </cell>
        </row>
        <row r="20">
          <cell r="A20">
            <v>1994</v>
          </cell>
          <cell r="B20">
            <v>34582</v>
          </cell>
          <cell r="C20" t="str">
            <v>美国</v>
          </cell>
          <cell r="D20" t="str">
            <v>海洋食品</v>
          </cell>
          <cell r="E20">
            <v>565.43999955654147</v>
          </cell>
        </row>
        <row r="21">
          <cell r="A21">
            <v>1994</v>
          </cell>
          <cell r="B21">
            <v>34582</v>
          </cell>
          <cell r="C21" t="str">
            <v>美国</v>
          </cell>
          <cell r="D21" t="str">
            <v>乳制品</v>
          </cell>
          <cell r="E21">
            <v>142.49999988824129</v>
          </cell>
        </row>
        <row r="22">
          <cell r="A22">
            <v>1994</v>
          </cell>
          <cell r="B22">
            <v>34582</v>
          </cell>
          <cell r="C22" t="str">
            <v>美国</v>
          </cell>
          <cell r="D22" t="str">
            <v>乳制品</v>
          </cell>
          <cell r="E22">
            <v>40</v>
          </cell>
        </row>
        <row r="23">
          <cell r="A23">
            <v>1994</v>
          </cell>
          <cell r="B23">
            <v>34582</v>
          </cell>
          <cell r="C23" t="str">
            <v>美国</v>
          </cell>
          <cell r="D23" t="str">
            <v>海洋食品</v>
          </cell>
          <cell r="E23">
            <v>837.89999934285879</v>
          </cell>
        </row>
        <row r="24">
          <cell r="A24">
            <v>1994</v>
          </cell>
          <cell r="B24">
            <v>34582</v>
          </cell>
          <cell r="C24" t="str">
            <v>美国</v>
          </cell>
          <cell r="D24" t="str">
            <v>饮料</v>
          </cell>
          <cell r="E24">
            <v>451.43999964594838</v>
          </cell>
        </row>
        <row r="25">
          <cell r="A25">
            <v>1994</v>
          </cell>
          <cell r="B25">
            <v>34586</v>
          </cell>
          <cell r="C25" t="str">
            <v>美国</v>
          </cell>
          <cell r="D25" t="str">
            <v>农产品</v>
          </cell>
          <cell r="E25">
            <v>728</v>
          </cell>
        </row>
        <row r="26">
          <cell r="A26">
            <v>1994</v>
          </cell>
          <cell r="B26">
            <v>34586</v>
          </cell>
          <cell r="C26" t="str">
            <v>美国</v>
          </cell>
          <cell r="D26" t="str">
            <v>糖果</v>
          </cell>
          <cell r="E26">
            <v>472.8</v>
          </cell>
        </row>
        <row r="27">
          <cell r="A27">
            <v>1994</v>
          </cell>
          <cell r="B27">
            <v>34590</v>
          </cell>
          <cell r="C27" t="str">
            <v>美国</v>
          </cell>
          <cell r="D27" t="str">
            <v>肉/家禽</v>
          </cell>
          <cell r="E27">
            <v>351</v>
          </cell>
        </row>
        <row r="28">
          <cell r="A28">
            <v>1994</v>
          </cell>
          <cell r="B28">
            <v>34596</v>
          </cell>
          <cell r="C28" t="str">
            <v>美国</v>
          </cell>
          <cell r="D28" t="str">
            <v>糖果</v>
          </cell>
          <cell r="E28">
            <v>394.875</v>
          </cell>
        </row>
        <row r="29">
          <cell r="A29">
            <v>1994</v>
          </cell>
          <cell r="B29">
            <v>34596</v>
          </cell>
          <cell r="C29" t="str">
            <v>美国</v>
          </cell>
          <cell r="D29" t="str">
            <v>香料</v>
          </cell>
          <cell r="E29">
            <v>325.5</v>
          </cell>
        </row>
        <row r="30">
          <cell r="A30">
            <v>1994</v>
          </cell>
          <cell r="B30">
            <v>34596</v>
          </cell>
          <cell r="C30" t="str">
            <v>美国</v>
          </cell>
          <cell r="D30" t="str">
            <v>乳制品</v>
          </cell>
          <cell r="E30">
            <v>408</v>
          </cell>
        </row>
        <row r="31">
          <cell r="A31">
            <v>1994</v>
          </cell>
          <cell r="B31">
            <v>34596</v>
          </cell>
          <cell r="C31" t="str">
            <v>美国</v>
          </cell>
          <cell r="D31" t="str">
            <v>饮料</v>
          </cell>
          <cell r="E31">
            <v>42</v>
          </cell>
        </row>
        <row r="32">
          <cell r="A32">
            <v>1994</v>
          </cell>
          <cell r="B32">
            <v>34597</v>
          </cell>
          <cell r="C32" t="str">
            <v>美国</v>
          </cell>
          <cell r="D32" t="str">
            <v>饮料</v>
          </cell>
          <cell r="E32">
            <v>518.39999806880951</v>
          </cell>
        </row>
        <row r="33">
          <cell r="A33">
            <v>1994</v>
          </cell>
          <cell r="B33">
            <v>34597</v>
          </cell>
          <cell r="C33" t="str">
            <v>美国</v>
          </cell>
          <cell r="D33" t="str">
            <v>海洋食品</v>
          </cell>
          <cell r="E33">
            <v>470.39999824762344</v>
          </cell>
        </row>
        <row r="34">
          <cell r="A34">
            <v>1994</v>
          </cell>
          <cell r="B34">
            <v>34597</v>
          </cell>
          <cell r="C34" t="str">
            <v>美国</v>
          </cell>
          <cell r="D34" t="str">
            <v>肉/家禽</v>
          </cell>
          <cell r="E34">
            <v>754.55999718904502</v>
          </cell>
        </row>
        <row r="35">
          <cell r="A35">
            <v>1994</v>
          </cell>
          <cell r="B35">
            <v>34598</v>
          </cell>
          <cell r="C35" t="str">
            <v>美国</v>
          </cell>
          <cell r="D35" t="str">
            <v>饮料</v>
          </cell>
          <cell r="E35">
            <v>1440</v>
          </cell>
        </row>
        <row r="36">
          <cell r="A36">
            <v>1994</v>
          </cell>
          <cell r="B36">
            <v>34598</v>
          </cell>
          <cell r="C36" t="str">
            <v>美国</v>
          </cell>
          <cell r="D36" t="str">
            <v>糖果</v>
          </cell>
          <cell r="E36">
            <v>1576</v>
          </cell>
        </row>
        <row r="37">
          <cell r="A37">
            <v>1994</v>
          </cell>
          <cell r="B37">
            <v>34607</v>
          </cell>
          <cell r="C37" t="str">
            <v>加拿大</v>
          </cell>
          <cell r="D37" t="str">
            <v>饮料</v>
          </cell>
          <cell r="E37">
            <v>259.2</v>
          </cell>
        </row>
        <row r="38">
          <cell r="A38">
            <v>1994</v>
          </cell>
          <cell r="B38">
            <v>34607</v>
          </cell>
          <cell r="C38" t="str">
            <v>加拿大</v>
          </cell>
          <cell r="D38" t="str">
            <v>肉/家禽</v>
          </cell>
          <cell r="E38">
            <v>468</v>
          </cell>
        </row>
        <row r="39">
          <cell r="A39">
            <v>1994</v>
          </cell>
          <cell r="B39">
            <v>34607</v>
          </cell>
          <cell r="C39" t="str">
            <v>加拿大</v>
          </cell>
          <cell r="D39" t="str">
            <v>饮料</v>
          </cell>
          <cell r="E39">
            <v>552</v>
          </cell>
        </row>
        <row r="40">
          <cell r="A40">
            <v>1994</v>
          </cell>
          <cell r="B40">
            <v>34607</v>
          </cell>
          <cell r="C40" t="str">
            <v>加拿大</v>
          </cell>
          <cell r="D40" t="str">
            <v>乳制品</v>
          </cell>
          <cell r="E40">
            <v>571.20000000000005</v>
          </cell>
        </row>
        <row r="41">
          <cell r="A41">
            <v>1994</v>
          </cell>
          <cell r="B41">
            <v>34607</v>
          </cell>
          <cell r="C41" t="str">
            <v>加拿大</v>
          </cell>
          <cell r="D41" t="str">
            <v>饮料</v>
          </cell>
          <cell r="E41">
            <v>37.200000000000003</v>
          </cell>
        </row>
        <row r="42">
          <cell r="A42">
            <v>1994</v>
          </cell>
          <cell r="B42">
            <v>34617</v>
          </cell>
          <cell r="C42" t="str">
            <v>美国</v>
          </cell>
          <cell r="D42" t="str">
            <v>海洋食品</v>
          </cell>
          <cell r="E42">
            <v>147</v>
          </cell>
        </row>
        <row r="43">
          <cell r="A43">
            <v>1994</v>
          </cell>
          <cell r="B43">
            <v>34617</v>
          </cell>
          <cell r="C43" t="str">
            <v>美国</v>
          </cell>
          <cell r="D43" t="str">
            <v>面食/谷类</v>
          </cell>
          <cell r="E43">
            <v>608</v>
          </cell>
        </row>
        <row r="44">
          <cell r="A44">
            <v>1994</v>
          </cell>
          <cell r="B44">
            <v>34621</v>
          </cell>
          <cell r="C44" t="str">
            <v>加拿大</v>
          </cell>
          <cell r="D44" t="str">
            <v>海洋食品</v>
          </cell>
          <cell r="E44">
            <v>1124.9999981373549</v>
          </cell>
        </row>
        <row r="45">
          <cell r="A45">
            <v>1994</v>
          </cell>
          <cell r="B45">
            <v>34621</v>
          </cell>
          <cell r="C45" t="str">
            <v>加拿大</v>
          </cell>
          <cell r="D45" t="str">
            <v>肉/家禽</v>
          </cell>
          <cell r="E45">
            <v>2227.4999963119626</v>
          </cell>
        </row>
        <row r="46">
          <cell r="A46">
            <v>1994</v>
          </cell>
          <cell r="B46">
            <v>34621</v>
          </cell>
          <cell r="C46" t="str">
            <v>加拿大</v>
          </cell>
          <cell r="D46" t="str">
            <v>饮料</v>
          </cell>
          <cell r="E46">
            <v>388.79999935626984</v>
          </cell>
        </row>
        <row r="47">
          <cell r="A47">
            <v>1994</v>
          </cell>
          <cell r="B47">
            <v>34625</v>
          </cell>
          <cell r="C47" t="str">
            <v>加拿大</v>
          </cell>
          <cell r="D47" t="str">
            <v>糖果</v>
          </cell>
          <cell r="E47">
            <v>394</v>
          </cell>
        </row>
        <row r="48">
          <cell r="A48">
            <v>1994</v>
          </cell>
          <cell r="B48">
            <v>34625</v>
          </cell>
          <cell r="C48" t="str">
            <v>加拿大</v>
          </cell>
          <cell r="D48" t="str">
            <v>糖果</v>
          </cell>
          <cell r="E48">
            <v>30</v>
          </cell>
        </row>
        <row r="49">
          <cell r="A49">
            <v>1994</v>
          </cell>
          <cell r="B49">
            <v>34628</v>
          </cell>
          <cell r="C49" t="str">
            <v>加拿大</v>
          </cell>
          <cell r="D49" t="str">
            <v>糖果</v>
          </cell>
          <cell r="E49">
            <v>139</v>
          </cell>
        </row>
        <row r="50">
          <cell r="A50">
            <v>1994</v>
          </cell>
          <cell r="B50">
            <v>34628</v>
          </cell>
          <cell r="C50" t="str">
            <v>加拿大</v>
          </cell>
          <cell r="D50" t="str">
            <v>糖果</v>
          </cell>
          <cell r="E50">
            <v>197</v>
          </cell>
        </row>
        <row r="51">
          <cell r="A51">
            <v>1994</v>
          </cell>
          <cell r="B51">
            <v>34631</v>
          </cell>
          <cell r="C51" t="str">
            <v>美国</v>
          </cell>
          <cell r="D51" t="str">
            <v>农产品</v>
          </cell>
          <cell r="E51">
            <v>145.6</v>
          </cell>
        </row>
        <row r="52">
          <cell r="A52">
            <v>1994</v>
          </cell>
          <cell r="B52">
            <v>34631</v>
          </cell>
          <cell r="C52" t="str">
            <v>美国</v>
          </cell>
          <cell r="D52" t="str">
            <v>饮料</v>
          </cell>
          <cell r="E52">
            <v>883.2</v>
          </cell>
        </row>
        <row r="53">
          <cell r="A53">
            <v>1994</v>
          </cell>
          <cell r="B53">
            <v>34631</v>
          </cell>
          <cell r="C53" t="str">
            <v>美国</v>
          </cell>
          <cell r="D53" t="str">
            <v>肉/家禽</v>
          </cell>
          <cell r="E53">
            <v>524</v>
          </cell>
        </row>
        <row r="54">
          <cell r="A54">
            <v>1994</v>
          </cell>
          <cell r="B54">
            <v>34631</v>
          </cell>
          <cell r="C54" t="str">
            <v>美国</v>
          </cell>
          <cell r="D54" t="str">
            <v>饮料</v>
          </cell>
          <cell r="E54">
            <v>62</v>
          </cell>
        </row>
        <row r="55">
          <cell r="A55">
            <v>1994</v>
          </cell>
          <cell r="B55">
            <v>34632</v>
          </cell>
          <cell r="C55" t="str">
            <v>美国</v>
          </cell>
          <cell r="D55" t="str">
            <v>海洋食品</v>
          </cell>
          <cell r="E55">
            <v>182.4</v>
          </cell>
        </row>
        <row r="56">
          <cell r="A56">
            <v>1994</v>
          </cell>
          <cell r="B56">
            <v>34633</v>
          </cell>
          <cell r="C56" t="str">
            <v>加拿大</v>
          </cell>
          <cell r="D56" t="str">
            <v>乳制品</v>
          </cell>
          <cell r="E56">
            <v>921.59999847412109</v>
          </cell>
        </row>
        <row r="57">
          <cell r="A57">
            <v>1994</v>
          </cell>
          <cell r="B57">
            <v>34633</v>
          </cell>
          <cell r="C57" t="str">
            <v>加拿大</v>
          </cell>
          <cell r="D57" t="str">
            <v>海洋食品</v>
          </cell>
          <cell r="E57">
            <v>286.19999952614307</v>
          </cell>
        </row>
        <row r="58">
          <cell r="A58">
            <v>1994</v>
          </cell>
          <cell r="B58">
            <v>34633</v>
          </cell>
          <cell r="C58" t="str">
            <v>加拿大</v>
          </cell>
          <cell r="D58" t="str">
            <v>糖果</v>
          </cell>
          <cell r="E58">
            <v>886.49999853223562</v>
          </cell>
        </row>
        <row r="59">
          <cell r="A59">
            <v>1994</v>
          </cell>
          <cell r="B59">
            <v>34635</v>
          </cell>
          <cell r="C59" t="str">
            <v>加拿大</v>
          </cell>
          <cell r="D59" t="str">
            <v>海洋食品</v>
          </cell>
          <cell r="E59">
            <v>77</v>
          </cell>
        </row>
        <row r="60">
          <cell r="A60">
            <v>1994</v>
          </cell>
          <cell r="B60">
            <v>34635</v>
          </cell>
          <cell r="C60" t="str">
            <v>加拿大</v>
          </cell>
          <cell r="D60" t="str">
            <v>糖果</v>
          </cell>
          <cell r="E60">
            <v>2758</v>
          </cell>
        </row>
        <row r="61">
          <cell r="A61">
            <v>1994</v>
          </cell>
          <cell r="B61">
            <v>34638</v>
          </cell>
          <cell r="C61" t="str">
            <v>加拿大</v>
          </cell>
          <cell r="D61" t="str">
            <v>饮料</v>
          </cell>
          <cell r="E61">
            <v>288</v>
          </cell>
        </row>
        <row r="62">
          <cell r="A62">
            <v>1994</v>
          </cell>
          <cell r="B62">
            <v>34645</v>
          </cell>
          <cell r="C62" t="str">
            <v>美国</v>
          </cell>
          <cell r="D62" t="str">
            <v>香料</v>
          </cell>
          <cell r="E62">
            <v>62</v>
          </cell>
        </row>
        <row r="63">
          <cell r="A63">
            <v>1994</v>
          </cell>
          <cell r="B63">
            <v>34645</v>
          </cell>
          <cell r="C63" t="str">
            <v>美国</v>
          </cell>
          <cell r="D63" t="str">
            <v>糖果</v>
          </cell>
          <cell r="E63">
            <v>44.8</v>
          </cell>
        </row>
        <row r="64">
          <cell r="A64">
            <v>1994</v>
          </cell>
          <cell r="B64">
            <v>34645</v>
          </cell>
          <cell r="C64" t="str">
            <v>美国</v>
          </cell>
          <cell r="D64" t="str">
            <v>饮料</v>
          </cell>
          <cell r="E64">
            <v>57.6</v>
          </cell>
        </row>
        <row r="65">
          <cell r="A65">
            <v>1994</v>
          </cell>
          <cell r="B65">
            <v>34646</v>
          </cell>
          <cell r="C65" t="str">
            <v>加拿大</v>
          </cell>
          <cell r="D65" t="str">
            <v>糖果</v>
          </cell>
          <cell r="E65">
            <v>248.1149982601404</v>
          </cell>
        </row>
        <row r="66">
          <cell r="A66">
            <v>1994</v>
          </cell>
          <cell r="B66">
            <v>34646</v>
          </cell>
          <cell r="C66" t="str">
            <v>加拿大</v>
          </cell>
          <cell r="D66" t="str">
            <v>饮料</v>
          </cell>
          <cell r="E66">
            <v>856.79999399185181</v>
          </cell>
        </row>
        <row r="67">
          <cell r="A67">
            <v>1994</v>
          </cell>
          <cell r="B67">
            <v>34646</v>
          </cell>
          <cell r="C67" t="str">
            <v>加拿大</v>
          </cell>
          <cell r="D67" t="str">
            <v>海洋食品</v>
          </cell>
          <cell r="E67">
            <v>288</v>
          </cell>
        </row>
        <row r="68">
          <cell r="A68">
            <v>1994</v>
          </cell>
          <cell r="B68">
            <v>34646</v>
          </cell>
          <cell r="C68" t="str">
            <v>加拿大</v>
          </cell>
          <cell r="D68" t="str">
            <v>乳制品</v>
          </cell>
          <cell r="E68">
            <v>1495.9999895095825</v>
          </cell>
        </row>
        <row r="69">
          <cell r="A69">
            <v>1994</v>
          </cell>
          <cell r="B69">
            <v>34646</v>
          </cell>
          <cell r="C69" t="str">
            <v>加拿大</v>
          </cell>
          <cell r="D69" t="str">
            <v>香料</v>
          </cell>
          <cell r="E69">
            <v>2386.7999832630157</v>
          </cell>
        </row>
        <row r="70">
          <cell r="A70">
            <v>1994</v>
          </cell>
          <cell r="B70">
            <v>34647</v>
          </cell>
          <cell r="C70" t="str">
            <v>美国</v>
          </cell>
          <cell r="D70" t="str">
            <v>香料</v>
          </cell>
          <cell r="E70">
            <v>120</v>
          </cell>
        </row>
        <row r="71">
          <cell r="A71">
            <v>1994</v>
          </cell>
          <cell r="B71">
            <v>34647</v>
          </cell>
          <cell r="C71" t="str">
            <v>美国</v>
          </cell>
          <cell r="D71" t="str">
            <v>海洋食品</v>
          </cell>
          <cell r="E71">
            <v>57.6</v>
          </cell>
        </row>
        <row r="72">
          <cell r="A72">
            <v>1994</v>
          </cell>
          <cell r="B72">
            <v>34647</v>
          </cell>
          <cell r="C72" t="str">
            <v>美国</v>
          </cell>
          <cell r="D72" t="str">
            <v>农产品</v>
          </cell>
          <cell r="E72">
            <v>167.4</v>
          </cell>
        </row>
        <row r="73">
          <cell r="A73">
            <v>1994</v>
          </cell>
          <cell r="B73">
            <v>34647</v>
          </cell>
          <cell r="C73" t="str">
            <v>美国</v>
          </cell>
          <cell r="D73" t="str">
            <v>乳制品</v>
          </cell>
          <cell r="E73">
            <v>40</v>
          </cell>
        </row>
        <row r="74">
          <cell r="A74">
            <v>1994</v>
          </cell>
          <cell r="B74">
            <v>34647</v>
          </cell>
          <cell r="C74" t="str">
            <v>美国</v>
          </cell>
          <cell r="D74" t="str">
            <v>乳制品</v>
          </cell>
          <cell r="E74">
            <v>1112</v>
          </cell>
        </row>
        <row r="75">
          <cell r="A75">
            <v>1994</v>
          </cell>
          <cell r="B75">
            <v>34653</v>
          </cell>
          <cell r="C75" t="str">
            <v>加拿大</v>
          </cell>
          <cell r="D75" t="str">
            <v>糖果</v>
          </cell>
          <cell r="E75">
            <v>69.349999945610762</v>
          </cell>
        </row>
        <row r="76">
          <cell r="A76">
            <v>1994</v>
          </cell>
          <cell r="B76">
            <v>34653</v>
          </cell>
          <cell r="C76" t="str">
            <v>加拿大</v>
          </cell>
          <cell r="D76" t="str">
            <v>海洋食品</v>
          </cell>
          <cell r="E76">
            <v>157.31999987661837</v>
          </cell>
        </row>
        <row r="77">
          <cell r="A77">
            <v>1994</v>
          </cell>
          <cell r="B77">
            <v>34653</v>
          </cell>
          <cell r="C77" t="str">
            <v>加拿大</v>
          </cell>
          <cell r="D77" t="str">
            <v>饮料</v>
          </cell>
          <cell r="E77">
            <v>4005.1999968588352</v>
          </cell>
        </row>
        <row r="78">
          <cell r="A78">
            <v>1994</v>
          </cell>
          <cell r="B78">
            <v>34653</v>
          </cell>
          <cell r="C78" t="str">
            <v>加拿大</v>
          </cell>
          <cell r="D78" t="str">
            <v>面食/谷类</v>
          </cell>
          <cell r="E78">
            <v>346.55999972820285</v>
          </cell>
        </row>
        <row r="79">
          <cell r="A79">
            <v>1994</v>
          </cell>
          <cell r="B79">
            <v>34662</v>
          </cell>
          <cell r="C79" t="str">
            <v>美国</v>
          </cell>
          <cell r="D79" t="str">
            <v>面食/谷类</v>
          </cell>
          <cell r="E79">
            <v>288</v>
          </cell>
        </row>
        <row r="80">
          <cell r="A80">
            <v>1994</v>
          </cell>
          <cell r="B80">
            <v>34662</v>
          </cell>
          <cell r="C80" t="str">
            <v>美国</v>
          </cell>
          <cell r="D80" t="str">
            <v>糖果</v>
          </cell>
          <cell r="E80">
            <v>597.6</v>
          </cell>
        </row>
        <row r="81">
          <cell r="A81">
            <v>1994</v>
          </cell>
          <cell r="B81">
            <v>34662</v>
          </cell>
          <cell r="C81" t="str">
            <v>美国</v>
          </cell>
          <cell r="D81" t="str">
            <v>海洋食品</v>
          </cell>
          <cell r="E81">
            <v>304</v>
          </cell>
        </row>
        <row r="82">
          <cell r="A82">
            <v>1994</v>
          </cell>
          <cell r="B82">
            <v>34662</v>
          </cell>
          <cell r="C82" t="str">
            <v>美国</v>
          </cell>
          <cell r="D82" t="str">
            <v>海洋食品</v>
          </cell>
          <cell r="E82">
            <v>582.4</v>
          </cell>
        </row>
        <row r="83">
          <cell r="A83">
            <v>1994</v>
          </cell>
          <cell r="B83">
            <v>34662</v>
          </cell>
          <cell r="C83" t="str">
            <v>美国</v>
          </cell>
          <cell r="D83" t="str">
            <v>乳制品</v>
          </cell>
          <cell r="E83">
            <v>695</v>
          </cell>
        </row>
        <row r="84">
          <cell r="A84">
            <v>1994</v>
          </cell>
          <cell r="B84">
            <v>34663</v>
          </cell>
          <cell r="C84" t="str">
            <v>加拿大</v>
          </cell>
          <cell r="D84" t="str">
            <v>肉/家禽</v>
          </cell>
          <cell r="E84">
            <v>624</v>
          </cell>
        </row>
        <row r="85">
          <cell r="A85">
            <v>1994</v>
          </cell>
          <cell r="B85">
            <v>34663</v>
          </cell>
          <cell r="C85" t="str">
            <v>加拿大</v>
          </cell>
          <cell r="D85" t="str">
            <v>海洋食品</v>
          </cell>
          <cell r="E85">
            <v>310.5</v>
          </cell>
        </row>
        <row r="86">
          <cell r="A86">
            <v>1994</v>
          </cell>
          <cell r="B86">
            <v>34668</v>
          </cell>
          <cell r="C86" t="str">
            <v>美国</v>
          </cell>
          <cell r="D86" t="str">
            <v>饮料</v>
          </cell>
          <cell r="E86">
            <v>291.83999891281127</v>
          </cell>
        </row>
        <row r="87">
          <cell r="A87">
            <v>1994</v>
          </cell>
          <cell r="B87">
            <v>34668</v>
          </cell>
          <cell r="C87" t="str">
            <v>美国</v>
          </cell>
          <cell r="D87" t="str">
            <v>乳制品</v>
          </cell>
          <cell r="E87">
            <v>447.99999833106995</v>
          </cell>
        </row>
        <row r="88">
          <cell r="A88">
            <v>1994</v>
          </cell>
          <cell r="B88">
            <v>34668</v>
          </cell>
          <cell r="C88" t="str">
            <v>美国</v>
          </cell>
          <cell r="D88" t="str">
            <v>海洋食品</v>
          </cell>
          <cell r="E88">
            <v>486.3999981880188</v>
          </cell>
        </row>
        <row r="89">
          <cell r="A89">
            <v>1994</v>
          </cell>
          <cell r="B89">
            <v>34668</v>
          </cell>
          <cell r="C89" t="str">
            <v>美国</v>
          </cell>
          <cell r="D89" t="str">
            <v>肉/家禽</v>
          </cell>
          <cell r="E89">
            <v>614.39999771118164</v>
          </cell>
        </row>
        <row r="90">
          <cell r="A90">
            <v>1994</v>
          </cell>
          <cell r="B90">
            <v>34669</v>
          </cell>
          <cell r="C90" t="str">
            <v>美国</v>
          </cell>
          <cell r="D90" t="str">
            <v>面食/谷类</v>
          </cell>
          <cell r="E90">
            <v>1330</v>
          </cell>
        </row>
        <row r="91">
          <cell r="A91">
            <v>1994</v>
          </cell>
          <cell r="B91">
            <v>34669</v>
          </cell>
          <cell r="C91" t="str">
            <v>美国</v>
          </cell>
          <cell r="D91" t="str">
            <v>糖果</v>
          </cell>
          <cell r="E91">
            <v>37.999999970197678</v>
          </cell>
        </row>
        <row r="92">
          <cell r="A92">
            <v>1994</v>
          </cell>
          <cell r="B92">
            <v>34669</v>
          </cell>
          <cell r="C92" t="str">
            <v>美国</v>
          </cell>
          <cell r="D92" t="str">
            <v>饮料</v>
          </cell>
          <cell r="E92">
            <v>216</v>
          </cell>
        </row>
        <row r="93">
          <cell r="A93">
            <v>1994</v>
          </cell>
          <cell r="B93">
            <v>34670</v>
          </cell>
          <cell r="C93" t="str">
            <v>加拿大</v>
          </cell>
          <cell r="D93" t="str">
            <v>香料</v>
          </cell>
          <cell r="E93">
            <v>616</v>
          </cell>
        </row>
        <row r="94">
          <cell r="A94">
            <v>1994</v>
          </cell>
          <cell r="B94">
            <v>34670</v>
          </cell>
          <cell r="C94" t="str">
            <v>加拿大</v>
          </cell>
          <cell r="D94" t="str">
            <v>香料</v>
          </cell>
          <cell r="E94">
            <v>1680</v>
          </cell>
        </row>
        <row r="95">
          <cell r="A95">
            <v>1994</v>
          </cell>
          <cell r="B95">
            <v>34673</v>
          </cell>
          <cell r="C95" t="str">
            <v>美国</v>
          </cell>
          <cell r="D95" t="str">
            <v>香料</v>
          </cell>
          <cell r="E95">
            <v>2240</v>
          </cell>
        </row>
        <row r="96">
          <cell r="A96">
            <v>1994</v>
          </cell>
          <cell r="B96">
            <v>34673</v>
          </cell>
          <cell r="C96" t="str">
            <v>美国</v>
          </cell>
          <cell r="D96" t="str">
            <v>糖果</v>
          </cell>
          <cell r="E96">
            <v>584</v>
          </cell>
        </row>
        <row r="97">
          <cell r="A97">
            <v>1994</v>
          </cell>
          <cell r="B97">
            <v>34673</v>
          </cell>
          <cell r="C97" t="str">
            <v>美国</v>
          </cell>
          <cell r="D97" t="str">
            <v>面食/谷类</v>
          </cell>
          <cell r="E97">
            <v>100.8</v>
          </cell>
        </row>
        <row r="98">
          <cell r="A98">
            <v>1994</v>
          </cell>
          <cell r="B98">
            <v>34674</v>
          </cell>
          <cell r="C98" t="str">
            <v>加拿大</v>
          </cell>
          <cell r="D98" t="str">
            <v>肉/家禽</v>
          </cell>
          <cell r="E98">
            <v>1010.8799983263016</v>
          </cell>
        </row>
        <row r="99">
          <cell r="A99">
            <v>1994</v>
          </cell>
          <cell r="B99">
            <v>34674</v>
          </cell>
          <cell r="C99" t="str">
            <v>加拿大</v>
          </cell>
          <cell r="D99" t="str">
            <v>面食/谷类</v>
          </cell>
          <cell r="E99">
            <v>608</v>
          </cell>
        </row>
        <row r="100">
          <cell r="A100">
            <v>1994</v>
          </cell>
          <cell r="B100">
            <v>34676</v>
          </cell>
          <cell r="C100" t="str">
            <v>美国</v>
          </cell>
          <cell r="D100" t="str">
            <v>饮料</v>
          </cell>
          <cell r="E100">
            <v>183.59999871253967</v>
          </cell>
        </row>
        <row r="101">
          <cell r="A101">
            <v>1994</v>
          </cell>
          <cell r="B101">
            <v>34676</v>
          </cell>
          <cell r="C101" t="str">
            <v>美国</v>
          </cell>
          <cell r="D101" t="str">
            <v>面食/谷类</v>
          </cell>
          <cell r="E101">
            <v>180</v>
          </cell>
        </row>
        <row r="102">
          <cell r="A102">
            <v>1994</v>
          </cell>
          <cell r="B102">
            <v>34677</v>
          </cell>
          <cell r="C102" t="str">
            <v>加拿大</v>
          </cell>
          <cell r="D102" t="str">
            <v>肉/家禽</v>
          </cell>
          <cell r="E102">
            <v>141.6</v>
          </cell>
        </row>
        <row r="103">
          <cell r="A103">
            <v>1994</v>
          </cell>
          <cell r="B103">
            <v>34687</v>
          </cell>
          <cell r="C103" t="str">
            <v>美国</v>
          </cell>
          <cell r="D103" t="str">
            <v>乳制品</v>
          </cell>
          <cell r="E103">
            <v>300</v>
          </cell>
        </row>
        <row r="104">
          <cell r="A104">
            <v>1994</v>
          </cell>
          <cell r="B104">
            <v>34687</v>
          </cell>
          <cell r="C104" t="str">
            <v>美国</v>
          </cell>
          <cell r="D104" t="str">
            <v>肉/家禽</v>
          </cell>
          <cell r="E104">
            <v>230.4</v>
          </cell>
        </row>
        <row r="105">
          <cell r="A105">
            <v>1994</v>
          </cell>
          <cell r="B105">
            <v>34687</v>
          </cell>
          <cell r="C105" t="str">
            <v>美国</v>
          </cell>
          <cell r="D105" t="str">
            <v>乳制品</v>
          </cell>
          <cell r="E105">
            <v>576</v>
          </cell>
        </row>
        <row r="106">
          <cell r="A106">
            <v>1994</v>
          </cell>
          <cell r="B106">
            <v>34691</v>
          </cell>
          <cell r="C106" t="str">
            <v>美国</v>
          </cell>
          <cell r="D106" t="str">
            <v>饮料</v>
          </cell>
          <cell r="E106">
            <v>699.83999884128571</v>
          </cell>
        </row>
        <row r="107">
          <cell r="A107">
            <v>1994</v>
          </cell>
          <cell r="B107">
            <v>34691</v>
          </cell>
          <cell r="C107" t="str">
            <v>美国</v>
          </cell>
          <cell r="D107" t="str">
            <v>乳制品</v>
          </cell>
          <cell r="E107">
            <v>1346.3999977707863</v>
          </cell>
        </row>
        <row r="108">
          <cell r="A108">
            <v>1994</v>
          </cell>
          <cell r="B108">
            <v>34695</v>
          </cell>
          <cell r="C108" t="str">
            <v>美国</v>
          </cell>
          <cell r="D108" t="str">
            <v>乳制品</v>
          </cell>
          <cell r="E108">
            <v>200</v>
          </cell>
        </row>
        <row r="109">
          <cell r="A109">
            <v>1994</v>
          </cell>
          <cell r="B109">
            <v>34695</v>
          </cell>
          <cell r="C109" t="str">
            <v>美国</v>
          </cell>
          <cell r="D109" t="str">
            <v>饮料</v>
          </cell>
          <cell r="E109">
            <v>74.400000000000006</v>
          </cell>
        </row>
        <row r="110">
          <cell r="A110">
            <v>1994</v>
          </cell>
          <cell r="B110">
            <v>34695</v>
          </cell>
          <cell r="C110" t="str">
            <v>美国</v>
          </cell>
          <cell r="D110" t="str">
            <v>饮料</v>
          </cell>
          <cell r="E110">
            <v>172.8</v>
          </cell>
        </row>
        <row r="111">
          <cell r="A111">
            <v>1995</v>
          </cell>
          <cell r="B111">
            <v>34701</v>
          </cell>
          <cell r="C111" t="str">
            <v>加拿大</v>
          </cell>
          <cell r="D111" t="str">
            <v>肉/家禽</v>
          </cell>
          <cell r="E111">
            <v>1980</v>
          </cell>
        </row>
        <row r="112">
          <cell r="A112">
            <v>1995</v>
          </cell>
          <cell r="B112">
            <v>34701</v>
          </cell>
          <cell r="C112" t="str">
            <v>加拿大</v>
          </cell>
          <cell r="D112" t="str">
            <v>面食/谷类</v>
          </cell>
          <cell r="E112">
            <v>410.4</v>
          </cell>
        </row>
        <row r="113">
          <cell r="A113">
            <v>1995</v>
          </cell>
          <cell r="B113">
            <v>34705</v>
          </cell>
          <cell r="C113" t="str">
            <v>加拿大</v>
          </cell>
          <cell r="D113" t="str">
            <v>农产品</v>
          </cell>
          <cell r="E113">
            <v>279</v>
          </cell>
        </row>
        <row r="114">
          <cell r="A114">
            <v>1995</v>
          </cell>
          <cell r="B114">
            <v>34705</v>
          </cell>
          <cell r="C114" t="str">
            <v>加拿大</v>
          </cell>
          <cell r="D114" t="str">
            <v>肉/家禽</v>
          </cell>
          <cell r="E114">
            <v>59</v>
          </cell>
        </row>
        <row r="115">
          <cell r="A115">
            <v>1995</v>
          </cell>
          <cell r="B115">
            <v>34716</v>
          </cell>
          <cell r="C115" t="str">
            <v>加拿大</v>
          </cell>
          <cell r="D115" t="str">
            <v>农产品</v>
          </cell>
          <cell r="E115">
            <v>191.99999928474426</v>
          </cell>
        </row>
        <row r="116">
          <cell r="A116">
            <v>1995</v>
          </cell>
          <cell r="B116">
            <v>34716</v>
          </cell>
          <cell r="C116" t="str">
            <v>加拿大</v>
          </cell>
          <cell r="D116" t="str">
            <v>乳制品</v>
          </cell>
          <cell r="E116">
            <v>435.19999837875366</v>
          </cell>
        </row>
        <row r="117">
          <cell r="A117">
            <v>1995</v>
          </cell>
          <cell r="B117">
            <v>34716</v>
          </cell>
          <cell r="C117" t="str">
            <v>加拿大</v>
          </cell>
          <cell r="D117" t="str">
            <v>糖果</v>
          </cell>
          <cell r="E117">
            <v>63.999999761581421</v>
          </cell>
        </row>
        <row r="118">
          <cell r="A118">
            <v>1995</v>
          </cell>
          <cell r="B118">
            <v>34722</v>
          </cell>
          <cell r="C118" t="str">
            <v>美国</v>
          </cell>
          <cell r="D118" t="str">
            <v>海洋食品</v>
          </cell>
          <cell r="E118">
            <v>86.4</v>
          </cell>
        </row>
        <row r="119">
          <cell r="A119">
            <v>1995</v>
          </cell>
          <cell r="B119">
            <v>34724</v>
          </cell>
          <cell r="C119" t="str">
            <v>加拿大</v>
          </cell>
          <cell r="D119" t="str">
            <v>饮料</v>
          </cell>
          <cell r="E119">
            <v>285</v>
          </cell>
        </row>
        <row r="120">
          <cell r="A120">
            <v>1995</v>
          </cell>
          <cell r="B120">
            <v>34724</v>
          </cell>
          <cell r="C120" t="str">
            <v>加拿大</v>
          </cell>
          <cell r="D120" t="str">
            <v>农产品</v>
          </cell>
          <cell r="E120">
            <v>585.9</v>
          </cell>
        </row>
        <row r="121">
          <cell r="A121">
            <v>1995</v>
          </cell>
          <cell r="B121">
            <v>34724</v>
          </cell>
          <cell r="C121" t="str">
            <v>加拿大</v>
          </cell>
          <cell r="D121" t="str">
            <v>糖果</v>
          </cell>
          <cell r="E121">
            <v>58.8</v>
          </cell>
        </row>
        <row r="122">
          <cell r="A122">
            <v>1995</v>
          </cell>
          <cell r="B122">
            <v>34724</v>
          </cell>
          <cell r="C122" t="str">
            <v>加拿大</v>
          </cell>
          <cell r="D122" t="str">
            <v>糖果</v>
          </cell>
          <cell r="E122">
            <v>1307.25</v>
          </cell>
        </row>
        <row r="123">
          <cell r="A123">
            <v>1995</v>
          </cell>
          <cell r="B123">
            <v>34724</v>
          </cell>
          <cell r="C123" t="str">
            <v>加拿大</v>
          </cell>
          <cell r="D123" t="str">
            <v>乳制品</v>
          </cell>
          <cell r="E123">
            <v>320</v>
          </cell>
        </row>
        <row r="124">
          <cell r="A124">
            <v>1995</v>
          </cell>
          <cell r="B124">
            <v>34724</v>
          </cell>
          <cell r="C124" t="str">
            <v>加拿大</v>
          </cell>
          <cell r="D124" t="str">
            <v>海洋食品</v>
          </cell>
          <cell r="E124">
            <v>48</v>
          </cell>
        </row>
        <row r="125">
          <cell r="A125">
            <v>1995</v>
          </cell>
          <cell r="B125">
            <v>34724</v>
          </cell>
          <cell r="C125" t="str">
            <v>加拿大</v>
          </cell>
          <cell r="D125" t="str">
            <v>糖果</v>
          </cell>
          <cell r="E125">
            <v>394</v>
          </cell>
        </row>
        <row r="126">
          <cell r="A126">
            <v>1995</v>
          </cell>
          <cell r="B126">
            <v>34726</v>
          </cell>
          <cell r="C126" t="str">
            <v>美国</v>
          </cell>
          <cell r="D126" t="str">
            <v>面食/谷类</v>
          </cell>
          <cell r="E126">
            <v>288</v>
          </cell>
        </row>
        <row r="127">
          <cell r="A127">
            <v>1995</v>
          </cell>
          <cell r="B127">
            <v>34726</v>
          </cell>
          <cell r="C127" t="str">
            <v>美国</v>
          </cell>
          <cell r="D127" t="str">
            <v>乳制品</v>
          </cell>
          <cell r="E127">
            <v>1032</v>
          </cell>
        </row>
        <row r="128">
          <cell r="A128">
            <v>1995</v>
          </cell>
          <cell r="B128">
            <v>34726</v>
          </cell>
          <cell r="C128" t="str">
            <v>美国</v>
          </cell>
          <cell r="D128" t="str">
            <v>乳制品</v>
          </cell>
          <cell r="E128">
            <v>583.79999999999995</v>
          </cell>
        </row>
        <row r="129">
          <cell r="A129">
            <v>1995</v>
          </cell>
          <cell r="B129">
            <v>34729</v>
          </cell>
          <cell r="C129" t="str">
            <v>加拿大</v>
          </cell>
          <cell r="D129" t="str">
            <v>饮料</v>
          </cell>
          <cell r="E129">
            <v>432</v>
          </cell>
        </row>
        <row r="130">
          <cell r="A130">
            <v>1995</v>
          </cell>
          <cell r="B130">
            <v>34729</v>
          </cell>
          <cell r="C130" t="str">
            <v>加拿大</v>
          </cell>
          <cell r="D130" t="str">
            <v>肉/家禽</v>
          </cell>
          <cell r="E130">
            <v>2073.5999965667725</v>
          </cell>
        </row>
        <row r="131">
          <cell r="A131">
            <v>1995</v>
          </cell>
          <cell r="B131">
            <v>34731</v>
          </cell>
          <cell r="C131" t="str">
            <v>加拿大</v>
          </cell>
          <cell r="D131" t="str">
            <v>海洋食品</v>
          </cell>
          <cell r="E131">
            <v>372.6</v>
          </cell>
        </row>
        <row r="132">
          <cell r="A132">
            <v>1995</v>
          </cell>
          <cell r="B132">
            <v>34731</v>
          </cell>
          <cell r="C132" t="str">
            <v>加拿大</v>
          </cell>
          <cell r="D132" t="str">
            <v>面食/谷类</v>
          </cell>
          <cell r="E132">
            <v>2128</v>
          </cell>
        </row>
        <row r="133">
          <cell r="A133">
            <v>1995</v>
          </cell>
          <cell r="B133">
            <v>34731</v>
          </cell>
          <cell r="C133" t="str">
            <v>加拿大</v>
          </cell>
          <cell r="D133" t="str">
            <v>香料</v>
          </cell>
          <cell r="E133">
            <v>336</v>
          </cell>
        </row>
        <row r="134">
          <cell r="A134">
            <v>1995</v>
          </cell>
          <cell r="B134">
            <v>34731</v>
          </cell>
          <cell r="C134" t="str">
            <v>加拿大</v>
          </cell>
          <cell r="D134" t="str">
            <v>乳制品</v>
          </cell>
          <cell r="E134">
            <v>1032</v>
          </cell>
        </row>
        <row r="135">
          <cell r="A135">
            <v>1995</v>
          </cell>
          <cell r="B135">
            <v>34737</v>
          </cell>
          <cell r="C135" t="str">
            <v>美国</v>
          </cell>
          <cell r="D135" t="str">
            <v>乳制品</v>
          </cell>
          <cell r="E135">
            <v>504</v>
          </cell>
        </row>
        <row r="136">
          <cell r="A136">
            <v>1995</v>
          </cell>
          <cell r="B136">
            <v>34737</v>
          </cell>
          <cell r="C136" t="str">
            <v>美国</v>
          </cell>
          <cell r="D136" t="str">
            <v>乳制品</v>
          </cell>
          <cell r="E136">
            <v>432</v>
          </cell>
        </row>
        <row r="137">
          <cell r="A137">
            <v>1995</v>
          </cell>
          <cell r="B137">
            <v>34737</v>
          </cell>
          <cell r="C137" t="str">
            <v>美国</v>
          </cell>
          <cell r="D137" t="str">
            <v>乳制品</v>
          </cell>
          <cell r="E137">
            <v>258</v>
          </cell>
        </row>
        <row r="138">
          <cell r="A138">
            <v>1995</v>
          </cell>
          <cell r="B138">
            <v>34745</v>
          </cell>
          <cell r="C138" t="str">
            <v>加拿大</v>
          </cell>
          <cell r="D138" t="str">
            <v>肉/家禽</v>
          </cell>
          <cell r="E138">
            <v>62.4</v>
          </cell>
        </row>
        <row r="139">
          <cell r="A139">
            <v>1995</v>
          </cell>
          <cell r="B139">
            <v>34745</v>
          </cell>
          <cell r="C139" t="str">
            <v>加拿大</v>
          </cell>
          <cell r="D139" t="str">
            <v>乳制品</v>
          </cell>
          <cell r="E139">
            <v>40</v>
          </cell>
        </row>
        <row r="140">
          <cell r="A140">
            <v>1995</v>
          </cell>
          <cell r="B140">
            <v>34747</v>
          </cell>
          <cell r="C140" t="str">
            <v>美国</v>
          </cell>
          <cell r="D140" t="str">
            <v>饮料</v>
          </cell>
          <cell r="E140">
            <v>912</v>
          </cell>
        </row>
        <row r="141">
          <cell r="A141">
            <v>1995</v>
          </cell>
          <cell r="B141">
            <v>34747</v>
          </cell>
          <cell r="C141" t="str">
            <v>美国</v>
          </cell>
          <cell r="D141" t="str">
            <v>糖果</v>
          </cell>
          <cell r="E141">
            <v>418</v>
          </cell>
        </row>
        <row r="142">
          <cell r="A142">
            <v>1995</v>
          </cell>
          <cell r="B142">
            <v>34747</v>
          </cell>
          <cell r="C142" t="str">
            <v>美国</v>
          </cell>
          <cell r="D142" t="str">
            <v>香料</v>
          </cell>
          <cell r="E142">
            <v>364.8</v>
          </cell>
        </row>
        <row r="143">
          <cell r="A143">
            <v>1995</v>
          </cell>
          <cell r="B143">
            <v>34747</v>
          </cell>
          <cell r="C143" t="str">
            <v>美国</v>
          </cell>
          <cell r="D143" t="str">
            <v>农产品</v>
          </cell>
          <cell r="E143">
            <v>120</v>
          </cell>
        </row>
        <row r="144">
          <cell r="A144">
            <v>1995</v>
          </cell>
          <cell r="B144">
            <v>34761</v>
          </cell>
          <cell r="C144" t="str">
            <v>加拿大</v>
          </cell>
          <cell r="D144" t="str">
            <v>糖果</v>
          </cell>
          <cell r="E144">
            <v>249</v>
          </cell>
        </row>
        <row r="145">
          <cell r="A145">
            <v>1995</v>
          </cell>
          <cell r="B145">
            <v>34761</v>
          </cell>
          <cell r="C145" t="str">
            <v>加拿大</v>
          </cell>
          <cell r="D145" t="str">
            <v>肉/家禽</v>
          </cell>
          <cell r="E145">
            <v>236</v>
          </cell>
        </row>
        <row r="146">
          <cell r="A146">
            <v>1995</v>
          </cell>
          <cell r="B146">
            <v>34767</v>
          </cell>
          <cell r="C146" t="str">
            <v>美国</v>
          </cell>
          <cell r="D146" t="str">
            <v>糖果</v>
          </cell>
          <cell r="E146">
            <v>87.59999967366457</v>
          </cell>
        </row>
        <row r="147">
          <cell r="A147">
            <v>1995</v>
          </cell>
          <cell r="B147">
            <v>34767</v>
          </cell>
          <cell r="C147" t="str">
            <v>美国</v>
          </cell>
          <cell r="D147" t="str">
            <v>饮料</v>
          </cell>
          <cell r="E147">
            <v>179.19999933242798</v>
          </cell>
        </row>
        <row r="148">
          <cell r="A148">
            <v>1995</v>
          </cell>
          <cell r="B148">
            <v>34767</v>
          </cell>
          <cell r="C148" t="str">
            <v>美国</v>
          </cell>
          <cell r="D148" t="str">
            <v>面食/谷类</v>
          </cell>
          <cell r="E148">
            <v>187.19999930262566</v>
          </cell>
        </row>
        <row r="149">
          <cell r="A149">
            <v>1995</v>
          </cell>
          <cell r="B149">
            <v>34771</v>
          </cell>
          <cell r="C149" t="str">
            <v>加拿大</v>
          </cell>
          <cell r="D149" t="str">
            <v>饮料</v>
          </cell>
          <cell r="E149">
            <v>581.3999959230423</v>
          </cell>
        </row>
        <row r="150">
          <cell r="A150">
            <v>1995</v>
          </cell>
          <cell r="B150">
            <v>34771</v>
          </cell>
          <cell r="C150" t="str">
            <v>加拿大</v>
          </cell>
          <cell r="D150" t="str">
            <v>糖果</v>
          </cell>
          <cell r="E150">
            <v>578.93499594032767</v>
          </cell>
        </row>
        <row r="151">
          <cell r="A151">
            <v>1995</v>
          </cell>
          <cell r="B151">
            <v>34771</v>
          </cell>
          <cell r="C151" t="str">
            <v>加拿大</v>
          </cell>
          <cell r="D151" t="str">
            <v>肉/家禽</v>
          </cell>
          <cell r="E151">
            <v>2019.5999858379364</v>
          </cell>
        </row>
        <row r="152">
          <cell r="A152">
            <v>1995</v>
          </cell>
          <cell r="B152">
            <v>34771</v>
          </cell>
          <cell r="C152" t="str">
            <v>加拿大</v>
          </cell>
          <cell r="D152" t="str">
            <v>香料</v>
          </cell>
          <cell r="E152">
            <v>1744.1999877691269</v>
          </cell>
        </row>
        <row r="153">
          <cell r="A153">
            <v>1995</v>
          </cell>
          <cell r="B153">
            <v>34771</v>
          </cell>
          <cell r="C153" t="str">
            <v>加拿大</v>
          </cell>
          <cell r="D153" t="str">
            <v>糖果</v>
          </cell>
          <cell r="E153">
            <v>1755</v>
          </cell>
        </row>
        <row r="154">
          <cell r="A154">
            <v>1995</v>
          </cell>
          <cell r="B154">
            <v>34775</v>
          </cell>
          <cell r="C154" t="str">
            <v>美国</v>
          </cell>
          <cell r="D154" t="str">
            <v>糖果</v>
          </cell>
          <cell r="E154">
            <v>78.839999869465828</v>
          </cell>
        </row>
        <row r="155">
          <cell r="A155">
            <v>1995</v>
          </cell>
          <cell r="B155">
            <v>34775</v>
          </cell>
          <cell r="C155" t="str">
            <v>美国</v>
          </cell>
          <cell r="D155" t="str">
            <v>饮料</v>
          </cell>
          <cell r="E155">
            <v>64.799999892711639</v>
          </cell>
        </row>
        <row r="156">
          <cell r="A156">
            <v>1995</v>
          </cell>
          <cell r="B156">
            <v>34775</v>
          </cell>
          <cell r="C156" t="str">
            <v>美国</v>
          </cell>
          <cell r="D156" t="str">
            <v>乳制品</v>
          </cell>
          <cell r="E156">
            <v>26.999999955296516</v>
          </cell>
        </row>
        <row r="157">
          <cell r="A157">
            <v>1995</v>
          </cell>
          <cell r="B157">
            <v>34775</v>
          </cell>
          <cell r="C157" t="str">
            <v>美国</v>
          </cell>
          <cell r="D157" t="str">
            <v>面食/谷类</v>
          </cell>
          <cell r="E157">
            <v>75.599999874830246</v>
          </cell>
        </row>
        <row r="158">
          <cell r="A158">
            <v>1995</v>
          </cell>
          <cell r="B158">
            <v>34780</v>
          </cell>
          <cell r="C158" t="str">
            <v>美国</v>
          </cell>
          <cell r="D158" t="str">
            <v>肉/家禽</v>
          </cell>
          <cell r="E158">
            <v>2073.5999965667725</v>
          </cell>
        </row>
        <row r="159">
          <cell r="A159">
            <v>1995</v>
          </cell>
          <cell r="B159">
            <v>34780</v>
          </cell>
          <cell r="C159" t="str">
            <v>美国</v>
          </cell>
          <cell r="D159" t="str">
            <v>面食/谷类</v>
          </cell>
          <cell r="E159">
            <v>837.89999861270189</v>
          </cell>
        </row>
        <row r="160">
          <cell r="A160">
            <v>1995</v>
          </cell>
          <cell r="B160">
            <v>34780</v>
          </cell>
          <cell r="C160" t="str">
            <v>美国</v>
          </cell>
          <cell r="D160" t="str">
            <v>香料</v>
          </cell>
          <cell r="E160">
            <v>423.35999929904938</v>
          </cell>
        </row>
        <row r="161">
          <cell r="A161">
            <v>1995</v>
          </cell>
          <cell r="B161">
            <v>34780</v>
          </cell>
          <cell r="C161" t="str">
            <v>美国</v>
          </cell>
          <cell r="D161" t="str">
            <v>香料</v>
          </cell>
          <cell r="E161">
            <v>514.79999914765358</v>
          </cell>
        </row>
        <row r="162">
          <cell r="A162">
            <v>1995</v>
          </cell>
          <cell r="B162">
            <v>34781</v>
          </cell>
          <cell r="C162" t="str">
            <v>加拿大</v>
          </cell>
          <cell r="D162" t="str">
            <v>农产品</v>
          </cell>
          <cell r="E162">
            <v>546</v>
          </cell>
        </row>
        <row r="163">
          <cell r="A163">
            <v>1995</v>
          </cell>
          <cell r="B163">
            <v>34781</v>
          </cell>
          <cell r="C163" t="str">
            <v>加拿大</v>
          </cell>
          <cell r="D163" t="str">
            <v>香料</v>
          </cell>
          <cell r="E163">
            <v>1472.49999884516</v>
          </cell>
        </row>
        <row r="164">
          <cell r="A164">
            <v>1995</v>
          </cell>
          <cell r="B164">
            <v>34786</v>
          </cell>
          <cell r="C164" t="str">
            <v>美国</v>
          </cell>
          <cell r="D164" t="str">
            <v>糖果</v>
          </cell>
          <cell r="E164">
            <v>271.99999809265137</v>
          </cell>
        </row>
        <row r="165">
          <cell r="A165">
            <v>1995</v>
          </cell>
          <cell r="B165">
            <v>34786</v>
          </cell>
          <cell r="C165" t="str">
            <v>美国</v>
          </cell>
          <cell r="D165" t="str">
            <v>糖果</v>
          </cell>
          <cell r="E165">
            <v>285.59999799728394</v>
          </cell>
        </row>
        <row r="166">
          <cell r="A166">
            <v>1995</v>
          </cell>
          <cell r="B166">
            <v>34786</v>
          </cell>
          <cell r="C166" t="str">
            <v>美国</v>
          </cell>
          <cell r="D166" t="str">
            <v>乳制品</v>
          </cell>
          <cell r="E166">
            <v>1584</v>
          </cell>
        </row>
        <row r="167">
          <cell r="A167">
            <v>1995</v>
          </cell>
          <cell r="B167">
            <v>34796</v>
          </cell>
          <cell r="C167" t="str">
            <v>美国</v>
          </cell>
          <cell r="D167" t="str">
            <v>海洋食品</v>
          </cell>
          <cell r="E167">
            <v>165.6</v>
          </cell>
        </row>
        <row r="168">
          <cell r="A168">
            <v>1995</v>
          </cell>
          <cell r="B168">
            <v>34796</v>
          </cell>
          <cell r="C168" t="str">
            <v>美国</v>
          </cell>
          <cell r="D168" t="str">
            <v>饮料</v>
          </cell>
          <cell r="E168">
            <v>552</v>
          </cell>
        </row>
        <row r="169">
          <cell r="A169">
            <v>1995</v>
          </cell>
          <cell r="B169">
            <v>34799</v>
          </cell>
          <cell r="C169" t="str">
            <v>加拿大</v>
          </cell>
          <cell r="D169" t="str">
            <v>饮料</v>
          </cell>
          <cell r="E169">
            <v>516.7999963760376</v>
          </cell>
        </row>
        <row r="170">
          <cell r="A170">
            <v>1995</v>
          </cell>
          <cell r="B170">
            <v>34799</v>
          </cell>
          <cell r="C170" t="str">
            <v>加拿大</v>
          </cell>
          <cell r="D170" t="str">
            <v>糖果</v>
          </cell>
          <cell r="E170">
            <v>413.52499710023403</v>
          </cell>
        </row>
        <row r="171">
          <cell r="A171">
            <v>1995</v>
          </cell>
          <cell r="B171">
            <v>34799</v>
          </cell>
          <cell r="C171" t="str">
            <v>加拿大</v>
          </cell>
          <cell r="D171" t="str">
            <v>香料</v>
          </cell>
          <cell r="E171">
            <v>26.349999815225601</v>
          </cell>
        </row>
        <row r="172">
          <cell r="A172">
            <v>1995</v>
          </cell>
          <cell r="B172">
            <v>34808</v>
          </cell>
          <cell r="C172" t="str">
            <v>加拿大</v>
          </cell>
          <cell r="D172" t="str">
            <v>饮料</v>
          </cell>
          <cell r="E172">
            <v>6324</v>
          </cell>
        </row>
        <row r="173">
          <cell r="A173">
            <v>1995</v>
          </cell>
          <cell r="B173">
            <v>34808</v>
          </cell>
          <cell r="C173" t="str">
            <v>加拿大</v>
          </cell>
          <cell r="D173" t="str">
            <v>肉/家禽</v>
          </cell>
          <cell r="E173">
            <v>733.6</v>
          </cell>
        </row>
        <row r="174">
          <cell r="A174">
            <v>1995</v>
          </cell>
          <cell r="B174">
            <v>34808</v>
          </cell>
          <cell r="C174" t="str">
            <v>加拿大</v>
          </cell>
          <cell r="D174" t="str">
            <v>乳制品</v>
          </cell>
          <cell r="E174">
            <v>2640</v>
          </cell>
        </row>
        <row r="175">
          <cell r="A175">
            <v>1995</v>
          </cell>
          <cell r="B175">
            <v>34808</v>
          </cell>
          <cell r="C175" t="str">
            <v>加拿大</v>
          </cell>
          <cell r="D175" t="str">
            <v>面食/谷类</v>
          </cell>
          <cell r="E175">
            <v>798</v>
          </cell>
        </row>
        <row r="176">
          <cell r="A176">
            <v>1995</v>
          </cell>
          <cell r="B176">
            <v>34810</v>
          </cell>
          <cell r="C176" t="str">
            <v>加拿大</v>
          </cell>
          <cell r="D176" t="str">
            <v>海洋食品</v>
          </cell>
          <cell r="E176">
            <v>147</v>
          </cell>
        </row>
        <row r="177">
          <cell r="A177">
            <v>1995</v>
          </cell>
          <cell r="B177">
            <v>34813</v>
          </cell>
          <cell r="C177" t="str">
            <v>加拿大</v>
          </cell>
          <cell r="D177" t="str">
            <v>饮料</v>
          </cell>
          <cell r="E177">
            <v>372.39999970793724</v>
          </cell>
        </row>
        <row r="178">
          <cell r="A178">
            <v>1995</v>
          </cell>
          <cell r="B178">
            <v>34813</v>
          </cell>
          <cell r="C178" t="str">
            <v>加拿大</v>
          </cell>
          <cell r="D178" t="str">
            <v>香料</v>
          </cell>
          <cell r="E178">
            <v>296.39999976754189</v>
          </cell>
        </row>
        <row r="179">
          <cell r="A179">
            <v>1995</v>
          </cell>
          <cell r="B179">
            <v>34816</v>
          </cell>
          <cell r="C179" t="str">
            <v>美国</v>
          </cell>
          <cell r="D179" t="str">
            <v>乳制品</v>
          </cell>
          <cell r="E179">
            <v>1320</v>
          </cell>
        </row>
        <row r="180">
          <cell r="A180">
            <v>1995</v>
          </cell>
          <cell r="B180">
            <v>34816</v>
          </cell>
          <cell r="C180" t="str">
            <v>美国</v>
          </cell>
          <cell r="D180" t="str">
            <v>海洋食品</v>
          </cell>
          <cell r="E180">
            <v>191.99999928474426</v>
          </cell>
        </row>
        <row r="181">
          <cell r="A181">
            <v>1995</v>
          </cell>
          <cell r="B181">
            <v>34824</v>
          </cell>
          <cell r="C181" t="str">
            <v>美国</v>
          </cell>
          <cell r="D181" t="str">
            <v>面食/谷类</v>
          </cell>
          <cell r="E181">
            <v>425.6</v>
          </cell>
        </row>
        <row r="182">
          <cell r="A182">
            <v>1995</v>
          </cell>
          <cell r="B182">
            <v>34824</v>
          </cell>
          <cell r="C182" t="str">
            <v>美国</v>
          </cell>
          <cell r="D182" t="str">
            <v>乳制品</v>
          </cell>
          <cell r="E182">
            <v>695</v>
          </cell>
        </row>
        <row r="183">
          <cell r="A183">
            <v>1995</v>
          </cell>
          <cell r="B183">
            <v>34824</v>
          </cell>
          <cell r="C183" t="str">
            <v>美国</v>
          </cell>
          <cell r="D183" t="str">
            <v>香料</v>
          </cell>
          <cell r="E183">
            <v>260</v>
          </cell>
        </row>
        <row r="184">
          <cell r="A184">
            <v>1995</v>
          </cell>
          <cell r="B184">
            <v>34829</v>
          </cell>
          <cell r="C184" t="str">
            <v>美国</v>
          </cell>
          <cell r="D184" t="str">
            <v>肉/家禽</v>
          </cell>
          <cell r="E184">
            <v>149</v>
          </cell>
        </row>
        <row r="185">
          <cell r="A185">
            <v>1995</v>
          </cell>
          <cell r="B185">
            <v>34831</v>
          </cell>
          <cell r="C185" t="str">
            <v>加拿大</v>
          </cell>
          <cell r="D185" t="str">
            <v>饮料</v>
          </cell>
          <cell r="E185">
            <v>228</v>
          </cell>
        </row>
        <row r="186">
          <cell r="A186">
            <v>1995</v>
          </cell>
          <cell r="B186">
            <v>34831</v>
          </cell>
          <cell r="C186" t="str">
            <v>加拿大</v>
          </cell>
          <cell r="D186" t="str">
            <v>糖果</v>
          </cell>
          <cell r="E186">
            <v>120</v>
          </cell>
        </row>
        <row r="187">
          <cell r="A187">
            <v>1995</v>
          </cell>
          <cell r="B187">
            <v>34831</v>
          </cell>
          <cell r="C187" t="str">
            <v>加拿大</v>
          </cell>
          <cell r="D187" t="str">
            <v>肉/家禽</v>
          </cell>
          <cell r="E187">
            <v>328</v>
          </cell>
        </row>
        <row r="188">
          <cell r="A188">
            <v>1995</v>
          </cell>
          <cell r="B188">
            <v>34831</v>
          </cell>
          <cell r="C188" t="str">
            <v>加拿大</v>
          </cell>
          <cell r="D188" t="str">
            <v>香料</v>
          </cell>
          <cell r="E188">
            <v>712.5</v>
          </cell>
        </row>
        <row r="189">
          <cell r="A189">
            <v>1995</v>
          </cell>
          <cell r="B189">
            <v>34835</v>
          </cell>
          <cell r="C189" t="str">
            <v>美国</v>
          </cell>
          <cell r="D189" t="str">
            <v>糖果</v>
          </cell>
          <cell r="E189">
            <v>226.79999962449074</v>
          </cell>
        </row>
        <row r="190">
          <cell r="A190">
            <v>1995</v>
          </cell>
          <cell r="B190">
            <v>34835</v>
          </cell>
          <cell r="C190" t="str">
            <v>美国</v>
          </cell>
          <cell r="D190" t="str">
            <v>饮料</v>
          </cell>
          <cell r="E190">
            <v>188.99999968707561</v>
          </cell>
        </row>
        <row r="191">
          <cell r="A191">
            <v>1995</v>
          </cell>
          <cell r="B191">
            <v>34836</v>
          </cell>
          <cell r="C191" t="str">
            <v>美国</v>
          </cell>
          <cell r="D191" t="str">
            <v>海洋食品</v>
          </cell>
          <cell r="E191">
            <v>60</v>
          </cell>
        </row>
        <row r="192">
          <cell r="A192">
            <v>1995</v>
          </cell>
          <cell r="B192">
            <v>34836</v>
          </cell>
          <cell r="C192" t="str">
            <v>美国</v>
          </cell>
          <cell r="D192" t="str">
            <v>饮料</v>
          </cell>
          <cell r="E192">
            <v>180</v>
          </cell>
        </row>
        <row r="193">
          <cell r="A193">
            <v>1995</v>
          </cell>
          <cell r="B193">
            <v>34837</v>
          </cell>
          <cell r="C193" t="str">
            <v>美国</v>
          </cell>
          <cell r="D193" t="str">
            <v>农产品</v>
          </cell>
          <cell r="E193">
            <v>136.80000000000001</v>
          </cell>
        </row>
        <row r="194">
          <cell r="A194">
            <v>1995</v>
          </cell>
          <cell r="B194">
            <v>34838</v>
          </cell>
          <cell r="C194" t="str">
            <v>加拿大</v>
          </cell>
          <cell r="D194" t="str">
            <v>肉/家禽</v>
          </cell>
          <cell r="E194">
            <v>4456.4399999999996</v>
          </cell>
        </row>
        <row r="195">
          <cell r="A195">
            <v>1995</v>
          </cell>
          <cell r="B195">
            <v>34838</v>
          </cell>
          <cell r="C195" t="str">
            <v>加拿大</v>
          </cell>
          <cell r="D195" t="str">
            <v>饮料</v>
          </cell>
          <cell r="E195">
            <v>251.0999995842576</v>
          </cell>
        </row>
        <row r="196">
          <cell r="A196">
            <v>1995</v>
          </cell>
          <cell r="B196">
            <v>34842</v>
          </cell>
          <cell r="C196" t="str">
            <v>美国</v>
          </cell>
          <cell r="D196" t="str">
            <v>糖果</v>
          </cell>
          <cell r="E196">
            <v>319.9999988079071</v>
          </cell>
        </row>
        <row r="197">
          <cell r="A197">
            <v>1995</v>
          </cell>
          <cell r="B197">
            <v>34842</v>
          </cell>
          <cell r="C197" t="str">
            <v>美国</v>
          </cell>
          <cell r="D197" t="str">
            <v>乳制品</v>
          </cell>
          <cell r="E197">
            <v>1279.9999952316284</v>
          </cell>
        </row>
        <row r="198">
          <cell r="A198">
            <v>1995</v>
          </cell>
          <cell r="B198">
            <v>34842</v>
          </cell>
          <cell r="C198" t="str">
            <v>美国</v>
          </cell>
          <cell r="D198" t="str">
            <v>香料</v>
          </cell>
          <cell r="E198">
            <v>341.99999872595072</v>
          </cell>
        </row>
        <row r="199">
          <cell r="A199">
            <v>1995</v>
          </cell>
          <cell r="B199">
            <v>34843</v>
          </cell>
          <cell r="C199" t="str">
            <v>美国</v>
          </cell>
          <cell r="D199" t="str">
            <v>肉/家禽</v>
          </cell>
          <cell r="E199">
            <v>1319.1999907493591</v>
          </cell>
        </row>
        <row r="200">
          <cell r="A200">
            <v>1995</v>
          </cell>
          <cell r="B200">
            <v>34843</v>
          </cell>
          <cell r="C200" t="str">
            <v>美国</v>
          </cell>
          <cell r="D200" t="str">
            <v>糖果</v>
          </cell>
          <cell r="E200">
            <v>872.5</v>
          </cell>
        </row>
        <row r="201">
          <cell r="A201">
            <v>1995</v>
          </cell>
          <cell r="B201">
            <v>34843</v>
          </cell>
          <cell r="C201" t="str">
            <v>美国</v>
          </cell>
          <cell r="D201" t="str">
            <v>糖果</v>
          </cell>
          <cell r="E201">
            <v>5268</v>
          </cell>
        </row>
        <row r="202">
          <cell r="A202">
            <v>1995</v>
          </cell>
          <cell r="B202">
            <v>34843</v>
          </cell>
          <cell r="C202" t="str">
            <v>美国</v>
          </cell>
          <cell r="D202" t="str">
            <v>乳制品</v>
          </cell>
          <cell r="E202">
            <v>33.999999761581421</v>
          </cell>
        </row>
        <row r="203">
          <cell r="A203">
            <v>1995</v>
          </cell>
          <cell r="B203">
            <v>34843</v>
          </cell>
          <cell r="C203" t="str">
            <v>美国</v>
          </cell>
          <cell r="D203" t="str">
            <v>乳制品</v>
          </cell>
          <cell r="E203">
            <v>2427.5999829769135</v>
          </cell>
        </row>
        <row r="204">
          <cell r="A204">
            <v>1995</v>
          </cell>
          <cell r="B204">
            <v>34850</v>
          </cell>
          <cell r="C204" t="str">
            <v>美国</v>
          </cell>
          <cell r="D204" t="str">
            <v>饮料</v>
          </cell>
          <cell r="E204">
            <v>575.99999785423279</v>
          </cell>
        </row>
        <row r="205">
          <cell r="A205">
            <v>1995</v>
          </cell>
          <cell r="B205">
            <v>34850</v>
          </cell>
          <cell r="C205" t="str">
            <v>美国</v>
          </cell>
          <cell r="D205" t="str">
            <v>香料</v>
          </cell>
          <cell r="E205">
            <v>960</v>
          </cell>
        </row>
        <row r="206">
          <cell r="A206">
            <v>1995</v>
          </cell>
          <cell r="B206">
            <v>34850</v>
          </cell>
          <cell r="C206" t="str">
            <v>美国</v>
          </cell>
          <cell r="D206" t="str">
            <v>海洋食品</v>
          </cell>
          <cell r="E206">
            <v>414.23999845683574</v>
          </cell>
        </row>
        <row r="207">
          <cell r="A207">
            <v>1995</v>
          </cell>
          <cell r="B207">
            <v>34850</v>
          </cell>
          <cell r="C207" t="str">
            <v>美国</v>
          </cell>
          <cell r="D207" t="str">
            <v>海洋食品</v>
          </cell>
          <cell r="E207">
            <v>367.99999862909317</v>
          </cell>
        </row>
        <row r="208">
          <cell r="A208">
            <v>1995</v>
          </cell>
          <cell r="B208">
            <v>34855</v>
          </cell>
          <cell r="C208" t="str">
            <v>美国</v>
          </cell>
          <cell r="D208" t="str">
            <v>香料</v>
          </cell>
          <cell r="E208">
            <v>989.99999836087227</v>
          </cell>
        </row>
        <row r="209">
          <cell r="A209">
            <v>1995</v>
          </cell>
          <cell r="B209">
            <v>34855</v>
          </cell>
          <cell r="C209" t="str">
            <v>美国</v>
          </cell>
          <cell r="D209" t="str">
            <v>海洋食品</v>
          </cell>
          <cell r="E209">
            <v>512.99999915063381</v>
          </cell>
        </row>
        <row r="210">
          <cell r="A210">
            <v>1995</v>
          </cell>
          <cell r="B210">
            <v>34856</v>
          </cell>
          <cell r="C210" t="str">
            <v>加拿大</v>
          </cell>
          <cell r="D210" t="str">
            <v>乳制品</v>
          </cell>
          <cell r="E210">
            <v>63</v>
          </cell>
        </row>
        <row r="211">
          <cell r="A211">
            <v>1995</v>
          </cell>
          <cell r="B211">
            <v>34856</v>
          </cell>
          <cell r="C211" t="str">
            <v>加拿大</v>
          </cell>
          <cell r="D211" t="str">
            <v>乳制品</v>
          </cell>
          <cell r="E211">
            <v>15.999999940395355</v>
          </cell>
        </row>
        <row r="212">
          <cell r="A212">
            <v>1995</v>
          </cell>
          <cell r="B212">
            <v>34856</v>
          </cell>
          <cell r="C212" t="str">
            <v>加拿大</v>
          </cell>
          <cell r="D212" t="str">
            <v>乳制品</v>
          </cell>
          <cell r="E212">
            <v>313.2</v>
          </cell>
        </row>
        <row r="213">
          <cell r="A213">
            <v>1995</v>
          </cell>
          <cell r="B213">
            <v>34862</v>
          </cell>
          <cell r="C213" t="str">
            <v>美国</v>
          </cell>
          <cell r="D213" t="str">
            <v>海洋食品</v>
          </cell>
          <cell r="E213">
            <v>258.89999999999998</v>
          </cell>
        </row>
        <row r="214">
          <cell r="A214">
            <v>1995</v>
          </cell>
          <cell r="B214">
            <v>34862</v>
          </cell>
          <cell r="C214" t="str">
            <v>美国</v>
          </cell>
          <cell r="D214" t="str">
            <v>海洋食品</v>
          </cell>
          <cell r="E214">
            <v>147.19999945163727</v>
          </cell>
        </row>
        <row r="215">
          <cell r="A215">
            <v>1995</v>
          </cell>
          <cell r="B215">
            <v>34862</v>
          </cell>
          <cell r="C215" t="str">
            <v>美国</v>
          </cell>
          <cell r="D215" t="str">
            <v>肉/家禽</v>
          </cell>
          <cell r="E215">
            <v>59.599999777972698</v>
          </cell>
        </row>
        <row r="216">
          <cell r="A216">
            <v>1995</v>
          </cell>
          <cell r="B216">
            <v>34864</v>
          </cell>
          <cell r="C216" t="str">
            <v>美国</v>
          </cell>
          <cell r="D216" t="str">
            <v>乳制品</v>
          </cell>
          <cell r="E216">
            <v>427.5</v>
          </cell>
        </row>
        <row r="217">
          <cell r="A217">
            <v>1995</v>
          </cell>
          <cell r="B217">
            <v>34864</v>
          </cell>
          <cell r="C217" t="str">
            <v>美国</v>
          </cell>
          <cell r="D217" t="str">
            <v>乳制品</v>
          </cell>
          <cell r="E217">
            <v>250</v>
          </cell>
        </row>
        <row r="218">
          <cell r="A218">
            <v>1995</v>
          </cell>
          <cell r="B218">
            <v>34864</v>
          </cell>
          <cell r="C218" t="str">
            <v>美国</v>
          </cell>
          <cell r="D218" t="str">
            <v>乳制品</v>
          </cell>
          <cell r="E218">
            <v>75</v>
          </cell>
        </row>
        <row r="219">
          <cell r="A219">
            <v>1995</v>
          </cell>
          <cell r="B219">
            <v>34864</v>
          </cell>
          <cell r="C219" t="str">
            <v>美国</v>
          </cell>
          <cell r="D219" t="str">
            <v>乳制品</v>
          </cell>
          <cell r="E219">
            <v>892.5</v>
          </cell>
        </row>
        <row r="220">
          <cell r="A220">
            <v>1995</v>
          </cell>
          <cell r="B220">
            <v>34869</v>
          </cell>
          <cell r="C220" t="str">
            <v>美国</v>
          </cell>
          <cell r="D220" t="str">
            <v>香料</v>
          </cell>
          <cell r="E220">
            <v>600</v>
          </cell>
        </row>
        <row r="221">
          <cell r="A221">
            <v>1995</v>
          </cell>
          <cell r="B221">
            <v>34869</v>
          </cell>
          <cell r="C221" t="str">
            <v>美国</v>
          </cell>
          <cell r="D221" t="str">
            <v>糖果</v>
          </cell>
          <cell r="E221">
            <v>1249.2</v>
          </cell>
        </row>
        <row r="222">
          <cell r="A222">
            <v>1995</v>
          </cell>
          <cell r="B222">
            <v>34869</v>
          </cell>
          <cell r="C222" t="str">
            <v>美国</v>
          </cell>
          <cell r="D222" t="str">
            <v>饮料</v>
          </cell>
          <cell r="E222">
            <v>7905</v>
          </cell>
        </row>
        <row r="223">
          <cell r="A223">
            <v>1995</v>
          </cell>
          <cell r="B223">
            <v>34869</v>
          </cell>
          <cell r="C223" t="str">
            <v>美国</v>
          </cell>
          <cell r="D223" t="str">
            <v>糖果</v>
          </cell>
          <cell r="E223">
            <v>437.5</v>
          </cell>
        </row>
        <row r="224">
          <cell r="A224">
            <v>1995</v>
          </cell>
          <cell r="B224">
            <v>34870</v>
          </cell>
          <cell r="C224" t="str">
            <v>美国</v>
          </cell>
          <cell r="D224" t="str">
            <v>乳制品</v>
          </cell>
          <cell r="E224">
            <v>299.24999976530671</v>
          </cell>
        </row>
        <row r="225">
          <cell r="A225">
            <v>1995</v>
          </cell>
          <cell r="B225">
            <v>34870</v>
          </cell>
          <cell r="C225" t="str">
            <v>美国</v>
          </cell>
          <cell r="D225" t="str">
            <v>肉/家禽</v>
          </cell>
          <cell r="E225">
            <v>169.85999986678362</v>
          </cell>
        </row>
        <row r="226">
          <cell r="A226">
            <v>1995</v>
          </cell>
          <cell r="B226">
            <v>34871</v>
          </cell>
          <cell r="C226" t="str">
            <v>加拿大</v>
          </cell>
          <cell r="D226" t="str">
            <v>农产品</v>
          </cell>
          <cell r="E226">
            <v>319.2</v>
          </cell>
        </row>
        <row r="227">
          <cell r="A227">
            <v>1995</v>
          </cell>
          <cell r="B227">
            <v>34871</v>
          </cell>
          <cell r="C227" t="str">
            <v>加拿大</v>
          </cell>
          <cell r="D227" t="str">
            <v>饮料</v>
          </cell>
          <cell r="E227">
            <v>98</v>
          </cell>
        </row>
        <row r="228">
          <cell r="A228">
            <v>1995</v>
          </cell>
          <cell r="B228">
            <v>34872</v>
          </cell>
          <cell r="C228" t="str">
            <v>加拿大</v>
          </cell>
          <cell r="D228" t="str">
            <v>乳制品</v>
          </cell>
          <cell r="E228">
            <v>210</v>
          </cell>
        </row>
        <row r="229">
          <cell r="A229">
            <v>1995</v>
          </cell>
          <cell r="B229">
            <v>34876</v>
          </cell>
          <cell r="C229" t="str">
            <v>美国</v>
          </cell>
          <cell r="D229" t="str">
            <v>饮料</v>
          </cell>
          <cell r="E229">
            <v>105</v>
          </cell>
        </row>
        <row r="230">
          <cell r="A230">
            <v>1995</v>
          </cell>
          <cell r="B230">
            <v>34876</v>
          </cell>
          <cell r="C230" t="str">
            <v>美国</v>
          </cell>
          <cell r="D230" t="str">
            <v>海洋食品</v>
          </cell>
          <cell r="E230">
            <v>135.1</v>
          </cell>
        </row>
        <row r="231">
          <cell r="A231">
            <v>1995</v>
          </cell>
          <cell r="B231">
            <v>34877</v>
          </cell>
          <cell r="C231" t="str">
            <v>美国</v>
          </cell>
          <cell r="D231" t="str">
            <v>乳制品</v>
          </cell>
          <cell r="E231">
            <v>584.37499590218067</v>
          </cell>
        </row>
        <row r="232">
          <cell r="A232">
            <v>1995</v>
          </cell>
          <cell r="B232">
            <v>34877</v>
          </cell>
          <cell r="C232" t="str">
            <v>美国</v>
          </cell>
          <cell r="D232" t="str">
            <v>海洋食品</v>
          </cell>
          <cell r="E232">
            <v>807.49999433755875</v>
          </cell>
        </row>
        <row r="233">
          <cell r="A233">
            <v>1995</v>
          </cell>
          <cell r="B233">
            <v>34877</v>
          </cell>
          <cell r="C233" t="str">
            <v>美国</v>
          </cell>
          <cell r="D233" t="str">
            <v>农产品</v>
          </cell>
          <cell r="E233">
            <v>2162.3999848365784</v>
          </cell>
        </row>
        <row r="234">
          <cell r="A234">
            <v>1995</v>
          </cell>
          <cell r="B234">
            <v>34880</v>
          </cell>
          <cell r="C234" t="str">
            <v>美国</v>
          </cell>
          <cell r="D234" t="str">
            <v>糖果</v>
          </cell>
          <cell r="E234">
            <v>497.32499960996211</v>
          </cell>
        </row>
        <row r="235">
          <cell r="A235">
            <v>1995</v>
          </cell>
          <cell r="B235">
            <v>34880</v>
          </cell>
          <cell r="C235" t="str">
            <v>美国</v>
          </cell>
          <cell r="D235" t="str">
            <v>面食/谷类</v>
          </cell>
          <cell r="E235">
            <v>170.99999986588955</v>
          </cell>
        </row>
        <row r="236">
          <cell r="A236">
            <v>1995</v>
          </cell>
          <cell r="B236">
            <v>34880</v>
          </cell>
          <cell r="C236" t="str">
            <v>美国</v>
          </cell>
          <cell r="D236" t="str">
            <v>糖果</v>
          </cell>
          <cell r="E236">
            <v>936.69999926537275</v>
          </cell>
        </row>
        <row r="237">
          <cell r="A237">
            <v>1995</v>
          </cell>
          <cell r="B237">
            <v>34880</v>
          </cell>
          <cell r="C237" t="str">
            <v>美国</v>
          </cell>
          <cell r="D237" t="str">
            <v>香料</v>
          </cell>
          <cell r="E237">
            <v>123.49999990314245</v>
          </cell>
        </row>
        <row r="238">
          <cell r="A238">
            <v>1995</v>
          </cell>
          <cell r="B238">
            <v>34883</v>
          </cell>
          <cell r="C238" t="str">
            <v>加拿大</v>
          </cell>
          <cell r="D238" t="str">
            <v>农产品</v>
          </cell>
          <cell r="E238">
            <v>557.99999792128801</v>
          </cell>
        </row>
        <row r="239">
          <cell r="A239">
            <v>1995</v>
          </cell>
          <cell r="B239">
            <v>34883</v>
          </cell>
          <cell r="C239" t="str">
            <v>加拿大</v>
          </cell>
          <cell r="D239" t="str">
            <v>糖果</v>
          </cell>
          <cell r="E239">
            <v>257.59999904036522</v>
          </cell>
        </row>
        <row r="240">
          <cell r="A240">
            <v>1995</v>
          </cell>
          <cell r="B240">
            <v>34883</v>
          </cell>
          <cell r="C240" t="str">
            <v>加拿大</v>
          </cell>
          <cell r="D240" t="str">
            <v>饮料</v>
          </cell>
          <cell r="E240">
            <v>64.799999758601189</v>
          </cell>
        </row>
        <row r="241">
          <cell r="A241">
            <v>1995</v>
          </cell>
          <cell r="B241">
            <v>34883</v>
          </cell>
          <cell r="C241" t="str">
            <v>加拿大</v>
          </cell>
          <cell r="D241" t="str">
            <v>农产品</v>
          </cell>
          <cell r="E241">
            <v>847.99999684095383</v>
          </cell>
        </row>
        <row r="242">
          <cell r="A242">
            <v>1995</v>
          </cell>
          <cell r="B242">
            <v>34883</v>
          </cell>
          <cell r="C242" t="str">
            <v>加拿大</v>
          </cell>
          <cell r="D242" t="str">
            <v>面食/谷类</v>
          </cell>
          <cell r="E242">
            <v>1215.999995470047</v>
          </cell>
        </row>
        <row r="243">
          <cell r="A243">
            <v>1995</v>
          </cell>
          <cell r="B243">
            <v>34884</v>
          </cell>
          <cell r="C243" t="str">
            <v>美国</v>
          </cell>
          <cell r="D243" t="str">
            <v>面食/谷类</v>
          </cell>
          <cell r="E243">
            <v>997.5</v>
          </cell>
        </row>
        <row r="244">
          <cell r="A244">
            <v>1995</v>
          </cell>
          <cell r="B244">
            <v>34884</v>
          </cell>
          <cell r="C244" t="str">
            <v>美国</v>
          </cell>
          <cell r="D244" t="str">
            <v>饮料</v>
          </cell>
          <cell r="E244">
            <v>155</v>
          </cell>
        </row>
        <row r="245">
          <cell r="A245">
            <v>1995</v>
          </cell>
          <cell r="B245">
            <v>34887</v>
          </cell>
          <cell r="C245" t="str">
            <v>美国</v>
          </cell>
          <cell r="D245" t="str">
            <v>海洋食品</v>
          </cell>
          <cell r="E245">
            <v>517.79999999999995</v>
          </cell>
        </row>
        <row r="246">
          <cell r="A246">
            <v>1995</v>
          </cell>
          <cell r="B246">
            <v>34887</v>
          </cell>
          <cell r="C246" t="str">
            <v>美国</v>
          </cell>
          <cell r="D246" t="str">
            <v>糖果</v>
          </cell>
          <cell r="E246">
            <v>554.625</v>
          </cell>
        </row>
        <row r="247">
          <cell r="A247">
            <v>1995</v>
          </cell>
          <cell r="B247">
            <v>34891</v>
          </cell>
          <cell r="C247" t="str">
            <v>加拿大</v>
          </cell>
          <cell r="D247" t="str">
            <v>肉/家禽</v>
          </cell>
          <cell r="E247">
            <v>592.79999953508377</v>
          </cell>
        </row>
        <row r="248">
          <cell r="A248">
            <v>1995</v>
          </cell>
          <cell r="B248">
            <v>34891</v>
          </cell>
          <cell r="C248" t="str">
            <v>加拿大</v>
          </cell>
          <cell r="D248" t="str">
            <v>乳制品</v>
          </cell>
          <cell r="E248">
            <v>71.249999944120646</v>
          </cell>
        </row>
        <row r="249">
          <cell r="A249">
            <v>1995</v>
          </cell>
          <cell r="B249">
            <v>34891</v>
          </cell>
          <cell r="C249" t="str">
            <v>加拿大</v>
          </cell>
          <cell r="D249" t="str">
            <v>肉/家禽</v>
          </cell>
          <cell r="E249">
            <v>569.99999955296516</v>
          </cell>
        </row>
        <row r="250">
          <cell r="A250">
            <v>1995</v>
          </cell>
          <cell r="B250">
            <v>34897</v>
          </cell>
          <cell r="C250" t="str">
            <v>加拿大</v>
          </cell>
          <cell r="D250" t="str">
            <v>乳制品</v>
          </cell>
          <cell r="E250">
            <v>349.9999986961484</v>
          </cell>
        </row>
        <row r="251">
          <cell r="A251">
            <v>1995</v>
          </cell>
          <cell r="B251">
            <v>34897</v>
          </cell>
          <cell r="C251" t="str">
            <v>加拿大</v>
          </cell>
          <cell r="D251" t="str">
            <v>饮料</v>
          </cell>
          <cell r="E251">
            <v>540</v>
          </cell>
        </row>
        <row r="252">
          <cell r="A252">
            <v>1995</v>
          </cell>
          <cell r="B252">
            <v>34900</v>
          </cell>
          <cell r="C252" t="str">
            <v>加拿大</v>
          </cell>
          <cell r="D252" t="str">
            <v>乳制品</v>
          </cell>
          <cell r="E252">
            <v>35</v>
          </cell>
        </row>
        <row r="253">
          <cell r="A253">
            <v>1995</v>
          </cell>
          <cell r="B253">
            <v>34900</v>
          </cell>
          <cell r="C253" t="str">
            <v>加拿大</v>
          </cell>
          <cell r="D253" t="str">
            <v>海洋食品</v>
          </cell>
          <cell r="E253">
            <v>36.799999999999997</v>
          </cell>
        </row>
        <row r="254">
          <cell r="A254">
            <v>1995</v>
          </cell>
          <cell r="B254">
            <v>34900</v>
          </cell>
          <cell r="C254" t="str">
            <v>加拿大</v>
          </cell>
          <cell r="D254" t="str">
            <v>糖果</v>
          </cell>
          <cell r="E254">
            <v>493</v>
          </cell>
        </row>
        <row r="255">
          <cell r="A255">
            <v>1995</v>
          </cell>
          <cell r="B255">
            <v>34900</v>
          </cell>
          <cell r="C255" t="str">
            <v>加拿大</v>
          </cell>
          <cell r="D255" t="str">
            <v>面食/谷类</v>
          </cell>
          <cell r="E255">
            <v>199.5</v>
          </cell>
        </row>
        <row r="256">
          <cell r="A256">
            <v>1995</v>
          </cell>
          <cell r="B256">
            <v>34901</v>
          </cell>
          <cell r="C256" t="str">
            <v>美国</v>
          </cell>
          <cell r="D256" t="str">
            <v>乳制品</v>
          </cell>
          <cell r="E256">
            <v>660</v>
          </cell>
        </row>
        <row r="257">
          <cell r="A257">
            <v>1995</v>
          </cell>
          <cell r="B257">
            <v>34901</v>
          </cell>
          <cell r="C257" t="str">
            <v>美国</v>
          </cell>
          <cell r="D257" t="str">
            <v>香料</v>
          </cell>
          <cell r="E257">
            <v>263.39999999999998</v>
          </cell>
        </row>
        <row r="258">
          <cell r="A258">
            <v>1995</v>
          </cell>
          <cell r="B258">
            <v>34901</v>
          </cell>
          <cell r="C258" t="str">
            <v>美国</v>
          </cell>
          <cell r="D258" t="str">
            <v>乳制品</v>
          </cell>
          <cell r="E258">
            <v>1044</v>
          </cell>
        </row>
        <row r="259">
          <cell r="A259">
            <v>1995</v>
          </cell>
          <cell r="B259">
            <v>34901</v>
          </cell>
          <cell r="C259" t="str">
            <v>美国</v>
          </cell>
          <cell r="D259" t="str">
            <v>饮料</v>
          </cell>
          <cell r="E259">
            <v>180</v>
          </cell>
        </row>
        <row r="260">
          <cell r="A260">
            <v>1995</v>
          </cell>
          <cell r="B260">
            <v>34904</v>
          </cell>
          <cell r="C260" t="str">
            <v>加拿大</v>
          </cell>
          <cell r="D260" t="str">
            <v>饮料</v>
          </cell>
          <cell r="E260">
            <v>180</v>
          </cell>
        </row>
        <row r="261">
          <cell r="A261">
            <v>1995</v>
          </cell>
          <cell r="B261">
            <v>34904</v>
          </cell>
          <cell r="C261" t="str">
            <v>加拿大</v>
          </cell>
          <cell r="D261" t="str">
            <v>饮料</v>
          </cell>
          <cell r="E261">
            <v>155</v>
          </cell>
        </row>
        <row r="262">
          <cell r="A262">
            <v>1995</v>
          </cell>
          <cell r="B262">
            <v>34904</v>
          </cell>
          <cell r="C262" t="str">
            <v>加拿大</v>
          </cell>
          <cell r="D262" t="str">
            <v>香料</v>
          </cell>
          <cell r="E262">
            <v>234</v>
          </cell>
        </row>
        <row r="263">
          <cell r="A263">
            <v>1995</v>
          </cell>
          <cell r="B263">
            <v>34906</v>
          </cell>
          <cell r="C263" t="str">
            <v>加拿大</v>
          </cell>
          <cell r="D263" t="str">
            <v>香料</v>
          </cell>
          <cell r="E263">
            <v>155</v>
          </cell>
        </row>
        <row r="264">
          <cell r="A264">
            <v>1995</v>
          </cell>
          <cell r="B264">
            <v>34906</v>
          </cell>
          <cell r="C264" t="str">
            <v>加拿大</v>
          </cell>
          <cell r="D264" t="str">
            <v>饮料</v>
          </cell>
          <cell r="E264">
            <v>162.75</v>
          </cell>
        </row>
        <row r="265">
          <cell r="A265">
            <v>1995</v>
          </cell>
          <cell r="B265">
            <v>34907</v>
          </cell>
          <cell r="C265" t="str">
            <v>美国</v>
          </cell>
          <cell r="D265" t="str">
            <v>农产品</v>
          </cell>
          <cell r="E265">
            <v>331.312499740161</v>
          </cell>
        </row>
        <row r="266">
          <cell r="A266">
            <v>1995</v>
          </cell>
          <cell r="B266">
            <v>34907</v>
          </cell>
          <cell r="C266" t="str">
            <v>美国</v>
          </cell>
          <cell r="D266" t="str">
            <v>海洋食品</v>
          </cell>
          <cell r="E266">
            <v>82.507499935291705</v>
          </cell>
        </row>
        <row r="267">
          <cell r="A267">
            <v>1995</v>
          </cell>
          <cell r="B267">
            <v>34907</v>
          </cell>
          <cell r="C267" t="str">
            <v>美国</v>
          </cell>
          <cell r="D267" t="str">
            <v>香料</v>
          </cell>
          <cell r="E267">
            <v>599.92499952949584</v>
          </cell>
        </row>
        <row r="268">
          <cell r="A268">
            <v>1995</v>
          </cell>
          <cell r="B268">
            <v>34908</v>
          </cell>
          <cell r="C268" t="str">
            <v>美国</v>
          </cell>
          <cell r="D268" t="str">
            <v>面食/谷类</v>
          </cell>
          <cell r="E268">
            <v>78</v>
          </cell>
        </row>
        <row r="269">
          <cell r="A269">
            <v>1995</v>
          </cell>
          <cell r="B269">
            <v>34908</v>
          </cell>
          <cell r="C269" t="str">
            <v>美国</v>
          </cell>
          <cell r="D269" t="str">
            <v>饮料</v>
          </cell>
          <cell r="E269">
            <v>252</v>
          </cell>
        </row>
        <row r="270">
          <cell r="A270">
            <v>1995</v>
          </cell>
          <cell r="B270">
            <v>34914</v>
          </cell>
          <cell r="C270" t="str">
            <v>美国</v>
          </cell>
          <cell r="D270" t="str">
            <v>海洋食品</v>
          </cell>
          <cell r="E270">
            <v>1999.9999925494194</v>
          </cell>
        </row>
        <row r="271">
          <cell r="A271">
            <v>1995</v>
          </cell>
          <cell r="B271">
            <v>34914</v>
          </cell>
          <cell r="C271" t="str">
            <v>美国</v>
          </cell>
          <cell r="D271" t="str">
            <v>面食/谷类</v>
          </cell>
          <cell r="E271">
            <v>1119.9999958276749</v>
          </cell>
        </row>
        <row r="272">
          <cell r="A272">
            <v>1995</v>
          </cell>
          <cell r="B272">
            <v>34915</v>
          </cell>
          <cell r="C272" t="str">
            <v>加拿大</v>
          </cell>
          <cell r="D272" t="str">
            <v>饮料</v>
          </cell>
          <cell r="E272">
            <v>72</v>
          </cell>
        </row>
        <row r="273">
          <cell r="A273">
            <v>1995</v>
          </cell>
          <cell r="B273">
            <v>34919</v>
          </cell>
          <cell r="C273" t="str">
            <v>美国</v>
          </cell>
          <cell r="D273" t="str">
            <v>香料</v>
          </cell>
          <cell r="E273">
            <v>368.12499971129</v>
          </cell>
        </row>
        <row r="274">
          <cell r="A274">
            <v>1995</v>
          </cell>
          <cell r="B274">
            <v>34919</v>
          </cell>
          <cell r="C274" t="str">
            <v>美国</v>
          </cell>
          <cell r="D274" t="str">
            <v>糖果</v>
          </cell>
          <cell r="E274">
            <v>148.3424998836592</v>
          </cell>
        </row>
        <row r="275">
          <cell r="A275">
            <v>1995</v>
          </cell>
          <cell r="B275">
            <v>34920</v>
          </cell>
          <cell r="C275" t="str">
            <v>美国</v>
          </cell>
          <cell r="D275" t="str">
            <v>糖果</v>
          </cell>
          <cell r="E275">
            <v>1360.799994930625</v>
          </cell>
        </row>
        <row r="276">
          <cell r="A276">
            <v>1995</v>
          </cell>
          <cell r="B276">
            <v>34920</v>
          </cell>
          <cell r="C276" t="str">
            <v>美国</v>
          </cell>
          <cell r="D276" t="str">
            <v>乳制品</v>
          </cell>
          <cell r="E276">
            <v>575.99999785423279</v>
          </cell>
        </row>
        <row r="277">
          <cell r="A277">
            <v>1995</v>
          </cell>
          <cell r="B277">
            <v>34920</v>
          </cell>
          <cell r="C277" t="str">
            <v>美国</v>
          </cell>
          <cell r="D277" t="str">
            <v>饮料</v>
          </cell>
          <cell r="E277">
            <v>57.599999785423279</v>
          </cell>
        </row>
        <row r="278">
          <cell r="A278">
            <v>1995</v>
          </cell>
          <cell r="B278">
            <v>34920</v>
          </cell>
          <cell r="C278" t="str">
            <v>加拿大</v>
          </cell>
          <cell r="D278" t="str">
            <v>面食/谷类</v>
          </cell>
          <cell r="E278">
            <v>168</v>
          </cell>
        </row>
        <row r="279">
          <cell r="A279">
            <v>1995</v>
          </cell>
          <cell r="B279">
            <v>34920</v>
          </cell>
          <cell r="C279" t="str">
            <v>加拿大</v>
          </cell>
          <cell r="D279" t="str">
            <v>海洋食品</v>
          </cell>
          <cell r="E279">
            <v>397.5</v>
          </cell>
        </row>
        <row r="280">
          <cell r="A280">
            <v>1995</v>
          </cell>
          <cell r="B280">
            <v>34922</v>
          </cell>
          <cell r="C280" t="str">
            <v>加拿大</v>
          </cell>
          <cell r="D280" t="str">
            <v>面食/谷类</v>
          </cell>
          <cell r="E280">
            <v>151.99999943375587</v>
          </cell>
        </row>
        <row r="281">
          <cell r="A281">
            <v>1995</v>
          </cell>
          <cell r="B281">
            <v>34922</v>
          </cell>
          <cell r="C281" t="str">
            <v>加拿大</v>
          </cell>
          <cell r="D281" t="str">
            <v>香料</v>
          </cell>
          <cell r="E281">
            <v>842.87999686002729</v>
          </cell>
        </row>
        <row r="282">
          <cell r="A282">
            <v>1995</v>
          </cell>
          <cell r="B282">
            <v>34922</v>
          </cell>
          <cell r="C282" t="str">
            <v>加拿大</v>
          </cell>
          <cell r="D282" t="str">
            <v>饮料</v>
          </cell>
          <cell r="E282">
            <v>185.999999307096</v>
          </cell>
        </row>
        <row r="283">
          <cell r="A283">
            <v>1995</v>
          </cell>
          <cell r="B283">
            <v>34925</v>
          </cell>
          <cell r="C283" t="str">
            <v>加拿大</v>
          </cell>
          <cell r="D283" t="str">
            <v>糖果</v>
          </cell>
          <cell r="E283">
            <v>2195</v>
          </cell>
        </row>
        <row r="284">
          <cell r="A284">
            <v>1995</v>
          </cell>
          <cell r="B284">
            <v>34925</v>
          </cell>
          <cell r="C284" t="str">
            <v>加拿大</v>
          </cell>
          <cell r="D284" t="str">
            <v>乳制品</v>
          </cell>
          <cell r="E284">
            <v>193.5</v>
          </cell>
        </row>
        <row r="285">
          <cell r="A285">
            <v>1995</v>
          </cell>
          <cell r="B285">
            <v>34927</v>
          </cell>
          <cell r="C285" t="str">
            <v>加拿大</v>
          </cell>
          <cell r="D285" t="str">
            <v>肉/家禽</v>
          </cell>
          <cell r="E285">
            <v>29.8</v>
          </cell>
        </row>
        <row r="286">
          <cell r="A286">
            <v>1995</v>
          </cell>
          <cell r="B286">
            <v>34927</v>
          </cell>
          <cell r="C286" t="str">
            <v>加拿大</v>
          </cell>
          <cell r="D286" t="str">
            <v>海洋食品</v>
          </cell>
          <cell r="E286">
            <v>450</v>
          </cell>
        </row>
        <row r="287">
          <cell r="A287">
            <v>1995</v>
          </cell>
          <cell r="B287">
            <v>34929</v>
          </cell>
          <cell r="C287" t="str">
            <v>加拿大</v>
          </cell>
          <cell r="D287" t="str">
            <v>面食/谷类</v>
          </cell>
          <cell r="E287">
            <v>1008</v>
          </cell>
        </row>
        <row r="288">
          <cell r="A288">
            <v>1995</v>
          </cell>
          <cell r="B288">
            <v>34929</v>
          </cell>
          <cell r="C288" t="str">
            <v>加拿大</v>
          </cell>
          <cell r="D288" t="str">
            <v>糖果</v>
          </cell>
          <cell r="E288">
            <v>474.99999962747097</v>
          </cell>
        </row>
        <row r="289">
          <cell r="A289">
            <v>1995</v>
          </cell>
          <cell r="B289">
            <v>34933</v>
          </cell>
          <cell r="C289" t="str">
            <v>加拿大</v>
          </cell>
          <cell r="D289" t="str">
            <v>农产品</v>
          </cell>
          <cell r="E289">
            <v>1350</v>
          </cell>
        </row>
        <row r="290">
          <cell r="A290">
            <v>1995</v>
          </cell>
          <cell r="B290">
            <v>34933</v>
          </cell>
          <cell r="C290" t="str">
            <v>加拿大</v>
          </cell>
          <cell r="D290" t="str">
            <v>肉/家禽</v>
          </cell>
          <cell r="E290">
            <v>3900</v>
          </cell>
        </row>
        <row r="291">
          <cell r="A291">
            <v>1995</v>
          </cell>
          <cell r="B291">
            <v>34933</v>
          </cell>
          <cell r="C291" t="str">
            <v>加拿大</v>
          </cell>
          <cell r="D291" t="str">
            <v>乳制品</v>
          </cell>
          <cell r="E291">
            <v>35</v>
          </cell>
        </row>
        <row r="292">
          <cell r="A292">
            <v>1995</v>
          </cell>
          <cell r="B292">
            <v>34933</v>
          </cell>
          <cell r="C292" t="str">
            <v>加拿大</v>
          </cell>
          <cell r="D292" t="str">
            <v>海洋食品</v>
          </cell>
          <cell r="E292">
            <v>772.8</v>
          </cell>
        </row>
        <row r="293">
          <cell r="A293">
            <v>1995</v>
          </cell>
          <cell r="B293">
            <v>34933</v>
          </cell>
          <cell r="C293" t="str">
            <v>加拿大</v>
          </cell>
          <cell r="D293" t="str">
            <v>乳制品</v>
          </cell>
          <cell r="E293">
            <v>417.6</v>
          </cell>
        </row>
        <row r="294">
          <cell r="A294">
            <v>1995</v>
          </cell>
          <cell r="B294">
            <v>34934</v>
          </cell>
          <cell r="C294" t="str">
            <v>美国</v>
          </cell>
          <cell r="D294" t="str">
            <v>面食/谷类</v>
          </cell>
          <cell r="E294">
            <v>1064</v>
          </cell>
        </row>
        <row r="295">
          <cell r="A295">
            <v>1995</v>
          </cell>
          <cell r="B295">
            <v>34939</v>
          </cell>
          <cell r="C295" t="str">
            <v>加拿大</v>
          </cell>
          <cell r="D295" t="str">
            <v>海洋食品</v>
          </cell>
          <cell r="E295">
            <v>2170</v>
          </cell>
        </row>
        <row r="296">
          <cell r="A296">
            <v>1995</v>
          </cell>
          <cell r="B296">
            <v>34939</v>
          </cell>
          <cell r="C296" t="str">
            <v>加拿大</v>
          </cell>
          <cell r="D296" t="str">
            <v>海洋食品</v>
          </cell>
          <cell r="E296">
            <v>1045</v>
          </cell>
        </row>
        <row r="297">
          <cell r="A297">
            <v>1995</v>
          </cell>
          <cell r="B297">
            <v>34939</v>
          </cell>
          <cell r="C297" t="str">
            <v>加拿大</v>
          </cell>
          <cell r="D297" t="str">
            <v>糖果</v>
          </cell>
          <cell r="E297">
            <v>360</v>
          </cell>
        </row>
        <row r="298">
          <cell r="A298">
            <v>1995</v>
          </cell>
          <cell r="B298">
            <v>34939</v>
          </cell>
          <cell r="C298" t="str">
            <v>加拿大</v>
          </cell>
          <cell r="D298" t="str">
            <v>乳制品</v>
          </cell>
          <cell r="E298">
            <v>1360</v>
          </cell>
        </row>
        <row r="299">
          <cell r="A299">
            <v>1995</v>
          </cell>
          <cell r="B299">
            <v>34939</v>
          </cell>
          <cell r="C299" t="str">
            <v>加拿大</v>
          </cell>
          <cell r="D299" t="str">
            <v>饮料</v>
          </cell>
          <cell r="E299">
            <v>1440</v>
          </cell>
        </row>
        <row r="300">
          <cell r="A300">
            <v>1995</v>
          </cell>
          <cell r="B300">
            <v>34940</v>
          </cell>
          <cell r="C300" t="str">
            <v>美国</v>
          </cell>
          <cell r="D300" t="str">
            <v>乳制品</v>
          </cell>
          <cell r="E300">
            <v>294</v>
          </cell>
        </row>
        <row r="301">
          <cell r="A301">
            <v>1995</v>
          </cell>
          <cell r="B301">
            <v>34940</v>
          </cell>
          <cell r="C301" t="str">
            <v>美国</v>
          </cell>
          <cell r="D301" t="str">
            <v>糖果</v>
          </cell>
          <cell r="E301">
            <v>80</v>
          </cell>
        </row>
        <row r="302">
          <cell r="A302">
            <v>1995</v>
          </cell>
          <cell r="B302">
            <v>34940</v>
          </cell>
          <cell r="C302" t="str">
            <v>美国</v>
          </cell>
          <cell r="D302" t="str">
            <v>饮料</v>
          </cell>
          <cell r="E302">
            <v>90</v>
          </cell>
        </row>
        <row r="303">
          <cell r="A303">
            <v>1995</v>
          </cell>
          <cell r="B303">
            <v>34942</v>
          </cell>
          <cell r="C303" t="str">
            <v>加拿大</v>
          </cell>
          <cell r="D303" t="str">
            <v>饮料</v>
          </cell>
          <cell r="E303">
            <v>3754.874997055158</v>
          </cell>
        </row>
        <row r="304">
          <cell r="A304">
            <v>1995</v>
          </cell>
          <cell r="B304">
            <v>34942</v>
          </cell>
          <cell r="C304" t="str">
            <v>加拿大</v>
          </cell>
          <cell r="D304" t="str">
            <v>面食/谷类</v>
          </cell>
          <cell r="E304">
            <v>532</v>
          </cell>
        </row>
        <row r="305">
          <cell r="A305">
            <v>1995</v>
          </cell>
          <cell r="B305">
            <v>34942</v>
          </cell>
          <cell r="C305" t="str">
            <v>加拿大</v>
          </cell>
          <cell r="D305" t="str">
            <v>饮料</v>
          </cell>
          <cell r="E305">
            <v>213.74999983236194</v>
          </cell>
        </row>
        <row r="306">
          <cell r="A306">
            <v>1995</v>
          </cell>
          <cell r="B306">
            <v>34942</v>
          </cell>
          <cell r="C306" t="str">
            <v>加拿大</v>
          </cell>
          <cell r="D306" t="str">
            <v>乳制品</v>
          </cell>
          <cell r="E306">
            <v>306.37499975971878</v>
          </cell>
        </row>
        <row r="307">
          <cell r="A307">
            <v>1995</v>
          </cell>
          <cell r="B307">
            <v>34942</v>
          </cell>
          <cell r="C307" t="str">
            <v>加拿大</v>
          </cell>
          <cell r="D307" t="str">
            <v>乳制品</v>
          </cell>
          <cell r="E307">
            <v>1402.4999901652336</v>
          </cell>
        </row>
        <row r="308">
          <cell r="A308">
            <v>1995</v>
          </cell>
          <cell r="B308">
            <v>34949</v>
          </cell>
          <cell r="C308" t="str">
            <v>美国</v>
          </cell>
          <cell r="D308" t="str">
            <v>农产品</v>
          </cell>
          <cell r="E308">
            <v>488.25</v>
          </cell>
        </row>
        <row r="309">
          <cell r="A309">
            <v>1995</v>
          </cell>
          <cell r="B309">
            <v>34949</v>
          </cell>
          <cell r="C309" t="str">
            <v>美国</v>
          </cell>
          <cell r="D309" t="str">
            <v>糖果</v>
          </cell>
          <cell r="E309">
            <v>124.19999979436398</v>
          </cell>
        </row>
        <row r="310">
          <cell r="A310">
            <v>1995</v>
          </cell>
          <cell r="B310">
            <v>34949</v>
          </cell>
          <cell r="C310" t="str">
            <v>美国</v>
          </cell>
          <cell r="D310" t="str">
            <v>糖果</v>
          </cell>
          <cell r="E310">
            <v>224.99999962747097</v>
          </cell>
        </row>
        <row r="311">
          <cell r="A311">
            <v>1995</v>
          </cell>
          <cell r="B311">
            <v>34949</v>
          </cell>
          <cell r="C311" t="str">
            <v>美国</v>
          </cell>
          <cell r="D311" t="str">
            <v>饮料</v>
          </cell>
          <cell r="E311">
            <v>13.5</v>
          </cell>
        </row>
        <row r="312">
          <cell r="A312">
            <v>1995</v>
          </cell>
          <cell r="B312">
            <v>34949</v>
          </cell>
          <cell r="C312" t="str">
            <v>美国</v>
          </cell>
          <cell r="D312" t="str">
            <v>饮料</v>
          </cell>
          <cell r="E312">
            <v>485.9999991953373</v>
          </cell>
        </row>
        <row r="313">
          <cell r="A313">
            <v>1995</v>
          </cell>
          <cell r="B313">
            <v>34949</v>
          </cell>
          <cell r="C313" t="str">
            <v>加拿大</v>
          </cell>
          <cell r="D313" t="str">
            <v>农产品</v>
          </cell>
          <cell r="E313">
            <v>456</v>
          </cell>
        </row>
        <row r="314">
          <cell r="A314">
            <v>1995</v>
          </cell>
          <cell r="B314">
            <v>34949</v>
          </cell>
          <cell r="C314" t="str">
            <v>加拿大</v>
          </cell>
          <cell r="D314" t="str">
            <v>肉/家禽</v>
          </cell>
          <cell r="E314">
            <v>742.74</v>
          </cell>
        </row>
        <row r="315">
          <cell r="A315">
            <v>1995</v>
          </cell>
          <cell r="B315">
            <v>34949</v>
          </cell>
          <cell r="C315" t="str">
            <v>加拿大</v>
          </cell>
          <cell r="D315" t="str">
            <v>香料</v>
          </cell>
          <cell r="E315">
            <v>194.5</v>
          </cell>
        </row>
        <row r="316">
          <cell r="A316">
            <v>1995</v>
          </cell>
          <cell r="B316">
            <v>34953</v>
          </cell>
          <cell r="C316" t="str">
            <v>加拿大</v>
          </cell>
          <cell r="D316" t="str">
            <v>糖果</v>
          </cell>
          <cell r="E316">
            <v>739.5</v>
          </cell>
        </row>
        <row r="317">
          <cell r="A317">
            <v>1995</v>
          </cell>
          <cell r="B317">
            <v>34953</v>
          </cell>
          <cell r="C317" t="str">
            <v>加拿大</v>
          </cell>
          <cell r="D317" t="str">
            <v>海洋食品</v>
          </cell>
          <cell r="E317">
            <v>446.24999687075615</v>
          </cell>
        </row>
        <row r="318">
          <cell r="A318">
            <v>1995</v>
          </cell>
          <cell r="B318">
            <v>34955</v>
          </cell>
          <cell r="C318" t="str">
            <v>美国</v>
          </cell>
          <cell r="D318" t="str">
            <v>肉/家禽</v>
          </cell>
          <cell r="E318">
            <v>273.59999978542328</v>
          </cell>
        </row>
        <row r="319">
          <cell r="A319">
            <v>1995</v>
          </cell>
          <cell r="B319">
            <v>34955</v>
          </cell>
          <cell r="C319" t="str">
            <v>美国</v>
          </cell>
          <cell r="D319" t="str">
            <v>饮料</v>
          </cell>
          <cell r="E319">
            <v>630</v>
          </cell>
        </row>
        <row r="320">
          <cell r="A320">
            <v>1995</v>
          </cell>
          <cell r="B320">
            <v>34956</v>
          </cell>
          <cell r="C320" t="str">
            <v>美国</v>
          </cell>
          <cell r="D320" t="str">
            <v>饮料</v>
          </cell>
          <cell r="E320">
            <v>541.49999957531691</v>
          </cell>
        </row>
        <row r="321">
          <cell r="A321">
            <v>1995</v>
          </cell>
          <cell r="B321">
            <v>34956</v>
          </cell>
          <cell r="C321" t="str">
            <v>美国</v>
          </cell>
          <cell r="D321" t="str">
            <v>乳制品</v>
          </cell>
          <cell r="E321">
            <v>47.499999962747097</v>
          </cell>
        </row>
        <row r="322">
          <cell r="A322">
            <v>1995</v>
          </cell>
          <cell r="B322">
            <v>34963</v>
          </cell>
          <cell r="C322" t="str">
            <v>美国</v>
          </cell>
          <cell r="D322" t="str">
            <v>乳制品</v>
          </cell>
          <cell r="E322">
            <v>540</v>
          </cell>
        </row>
        <row r="323">
          <cell r="A323">
            <v>1995</v>
          </cell>
          <cell r="B323">
            <v>34963</v>
          </cell>
          <cell r="C323" t="str">
            <v>美国</v>
          </cell>
          <cell r="D323" t="str">
            <v>饮料</v>
          </cell>
          <cell r="E323">
            <v>168.75</v>
          </cell>
        </row>
        <row r="324">
          <cell r="A324">
            <v>1995</v>
          </cell>
          <cell r="B324">
            <v>34974</v>
          </cell>
          <cell r="C324" t="str">
            <v>美国</v>
          </cell>
          <cell r="D324" t="str">
            <v>糖果</v>
          </cell>
          <cell r="E324">
            <v>82.8</v>
          </cell>
        </row>
        <row r="325">
          <cell r="A325">
            <v>1995</v>
          </cell>
          <cell r="B325">
            <v>34974</v>
          </cell>
          <cell r="C325" t="str">
            <v>美国</v>
          </cell>
          <cell r="D325" t="str">
            <v>面食/谷类</v>
          </cell>
          <cell r="E325">
            <v>315</v>
          </cell>
        </row>
        <row r="326">
          <cell r="A326">
            <v>1995</v>
          </cell>
          <cell r="B326">
            <v>34975</v>
          </cell>
          <cell r="C326" t="str">
            <v>美国</v>
          </cell>
          <cell r="D326" t="str">
            <v>糖果</v>
          </cell>
          <cell r="E326">
            <v>471.14999921992421</v>
          </cell>
        </row>
        <row r="327">
          <cell r="A327">
            <v>1995</v>
          </cell>
          <cell r="B327">
            <v>34975</v>
          </cell>
          <cell r="C327" t="str">
            <v>美国</v>
          </cell>
          <cell r="D327" t="str">
            <v>乳制品</v>
          </cell>
          <cell r="E327">
            <v>611.99999898672104</v>
          </cell>
        </row>
        <row r="328">
          <cell r="A328">
            <v>1995</v>
          </cell>
          <cell r="B328">
            <v>34977</v>
          </cell>
          <cell r="C328" t="str">
            <v>加拿大</v>
          </cell>
          <cell r="D328" t="str">
            <v>农产品</v>
          </cell>
          <cell r="E328">
            <v>62.774999896064401</v>
          </cell>
        </row>
        <row r="329">
          <cell r="A329">
            <v>1995</v>
          </cell>
          <cell r="B329">
            <v>34977</v>
          </cell>
          <cell r="C329" t="str">
            <v>加拿大</v>
          </cell>
          <cell r="D329" t="str">
            <v>香料</v>
          </cell>
          <cell r="E329">
            <v>490.13999918848276</v>
          </cell>
        </row>
        <row r="330">
          <cell r="A330">
            <v>1995</v>
          </cell>
          <cell r="B330">
            <v>34977</v>
          </cell>
          <cell r="C330" t="str">
            <v>加拿大</v>
          </cell>
          <cell r="D330" t="str">
            <v>糖果</v>
          </cell>
          <cell r="E330">
            <v>51.299999915063381</v>
          </cell>
        </row>
        <row r="331">
          <cell r="A331">
            <v>1995</v>
          </cell>
          <cell r="B331">
            <v>34977</v>
          </cell>
          <cell r="C331" t="str">
            <v>加拿大</v>
          </cell>
          <cell r="D331" t="str">
            <v>香料</v>
          </cell>
          <cell r="E331">
            <v>775</v>
          </cell>
        </row>
        <row r="332">
          <cell r="A332">
            <v>1995</v>
          </cell>
          <cell r="B332">
            <v>34977</v>
          </cell>
          <cell r="C332" t="str">
            <v>加拿大</v>
          </cell>
          <cell r="D332" t="str">
            <v>海洋食品</v>
          </cell>
          <cell r="E332">
            <v>231.6</v>
          </cell>
        </row>
        <row r="333">
          <cell r="A333">
            <v>1995</v>
          </cell>
          <cell r="B333">
            <v>34977</v>
          </cell>
          <cell r="C333" t="str">
            <v>加拿大</v>
          </cell>
          <cell r="D333" t="str">
            <v>海洋食品</v>
          </cell>
          <cell r="E333">
            <v>540</v>
          </cell>
        </row>
        <row r="334">
          <cell r="A334">
            <v>1995</v>
          </cell>
          <cell r="B334">
            <v>34977</v>
          </cell>
          <cell r="C334" t="str">
            <v>加拿大</v>
          </cell>
          <cell r="D334" t="str">
            <v>糖果</v>
          </cell>
          <cell r="E334">
            <v>95</v>
          </cell>
        </row>
        <row r="335">
          <cell r="A335">
            <v>1995</v>
          </cell>
          <cell r="B335">
            <v>34977</v>
          </cell>
          <cell r="C335" t="str">
            <v>加拿大</v>
          </cell>
          <cell r="D335" t="str">
            <v>面食/谷类</v>
          </cell>
          <cell r="E335">
            <v>1710</v>
          </cell>
        </row>
        <row r="336">
          <cell r="A336">
            <v>1995</v>
          </cell>
          <cell r="B336">
            <v>34977</v>
          </cell>
          <cell r="C336" t="str">
            <v>加拿大</v>
          </cell>
          <cell r="D336" t="str">
            <v>乳制品</v>
          </cell>
          <cell r="E336">
            <v>1020</v>
          </cell>
        </row>
        <row r="337">
          <cell r="A337">
            <v>1995</v>
          </cell>
          <cell r="B337">
            <v>34978</v>
          </cell>
          <cell r="C337" t="str">
            <v>美国</v>
          </cell>
          <cell r="D337" t="str">
            <v>糖果</v>
          </cell>
          <cell r="E337">
            <v>600</v>
          </cell>
        </row>
        <row r="338">
          <cell r="A338">
            <v>1995</v>
          </cell>
          <cell r="B338">
            <v>34978</v>
          </cell>
          <cell r="C338" t="str">
            <v>美国</v>
          </cell>
          <cell r="D338" t="str">
            <v>海洋食品</v>
          </cell>
          <cell r="E338">
            <v>1223.5999990403652</v>
          </cell>
        </row>
        <row r="339">
          <cell r="A339">
            <v>1995</v>
          </cell>
          <cell r="B339">
            <v>34978</v>
          </cell>
          <cell r="C339" t="str">
            <v>美国</v>
          </cell>
          <cell r="D339" t="str">
            <v>乳制品</v>
          </cell>
          <cell r="E339">
            <v>1776.4999986067414</v>
          </cell>
        </row>
        <row r="340">
          <cell r="A340">
            <v>1995</v>
          </cell>
          <cell r="B340">
            <v>34978</v>
          </cell>
          <cell r="C340" t="str">
            <v>美国</v>
          </cell>
          <cell r="D340" t="str">
            <v>香料</v>
          </cell>
          <cell r="E340">
            <v>864.49999932199717</v>
          </cell>
        </row>
        <row r="341">
          <cell r="A341">
            <v>1995</v>
          </cell>
          <cell r="B341">
            <v>34981</v>
          </cell>
          <cell r="C341" t="str">
            <v>加拿大</v>
          </cell>
          <cell r="D341" t="str">
            <v>糖果</v>
          </cell>
          <cell r="E341">
            <v>1701</v>
          </cell>
        </row>
        <row r="342">
          <cell r="A342">
            <v>1995</v>
          </cell>
          <cell r="B342">
            <v>34982</v>
          </cell>
          <cell r="C342" t="str">
            <v>加拿大</v>
          </cell>
          <cell r="D342" t="str">
            <v>糖果</v>
          </cell>
          <cell r="E342">
            <v>125</v>
          </cell>
        </row>
        <row r="343">
          <cell r="A343">
            <v>1995</v>
          </cell>
          <cell r="B343">
            <v>34984</v>
          </cell>
          <cell r="C343" t="str">
            <v>加拿大</v>
          </cell>
          <cell r="D343" t="str">
            <v>农产品</v>
          </cell>
          <cell r="E343">
            <v>1060</v>
          </cell>
        </row>
        <row r="344">
          <cell r="A344">
            <v>1995</v>
          </cell>
          <cell r="B344">
            <v>34984</v>
          </cell>
          <cell r="C344" t="str">
            <v>加拿大</v>
          </cell>
          <cell r="D344" t="str">
            <v>乳制品</v>
          </cell>
          <cell r="E344">
            <v>55</v>
          </cell>
        </row>
        <row r="345">
          <cell r="A345">
            <v>1995</v>
          </cell>
          <cell r="B345">
            <v>34984</v>
          </cell>
          <cell r="C345" t="str">
            <v>加拿大</v>
          </cell>
          <cell r="D345" t="str">
            <v>饮料</v>
          </cell>
          <cell r="E345">
            <v>180</v>
          </cell>
        </row>
        <row r="346">
          <cell r="A346">
            <v>1995</v>
          </cell>
          <cell r="B346">
            <v>34988</v>
          </cell>
          <cell r="C346" t="str">
            <v>美国</v>
          </cell>
          <cell r="D346" t="str">
            <v>乳制品</v>
          </cell>
          <cell r="E346">
            <v>89.999999850988388</v>
          </cell>
        </row>
        <row r="347">
          <cell r="A347">
            <v>1995</v>
          </cell>
          <cell r="B347">
            <v>34988</v>
          </cell>
          <cell r="C347" t="str">
            <v>美国</v>
          </cell>
          <cell r="D347" t="str">
            <v>肉/家禽</v>
          </cell>
          <cell r="E347">
            <v>86.399999856948853</v>
          </cell>
        </row>
        <row r="348">
          <cell r="A348">
            <v>1995</v>
          </cell>
          <cell r="B348">
            <v>34988</v>
          </cell>
          <cell r="C348" t="str">
            <v>美国</v>
          </cell>
          <cell r="D348" t="str">
            <v>面食/谷类</v>
          </cell>
          <cell r="E348">
            <v>448.87499925680459</v>
          </cell>
        </row>
        <row r="349">
          <cell r="A349">
            <v>1995</v>
          </cell>
          <cell r="B349">
            <v>34989</v>
          </cell>
          <cell r="C349" t="str">
            <v>美国</v>
          </cell>
          <cell r="D349" t="str">
            <v>面食/谷类</v>
          </cell>
          <cell r="E349">
            <v>288</v>
          </cell>
        </row>
        <row r="350">
          <cell r="A350">
            <v>1995</v>
          </cell>
          <cell r="B350">
            <v>34989</v>
          </cell>
          <cell r="C350" t="str">
            <v>美国</v>
          </cell>
          <cell r="D350" t="str">
            <v>海洋食品</v>
          </cell>
          <cell r="E350">
            <v>720</v>
          </cell>
        </row>
        <row r="351">
          <cell r="A351">
            <v>1995</v>
          </cell>
          <cell r="B351">
            <v>34989</v>
          </cell>
          <cell r="C351" t="str">
            <v>美国</v>
          </cell>
          <cell r="D351" t="str">
            <v>饮料</v>
          </cell>
          <cell r="E351">
            <v>350</v>
          </cell>
        </row>
        <row r="352">
          <cell r="A352">
            <v>1995</v>
          </cell>
          <cell r="B352">
            <v>34989</v>
          </cell>
          <cell r="C352" t="str">
            <v>美国</v>
          </cell>
          <cell r="D352" t="str">
            <v>海洋食品</v>
          </cell>
          <cell r="E352">
            <v>750</v>
          </cell>
        </row>
        <row r="353">
          <cell r="A353">
            <v>1995</v>
          </cell>
          <cell r="B353">
            <v>34989</v>
          </cell>
          <cell r="C353" t="str">
            <v>美国</v>
          </cell>
          <cell r="D353" t="str">
            <v>饮料</v>
          </cell>
          <cell r="E353">
            <v>193.75</v>
          </cell>
        </row>
        <row r="354">
          <cell r="A354">
            <v>1995</v>
          </cell>
          <cell r="B354">
            <v>34992</v>
          </cell>
          <cell r="C354" t="str">
            <v>美国</v>
          </cell>
          <cell r="D354" t="str">
            <v>农产品</v>
          </cell>
          <cell r="E354">
            <v>697.5</v>
          </cell>
        </row>
        <row r="355">
          <cell r="A355">
            <v>1995</v>
          </cell>
          <cell r="B355">
            <v>34992</v>
          </cell>
          <cell r="C355" t="str">
            <v>美国</v>
          </cell>
          <cell r="D355" t="str">
            <v>肉/家禽</v>
          </cell>
          <cell r="E355">
            <v>328</v>
          </cell>
        </row>
        <row r="356">
          <cell r="A356">
            <v>1995</v>
          </cell>
          <cell r="B356">
            <v>34992</v>
          </cell>
          <cell r="C356" t="str">
            <v>美国</v>
          </cell>
          <cell r="D356" t="str">
            <v>海洋食品</v>
          </cell>
          <cell r="E356">
            <v>397.5</v>
          </cell>
        </row>
        <row r="357">
          <cell r="A357">
            <v>1995</v>
          </cell>
          <cell r="B357">
            <v>34996</v>
          </cell>
          <cell r="C357" t="str">
            <v>加拿大</v>
          </cell>
          <cell r="D357" t="str">
            <v>乳制品</v>
          </cell>
          <cell r="E357">
            <v>3800</v>
          </cell>
        </row>
        <row r="358">
          <cell r="A358">
            <v>1995</v>
          </cell>
          <cell r="B358">
            <v>34996</v>
          </cell>
          <cell r="C358" t="str">
            <v>加拿大</v>
          </cell>
          <cell r="D358" t="str">
            <v>乳制品</v>
          </cell>
          <cell r="E358">
            <v>75</v>
          </cell>
        </row>
        <row r="359">
          <cell r="A359">
            <v>1995</v>
          </cell>
          <cell r="B359">
            <v>34996</v>
          </cell>
          <cell r="C359" t="str">
            <v>加拿大</v>
          </cell>
          <cell r="D359" t="str">
            <v>海洋食品</v>
          </cell>
          <cell r="E359">
            <v>1158</v>
          </cell>
        </row>
        <row r="360">
          <cell r="A360">
            <v>1995</v>
          </cell>
          <cell r="B360">
            <v>34996</v>
          </cell>
          <cell r="C360" t="str">
            <v>加拿大</v>
          </cell>
          <cell r="D360" t="str">
            <v>肉/家禽</v>
          </cell>
          <cell r="E360">
            <v>223.5</v>
          </cell>
        </row>
        <row r="361">
          <cell r="A361">
            <v>1995</v>
          </cell>
          <cell r="B361">
            <v>34997</v>
          </cell>
          <cell r="C361" t="str">
            <v>加拿大</v>
          </cell>
          <cell r="D361" t="str">
            <v>糖果</v>
          </cell>
          <cell r="E361">
            <v>654.375</v>
          </cell>
        </row>
        <row r="362">
          <cell r="A362">
            <v>1995</v>
          </cell>
          <cell r="B362">
            <v>34997</v>
          </cell>
          <cell r="C362" t="str">
            <v>加拿大</v>
          </cell>
          <cell r="D362" t="str">
            <v>乳制品</v>
          </cell>
          <cell r="E362">
            <v>187.5</v>
          </cell>
        </row>
        <row r="363">
          <cell r="A363">
            <v>1995</v>
          </cell>
          <cell r="B363">
            <v>34997</v>
          </cell>
          <cell r="C363" t="str">
            <v>加拿大</v>
          </cell>
          <cell r="D363" t="str">
            <v>面食/谷类</v>
          </cell>
          <cell r="E363">
            <v>420</v>
          </cell>
        </row>
        <row r="364">
          <cell r="A364">
            <v>1995</v>
          </cell>
          <cell r="B364">
            <v>34998</v>
          </cell>
          <cell r="C364" t="str">
            <v>加拿大</v>
          </cell>
          <cell r="D364" t="str">
            <v>糖果</v>
          </cell>
          <cell r="E364">
            <v>248.39999958872795</v>
          </cell>
        </row>
        <row r="365">
          <cell r="A365">
            <v>1995</v>
          </cell>
          <cell r="B365">
            <v>34998</v>
          </cell>
          <cell r="C365" t="str">
            <v>加拿大</v>
          </cell>
          <cell r="D365" t="str">
            <v>糖果</v>
          </cell>
          <cell r="E365">
            <v>107.99999982118607</v>
          </cell>
        </row>
        <row r="366">
          <cell r="A366">
            <v>1995</v>
          </cell>
          <cell r="B366">
            <v>34998</v>
          </cell>
          <cell r="C366" t="str">
            <v>加拿大</v>
          </cell>
          <cell r="D366" t="str">
            <v>面食/谷类</v>
          </cell>
          <cell r="E366">
            <v>931</v>
          </cell>
        </row>
        <row r="367">
          <cell r="A367">
            <v>1995</v>
          </cell>
          <cell r="B367">
            <v>34999</v>
          </cell>
          <cell r="C367" t="str">
            <v>美国</v>
          </cell>
          <cell r="D367" t="str">
            <v>海洋食品</v>
          </cell>
          <cell r="E367">
            <v>368</v>
          </cell>
        </row>
        <row r="368">
          <cell r="A368">
            <v>1995</v>
          </cell>
          <cell r="B368">
            <v>34999</v>
          </cell>
          <cell r="C368" t="str">
            <v>美国</v>
          </cell>
          <cell r="D368" t="str">
            <v>糖果</v>
          </cell>
          <cell r="E368">
            <v>380</v>
          </cell>
        </row>
        <row r="369">
          <cell r="A369">
            <v>1995</v>
          </cell>
          <cell r="B369">
            <v>34999</v>
          </cell>
          <cell r="C369" t="str">
            <v>美国</v>
          </cell>
          <cell r="D369" t="str">
            <v>乳制品</v>
          </cell>
          <cell r="E369">
            <v>1020</v>
          </cell>
        </row>
        <row r="370">
          <cell r="A370">
            <v>1995</v>
          </cell>
          <cell r="B370">
            <v>35006</v>
          </cell>
          <cell r="C370" t="str">
            <v>美国</v>
          </cell>
          <cell r="D370" t="str">
            <v>饮料</v>
          </cell>
          <cell r="E370">
            <v>540</v>
          </cell>
        </row>
        <row r="371">
          <cell r="A371">
            <v>1995</v>
          </cell>
          <cell r="B371">
            <v>35006</v>
          </cell>
          <cell r="C371" t="str">
            <v>美国</v>
          </cell>
          <cell r="D371" t="str">
            <v>肉/家禽</v>
          </cell>
          <cell r="E371">
            <v>4951.6000000000004</v>
          </cell>
        </row>
        <row r="372">
          <cell r="A372">
            <v>1995</v>
          </cell>
          <cell r="B372">
            <v>35006</v>
          </cell>
          <cell r="C372" t="str">
            <v>美国</v>
          </cell>
          <cell r="D372" t="str">
            <v>饮料</v>
          </cell>
          <cell r="E372">
            <v>1840</v>
          </cell>
        </row>
        <row r="373">
          <cell r="A373">
            <v>1995</v>
          </cell>
          <cell r="B373">
            <v>35006</v>
          </cell>
          <cell r="C373" t="str">
            <v>美国</v>
          </cell>
          <cell r="D373" t="str">
            <v>香料</v>
          </cell>
          <cell r="E373">
            <v>466.8</v>
          </cell>
        </row>
        <row r="374">
          <cell r="A374">
            <v>1995</v>
          </cell>
          <cell r="B374">
            <v>35006</v>
          </cell>
          <cell r="C374" t="str">
            <v>美国</v>
          </cell>
          <cell r="D374" t="str">
            <v>糖果</v>
          </cell>
          <cell r="E374">
            <v>2366.4</v>
          </cell>
        </row>
        <row r="375">
          <cell r="A375">
            <v>1995</v>
          </cell>
          <cell r="B375">
            <v>35009</v>
          </cell>
          <cell r="C375" t="str">
            <v>加拿大</v>
          </cell>
          <cell r="D375" t="str">
            <v>肉/家禽</v>
          </cell>
          <cell r="E375">
            <v>582</v>
          </cell>
        </row>
        <row r="376">
          <cell r="A376">
            <v>1995</v>
          </cell>
          <cell r="B376">
            <v>35009</v>
          </cell>
          <cell r="C376" t="str">
            <v>加拿大</v>
          </cell>
          <cell r="D376" t="str">
            <v>肉/家禽</v>
          </cell>
          <cell r="E376">
            <v>379.94999733567238</v>
          </cell>
        </row>
        <row r="377">
          <cell r="A377">
            <v>1995</v>
          </cell>
          <cell r="B377">
            <v>35009</v>
          </cell>
          <cell r="C377" t="str">
            <v>加拿大</v>
          </cell>
          <cell r="D377" t="str">
            <v>乳制品</v>
          </cell>
          <cell r="E377">
            <v>917.99999356269836</v>
          </cell>
        </row>
        <row r="378">
          <cell r="A378">
            <v>1995</v>
          </cell>
          <cell r="B378">
            <v>35009</v>
          </cell>
          <cell r="C378" t="str">
            <v>加拿大</v>
          </cell>
          <cell r="D378" t="str">
            <v>海洋食品</v>
          </cell>
          <cell r="E378">
            <v>191.24999865889549</v>
          </cell>
        </row>
        <row r="379">
          <cell r="A379">
            <v>1995</v>
          </cell>
          <cell r="B379">
            <v>35009</v>
          </cell>
          <cell r="C379" t="str">
            <v>美国</v>
          </cell>
          <cell r="D379" t="str">
            <v>农产品</v>
          </cell>
          <cell r="E379">
            <v>2700</v>
          </cell>
        </row>
        <row r="380">
          <cell r="A380">
            <v>1995</v>
          </cell>
          <cell r="B380">
            <v>35009</v>
          </cell>
          <cell r="C380" t="str">
            <v>美国</v>
          </cell>
          <cell r="D380" t="str">
            <v>乳制品</v>
          </cell>
          <cell r="E380">
            <v>1375</v>
          </cell>
        </row>
        <row r="381">
          <cell r="A381">
            <v>1995</v>
          </cell>
          <cell r="B381">
            <v>35009</v>
          </cell>
          <cell r="C381" t="str">
            <v>美国</v>
          </cell>
          <cell r="D381" t="str">
            <v>饮料</v>
          </cell>
          <cell r="E381">
            <v>750</v>
          </cell>
        </row>
        <row r="382">
          <cell r="A382">
            <v>1995</v>
          </cell>
          <cell r="B382">
            <v>35011</v>
          </cell>
          <cell r="C382" t="str">
            <v>加拿大</v>
          </cell>
          <cell r="D382" t="str">
            <v>肉/家禽</v>
          </cell>
          <cell r="E382">
            <v>780</v>
          </cell>
        </row>
        <row r="383">
          <cell r="A383">
            <v>1995</v>
          </cell>
          <cell r="B383">
            <v>35011</v>
          </cell>
          <cell r="C383" t="str">
            <v>加拿大</v>
          </cell>
          <cell r="D383" t="str">
            <v>海洋食品</v>
          </cell>
          <cell r="E383">
            <v>216</v>
          </cell>
        </row>
        <row r="384">
          <cell r="A384">
            <v>1995</v>
          </cell>
          <cell r="B384">
            <v>35012</v>
          </cell>
          <cell r="C384" t="str">
            <v>美国</v>
          </cell>
          <cell r="D384" t="str">
            <v>糖果</v>
          </cell>
          <cell r="E384">
            <v>114</v>
          </cell>
        </row>
        <row r="385">
          <cell r="A385">
            <v>1995</v>
          </cell>
          <cell r="B385">
            <v>35013</v>
          </cell>
          <cell r="C385" t="str">
            <v>加拿大</v>
          </cell>
          <cell r="D385" t="str">
            <v>饮料</v>
          </cell>
          <cell r="E385">
            <v>71.999999731779099</v>
          </cell>
        </row>
        <row r="386">
          <cell r="A386">
            <v>1995</v>
          </cell>
          <cell r="B386">
            <v>35013</v>
          </cell>
          <cell r="C386" t="str">
            <v>加拿大</v>
          </cell>
          <cell r="D386" t="str">
            <v>饮料</v>
          </cell>
          <cell r="E386">
            <v>134.39999949932098</v>
          </cell>
        </row>
        <row r="387">
          <cell r="A387">
            <v>1995</v>
          </cell>
          <cell r="B387">
            <v>35013</v>
          </cell>
          <cell r="C387" t="str">
            <v>加拿大</v>
          </cell>
          <cell r="D387" t="str">
            <v>糖果</v>
          </cell>
          <cell r="E387">
            <v>399.99999850988388</v>
          </cell>
        </row>
        <row r="388">
          <cell r="A388">
            <v>1995</v>
          </cell>
          <cell r="B388">
            <v>35013</v>
          </cell>
          <cell r="C388" t="str">
            <v>加拿大</v>
          </cell>
          <cell r="D388" t="str">
            <v>乳制品</v>
          </cell>
          <cell r="E388">
            <v>1031.9999961555004</v>
          </cell>
        </row>
        <row r="389">
          <cell r="A389">
            <v>1995</v>
          </cell>
          <cell r="B389">
            <v>35019</v>
          </cell>
          <cell r="C389" t="str">
            <v>加拿大</v>
          </cell>
          <cell r="D389" t="str">
            <v>糖果</v>
          </cell>
          <cell r="E389">
            <v>349</v>
          </cell>
        </row>
        <row r="390">
          <cell r="A390">
            <v>1995</v>
          </cell>
          <cell r="B390">
            <v>35019</v>
          </cell>
          <cell r="C390" t="str">
            <v>加拿大</v>
          </cell>
          <cell r="D390" t="str">
            <v>饮料</v>
          </cell>
          <cell r="E390">
            <v>1104</v>
          </cell>
        </row>
        <row r="391">
          <cell r="A391">
            <v>1995</v>
          </cell>
          <cell r="B391">
            <v>35019</v>
          </cell>
          <cell r="C391" t="str">
            <v>加拿大</v>
          </cell>
          <cell r="D391" t="str">
            <v>乳制品</v>
          </cell>
          <cell r="E391">
            <v>440</v>
          </cell>
        </row>
        <row r="392">
          <cell r="A392">
            <v>1995</v>
          </cell>
          <cell r="B392">
            <v>35020</v>
          </cell>
          <cell r="C392" t="str">
            <v>加拿大</v>
          </cell>
          <cell r="D392" t="str">
            <v>香料</v>
          </cell>
          <cell r="E392">
            <v>85.4</v>
          </cell>
        </row>
        <row r="393">
          <cell r="A393">
            <v>1995</v>
          </cell>
          <cell r="B393">
            <v>35020</v>
          </cell>
          <cell r="C393" t="str">
            <v>加拿大</v>
          </cell>
          <cell r="D393" t="str">
            <v>海洋食品</v>
          </cell>
          <cell r="E393">
            <v>95</v>
          </cell>
        </row>
        <row r="394">
          <cell r="A394">
            <v>1995</v>
          </cell>
          <cell r="B394">
            <v>35024</v>
          </cell>
          <cell r="C394" t="str">
            <v>加拿大</v>
          </cell>
          <cell r="D394" t="str">
            <v>糖果</v>
          </cell>
          <cell r="E394">
            <v>110.4</v>
          </cell>
        </row>
        <row r="395">
          <cell r="A395">
            <v>1995</v>
          </cell>
          <cell r="B395">
            <v>35024</v>
          </cell>
          <cell r="C395" t="str">
            <v>加拿大</v>
          </cell>
          <cell r="D395" t="str">
            <v>海洋食品</v>
          </cell>
          <cell r="E395">
            <v>405.3</v>
          </cell>
        </row>
        <row r="396">
          <cell r="A396">
            <v>1995</v>
          </cell>
          <cell r="B396">
            <v>35024</v>
          </cell>
          <cell r="C396" t="str">
            <v>加拿大</v>
          </cell>
          <cell r="D396" t="str">
            <v>肉/家禽</v>
          </cell>
          <cell r="E396">
            <v>3936</v>
          </cell>
        </row>
        <row r="397">
          <cell r="A397">
            <v>1995</v>
          </cell>
          <cell r="B397">
            <v>35025</v>
          </cell>
          <cell r="C397" t="str">
            <v>加拿大</v>
          </cell>
          <cell r="D397" t="str">
            <v>海洋食品</v>
          </cell>
          <cell r="E397">
            <v>558</v>
          </cell>
        </row>
        <row r="398">
          <cell r="A398">
            <v>1995</v>
          </cell>
          <cell r="B398">
            <v>35025</v>
          </cell>
          <cell r="C398" t="str">
            <v>加拿大</v>
          </cell>
          <cell r="D398" t="str">
            <v>糖果</v>
          </cell>
          <cell r="E398">
            <v>936.9</v>
          </cell>
        </row>
        <row r="399">
          <cell r="A399">
            <v>1995</v>
          </cell>
          <cell r="B399">
            <v>35025</v>
          </cell>
          <cell r="C399" t="str">
            <v>加拿大</v>
          </cell>
          <cell r="D399" t="str">
            <v>海洋食品</v>
          </cell>
          <cell r="E399">
            <v>1045</v>
          </cell>
        </row>
        <row r="400">
          <cell r="A400">
            <v>1995</v>
          </cell>
          <cell r="B400">
            <v>35025</v>
          </cell>
          <cell r="C400" t="str">
            <v>加拿大</v>
          </cell>
          <cell r="D400" t="str">
            <v>海洋食品</v>
          </cell>
          <cell r="E400">
            <v>288</v>
          </cell>
        </row>
        <row r="401">
          <cell r="A401">
            <v>1995</v>
          </cell>
          <cell r="B401">
            <v>35025</v>
          </cell>
          <cell r="C401" t="str">
            <v>加拿大</v>
          </cell>
          <cell r="D401" t="str">
            <v>饮料</v>
          </cell>
          <cell r="E401">
            <v>427.5</v>
          </cell>
        </row>
        <row r="402">
          <cell r="A402">
            <v>1995</v>
          </cell>
          <cell r="B402">
            <v>35025</v>
          </cell>
          <cell r="C402" t="str">
            <v>加拿大</v>
          </cell>
          <cell r="D402" t="str">
            <v>肉/家禽</v>
          </cell>
          <cell r="E402">
            <v>789.75</v>
          </cell>
        </row>
        <row r="403">
          <cell r="A403">
            <v>1995</v>
          </cell>
          <cell r="B403">
            <v>35025</v>
          </cell>
          <cell r="C403" t="str">
            <v>加拿大</v>
          </cell>
          <cell r="D403" t="str">
            <v>糖果</v>
          </cell>
          <cell r="E403">
            <v>356.25</v>
          </cell>
        </row>
        <row r="404">
          <cell r="A404">
            <v>1995</v>
          </cell>
          <cell r="B404">
            <v>35025</v>
          </cell>
          <cell r="C404" t="str">
            <v>加拿大</v>
          </cell>
          <cell r="D404" t="str">
            <v>面食/谷类</v>
          </cell>
          <cell r="E404">
            <v>513</v>
          </cell>
        </row>
        <row r="405">
          <cell r="A405">
            <v>1995</v>
          </cell>
          <cell r="B405">
            <v>35025</v>
          </cell>
          <cell r="C405" t="str">
            <v>加拿大</v>
          </cell>
          <cell r="D405" t="str">
            <v>海洋食品</v>
          </cell>
          <cell r="E405">
            <v>119.25</v>
          </cell>
        </row>
        <row r="406">
          <cell r="A406">
            <v>1995</v>
          </cell>
          <cell r="B406">
            <v>35027</v>
          </cell>
          <cell r="C406" t="str">
            <v>美国</v>
          </cell>
          <cell r="D406" t="str">
            <v>糖果</v>
          </cell>
          <cell r="E406">
            <v>303.99999976158142</v>
          </cell>
        </row>
        <row r="407">
          <cell r="A407">
            <v>1995</v>
          </cell>
          <cell r="B407">
            <v>35027</v>
          </cell>
          <cell r="C407" t="str">
            <v>美国</v>
          </cell>
          <cell r="D407" t="str">
            <v>肉/家禽</v>
          </cell>
          <cell r="E407">
            <v>111.75</v>
          </cell>
        </row>
        <row r="408">
          <cell r="A408">
            <v>1995</v>
          </cell>
          <cell r="B408">
            <v>35027</v>
          </cell>
          <cell r="C408" t="str">
            <v>美国</v>
          </cell>
          <cell r="D408" t="str">
            <v>乳制品</v>
          </cell>
          <cell r="E408">
            <v>854.99999932944775</v>
          </cell>
        </row>
        <row r="409">
          <cell r="A409">
            <v>1995</v>
          </cell>
          <cell r="B409">
            <v>35030</v>
          </cell>
          <cell r="C409" t="str">
            <v>美国</v>
          </cell>
          <cell r="D409" t="str">
            <v>乳制品</v>
          </cell>
          <cell r="E409">
            <v>1368</v>
          </cell>
        </row>
        <row r="410">
          <cell r="A410">
            <v>1995</v>
          </cell>
          <cell r="B410">
            <v>35030</v>
          </cell>
          <cell r="C410" t="str">
            <v>美国</v>
          </cell>
          <cell r="D410" t="str">
            <v>糖果</v>
          </cell>
          <cell r="E410">
            <v>349</v>
          </cell>
        </row>
        <row r="411">
          <cell r="A411">
            <v>1995</v>
          </cell>
          <cell r="B411">
            <v>35030</v>
          </cell>
          <cell r="C411" t="str">
            <v>美国</v>
          </cell>
          <cell r="D411" t="str">
            <v>海洋食品</v>
          </cell>
          <cell r="E411">
            <v>760</v>
          </cell>
        </row>
        <row r="412">
          <cell r="A412">
            <v>1995</v>
          </cell>
          <cell r="B412">
            <v>35030</v>
          </cell>
          <cell r="C412" t="str">
            <v>美国</v>
          </cell>
          <cell r="D412" t="str">
            <v>糖果</v>
          </cell>
          <cell r="E412">
            <v>986</v>
          </cell>
        </row>
        <row r="413">
          <cell r="A413">
            <v>1995</v>
          </cell>
          <cell r="B413">
            <v>35030</v>
          </cell>
          <cell r="C413" t="str">
            <v>加拿大</v>
          </cell>
          <cell r="D413" t="str">
            <v>海洋食品</v>
          </cell>
          <cell r="E413">
            <v>562.5</v>
          </cell>
        </row>
        <row r="414">
          <cell r="A414">
            <v>1995</v>
          </cell>
          <cell r="B414">
            <v>35030</v>
          </cell>
          <cell r="C414" t="str">
            <v>加拿大</v>
          </cell>
          <cell r="D414" t="str">
            <v>海洋食品</v>
          </cell>
          <cell r="E414">
            <v>58.252499999999998</v>
          </cell>
        </row>
        <row r="415">
          <cell r="A415">
            <v>1995</v>
          </cell>
          <cell r="B415">
            <v>35030</v>
          </cell>
          <cell r="C415" t="str">
            <v>加拿大</v>
          </cell>
          <cell r="D415" t="str">
            <v>肉/家禽</v>
          </cell>
          <cell r="E415">
            <v>223.5</v>
          </cell>
        </row>
        <row r="416">
          <cell r="A416">
            <v>1995</v>
          </cell>
          <cell r="B416">
            <v>35032</v>
          </cell>
          <cell r="C416" t="str">
            <v>美国</v>
          </cell>
          <cell r="D416" t="str">
            <v>香料</v>
          </cell>
          <cell r="E416">
            <v>923.87499927543104</v>
          </cell>
        </row>
        <row r="417">
          <cell r="A417">
            <v>1995</v>
          </cell>
          <cell r="B417">
            <v>35032</v>
          </cell>
          <cell r="C417" t="str">
            <v>加拿大</v>
          </cell>
          <cell r="D417" t="str">
            <v>饮料</v>
          </cell>
          <cell r="E417">
            <v>57</v>
          </cell>
        </row>
        <row r="418">
          <cell r="A418">
            <v>1995</v>
          </cell>
          <cell r="B418">
            <v>35032</v>
          </cell>
          <cell r="C418" t="str">
            <v>加拿大</v>
          </cell>
          <cell r="D418" t="str">
            <v>乳制品</v>
          </cell>
          <cell r="E418">
            <v>625</v>
          </cell>
        </row>
        <row r="419">
          <cell r="A419">
            <v>1995</v>
          </cell>
          <cell r="B419">
            <v>35032</v>
          </cell>
          <cell r="C419" t="str">
            <v>加拿大</v>
          </cell>
          <cell r="D419" t="str">
            <v>糖果</v>
          </cell>
          <cell r="E419">
            <v>562.5</v>
          </cell>
        </row>
        <row r="420">
          <cell r="A420">
            <v>1995</v>
          </cell>
          <cell r="B420">
            <v>35032</v>
          </cell>
          <cell r="C420" t="str">
            <v>加拿大</v>
          </cell>
          <cell r="D420" t="str">
            <v>饮料</v>
          </cell>
          <cell r="E420">
            <v>325.5</v>
          </cell>
        </row>
        <row r="421">
          <cell r="A421">
            <v>1995</v>
          </cell>
          <cell r="B421">
            <v>35033</v>
          </cell>
          <cell r="C421" t="str">
            <v>加拿大</v>
          </cell>
          <cell r="D421" t="str">
            <v>糖果</v>
          </cell>
          <cell r="E421">
            <v>468.45</v>
          </cell>
        </row>
        <row r="422">
          <cell r="A422">
            <v>1995</v>
          </cell>
          <cell r="B422">
            <v>35044</v>
          </cell>
          <cell r="C422" t="str">
            <v>加拿大</v>
          </cell>
          <cell r="D422" t="str">
            <v>香料</v>
          </cell>
          <cell r="E422">
            <v>512.99999915063381</v>
          </cell>
        </row>
        <row r="423">
          <cell r="A423">
            <v>1995</v>
          </cell>
          <cell r="B423">
            <v>35044</v>
          </cell>
          <cell r="C423" t="str">
            <v>加拿大</v>
          </cell>
          <cell r="D423" t="str">
            <v>香料</v>
          </cell>
          <cell r="E423">
            <v>23.399999961256981</v>
          </cell>
        </row>
        <row r="424">
          <cell r="A424">
            <v>1995</v>
          </cell>
          <cell r="B424">
            <v>35047</v>
          </cell>
          <cell r="C424" t="str">
            <v>加拿大</v>
          </cell>
          <cell r="D424" t="str">
            <v>农产品</v>
          </cell>
          <cell r="E424">
            <v>182.39999932050705</v>
          </cell>
        </row>
        <row r="425">
          <cell r="A425">
            <v>1995</v>
          </cell>
          <cell r="B425">
            <v>35047</v>
          </cell>
          <cell r="C425" t="str">
            <v>加拿大</v>
          </cell>
          <cell r="D425" t="str">
            <v>饮料</v>
          </cell>
          <cell r="E425">
            <v>503.99999812245369</v>
          </cell>
        </row>
        <row r="426">
          <cell r="A426">
            <v>1995</v>
          </cell>
          <cell r="B426">
            <v>35047</v>
          </cell>
          <cell r="C426" t="str">
            <v>加拿大</v>
          </cell>
          <cell r="D426" t="str">
            <v>海洋食品</v>
          </cell>
          <cell r="E426">
            <v>303.99999886751175</v>
          </cell>
        </row>
        <row r="427">
          <cell r="A427">
            <v>1995</v>
          </cell>
          <cell r="B427">
            <v>35047</v>
          </cell>
          <cell r="C427" t="str">
            <v>加拿大</v>
          </cell>
          <cell r="D427" t="str">
            <v>面食/谷类</v>
          </cell>
          <cell r="E427">
            <v>425.59999841451645</v>
          </cell>
        </row>
        <row r="428">
          <cell r="A428">
            <v>1995</v>
          </cell>
          <cell r="B428">
            <v>35052</v>
          </cell>
          <cell r="C428" t="str">
            <v>美国</v>
          </cell>
          <cell r="D428" t="str">
            <v>海洋食品</v>
          </cell>
          <cell r="E428">
            <v>1500</v>
          </cell>
        </row>
        <row r="429">
          <cell r="A429">
            <v>1995</v>
          </cell>
          <cell r="B429">
            <v>35052</v>
          </cell>
          <cell r="C429" t="str">
            <v>美国</v>
          </cell>
          <cell r="D429" t="str">
            <v>香料</v>
          </cell>
          <cell r="E429">
            <v>311.2</v>
          </cell>
        </row>
        <row r="430">
          <cell r="A430">
            <v>1995</v>
          </cell>
          <cell r="B430">
            <v>35052</v>
          </cell>
          <cell r="C430" t="str">
            <v>美国</v>
          </cell>
          <cell r="D430" t="str">
            <v>乳制品</v>
          </cell>
          <cell r="E430">
            <v>2475</v>
          </cell>
        </row>
        <row r="431">
          <cell r="A431">
            <v>1995</v>
          </cell>
          <cell r="B431">
            <v>35052</v>
          </cell>
          <cell r="C431" t="str">
            <v>美国</v>
          </cell>
          <cell r="D431" t="str">
            <v>乳制品</v>
          </cell>
          <cell r="E431">
            <v>243.6</v>
          </cell>
        </row>
        <row r="432">
          <cell r="A432">
            <v>1995</v>
          </cell>
          <cell r="B432">
            <v>35054</v>
          </cell>
          <cell r="C432" t="str">
            <v>加拿大</v>
          </cell>
          <cell r="D432" t="str">
            <v>面食/谷类</v>
          </cell>
          <cell r="E432">
            <v>396</v>
          </cell>
        </row>
        <row r="433">
          <cell r="A433">
            <v>1995</v>
          </cell>
          <cell r="B433">
            <v>35054</v>
          </cell>
          <cell r="C433" t="str">
            <v>加拿大</v>
          </cell>
          <cell r="D433" t="str">
            <v>海洋食品</v>
          </cell>
          <cell r="E433">
            <v>736</v>
          </cell>
        </row>
        <row r="434">
          <cell r="A434">
            <v>1995</v>
          </cell>
          <cell r="B434">
            <v>35054</v>
          </cell>
          <cell r="C434" t="str">
            <v>加拿大</v>
          </cell>
          <cell r="D434" t="str">
            <v>面食/谷类</v>
          </cell>
          <cell r="E434">
            <v>1064</v>
          </cell>
        </row>
        <row r="435">
          <cell r="A435">
            <v>1995</v>
          </cell>
          <cell r="B435">
            <v>35061</v>
          </cell>
          <cell r="C435" t="str">
            <v>加拿大</v>
          </cell>
          <cell r="D435" t="str">
            <v>海洋食品</v>
          </cell>
          <cell r="E435">
            <v>1049.9999960884452</v>
          </cell>
        </row>
        <row r="436">
          <cell r="A436">
            <v>1995</v>
          </cell>
          <cell r="B436">
            <v>35061</v>
          </cell>
          <cell r="C436" t="str">
            <v>加拿大</v>
          </cell>
          <cell r="D436" t="str">
            <v>海洋食品</v>
          </cell>
          <cell r="E436">
            <v>303.99999886751175</v>
          </cell>
        </row>
        <row r="437">
          <cell r="A437">
            <v>1995</v>
          </cell>
          <cell r="B437">
            <v>35061</v>
          </cell>
          <cell r="C437" t="str">
            <v>加拿大</v>
          </cell>
          <cell r="D437" t="str">
            <v>糖果</v>
          </cell>
          <cell r="E437">
            <v>59.999999776482582</v>
          </cell>
        </row>
        <row r="438">
          <cell r="A438">
            <v>1995</v>
          </cell>
          <cell r="B438">
            <v>35061</v>
          </cell>
          <cell r="C438" t="str">
            <v>加拿大</v>
          </cell>
          <cell r="D438" t="str">
            <v>乳制品</v>
          </cell>
          <cell r="E438">
            <v>575.99999785423279</v>
          </cell>
        </row>
        <row r="439">
          <cell r="A439">
            <v>1995</v>
          </cell>
          <cell r="B439">
            <v>35061</v>
          </cell>
          <cell r="C439" t="str">
            <v>加拿大</v>
          </cell>
          <cell r="D439" t="str">
            <v>饮料</v>
          </cell>
          <cell r="E439">
            <v>420</v>
          </cell>
        </row>
        <row r="440">
          <cell r="A440">
            <v>1995</v>
          </cell>
          <cell r="B440">
            <v>35061</v>
          </cell>
          <cell r="C440" t="str">
            <v>加拿大</v>
          </cell>
          <cell r="D440" t="str">
            <v>乳制品</v>
          </cell>
          <cell r="E440">
            <v>385</v>
          </cell>
        </row>
        <row r="441">
          <cell r="A441">
            <v>1995</v>
          </cell>
          <cell r="B441">
            <v>35061</v>
          </cell>
          <cell r="C441" t="str">
            <v>加拿大</v>
          </cell>
          <cell r="D441" t="str">
            <v>糖果</v>
          </cell>
          <cell r="E441">
            <v>1479</v>
          </cell>
        </row>
        <row r="442">
          <cell r="A442">
            <v>1995</v>
          </cell>
          <cell r="B442">
            <v>35061</v>
          </cell>
          <cell r="C442" t="str">
            <v>加拿大</v>
          </cell>
          <cell r="D442" t="str">
            <v>面食/谷类</v>
          </cell>
          <cell r="E442">
            <v>798</v>
          </cell>
        </row>
        <row r="443">
          <cell r="A443">
            <v>1996</v>
          </cell>
          <cell r="B443">
            <v>35066</v>
          </cell>
          <cell r="C443" t="str">
            <v>加拿大</v>
          </cell>
          <cell r="D443" t="str">
            <v>糖果</v>
          </cell>
          <cell r="E443">
            <v>367.5</v>
          </cell>
        </row>
        <row r="444">
          <cell r="A444">
            <v>1996</v>
          </cell>
          <cell r="B444">
            <v>35066</v>
          </cell>
          <cell r="C444" t="str">
            <v>加拿大</v>
          </cell>
          <cell r="D444" t="str">
            <v>饮料</v>
          </cell>
          <cell r="E444">
            <v>139.5</v>
          </cell>
        </row>
        <row r="445">
          <cell r="A445">
            <v>1996</v>
          </cell>
          <cell r="B445">
            <v>35068</v>
          </cell>
          <cell r="C445" t="str">
            <v>美国</v>
          </cell>
          <cell r="D445" t="str">
            <v>香料</v>
          </cell>
          <cell r="E445">
            <v>1515.5999974906445</v>
          </cell>
        </row>
        <row r="446">
          <cell r="A446">
            <v>1996</v>
          </cell>
          <cell r="B446">
            <v>35069</v>
          </cell>
          <cell r="C446" t="str">
            <v>美国</v>
          </cell>
          <cell r="D446" t="str">
            <v>饮料</v>
          </cell>
          <cell r="E446">
            <v>760</v>
          </cell>
        </row>
        <row r="447">
          <cell r="A447">
            <v>1996</v>
          </cell>
          <cell r="B447">
            <v>35069</v>
          </cell>
          <cell r="C447" t="str">
            <v>美国</v>
          </cell>
          <cell r="D447" t="str">
            <v>农产品</v>
          </cell>
          <cell r="E447">
            <v>1050</v>
          </cell>
        </row>
        <row r="448">
          <cell r="A448">
            <v>1996</v>
          </cell>
          <cell r="B448">
            <v>35069</v>
          </cell>
          <cell r="C448" t="str">
            <v>美国</v>
          </cell>
          <cell r="D448" t="str">
            <v>糖果</v>
          </cell>
          <cell r="E448">
            <v>500</v>
          </cell>
        </row>
        <row r="449">
          <cell r="A449">
            <v>1996</v>
          </cell>
          <cell r="B449">
            <v>35074</v>
          </cell>
          <cell r="C449" t="str">
            <v>美国</v>
          </cell>
          <cell r="D449" t="str">
            <v>肉/家禽</v>
          </cell>
          <cell r="E449">
            <v>2228.2199999999998</v>
          </cell>
        </row>
        <row r="450">
          <cell r="A450">
            <v>1996</v>
          </cell>
          <cell r="B450">
            <v>35074</v>
          </cell>
          <cell r="C450" t="str">
            <v>美国</v>
          </cell>
          <cell r="D450" t="str">
            <v>乳制品</v>
          </cell>
          <cell r="E450">
            <v>1375</v>
          </cell>
        </row>
        <row r="451">
          <cell r="A451">
            <v>1996</v>
          </cell>
          <cell r="B451">
            <v>35076</v>
          </cell>
          <cell r="C451" t="str">
            <v>加拿大</v>
          </cell>
          <cell r="D451" t="str">
            <v>海洋食品</v>
          </cell>
          <cell r="E451">
            <v>186</v>
          </cell>
        </row>
        <row r="452">
          <cell r="A452">
            <v>1996</v>
          </cell>
          <cell r="B452">
            <v>35076</v>
          </cell>
          <cell r="C452" t="str">
            <v>加拿大</v>
          </cell>
          <cell r="D452" t="str">
            <v>饮料</v>
          </cell>
          <cell r="E452">
            <v>42</v>
          </cell>
        </row>
        <row r="453">
          <cell r="A453">
            <v>1996</v>
          </cell>
          <cell r="B453">
            <v>35080</v>
          </cell>
          <cell r="C453" t="str">
            <v>美国</v>
          </cell>
          <cell r="D453" t="str">
            <v>糖果</v>
          </cell>
          <cell r="E453">
            <v>349</v>
          </cell>
        </row>
        <row r="454">
          <cell r="A454">
            <v>1996</v>
          </cell>
          <cell r="B454">
            <v>35080</v>
          </cell>
          <cell r="C454" t="str">
            <v>美国</v>
          </cell>
          <cell r="D454" t="str">
            <v>糖果</v>
          </cell>
          <cell r="E454">
            <v>986</v>
          </cell>
        </row>
        <row r="455">
          <cell r="A455">
            <v>1996</v>
          </cell>
          <cell r="B455">
            <v>35086</v>
          </cell>
          <cell r="C455" t="str">
            <v>美国</v>
          </cell>
          <cell r="D455" t="str">
            <v>糖果</v>
          </cell>
          <cell r="E455">
            <v>436.99999965727329</v>
          </cell>
        </row>
        <row r="456">
          <cell r="A456">
            <v>1996</v>
          </cell>
          <cell r="B456">
            <v>35086</v>
          </cell>
          <cell r="C456" t="str">
            <v>美国</v>
          </cell>
          <cell r="D456" t="str">
            <v>饮料</v>
          </cell>
          <cell r="E456">
            <v>294.499999769032</v>
          </cell>
        </row>
        <row r="457">
          <cell r="A457">
            <v>1996</v>
          </cell>
          <cell r="B457">
            <v>35087</v>
          </cell>
          <cell r="C457" t="str">
            <v>美国</v>
          </cell>
          <cell r="D457" t="str">
            <v>肉/家禽</v>
          </cell>
          <cell r="E457">
            <v>1646.4069987087696</v>
          </cell>
        </row>
        <row r="458">
          <cell r="A458">
            <v>1996</v>
          </cell>
          <cell r="B458">
            <v>35087</v>
          </cell>
          <cell r="C458" t="str">
            <v>美国</v>
          </cell>
          <cell r="D458" t="str">
            <v>海洋食品</v>
          </cell>
          <cell r="E458">
            <v>183.34999985620379</v>
          </cell>
        </row>
        <row r="459">
          <cell r="A459">
            <v>1996</v>
          </cell>
          <cell r="B459">
            <v>35089</v>
          </cell>
          <cell r="C459" t="str">
            <v>美国</v>
          </cell>
          <cell r="D459" t="str">
            <v>乳制品</v>
          </cell>
          <cell r="E459">
            <v>420</v>
          </cell>
        </row>
        <row r="460">
          <cell r="A460">
            <v>1996</v>
          </cell>
          <cell r="B460">
            <v>35090</v>
          </cell>
          <cell r="C460" t="str">
            <v>美国</v>
          </cell>
          <cell r="D460" t="str">
            <v>海洋食品</v>
          </cell>
          <cell r="E460">
            <v>101.99999928474426</v>
          </cell>
        </row>
        <row r="461">
          <cell r="A461">
            <v>1996</v>
          </cell>
          <cell r="B461">
            <v>35090</v>
          </cell>
          <cell r="C461" t="str">
            <v>美国</v>
          </cell>
          <cell r="D461" t="str">
            <v>饮料</v>
          </cell>
          <cell r="E461">
            <v>76.499999463558197</v>
          </cell>
        </row>
        <row r="462">
          <cell r="A462">
            <v>1996</v>
          </cell>
          <cell r="B462">
            <v>35090</v>
          </cell>
          <cell r="C462" t="str">
            <v>美国</v>
          </cell>
          <cell r="D462" t="str">
            <v>乳制品</v>
          </cell>
          <cell r="E462">
            <v>1375</v>
          </cell>
        </row>
        <row r="463">
          <cell r="A463">
            <v>1996</v>
          </cell>
          <cell r="B463">
            <v>35094</v>
          </cell>
          <cell r="C463" t="str">
            <v>加拿大</v>
          </cell>
          <cell r="D463" t="str">
            <v>饮料</v>
          </cell>
          <cell r="E463">
            <v>140</v>
          </cell>
        </row>
        <row r="464">
          <cell r="A464">
            <v>1996</v>
          </cell>
          <cell r="B464">
            <v>35094</v>
          </cell>
          <cell r="C464" t="str">
            <v>加拿大</v>
          </cell>
          <cell r="D464" t="str">
            <v>饮料</v>
          </cell>
          <cell r="E464">
            <v>2635</v>
          </cell>
        </row>
        <row r="465">
          <cell r="A465">
            <v>1996</v>
          </cell>
          <cell r="B465">
            <v>35096</v>
          </cell>
          <cell r="C465" t="str">
            <v>加拿大</v>
          </cell>
          <cell r="D465" t="str">
            <v>面食/谷类</v>
          </cell>
          <cell r="E465">
            <v>645.999995470047</v>
          </cell>
        </row>
        <row r="466">
          <cell r="A466">
            <v>1996</v>
          </cell>
          <cell r="B466">
            <v>35096</v>
          </cell>
          <cell r="C466" t="str">
            <v>加拿大</v>
          </cell>
          <cell r="D466" t="str">
            <v>饮料</v>
          </cell>
          <cell r="E466">
            <v>764.99999463558197</v>
          </cell>
        </row>
        <row r="467">
          <cell r="A467">
            <v>1996</v>
          </cell>
          <cell r="B467">
            <v>35100</v>
          </cell>
          <cell r="C467" t="str">
            <v>加拿大</v>
          </cell>
          <cell r="D467" t="str">
            <v>乳制品</v>
          </cell>
          <cell r="E467">
            <v>40</v>
          </cell>
        </row>
        <row r="468">
          <cell r="A468">
            <v>1996</v>
          </cell>
          <cell r="B468">
            <v>35101</v>
          </cell>
          <cell r="C468" t="str">
            <v>加拿大</v>
          </cell>
          <cell r="D468" t="str">
            <v>饮料</v>
          </cell>
          <cell r="E468">
            <v>7509.749994110316</v>
          </cell>
        </row>
        <row r="469">
          <cell r="A469">
            <v>1996</v>
          </cell>
          <cell r="B469">
            <v>35101</v>
          </cell>
          <cell r="C469" t="str">
            <v>加拿大</v>
          </cell>
          <cell r="D469" t="str">
            <v>糖果</v>
          </cell>
          <cell r="E469">
            <v>936.69999926537275</v>
          </cell>
        </row>
        <row r="470">
          <cell r="A470">
            <v>1996</v>
          </cell>
          <cell r="B470">
            <v>35101</v>
          </cell>
          <cell r="C470" t="str">
            <v>美国</v>
          </cell>
          <cell r="D470" t="str">
            <v>糖果</v>
          </cell>
          <cell r="E470">
            <v>1061.8199925541878</v>
          </cell>
        </row>
        <row r="471">
          <cell r="A471">
            <v>1996</v>
          </cell>
          <cell r="B471">
            <v>35101</v>
          </cell>
          <cell r="C471" t="str">
            <v>美国</v>
          </cell>
          <cell r="D471" t="str">
            <v>饮料</v>
          </cell>
          <cell r="E471">
            <v>7905</v>
          </cell>
        </row>
        <row r="472">
          <cell r="A472">
            <v>1996</v>
          </cell>
          <cell r="B472">
            <v>35101</v>
          </cell>
          <cell r="C472" t="str">
            <v>美国</v>
          </cell>
          <cell r="D472" t="str">
            <v>海洋食品</v>
          </cell>
          <cell r="E472">
            <v>938.39999341964722</v>
          </cell>
        </row>
        <row r="473">
          <cell r="A473">
            <v>1996</v>
          </cell>
          <cell r="B473">
            <v>35101</v>
          </cell>
          <cell r="C473" t="str">
            <v>美国</v>
          </cell>
          <cell r="D473" t="str">
            <v>糖果</v>
          </cell>
          <cell r="E473">
            <v>1047.6249926537275</v>
          </cell>
        </row>
        <row r="474">
          <cell r="A474">
            <v>1996</v>
          </cell>
          <cell r="B474">
            <v>35102</v>
          </cell>
          <cell r="C474" t="str">
            <v>加拿大</v>
          </cell>
          <cell r="D474" t="str">
            <v>面食/谷类</v>
          </cell>
          <cell r="E474">
            <v>1140</v>
          </cell>
        </row>
        <row r="475">
          <cell r="A475">
            <v>1996</v>
          </cell>
          <cell r="B475">
            <v>35103</v>
          </cell>
          <cell r="C475" t="str">
            <v>加拿大</v>
          </cell>
          <cell r="D475" t="str">
            <v>饮料</v>
          </cell>
          <cell r="E475">
            <v>360</v>
          </cell>
        </row>
        <row r="476">
          <cell r="A476">
            <v>1996</v>
          </cell>
          <cell r="B476">
            <v>35103</v>
          </cell>
          <cell r="C476" t="str">
            <v>加拿大</v>
          </cell>
          <cell r="D476" t="str">
            <v>农产品</v>
          </cell>
          <cell r="E476">
            <v>318</v>
          </cell>
        </row>
        <row r="477">
          <cell r="A477">
            <v>1996</v>
          </cell>
          <cell r="B477">
            <v>35103</v>
          </cell>
          <cell r="C477" t="str">
            <v>加拿大</v>
          </cell>
          <cell r="D477" t="str">
            <v>糖果</v>
          </cell>
          <cell r="E477">
            <v>147.9</v>
          </cell>
        </row>
        <row r="478">
          <cell r="A478">
            <v>1996</v>
          </cell>
          <cell r="B478">
            <v>35103</v>
          </cell>
          <cell r="C478" t="str">
            <v>加拿大</v>
          </cell>
          <cell r="D478" t="str">
            <v>饮料</v>
          </cell>
          <cell r="E478">
            <v>90</v>
          </cell>
        </row>
        <row r="479">
          <cell r="A479">
            <v>1996</v>
          </cell>
          <cell r="B479">
            <v>35104</v>
          </cell>
          <cell r="C479" t="str">
            <v>美国</v>
          </cell>
          <cell r="D479" t="str">
            <v>糖果</v>
          </cell>
          <cell r="E479">
            <v>374.76</v>
          </cell>
        </row>
        <row r="480">
          <cell r="A480">
            <v>1996</v>
          </cell>
          <cell r="B480">
            <v>35104</v>
          </cell>
          <cell r="C480" t="str">
            <v>美国</v>
          </cell>
          <cell r="D480" t="str">
            <v>肉/家禽</v>
          </cell>
          <cell r="E480">
            <v>656</v>
          </cell>
        </row>
        <row r="481">
          <cell r="A481">
            <v>1996</v>
          </cell>
          <cell r="B481">
            <v>35110</v>
          </cell>
          <cell r="C481" t="str">
            <v>美国</v>
          </cell>
          <cell r="D481" t="str">
            <v>农产品</v>
          </cell>
          <cell r="E481">
            <v>539.99999910593033</v>
          </cell>
        </row>
        <row r="482">
          <cell r="A482">
            <v>1996</v>
          </cell>
          <cell r="B482">
            <v>35110</v>
          </cell>
          <cell r="C482" t="str">
            <v>美国</v>
          </cell>
          <cell r="D482" t="str">
            <v>乳制品</v>
          </cell>
          <cell r="E482">
            <v>101.24999983236194</v>
          </cell>
        </row>
        <row r="483">
          <cell r="A483">
            <v>1996</v>
          </cell>
          <cell r="B483">
            <v>35110</v>
          </cell>
          <cell r="C483" t="str">
            <v>美国</v>
          </cell>
          <cell r="D483" t="str">
            <v>肉/家禽</v>
          </cell>
          <cell r="E483">
            <v>265.67999956011772</v>
          </cell>
        </row>
        <row r="484">
          <cell r="A484">
            <v>1996</v>
          </cell>
          <cell r="B484">
            <v>35116</v>
          </cell>
          <cell r="C484" t="str">
            <v>美国</v>
          </cell>
          <cell r="D484" t="str">
            <v>面食/谷类</v>
          </cell>
          <cell r="E484">
            <v>566.99999906122684</v>
          </cell>
        </row>
        <row r="485">
          <cell r="A485">
            <v>1996</v>
          </cell>
          <cell r="B485">
            <v>35116</v>
          </cell>
          <cell r="C485" t="str">
            <v>美国</v>
          </cell>
          <cell r="D485" t="str">
            <v>饮料</v>
          </cell>
          <cell r="E485">
            <v>404.99999932944775</v>
          </cell>
        </row>
        <row r="486">
          <cell r="A486">
            <v>1996</v>
          </cell>
          <cell r="B486">
            <v>35116</v>
          </cell>
          <cell r="C486" t="str">
            <v>美国</v>
          </cell>
          <cell r="D486" t="str">
            <v>面食/谷类</v>
          </cell>
          <cell r="E486">
            <v>529.19999912381172</v>
          </cell>
        </row>
        <row r="487">
          <cell r="A487">
            <v>1996</v>
          </cell>
          <cell r="B487">
            <v>35116</v>
          </cell>
          <cell r="C487" t="str">
            <v>美国</v>
          </cell>
          <cell r="D487" t="str">
            <v>海洋食品</v>
          </cell>
          <cell r="E487">
            <v>715.49999881535769</v>
          </cell>
        </row>
        <row r="488">
          <cell r="A488">
            <v>1996</v>
          </cell>
          <cell r="B488">
            <v>35116</v>
          </cell>
          <cell r="C488" t="str">
            <v>美国</v>
          </cell>
          <cell r="D488" t="str">
            <v>面食/谷类</v>
          </cell>
          <cell r="E488">
            <v>1596</v>
          </cell>
        </row>
        <row r="489">
          <cell r="A489">
            <v>1996</v>
          </cell>
          <cell r="B489">
            <v>35117</v>
          </cell>
          <cell r="C489" t="str">
            <v>加拿大</v>
          </cell>
          <cell r="D489" t="str">
            <v>饮料</v>
          </cell>
          <cell r="E489">
            <v>1151.9999957084656</v>
          </cell>
        </row>
        <row r="490">
          <cell r="A490">
            <v>1996</v>
          </cell>
          <cell r="B490">
            <v>35117</v>
          </cell>
          <cell r="C490" t="str">
            <v>加拿大</v>
          </cell>
          <cell r="D490" t="str">
            <v>糖果</v>
          </cell>
          <cell r="E490">
            <v>88.319999670982369</v>
          </cell>
        </row>
        <row r="491">
          <cell r="A491">
            <v>1996</v>
          </cell>
          <cell r="B491">
            <v>35117</v>
          </cell>
          <cell r="C491" t="str">
            <v>加拿大</v>
          </cell>
          <cell r="D491" t="str">
            <v>海洋食品</v>
          </cell>
          <cell r="E491">
            <v>1247.9999953508377</v>
          </cell>
        </row>
        <row r="492">
          <cell r="A492">
            <v>1996</v>
          </cell>
          <cell r="B492">
            <v>35117</v>
          </cell>
          <cell r="C492" t="str">
            <v>加拿大</v>
          </cell>
          <cell r="D492" t="str">
            <v>海洋食品</v>
          </cell>
          <cell r="E492">
            <v>273.59999898076057</v>
          </cell>
        </row>
        <row r="493">
          <cell r="A493">
            <v>1996</v>
          </cell>
          <cell r="B493">
            <v>35117</v>
          </cell>
          <cell r="C493" t="str">
            <v>加拿大</v>
          </cell>
          <cell r="D493" t="str">
            <v>乳制品</v>
          </cell>
          <cell r="E493">
            <v>1223.9999954402447</v>
          </cell>
        </row>
        <row r="494">
          <cell r="A494">
            <v>1996</v>
          </cell>
          <cell r="B494">
            <v>35117</v>
          </cell>
          <cell r="C494" t="str">
            <v>加拿大</v>
          </cell>
          <cell r="D494" t="str">
            <v>乳制品</v>
          </cell>
          <cell r="E494">
            <v>945.99999647587538</v>
          </cell>
        </row>
        <row r="495">
          <cell r="A495">
            <v>1996</v>
          </cell>
          <cell r="B495">
            <v>35118</v>
          </cell>
          <cell r="C495" t="str">
            <v>美国</v>
          </cell>
          <cell r="D495" t="str">
            <v>香料</v>
          </cell>
          <cell r="E495">
            <v>490</v>
          </cell>
        </row>
        <row r="496">
          <cell r="A496">
            <v>1996</v>
          </cell>
          <cell r="B496">
            <v>35118</v>
          </cell>
          <cell r="C496" t="str">
            <v>美国</v>
          </cell>
          <cell r="D496" t="str">
            <v>糖果</v>
          </cell>
          <cell r="E496">
            <v>477.81899664938447</v>
          </cell>
        </row>
        <row r="497">
          <cell r="A497">
            <v>1996</v>
          </cell>
          <cell r="B497">
            <v>35121</v>
          </cell>
          <cell r="C497" t="str">
            <v>加拿大</v>
          </cell>
          <cell r="D497" t="str">
            <v>饮料</v>
          </cell>
          <cell r="E497">
            <v>285</v>
          </cell>
        </row>
        <row r="498">
          <cell r="A498">
            <v>1996</v>
          </cell>
          <cell r="B498">
            <v>35121</v>
          </cell>
          <cell r="C498" t="str">
            <v>加拿大</v>
          </cell>
          <cell r="D498" t="str">
            <v>肉/家禽</v>
          </cell>
          <cell r="E498">
            <v>234</v>
          </cell>
        </row>
        <row r="499">
          <cell r="A499">
            <v>1996</v>
          </cell>
          <cell r="B499">
            <v>35121</v>
          </cell>
          <cell r="C499" t="str">
            <v>加拿大</v>
          </cell>
          <cell r="D499" t="str">
            <v>糖果</v>
          </cell>
          <cell r="E499">
            <v>2465</v>
          </cell>
        </row>
        <row r="500">
          <cell r="A500">
            <v>1996</v>
          </cell>
          <cell r="B500">
            <v>35122</v>
          </cell>
          <cell r="C500" t="str">
            <v>美国</v>
          </cell>
          <cell r="D500" t="str">
            <v>海洋食品</v>
          </cell>
          <cell r="E500">
            <v>625</v>
          </cell>
        </row>
        <row r="501">
          <cell r="A501">
            <v>1996</v>
          </cell>
          <cell r="B501">
            <v>35122</v>
          </cell>
          <cell r="C501" t="str">
            <v>加拿大</v>
          </cell>
          <cell r="D501" t="str">
            <v>糖果</v>
          </cell>
          <cell r="E501">
            <v>872.5</v>
          </cell>
        </row>
        <row r="502">
          <cell r="A502">
            <v>1996</v>
          </cell>
          <cell r="B502">
            <v>35122</v>
          </cell>
          <cell r="C502" t="str">
            <v>加拿大</v>
          </cell>
          <cell r="D502" t="str">
            <v>乳制品</v>
          </cell>
          <cell r="E502">
            <v>175</v>
          </cell>
        </row>
        <row r="503">
          <cell r="A503">
            <v>1996</v>
          </cell>
          <cell r="B503">
            <v>35122</v>
          </cell>
          <cell r="C503" t="str">
            <v>加拿大</v>
          </cell>
          <cell r="D503" t="str">
            <v>面食/谷类</v>
          </cell>
          <cell r="E503">
            <v>912</v>
          </cell>
        </row>
        <row r="504">
          <cell r="A504">
            <v>1996</v>
          </cell>
          <cell r="B504">
            <v>35122</v>
          </cell>
          <cell r="C504" t="str">
            <v>加拿大</v>
          </cell>
          <cell r="D504" t="str">
            <v>香料</v>
          </cell>
          <cell r="E504">
            <v>268.38749811798334</v>
          </cell>
        </row>
        <row r="505">
          <cell r="A505">
            <v>1996</v>
          </cell>
          <cell r="B505">
            <v>35124</v>
          </cell>
          <cell r="C505" t="str">
            <v>美国</v>
          </cell>
          <cell r="D505" t="str">
            <v>饮料</v>
          </cell>
          <cell r="E505">
            <v>135</v>
          </cell>
        </row>
        <row r="506">
          <cell r="A506">
            <v>1996</v>
          </cell>
          <cell r="B506">
            <v>35124</v>
          </cell>
          <cell r="C506" t="str">
            <v>美国</v>
          </cell>
          <cell r="D506" t="str">
            <v>肉/家禽</v>
          </cell>
          <cell r="E506">
            <v>195.5625</v>
          </cell>
        </row>
        <row r="507">
          <cell r="A507">
            <v>1996</v>
          </cell>
          <cell r="B507">
            <v>35124</v>
          </cell>
          <cell r="C507" t="str">
            <v>美国</v>
          </cell>
          <cell r="D507" t="str">
            <v>面食/谷类</v>
          </cell>
          <cell r="E507">
            <v>748.125</v>
          </cell>
        </row>
        <row r="508">
          <cell r="A508">
            <v>1996</v>
          </cell>
          <cell r="B508">
            <v>35125</v>
          </cell>
          <cell r="C508" t="str">
            <v>加拿大</v>
          </cell>
          <cell r="D508" t="str">
            <v>肉/家禽</v>
          </cell>
          <cell r="E508">
            <v>1638</v>
          </cell>
        </row>
        <row r="509">
          <cell r="A509">
            <v>1996</v>
          </cell>
          <cell r="B509">
            <v>35125</v>
          </cell>
          <cell r="C509" t="str">
            <v>加拿大</v>
          </cell>
          <cell r="D509" t="str">
            <v>海洋食品</v>
          </cell>
          <cell r="E509">
            <v>1250</v>
          </cell>
        </row>
        <row r="510">
          <cell r="A510">
            <v>1996</v>
          </cell>
          <cell r="B510">
            <v>35125</v>
          </cell>
          <cell r="C510" t="str">
            <v>加拿大</v>
          </cell>
          <cell r="D510" t="str">
            <v>糖果</v>
          </cell>
          <cell r="E510">
            <v>400</v>
          </cell>
        </row>
        <row r="511">
          <cell r="A511">
            <v>1996</v>
          </cell>
          <cell r="B511">
            <v>35125</v>
          </cell>
          <cell r="C511" t="str">
            <v>加拿大</v>
          </cell>
          <cell r="D511" t="str">
            <v>乳制品</v>
          </cell>
          <cell r="E511">
            <v>87.5</v>
          </cell>
        </row>
        <row r="512">
          <cell r="A512">
            <v>1996</v>
          </cell>
          <cell r="B512">
            <v>35125</v>
          </cell>
          <cell r="C512" t="str">
            <v>加拿大</v>
          </cell>
          <cell r="D512" t="str">
            <v>糖果</v>
          </cell>
          <cell r="E512">
            <v>147.9</v>
          </cell>
        </row>
        <row r="513">
          <cell r="A513">
            <v>1996</v>
          </cell>
          <cell r="B513">
            <v>35125</v>
          </cell>
          <cell r="C513" t="str">
            <v>美国</v>
          </cell>
          <cell r="D513" t="str">
            <v>乳制品</v>
          </cell>
          <cell r="E513">
            <v>525</v>
          </cell>
        </row>
        <row r="514">
          <cell r="A514">
            <v>1996</v>
          </cell>
          <cell r="B514">
            <v>35125</v>
          </cell>
          <cell r="C514" t="str">
            <v>美国</v>
          </cell>
          <cell r="D514" t="str">
            <v>面食/谷类</v>
          </cell>
          <cell r="E514">
            <v>56</v>
          </cell>
        </row>
        <row r="515">
          <cell r="A515">
            <v>1996</v>
          </cell>
          <cell r="B515">
            <v>35128</v>
          </cell>
          <cell r="C515" t="str">
            <v>美国</v>
          </cell>
          <cell r="D515" t="str">
            <v>饮料</v>
          </cell>
          <cell r="E515">
            <v>15019.499988220632</v>
          </cell>
        </row>
        <row r="516">
          <cell r="A516">
            <v>1996</v>
          </cell>
          <cell r="B516">
            <v>35128</v>
          </cell>
          <cell r="C516" t="str">
            <v>美国</v>
          </cell>
          <cell r="D516" t="str">
            <v>饮料</v>
          </cell>
          <cell r="E516">
            <v>1367.9999989271164</v>
          </cell>
        </row>
        <row r="517">
          <cell r="A517">
            <v>1996</v>
          </cell>
          <cell r="B517">
            <v>35129</v>
          </cell>
          <cell r="C517" t="str">
            <v>加拿大</v>
          </cell>
          <cell r="D517" t="str">
            <v>肉/家禽</v>
          </cell>
          <cell r="E517">
            <v>98.4</v>
          </cell>
        </row>
        <row r="518">
          <cell r="A518">
            <v>1996</v>
          </cell>
          <cell r="B518">
            <v>35136</v>
          </cell>
          <cell r="C518" t="str">
            <v>美国</v>
          </cell>
          <cell r="D518" t="str">
            <v>糖果</v>
          </cell>
          <cell r="E518">
            <v>1538.9999987930059</v>
          </cell>
        </row>
        <row r="519">
          <cell r="A519">
            <v>1996</v>
          </cell>
          <cell r="B519">
            <v>35137</v>
          </cell>
          <cell r="C519" t="str">
            <v>加拿大</v>
          </cell>
          <cell r="D519" t="str">
            <v>面食/谷类</v>
          </cell>
          <cell r="E519">
            <v>350</v>
          </cell>
        </row>
        <row r="520">
          <cell r="A520">
            <v>1996</v>
          </cell>
          <cell r="B520">
            <v>35137</v>
          </cell>
          <cell r="C520" t="str">
            <v>加拿大</v>
          </cell>
          <cell r="D520" t="str">
            <v>糖果</v>
          </cell>
          <cell r="E520">
            <v>339.99999761581421</v>
          </cell>
        </row>
        <row r="521">
          <cell r="A521">
            <v>1996</v>
          </cell>
          <cell r="B521">
            <v>35137</v>
          </cell>
          <cell r="C521" t="str">
            <v>加拿大</v>
          </cell>
          <cell r="D521" t="str">
            <v>肉/家禽</v>
          </cell>
          <cell r="E521">
            <v>202.63999857902527</v>
          </cell>
        </row>
        <row r="522">
          <cell r="A522">
            <v>1996</v>
          </cell>
          <cell r="B522">
            <v>35138</v>
          </cell>
          <cell r="C522" t="str">
            <v>加拿大</v>
          </cell>
          <cell r="D522" t="str">
            <v>饮料</v>
          </cell>
          <cell r="E522">
            <v>36</v>
          </cell>
        </row>
        <row r="523">
          <cell r="A523">
            <v>1996</v>
          </cell>
          <cell r="B523">
            <v>35138</v>
          </cell>
          <cell r="C523" t="str">
            <v>加拿大</v>
          </cell>
          <cell r="D523" t="str">
            <v>糖果</v>
          </cell>
          <cell r="E523">
            <v>379.99999970197678</v>
          </cell>
        </row>
        <row r="524">
          <cell r="A524">
            <v>1996</v>
          </cell>
          <cell r="B524">
            <v>35138</v>
          </cell>
          <cell r="C524" t="str">
            <v>加拿大</v>
          </cell>
          <cell r="D524" t="str">
            <v>面食/谷类</v>
          </cell>
          <cell r="E524">
            <v>758.09999940544367</v>
          </cell>
        </row>
        <row r="525">
          <cell r="A525">
            <v>1996</v>
          </cell>
          <cell r="B525">
            <v>35138</v>
          </cell>
          <cell r="C525" t="str">
            <v>加拿大</v>
          </cell>
          <cell r="D525" t="str">
            <v>香料</v>
          </cell>
          <cell r="E525">
            <v>239.96999981179832</v>
          </cell>
        </row>
        <row r="526">
          <cell r="A526">
            <v>1996</v>
          </cell>
          <cell r="B526">
            <v>35142</v>
          </cell>
          <cell r="C526" t="str">
            <v>加拿大</v>
          </cell>
          <cell r="D526" t="str">
            <v>乳制品</v>
          </cell>
          <cell r="E526">
            <v>840</v>
          </cell>
        </row>
        <row r="527">
          <cell r="A527">
            <v>1996</v>
          </cell>
          <cell r="B527">
            <v>35142</v>
          </cell>
          <cell r="C527" t="str">
            <v>加拿大</v>
          </cell>
          <cell r="D527" t="str">
            <v>饮料</v>
          </cell>
          <cell r="E527">
            <v>10540</v>
          </cell>
        </row>
        <row r="528">
          <cell r="A528">
            <v>1996</v>
          </cell>
          <cell r="B528">
            <v>35143</v>
          </cell>
          <cell r="C528" t="str">
            <v>美国</v>
          </cell>
          <cell r="D528" t="str">
            <v>海洋食品</v>
          </cell>
          <cell r="E528">
            <v>368.93249971065671</v>
          </cell>
        </row>
        <row r="529">
          <cell r="A529">
            <v>1996</v>
          </cell>
          <cell r="B529">
            <v>35144</v>
          </cell>
          <cell r="C529" t="str">
            <v>美国</v>
          </cell>
          <cell r="D529" t="str">
            <v>香料</v>
          </cell>
          <cell r="E529">
            <v>1200</v>
          </cell>
        </row>
        <row r="530">
          <cell r="A530">
            <v>1996</v>
          </cell>
          <cell r="B530">
            <v>35144</v>
          </cell>
          <cell r="C530" t="str">
            <v>美国</v>
          </cell>
          <cell r="D530" t="str">
            <v>饮料</v>
          </cell>
          <cell r="E530">
            <v>45</v>
          </cell>
        </row>
        <row r="531">
          <cell r="A531">
            <v>1996</v>
          </cell>
          <cell r="B531">
            <v>35144</v>
          </cell>
          <cell r="C531" t="str">
            <v>美国</v>
          </cell>
          <cell r="D531" t="str">
            <v>肉/家禽</v>
          </cell>
          <cell r="E531">
            <v>2970.96</v>
          </cell>
        </row>
        <row r="532">
          <cell r="A532">
            <v>1996</v>
          </cell>
          <cell r="B532">
            <v>35144</v>
          </cell>
          <cell r="C532" t="str">
            <v>美国</v>
          </cell>
          <cell r="D532" t="str">
            <v>海洋食品</v>
          </cell>
          <cell r="E532">
            <v>906.15</v>
          </cell>
        </row>
        <row r="533">
          <cell r="A533">
            <v>1996</v>
          </cell>
          <cell r="B533">
            <v>35144</v>
          </cell>
          <cell r="C533" t="str">
            <v>美国</v>
          </cell>
          <cell r="D533" t="str">
            <v>海洋食品</v>
          </cell>
          <cell r="E533">
            <v>380</v>
          </cell>
        </row>
        <row r="534">
          <cell r="A534">
            <v>1996</v>
          </cell>
          <cell r="B534">
            <v>35144</v>
          </cell>
          <cell r="C534" t="str">
            <v>加拿大</v>
          </cell>
          <cell r="D534" t="str">
            <v>海洋食品</v>
          </cell>
          <cell r="E534">
            <v>159.59999987483025</v>
          </cell>
        </row>
        <row r="535">
          <cell r="A535">
            <v>1996</v>
          </cell>
          <cell r="B535">
            <v>35144</v>
          </cell>
          <cell r="C535" t="str">
            <v>加拿大</v>
          </cell>
          <cell r="D535" t="str">
            <v>乳制品</v>
          </cell>
          <cell r="E535">
            <v>1709.9999986588955</v>
          </cell>
        </row>
        <row r="536">
          <cell r="A536">
            <v>1996</v>
          </cell>
          <cell r="B536">
            <v>35144</v>
          </cell>
          <cell r="C536" t="str">
            <v>加拿大</v>
          </cell>
          <cell r="D536" t="str">
            <v>饮料</v>
          </cell>
          <cell r="E536">
            <v>883.499999307096</v>
          </cell>
        </row>
        <row r="537">
          <cell r="A537">
            <v>1996</v>
          </cell>
          <cell r="B537">
            <v>35150</v>
          </cell>
          <cell r="C537" t="str">
            <v>加拿大</v>
          </cell>
          <cell r="D537" t="str">
            <v>海洋食品</v>
          </cell>
          <cell r="E537">
            <v>198.75</v>
          </cell>
        </row>
        <row r="538">
          <cell r="A538">
            <v>1996</v>
          </cell>
          <cell r="B538">
            <v>35150</v>
          </cell>
          <cell r="C538" t="str">
            <v>加拿大</v>
          </cell>
          <cell r="D538" t="str">
            <v>糖果</v>
          </cell>
          <cell r="E538">
            <v>1725.5</v>
          </cell>
        </row>
        <row r="539">
          <cell r="A539">
            <v>1996</v>
          </cell>
          <cell r="B539">
            <v>35159</v>
          </cell>
          <cell r="C539" t="str">
            <v>美国</v>
          </cell>
          <cell r="D539" t="str">
            <v>糖果</v>
          </cell>
          <cell r="E539">
            <v>600</v>
          </cell>
        </row>
        <row r="540">
          <cell r="A540">
            <v>1996</v>
          </cell>
          <cell r="B540">
            <v>35159</v>
          </cell>
          <cell r="C540" t="str">
            <v>美国</v>
          </cell>
          <cell r="D540" t="str">
            <v>饮料</v>
          </cell>
          <cell r="E540">
            <v>379.75</v>
          </cell>
        </row>
        <row r="541">
          <cell r="A541">
            <v>1996</v>
          </cell>
          <cell r="B541">
            <v>35159</v>
          </cell>
          <cell r="C541" t="str">
            <v>美国</v>
          </cell>
          <cell r="D541" t="str">
            <v>香料</v>
          </cell>
          <cell r="E541">
            <v>195</v>
          </cell>
        </row>
        <row r="542">
          <cell r="A542">
            <v>1996</v>
          </cell>
          <cell r="B542">
            <v>35163</v>
          </cell>
          <cell r="C542" t="str">
            <v>美国</v>
          </cell>
          <cell r="D542" t="str">
            <v>香料</v>
          </cell>
          <cell r="E542">
            <v>500</v>
          </cell>
        </row>
        <row r="543">
          <cell r="A543">
            <v>1996</v>
          </cell>
          <cell r="B543">
            <v>35163</v>
          </cell>
          <cell r="C543" t="str">
            <v>加拿大</v>
          </cell>
          <cell r="D543" t="str">
            <v>海洋食品</v>
          </cell>
          <cell r="E543">
            <v>455.99999830126762</v>
          </cell>
        </row>
        <row r="544">
          <cell r="A544">
            <v>1996</v>
          </cell>
          <cell r="B544">
            <v>35164</v>
          </cell>
          <cell r="C544" t="str">
            <v>美国</v>
          </cell>
          <cell r="D544" t="str">
            <v>海洋食品</v>
          </cell>
          <cell r="E544">
            <v>90</v>
          </cell>
        </row>
        <row r="545">
          <cell r="A545">
            <v>1996</v>
          </cell>
          <cell r="B545">
            <v>35164</v>
          </cell>
          <cell r="C545" t="str">
            <v>美国</v>
          </cell>
          <cell r="D545" t="str">
            <v>饮料</v>
          </cell>
          <cell r="E545">
            <v>828</v>
          </cell>
        </row>
        <row r="546">
          <cell r="A546">
            <v>1996</v>
          </cell>
          <cell r="B546">
            <v>35164</v>
          </cell>
          <cell r="C546" t="str">
            <v>美国</v>
          </cell>
          <cell r="D546" t="str">
            <v>乳制品</v>
          </cell>
          <cell r="E546">
            <v>1249.5</v>
          </cell>
        </row>
        <row r="547">
          <cell r="A547">
            <v>1996</v>
          </cell>
          <cell r="B547">
            <v>35164</v>
          </cell>
          <cell r="C547" t="str">
            <v>美国</v>
          </cell>
          <cell r="D547" t="str">
            <v>乳制品</v>
          </cell>
          <cell r="E547">
            <v>564.375</v>
          </cell>
        </row>
        <row r="548">
          <cell r="A548">
            <v>1996</v>
          </cell>
          <cell r="B548">
            <v>35165</v>
          </cell>
          <cell r="C548" t="str">
            <v>加拿大</v>
          </cell>
          <cell r="D548" t="str">
            <v>乳制品</v>
          </cell>
          <cell r="E548">
            <v>412.5</v>
          </cell>
        </row>
        <row r="549">
          <cell r="A549">
            <v>1996</v>
          </cell>
          <cell r="B549">
            <v>35165</v>
          </cell>
          <cell r="C549" t="str">
            <v>加拿大</v>
          </cell>
          <cell r="D549" t="str">
            <v>糖果</v>
          </cell>
          <cell r="E549">
            <v>1109.25</v>
          </cell>
        </row>
        <row r="550">
          <cell r="A550">
            <v>1996</v>
          </cell>
          <cell r="B550">
            <v>35165</v>
          </cell>
          <cell r="C550" t="str">
            <v>加拿大</v>
          </cell>
          <cell r="D550" t="str">
            <v>糖果</v>
          </cell>
          <cell r="E550">
            <v>750</v>
          </cell>
        </row>
        <row r="551">
          <cell r="A551">
            <v>1996</v>
          </cell>
          <cell r="B551">
            <v>35165</v>
          </cell>
          <cell r="C551" t="str">
            <v>加拿大</v>
          </cell>
          <cell r="D551" t="str">
            <v>乳制品</v>
          </cell>
          <cell r="E551">
            <v>1740</v>
          </cell>
        </row>
        <row r="552">
          <cell r="A552">
            <v>1996</v>
          </cell>
          <cell r="B552">
            <v>35166</v>
          </cell>
          <cell r="C552" t="str">
            <v>美国</v>
          </cell>
          <cell r="D552" t="str">
            <v>海洋食品</v>
          </cell>
          <cell r="E552">
            <v>120</v>
          </cell>
        </row>
        <row r="553">
          <cell r="A553">
            <v>1996</v>
          </cell>
          <cell r="B553">
            <v>35166</v>
          </cell>
          <cell r="C553" t="str">
            <v>美国</v>
          </cell>
          <cell r="D553" t="str">
            <v>乳制品</v>
          </cell>
          <cell r="E553">
            <v>125</v>
          </cell>
        </row>
        <row r="554">
          <cell r="A554">
            <v>1996</v>
          </cell>
          <cell r="B554">
            <v>35170</v>
          </cell>
          <cell r="C554" t="str">
            <v>美国</v>
          </cell>
          <cell r="D554" t="str">
            <v>香料</v>
          </cell>
          <cell r="E554">
            <v>379.99999970197678</v>
          </cell>
        </row>
        <row r="555">
          <cell r="A555">
            <v>1996</v>
          </cell>
          <cell r="B555">
            <v>35170</v>
          </cell>
          <cell r="C555" t="str">
            <v>美国</v>
          </cell>
          <cell r="D555" t="str">
            <v>农产品</v>
          </cell>
          <cell r="E555">
            <v>91.2</v>
          </cell>
        </row>
        <row r="556">
          <cell r="A556">
            <v>1996</v>
          </cell>
          <cell r="B556">
            <v>35171</v>
          </cell>
          <cell r="C556" t="str">
            <v>美国</v>
          </cell>
          <cell r="D556" t="str">
            <v>糖果</v>
          </cell>
          <cell r="E556">
            <v>120</v>
          </cell>
        </row>
        <row r="557">
          <cell r="A557">
            <v>1996</v>
          </cell>
          <cell r="B557">
            <v>35171</v>
          </cell>
          <cell r="C557" t="str">
            <v>美国</v>
          </cell>
          <cell r="D557" t="str">
            <v>糖果</v>
          </cell>
          <cell r="E557">
            <v>133</v>
          </cell>
        </row>
        <row r="558">
          <cell r="A558">
            <v>1996</v>
          </cell>
          <cell r="B558">
            <v>35171</v>
          </cell>
          <cell r="C558" t="str">
            <v>美国</v>
          </cell>
          <cell r="D558" t="str">
            <v>农产品</v>
          </cell>
          <cell r="E558">
            <v>424</v>
          </cell>
        </row>
        <row r="559">
          <cell r="A559">
            <v>1996</v>
          </cell>
          <cell r="B559">
            <v>35173</v>
          </cell>
          <cell r="C559" t="str">
            <v>美国</v>
          </cell>
          <cell r="D559" t="str">
            <v>农产品</v>
          </cell>
          <cell r="E559">
            <v>1350</v>
          </cell>
        </row>
        <row r="560">
          <cell r="A560">
            <v>1996</v>
          </cell>
          <cell r="B560">
            <v>35173</v>
          </cell>
          <cell r="C560" t="str">
            <v>美国</v>
          </cell>
          <cell r="D560" t="str">
            <v>海洋食品</v>
          </cell>
          <cell r="E560">
            <v>462</v>
          </cell>
        </row>
        <row r="561">
          <cell r="A561">
            <v>1996</v>
          </cell>
          <cell r="B561">
            <v>35173</v>
          </cell>
          <cell r="C561" t="str">
            <v>美国</v>
          </cell>
          <cell r="D561" t="str">
            <v>肉/家禽</v>
          </cell>
          <cell r="E561">
            <v>656</v>
          </cell>
        </row>
        <row r="562">
          <cell r="A562">
            <v>1996</v>
          </cell>
          <cell r="B562">
            <v>35173</v>
          </cell>
          <cell r="C562" t="str">
            <v>美国</v>
          </cell>
          <cell r="D562" t="str">
            <v>乳制品</v>
          </cell>
          <cell r="E562">
            <v>324</v>
          </cell>
        </row>
        <row r="563">
          <cell r="A563">
            <v>1996</v>
          </cell>
          <cell r="B563">
            <v>35173</v>
          </cell>
          <cell r="C563" t="str">
            <v>美国</v>
          </cell>
          <cell r="D563" t="str">
            <v>饮料</v>
          </cell>
          <cell r="E563">
            <v>792</v>
          </cell>
        </row>
        <row r="564">
          <cell r="A564">
            <v>1996</v>
          </cell>
          <cell r="B564">
            <v>35174</v>
          </cell>
          <cell r="C564" t="str">
            <v>加拿大</v>
          </cell>
          <cell r="D564" t="str">
            <v>农产品</v>
          </cell>
          <cell r="E564">
            <v>848</v>
          </cell>
        </row>
        <row r="565">
          <cell r="A565">
            <v>1996</v>
          </cell>
          <cell r="B565">
            <v>35177</v>
          </cell>
          <cell r="C565" t="str">
            <v>美国</v>
          </cell>
          <cell r="D565" t="str">
            <v>糖果</v>
          </cell>
          <cell r="E565">
            <v>110.4</v>
          </cell>
        </row>
        <row r="566">
          <cell r="A566">
            <v>1996</v>
          </cell>
          <cell r="B566">
            <v>35177</v>
          </cell>
          <cell r="C566" t="str">
            <v>美国</v>
          </cell>
          <cell r="D566" t="str">
            <v>糖果</v>
          </cell>
          <cell r="E566">
            <v>800</v>
          </cell>
        </row>
        <row r="567">
          <cell r="A567">
            <v>1996</v>
          </cell>
          <cell r="B567">
            <v>35179</v>
          </cell>
          <cell r="C567" t="str">
            <v>加拿大</v>
          </cell>
          <cell r="D567" t="str">
            <v>香料</v>
          </cell>
          <cell r="E567">
            <v>439</v>
          </cell>
        </row>
        <row r="568">
          <cell r="A568">
            <v>1996</v>
          </cell>
          <cell r="B568">
            <v>35181</v>
          </cell>
          <cell r="C568" t="str">
            <v>加拿大</v>
          </cell>
          <cell r="D568" t="str">
            <v>海洋食品</v>
          </cell>
          <cell r="E568">
            <v>428.3999969959259</v>
          </cell>
        </row>
        <row r="569">
          <cell r="A569">
            <v>1996</v>
          </cell>
          <cell r="B569">
            <v>35181</v>
          </cell>
          <cell r="C569" t="str">
            <v>加拿大</v>
          </cell>
          <cell r="D569" t="str">
            <v>面食/谷类</v>
          </cell>
          <cell r="E569">
            <v>292.5</v>
          </cell>
        </row>
        <row r="570">
          <cell r="A570">
            <v>1996</v>
          </cell>
          <cell r="B570">
            <v>35184</v>
          </cell>
          <cell r="C570" t="str">
            <v>加拿大</v>
          </cell>
          <cell r="D570" t="str">
            <v>糖果</v>
          </cell>
          <cell r="E570">
            <v>959.75</v>
          </cell>
        </row>
        <row r="571">
          <cell r="A571">
            <v>1996</v>
          </cell>
          <cell r="B571">
            <v>35184</v>
          </cell>
          <cell r="C571" t="str">
            <v>加拿大</v>
          </cell>
          <cell r="D571" t="str">
            <v>饮料</v>
          </cell>
          <cell r="E571">
            <v>90</v>
          </cell>
        </row>
        <row r="572">
          <cell r="A572">
            <v>1996</v>
          </cell>
          <cell r="B572">
            <v>35184</v>
          </cell>
          <cell r="C572" t="str">
            <v>加拿大</v>
          </cell>
          <cell r="D572" t="str">
            <v>海洋食品</v>
          </cell>
          <cell r="E572">
            <v>760</v>
          </cell>
        </row>
        <row r="573">
          <cell r="A573">
            <v>1996</v>
          </cell>
          <cell r="B573">
            <v>35185</v>
          </cell>
          <cell r="C573" t="str">
            <v>加拿大</v>
          </cell>
          <cell r="D573" t="str">
            <v>农产品</v>
          </cell>
          <cell r="E573">
            <v>1800</v>
          </cell>
        </row>
        <row r="574">
          <cell r="A574">
            <v>1996</v>
          </cell>
          <cell r="B574">
            <v>35185</v>
          </cell>
          <cell r="C574" t="str">
            <v>加拿大</v>
          </cell>
          <cell r="D574" t="str">
            <v>糖果</v>
          </cell>
          <cell r="E574">
            <v>1774.799997061491</v>
          </cell>
        </row>
        <row r="575">
          <cell r="A575">
            <v>1996</v>
          </cell>
          <cell r="B575">
            <v>35186</v>
          </cell>
          <cell r="C575" t="str">
            <v>美国</v>
          </cell>
          <cell r="D575" t="str">
            <v>饮料</v>
          </cell>
          <cell r="E575">
            <v>759.99999716877937</v>
          </cell>
        </row>
        <row r="576">
          <cell r="A576">
            <v>1996</v>
          </cell>
          <cell r="B576">
            <v>35186</v>
          </cell>
          <cell r="C576" t="str">
            <v>美国</v>
          </cell>
          <cell r="D576" t="str">
            <v>饮料</v>
          </cell>
          <cell r="E576">
            <v>239.99999910593033</v>
          </cell>
        </row>
        <row r="577">
          <cell r="A577">
            <v>1996</v>
          </cell>
          <cell r="B577">
            <v>35186</v>
          </cell>
          <cell r="C577" t="str">
            <v>美国</v>
          </cell>
          <cell r="D577" t="str">
            <v>饮料</v>
          </cell>
          <cell r="E577">
            <v>1295.9999951720238</v>
          </cell>
        </row>
        <row r="578">
          <cell r="A578">
            <v>1996</v>
          </cell>
          <cell r="B578">
            <v>35186</v>
          </cell>
          <cell r="C578" t="str">
            <v>加拿大</v>
          </cell>
          <cell r="D578" t="str">
            <v>乳制品</v>
          </cell>
          <cell r="E578">
            <v>69.599999999999994</v>
          </cell>
        </row>
        <row r="579">
          <cell r="A579">
            <v>1996</v>
          </cell>
          <cell r="B579">
            <v>35187</v>
          </cell>
          <cell r="C579" t="str">
            <v>美国</v>
          </cell>
          <cell r="D579" t="str">
            <v>面食/谷类</v>
          </cell>
          <cell r="E579">
            <v>560</v>
          </cell>
        </row>
        <row r="580">
          <cell r="A580">
            <v>1996</v>
          </cell>
          <cell r="B580">
            <v>35188</v>
          </cell>
          <cell r="C580" t="str">
            <v>美国</v>
          </cell>
          <cell r="D580" t="str">
            <v>海洋食品</v>
          </cell>
          <cell r="E580">
            <v>183.34999985620379</v>
          </cell>
        </row>
        <row r="581">
          <cell r="A581">
            <v>1996</v>
          </cell>
          <cell r="B581">
            <v>35188</v>
          </cell>
          <cell r="C581" t="str">
            <v>美国</v>
          </cell>
          <cell r="D581" t="str">
            <v>农产品</v>
          </cell>
          <cell r="E581">
            <v>755.24999940767884</v>
          </cell>
        </row>
        <row r="582">
          <cell r="A582">
            <v>1996</v>
          </cell>
          <cell r="B582">
            <v>35188</v>
          </cell>
          <cell r="C582" t="str">
            <v>美国</v>
          </cell>
          <cell r="D582" t="str">
            <v>香料</v>
          </cell>
          <cell r="E582">
            <v>259.34999979659915</v>
          </cell>
        </row>
        <row r="583">
          <cell r="A583">
            <v>1996</v>
          </cell>
          <cell r="B583">
            <v>35191</v>
          </cell>
          <cell r="C583" t="str">
            <v>加拿大</v>
          </cell>
          <cell r="D583" t="str">
            <v>香料</v>
          </cell>
          <cell r="E583">
            <v>412.5</v>
          </cell>
        </row>
        <row r="584">
          <cell r="A584">
            <v>1996</v>
          </cell>
          <cell r="B584">
            <v>35191</v>
          </cell>
          <cell r="C584" t="str">
            <v>加拿大</v>
          </cell>
          <cell r="D584" t="str">
            <v>饮料</v>
          </cell>
          <cell r="E584">
            <v>101.25</v>
          </cell>
        </row>
        <row r="585">
          <cell r="A585">
            <v>1996</v>
          </cell>
          <cell r="B585">
            <v>35191</v>
          </cell>
          <cell r="C585" t="str">
            <v>加拿大</v>
          </cell>
          <cell r="D585" t="str">
            <v>香料</v>
          </cell>
          <cell r="E585">
            <v>390</v>
          </cell>
        </row>
        <row r="586">
          <cell r="A586">
            <v>1996</v>
          </cell>
          <cell r="B586">
            <v>35191</v>
          </cell>
          <cell r="C586" t="str">
            <v>加拿大</v>
          </cell>
          <cell r="D586" t="str">
            <v>海洋食品</v>
          </cell>
          <cell r="E586">
            <v>336</v>
          </cell>
        </row>
        <row r="587">
          <cell r="A587">
            <v>1996</v>
          </cell>
          <cell r="B587">
            <v>35191</v>
          </cell>
          <cell r="C587" t="str">
            <v>加拿大</v>
          </cell>
          <cell r="D587" t="str">
            <v>饮料</v>
          </cell>
          <cell r="E587">
            <v>229.49999839067459</v>
          </cell>
        </row>
        <row r="588">
          <cell r="A588">
            <v>1996</v>
          </cell>
          <cell r="B588">
            <v>35191</v>
          </cell>
          <cell r="C588" t="str">
            <v>加拿大</v>
          </cell>
          <cell r="D588" t="str">
            <v>面食/谷类</v>
          </cell>
          <cell r="E588">
            <v>285.59999799728394</v>
          </cell>
        </row>
        <row r="589">
          <cell r="A589">
            <v>1996</v>
          </cell>
          <cell r="B589">
            <v>35191</v>
          </cell>
          <cell r="C589" t="str">
            <v>加拿大</v>
          </cell>
          <cell r="D589" t="str">
            <v>肉/家禽</v>
          </cell>
          <cell r="E589">
            <v>960</v>
          </cell>
        </row>
        <row r="590">
          <cell r="A590">
            <v>1996</v>
          </cell>
          <cell r="B590">
            <v>35191</v>
          </cell>
          <cell r="C590" t="str">
            <v>加拿大</v>
          </cell>
          <cell r="D590" t="str">
            <v>饮料</v>
          </cell>
          <cell r="E590">
            <v>72</v>
          </cell>
        </row>
        <row r="591">
          <cell r="A591">
            <v>1996</v>
          </cell>
          <cell r="B591">
            <v>35191</v>
          </cell>
          <cell r="C591" t="str">
            <v>加拿大</v>
          </cell>
          <cell r="D591" t="str">
            <v>海洋食品</v>
          </cell>
          <cell r="E591">
            <v>184</v>
          </cell>
        </row>
        <row r="592">
          <cell r="A592">
            <v>1996</v>
          </cell>
          <cell r="B592">
            <v>35191</v>
          </cell>
          <cell r="C592" t="str">
            <v>加拿大</v>
          </cell>
          <cell r="D592" t="str">
            <v>面食/谷类</v>
          </cell>
          <cell r="E592">
            <v>70</v>
          </cell>
        </row>
        <row r="593">
          <cell r="A593">
            <v>1996</v>
          </cell>
          <cell r="B593">
            <v>35192</v>
          </cell>
          <cell r="C593" t="str">
            <v>加拿大</v>
          </cell>
          <cell r="D593" t="str">
            <v>饮料</v>
          </cell>
          <cell r="E593">
            <v>144</v>
          </cell>
        </row>
        <row r="594">
          <cell r="A594">
            <v>1996</v>
          </cell>
          <cell r="B594">
            <v>35192</v>
          </cell>
          <cell r="C594" t="str">
            <v>加拿大</v>
          </cell>
          <cell r="D594" t="str">
            <v>肉/家禽</v>
          </cell>
          <cell r="E594">
            <v>185.685</v>
          </cell>
        </row>
        <row r="595">
          <cell r="A595">
            <v>1996</v>
          </cell>
          <cell r="B595">
            <v>35194</v>
          </cell>
          <cell r="C595" t="str">
            <v>美国</v>
          </cell>
          <cell r="D595" t="str">
            <v>糖果</v>
          </cell>
          <cell r="E595">
            <v>436.99999965727329</v>
          </cell>
        </row>
        <row r="596">
          <cell r="A596">
            <v>1996</v>
          </cell>
          <cell r="B596">
            <v>35194</v>
          </cell>
          <cell r="C596" t="str">
            <v>美国</v>
          </cell>
          <cell r="D596" t="str">
            <v>乳制品</v>
          </cell>
          <cell r="E596">
            <v>1162.7999990880489</v>
          </cell>
        </row>
        <row r="597">
          <cell r="A597">
            <v>1996</v>
          </cell>
          <cell r="B597">
            <v>35194</v>
          </cell>
          <cell r="C597" t="str">
            <v>美国</v>
          </cell>
          <cell r="D597" t="str">
            <v>乳制品</v>
          </cell>
          <cell r="E597">
            <v>1225.4999990388751</v>
          </cell>
        </row>
        <row r="598">
          <cell r="A598">
            <v>1996</v>
          </cell>
          <cell r="B598">
            <v>35198</v>
          </cell>
          <cell r="C598" t="str">
            <v>加拿大</v>
          </cell>
          <cell r="D598" t="str">
            <v>乳制品</v>
          </cell>
          <cell r="E598">
            <v>760</v>
          </cell>
        </row>
        <row r="599">
          <cell r="A599">
            <v>1996</v>
          </cell>
          <cell r="B599">
            <v>35198</v>
          </cell>
          <cell r="C599" t="str">
            <v>加拿大</v>
          </cell>
          <cell r="D599" t="str">
            <v>海洋食品</v>
          </cell>
          <cell r="E599">
            <v>625</v>
          </cell>
        </row>
        <row r="600">
          <cell r="A600">
            <v>1996</v>
          </cell>
          <cell r="B600">
            <v>35198</v>
          </cell>
          <cell r="C600" t="str">
            <v>加拿大</v>
          </cell>
          <cell r="D600" t="str">
            <v>面食/谷类</v>
          </cell>
          <cell r="E600">
            <v>190</v>
          </cell>
        </row>
        <row r="601">
          <cell r="A601">
            <v>1996</v>
          </cell>
          <cell r="B601">
            <v>35199</v>
          </cell>
          <cell r="C601" t="str">
            <v>美国</v>
          </cell>
          <cell r="D601" t="str">
            <v>海洋食品</v>
          </cell>
          <cell r="E601">
            <v>632.39999556541443</v>
          </cell>
        </row>
        <row r="602">
          <cell r="A602">
            <v>1996</v>
          </cell>
          <cell r="B602">
            <v>35199</v>
          </cell>
          <cell r="C602" t="str">
            <v>美国</v>
          </cell>
          <cell r="D602" t="str">
            <v>饮料</v>
          </cell>
          <cell r="E602">
            <v>156.75</v>
          </cell>
        </row>
        <row r="603">
          <cell r="A603">
            <v>1996</v>
          </cell>
          <cell r="B603">
            <v>35199</v>
          </cell>
          <cell r="C603" t="str">
            <v>美国</v>
          </cell>
          <cell r="D603" t="str">
            <v>糖果</v>
          </cell>
          <cell r="E603">
            <v>1215</v>
          </cell>
        </row>
        <row r="604">
          <cell r="A604">
            <v>1996</v>
          </cell>
          <cell r="B604">
            <v>35199</v>
          </cell>
          <cell r="C604" t="str">
            <v>美国</v>
          </cell>
          <cell r="D604" t="str">
            <v>糖果</v>
          </cell>
          <cell r="E604">
            <v>1967.49</v>
          </cell>
        </row>
        <row r="605">
          <cell r="A605">
            <v>1996</v>
          </cell>
          <cell r="B605">
            <v>35199</v>
          </cell>
          <cell r="C605" t="str">
            <v>美国</v>
          </cell>
          <cell r="D605" t="str">
            <v>农产品</v>
          </cell>
          <cell r="E605">
            <v>1749</v>
          </cell>
        </row>
        <row r="606">
          <cell r="A606">
            <v>1996</v>
          </cell>
          <cell r="B606">
            <v>35199</v>
          </cell>
          <cell r="C606" t="str">
            <v>美国</v>
          </cell>
          <cell r="D606" t="str">
            <v>乳制品</v>
          </cell>
          <cell r="E606">
            <v>1218</v>
          </cell>
        </row>
        <row r="607">
          <cell r="A607">
            <v>1996</v>
          </cell>
          <cell r="B607">
            <v>35201</v>
          </cell>
          <cell r="C607" t="str">
            <v>美国</v>
          </cell>
          <cell r="D607" t="str">
            <v>肉/家禽</v>
          </cell>
          <cell r="E607">
            <v>840</v>
          </cell>
        </row>
        <row r="608">
          <cell r="A608">
            <v>1996</v>
          </cell>
          <cell r="B608">
            <v>35201</v>
          </cell>
          <cell r="C608" t="str">
            <v>美国</v>
          </cell>
          <cell r="D608" t="str">
            <v>乳制品</v>
          </cell>
          <cell r="E608">
            <v>1320</v>
          </cell>
        </row>
        <row r="609">
          <cell r="A609">
            <v>1996</v>
          </cell>
          <cell r="B609">
            <v>35202</v>
          </cell>
          <cell r="C609" t="str">
            <v>加拿大</v>
          </cell>
          <cell r="D609" t="str">
            <v>饮料</v>
          </cell>
          <cell r="E609">
            <v>1425</v>
          </cell>
        </row>
        <row r="610">
          <cell r="A610">
            <v>1996</v>
          </cell>
          <cell r="B610">
            <v>35202</v>
          </cell>
          <cell r="C610" t="str">
            <v>加拿大</v>
          </cell>
          <cell r="D610" t="str">
            <v>香料</v>
          </cell>
          <cell r="E610">
            <v>1494.5</v>
          </cell>
        </row>
        <row r="611">
          <cell r="A611">
            <v>1996</v>
          </cell>
          <cell r="B611">
            <v>35202</v>
          </cell>
          <cell r="C611" t="str">
            <v>加拿大</v>
          </cell>
          <cell r="D611" t="str">
            <v>肉/家禽</v>
          </cell>
          <cell r="E611">
            <v>5570.55</v>
          </cell>
        </row>
        <row r="612">
          <cell r="A612">
            <v>1996</v>
          </cell>
          <cell r="B612">
            <v>35202</v>
          </cell>
          <cell r="C612" t="str">
            <v>加拿大</v>
          </cell>
          <cell r="D612" t="str">
            <v>乳制品</v>
          </cell>
          <cell r="E612">
            <v>4125</v>
          </cell>
        </row>
        <row r="613">
          <cell r="A613">
            <v>1996</v>
          </cell>
          <cell r="B613">
            <v>35202</v>
          </cell>
          <cell r="C613" t="str">
            <v>加拿大</v>
          </cell>
          <cell r="D613" t="str">
            <v>饮料</v>
          </cell>
          <cell r="E613">
            <v>810</v>
          </cell>
        </row>
        <row r="614">
          <cell r="A614">
            <v>1996</v>
          </cell>
          <cell r="B614">
            <v>35202</v>
          </cell>
          <cell r="C614" t="str">
            <v>加拿大</v>
          </cell>
          <cell r="D614" t="str">
            <v>海洋食品</v>
          </cell>
          <cell r="E614">
            <v>480</v>
          </cell>
        </row>
        <row r="615">
          <cell r="A615">
            <v>1996</v>
          </cell>
          <cell r="B615">
            <v>35202</v>
          </cell>
          <cell r="C615" t="str">
            <v>加拿大</v>
          </cell>
          <cell r="D615" t="str">
            <v>饮料</v>
          </cell>
          <cell r="E615">
            <v>94.5</v>
          </cell>
        </row>
        <row r="616">
          <cell r="A616">
            <v>1996</v>
          </cell>
          <cell r="B616">
            <v>35202</v>
          </cell>
          <cell r="C616" t="str">
            <v>加拿大</v>
          </cell>
          <cell r="D616" t="str">
            <v>面食/谷类</v>
          </cell>
          <cell r="E616">
            <v>665</v>
          </cell>
        </row>
        <row r="617">
          <cell r="A617">
            <v>1996</v>
          </cell>
          <cell r="B617">
            <v>35202</v>
          </cell>
          <cell r="C617" t="str">
            <v>加拿大</v>
          </cell>
          <cell r="D617" t="str">
            <v>乳制品</v>
          </cell>
          <cell r="E617">
            <v>344</v>
          </cell>
        </row>
        <row r="618">
          <cell r="A618">
            <v>1996</v>
          </cell>
          <cell r="B618">
            <v>35202</v>
          </cell>
          <cell r="C618" t="str">
            <v>加拿大</v>
          </cell>
          <cell r="D618" t="str">
            <v>海洋食品</v>
          </cell>
          <cell r="E618">
            <v>665</v>
          </cell>
        </row>
        <row r="619">
          <cell r="A619">
            <v>1996</v>
          </cell>
          <cell r="B619">
            <v>35202</v>
          </cell>
          <cell r="C619" t="str">
            <v>加拿大</v>
          </cell>
          <cell r="D619" t="str">
            <v>饮料</v>
          </cell>
          <cell r="E619">
            <v>6587.5</v>
          </cell>
        </row>
        <row r="620">
          <cell r="A620">
            <v>1996</v>
          </cell>
          <cell r="B620">
            <v>35202</v>
          </cell>
          <cell r="C620" t="str">
            <v>加拿大</v>
          </cell>
          <cell r="D620" t="str">
            <v>乳制品</v>
          </cell>
          <cell r="E620">
            <v>1650</v>
          </cell>
        </row>
        <row r="621">
          <cell r="A621">
            <v>1996</v>
          </cell>
          <cell r="B621">
            <v>35205</v>
          </cell>
          <cell r="C621" t="str">
            <v>加拿大</v>
          </cell>
          <cell r="D621" t="str">
            <v>糖果</v>
          </cell>
          <cell r="E621">
            <v>134.99999977648258</v>
          </cell>
        </row>
        <row r="622">
          <cell r="A622">
            <v>1996</v>
          </cell>
          <cell r="B622">
            <v>35205</v>
          </cell>
          <cell r="C622" t="str">
            <v>加拿大</v>
          </cell>
          <cell r="D622" t="str">
            <v>香料</v>
          </cell>
          <cell r="E622">
            <v>233.4</v>
          </cell>
        </row>
        <row r="623">
          <cell r="A623">
            <v>1996</v>
          </cell>
          <cell r="B623">
            <v>35205</v>
          </cell>
          <cell r="C623" t="str">
            <v>加拿大</v>
          </cell>
          <cell r="D623" t="str">
            <v>香料</v>
          </cell>
          <cell r="E623">
            <v>171</v>
          </cell>
        </row>
        <row r="624">
          <cell r="A624">
            <v>1996</v>
          </cell>
          <cell r="B624">
            <v>35205</v>
          </cell>
          <cell r="C624" t="str">
            <v>美国</v>
          </cell>
          <cell r="D624" t="str">
            <v>海洋食品</v>
          </cell>
          <cell r="E624">
            <v>42</v>
          </cell>
        </row>
        <row r="625">
          <cell r="A625">
            <v>1996</v>
          </cell>
          <cell r="B625">
            <v>35205</v>
          </cell>
          <cell r="C625" t="str">
            <v>美国</v>
          </cell>
          <cell r="D625" t="str">
            <v>乳制品</v>
          </cell>
          <cell r="E625">
            <v>1650</v>
          </cell>
        </row>
        <row r="626">
          <cell r="A626">
            <v>1996</v>
          </cell>
          <cell r="B626">
            <v>35207</v>
          </cell>
          <cell r="C626" t="str">
            <v>加拿大</v>
          </cell>
          <cell r="D626" t="str">
            <v>糖果</v>
          </cell>
          <cell r="E626">
            <v>200</v>
          </cell>
        </row>
        <row r="627">
          <cell r="A627">
            <v>1996</v>
          </cell>
          <cell r="B627">
            <v>35208</v>
          </cell>
          <cell r="C627" t="str">
            <v>美国</v>
          </cell>
          <cell r="D627" t="str">
            <v>乳制品</v>
          </cell>
          <cell r="E627">
            <v>721.99999943375587</v>
          </cell>
        </row>
        <row r="628">
          <cell r="A628">
            <v>1996</v>
          </cell>
          <cell r="B628">
            <v>35208</v>
          </cell>
          <cell r="C628" t="str">
            <v>美国</v>
          </cell>
          <cell r="D628" t="str">
            <v>乳制品</v>
          </cell>
          <cell r="E628">
            <v>455.99999964237213</v>
          </cell>
        </row>
        <row r="629">
          <cell r="A629">
            <v>1996</v>
          </cell>
          <cell r="B629">
            <v>35208</v>
          </cell>
          <cell r="C629" t="str">
            <v>美国</v>
          </cell>
          <cell r="D629" t="str">
            <v>饮料</v>
          </cell>
          <cell r="E629">
            <v>307.79999975860119</v>
          </cell>
        </row>
        <row r="630">
          <cell r="A630">
            <v>1996</v>
          </cell>
          <cell r="B630">
            <v>35214</v>
          </cell>
          <cell r="C630" t="str">
            <v>美国</v>
          </cell>
          <cell r="D630" t="str">
            <v>糖果</v>
          </cell>
          <cell r="E630">
            <v>30</v>
          </cell>
        </row>
        <row r="631">
          <cell r="A631">
            <v>1996</v>
          </cell>
          <cell r="B631">
            <v>35214</v>
          </cell>
          <cell r="C631" t="str">
            <v>美国</v>
          </cell>
          <cell r="D631" t="str">
            <v>乳制品</v>
          </cell>
          <cell r="E631">
            <v>714</v>
          </cell>
        </row>
        <row r="632">
          <cell r="A632">
            <v>1996</v>
          </cell>
          <cell r="B632">
            <v>35214</v>
          </cell>
          <cell r="C632" t="str">
            <v>美国</v>
          </cell>
          <cell r="D632" t="str">
            <v>香料</v>
          </cell>
          <cell r="E632">
            <v>114</v>
          </cell>
        </row>
        <row r="633">
          <cell r="A633">
            <v>1996</v>
          </cell>
          <cell r="B633">
            <v>35215</v>
          </cell>
          <cell r="C633" t="str">
            <v>加拿大</v>
          </cell>
          <cell r="D633" t="str">
            <v>乳制品</v>
          </cell>
          <cell r="E633">
            <v>510</v>
          </cell>
        </row>
        <row r="634">
          <cell r="A634">
            <v>1996</v>
          </cell>
          <cell r="B634">
            <v>35216</v>
          </cell>
          <cell r="C634" t="str">
            <v>加拿大</v>
          </cell>
          <cell r="D634" t="str">
            <v>肉/家禽</v>
          </cell>
          <cell r="E634">
            <v>2702.6999955251813</v>
          </cell>
        </row>
        <row r="635">
          <cell r="A635">
            <v>1996</v>
          </cell>
          <cell r="B635">
            <v>35216</v>
          </cell>
          <cell r="C635" t="str">
            <v>加拿大</v>
          </cell>
          <cell r="D635" t="str">
            <v>海洋食品</v>
          </cell>
          <cell r="E635">
            <v>115.8</v>
          </cell>
        </row>
        <row r="636">
          <cell r="A636">
            <v>1996</v>
          </cell>
          <cell r="B636">
            <v>35216</v>
          </cell>
          <cell r="C636" t="str">
            <v>加拿大</v>
          </cell>
          <cell r="D636" t="str">
            <v>肉/家禽</v>
          </cell>
          <cell r="E636">
            <v>737.99999877810478</v>
          </cell>
        </row>
        <row r="637">
          <cell r="A637">
            <v>1996</v>
          </cell>
          <cell r="B637">
            <v>35216</v>
          </cell>
          <cell r="C637" t="str">
            <v>加拿大</v>
          </cell>
          <cell r="D637" t="str">
            <v>肉/家禽</v>
          </cell>
          <cell r="E637">
            <v>86.399999856948853</v>
          </cell>
        </row>
        <row r="638">
          <cell r="A638">
            <v>1996</v>
          </cell>
          <cell r="B638">
            <v>35216</v>
          </cell>
          <cell r="C638" t="str">
            <v>加拿大</v>
          </cell>
          <cell r="D638" t="str">
            <v>糖果</v>
          </cell>
          <cell r="E638">
            <v>687.5</v>
          </cell>
        </row>
        <row r="639">
          <cell r="A639">
            <v>1996</v>
          </cell>
          <cell r="B639">
            <v>35216</v>
          </cell>
          <cell r="C639" t="str">
            <v>加拿大</v>
          </cell>
          <cell r="D639" t="str">
            <v>糖果</v>
          </cell>
          <cell r="E639">
            <v>52.35</v>
          </cell>
        </row>
        <row r="640">
          <cell r="A640">
            <v>1996</v>
          </cell>
          <cell r="B640">
            <v>35216</v>
          </cell>
          <cell r="C640" t="str">
            <v>加拿大</v>
          </cell>
          <cell r="D640" t="str">
            <v>糖果</v>
          </cell>
          <cell r="E640">
            <v>386.4</v>
          </cell>
        </row>
        <row r="641">
          <cell r="A641">
            <v>1996</v>
          </cell>
          <cell r="B641">
            <v>35216</v>
          </cell>
          <cell r="C641" t="str">
            <v>加拿大</v>
          </cell>
          <cell r="D641" t="str">
            <v>饮料</v>
          </cell>
          <cell r="E641">
            <v>490</v>
          </cell>
        </row>
        <row r="642">
          <cell r="A642">
            <v>1996</v>
          </cell>
          <cell r="B642">
            <v>35219</v>
          </cell>
          <cell r="C642" t="str">
            <v>美国</v>
          </cell>
          <cell r="D642" t="str">
            <v>海洋食品</v>
          </cell>
          <cell r="E642">
            <v>86.85</v>
          </cell>
        </row>
        <row r="643">
          <cell r="A643">
            <v>1996</v>
          </cell>
          <cell r="B643">
            <v>35220</v>
          </cell>
          <cell r="C643" t="str">
            <v>美国</v>
          </cell>
          <cell r="D643" t="str">
            <v>饮料</v>
          </cell>
          <cell r="E643">
            <v>611.99999570846558</v>
          </cell>
        </row>
        <row r="644">
          <cell r="A644">
            <v>1996</v>
          </cell>
          <cell r="B644">
            <v>35220</v>
          </cell>
          <cell r="C644" t="str">
            <v>美国</v>
          </cell>
          <cell r="D644" t="str">
            <v>饮料</v>
          </cell>
          <cell r="E644">
            <v>322.9999977350235</v>
          </cell>
        </row>
        <row r="645">
          <cell r="A645">
            <v>1996</v>
          </cell>
          <cell r="B645">
            <v>35220</v>
          </cell>
          <cell r="C645" t="str">
            <v>美国</v>
          </cell>
          <cell r="D645" t="str">
            <v>糖果</v>
          </cell>
          <cell r="E645">
            <v>444.97499687969685</v>
          </cell>
        </row>
        <row r="646">
          <cell r="A646">
            <v>1996</v>
          </cell>
          <cell r="B646">
            <v>35220</v>
          </cell>
          <cell r="C646" t="str">
            <v>美国</v>
          </cell>
          <cell r="D646" t="str">
            <v>乳制品</v>
          </cell>
          <cell r="E646">
            <v>250</v>
          </cell>
        </row>
        <row r="647">
          <cell r="A647">
            <v>1996</v>
          </cell>
          <cell r="B647">
            <v>35221</v>
          </cell>
          <cell r="C647" t="str">
            <v>加拿大</v>
          </cell>
          <cell r="D647" t="str">
            <v>饮料</v>
          </cell>
          <cell r="E647">
            <v>364.7999986410141</v>
          </cell>
        </row>
        <row r="648">
          <cell r="A648">
            <v>1996</v>
          </cell>
          <cell r="B648">
            <v>35221</v>
          </cell>
          <cell r="C648" t="str">
            <v>加拿大</v>
          </cell>
          <cell r="D648" t="str">
            <v>香料</v>
          </cell>
          <cell r="E648">
            <v>40</v>
          </cell>
        </row>
        <row r="649">
          <cell r="A649">
            <v>1996</v>
          </cell>
          <cell r="B649">
            <v>35221</v>
          </cell>
          <cell r="C649" t="str">
            <v>加拿大</v>
          </cell>
          <cell r="D649" t="str">
            <v>香料</v>
          </cell>
          <cell r="E649">
            <v>22</v>
          </cell>
        </row>
        <row r="650">
          <cell r="A650">
            <v>1996</v>
          </cell>
          <cell r="B650">
            <v>35221</v>
          </cell>
          <cell r="C650" t="str">
            <v>加拿大</v>
          </cell>
          <cell r="D650" t="str">
            <v>香料</v>
          </cell>
          <cell r="E650">
            <v>24.500000011175871</v>
          </cell>
        </row>
        <row r="651">
          <cell r="A651">
            <v>1996</v>
          </cell>
          <cell r="B651">
            <v>35221</v>
          </cell>
          <cell r="C651" t="str">
            <v>加拿大</v>
          </cell>
          <cell r="D651" t="str">
            <v>农产品</v>
          </cell>
          <cell r="E651">
            <v>28.499999977648258</v>
          </cell>
        </row>
        <row r="652">
          <cell r="A652">
            <v>1996</v>
          </cell>
          <cell r="B652">
            <v>35221</v>
          </cell>
          <cell r="C652" t="str">
            <v>加拿大</v>
          </cell>
          <cell r="D652" t="str">
            <v>香料</v>
          </cell>
          <cell r="E652">
            <v>71.99999988079071</v>
          </cell>
        </row>
        <row r="653">
          <cell r="A653">
            <v>1996</v>
          </cell>
          <cell r="B653">
            <v>35221</v>
          </cell>
          <cell r="C653" t="str">
            <v>加拿大</v>
          </cell>
          <cell r="D653" t="str">
            <v>海洋食品</v>
          </cell>
          <cell r="E653">
            <v>31</v>
          </cell>
        </row>
        <row r="654">
          <cell r="A654">
            <v>1996</v>
          </cell>
          <cell r="B654">
            <v>35221</v>
          </cell>
          <cell r="C654" t="str">
            <v>加拿大</v>
          </cell>
          <cell r="D654" t="str">
            <v>乳制品</v>
          </cell>
          <cell r="E654">
            <v>72.199999943375587</v>
          </cell>
        </row>
        <row r="655">
          <cell r="A655">
            <v>1996</v>
          </cell>
          <cell r="B655">
            <v>35221</v>
          </cell>
          <cell r="C655" t="str">
            <v>加拿大</v>
          </cell>
          <cell r="D655" t="str">
            <v>海洋食品</v>
          </cell>
          <cell r="E655">
            <v>24</v>
          </cell>
        </row>
        <row r="656">
          <cell r="A656">
            <v>1996</v>
          </cell>
          <cell r="B656">
            <v>35221</v>
          </cell>
          <cell r="C656" t="str">
            <v>加拿大</v>
          </cell>
          <cell r="D656" t="str">
            <v>农产品</v>
          </cell>
          <cell r="E656">
            <v>22.55250001559034</v>
          </cell>
        </row>
        <row r="657">
          <cell r="A657">
            <v>1996</v>
          </cell>
          <cell r="B657">
            <v>35221</v>
          </cell>
          <cell r="C657" t="str">
            <v>加拿大</v>
          </cell>
          <cell r="D657" t="str">
            <v>糖果</v>
          </cell>
          <cell r="E657">
            <v>33.853000023402274</v>
          </cell>
        </row>
        <row r="658">
          <cell r="A658">
            <v>1996</v>
          </cell>
          <cell r="B658">
            <v>35221</v>
          </cell>
          <cell r="C658" t="str">
            <v>加拿大</v>
          </cell>
          <cell r="D658" t="str">
            <v>糖果</v>
          </cell>
          <cell r="E658">
            <v>77.760000072419643</v>
          </cell>
        </row>
        <row r="659">
          <cell r="A659">
            <v>1996</v>
          </cell>
          <cell r="B659">
            <v>35221</v>
          </cell>
          <cell r="C659" t="str">
            <v>加拿大</v>
          </cell>
          <cell r="D659" t="str">
            <v>面食/谷类</v>
          </cell>
          <cell r="E659">
            <v>18</v>
          </cell>
        </row>
        <row r="660">
          <cell r="A660">
            <v>1996</v>
          </cell>
          <cell r="B660">
            <v>35221</v>
          </cell>
          <cell r="C660" t="str">
            <v>加拿大</v>
          </cell>
          <cell r="D660" t="str">
            <v>乳制品</v>
          </cell>
          <cell r="E660">
            <v>32</v>
          </cell>
        </row>
        <row r="661">
          <cell r="A661">
            <v>1996</v>
          </cell>
          <cell r="B661">
            <v>35221</v>
          </cell>
          <cell r="C661" t="str">
            <v>加拿大</v>
          </cell>
          <cell r="D661" t="str">
            <v>饮料</v>
          </cell>
          <cell r="E661">
            <v>34.19999997317791</v>
          </cell>
        </row>
        <row r="662">
          <cell r="A662">
            <v>1996</v>
          </cell>
          <cell r="B662">
            <v>35221</v>
          </cell>
          <cell r="C662" t="str">
            <v>加拿大</v>
          </cell>
          <cell r="D662" t="str">
            <v>海洋食品</v>
          </cell>
          <cell r="E662">
            <v>28.95</v>
          </cell>
        </row>
        <row r="663">
          <cell r="A663">
            <v>1996</v>
          </cell>
          <cell r="B663">
            <v>35221</v>
          </cell>
          <cell r="C663" t="str">
            <v>加拿大</v>
          </cell>
          <cell r="D663" t="str">
            <v>海洋食品</v>
          </cell>
          <cell r="E663">
            <v>35.280000016093254</v>
          </cell>
        </row>
        <row r="664">
          <cell r="A664">
            <v>1996</v>
          </cell>
          <cell r="B664">
            <v>35221</v>
          </cell>
          <cell r="C664" t="str">
            <v>加拿大</v>
          </cell>
          <cell r="D664" t="str">
            <v>面食/谷类</v>
          </cell>
          <cell r="E664">
            <v>14</v>
          </cell>
        </row>
        <row r="665">
          <cell r="A665">
            <v>1996</v>
          </cell>
          <cell r="B665">
            <v>35221</v>
          </cell>
          <cell r="C665" t="str">
            <v>加拿大</v>
          </cell>
          <cell r="D665" t="str">
            <v>肉/家禽</v>
          </cell>
          <cell r="E665">
            <v>48</v>
          </cell>
        </row>
        <row r="666">
          <cell r="A666">
            <v>1996</v>
          </cell>
          <cell r="B666">
            <v>35221</v>
          </cell>
          <cell r="C666" t="str">
            <v>加拿大</v>
          </cell>
          <cell r="D666" t="str">
            <v>乳制品</v>
          </cell>
          <cell r="E666">
            <v>63.920000091195107</v>
          </cell>
        </row>
        <row r="667">
          <cell r="A667">
            <v>1996</v>
          </cell>
          <cell r="B667">
            <v>35221</v>
          </cell>
          <cell r="C667" t="str">
            <v>加拿大</v>
          </cell>
          <cell r="D667" t="str">
            <v>面食/谷类</v>
          </cell>
          <cell r="E667">
            <v>64.505000044591725</v>
          </cell>
        </row>
        <row r="668">
          <cell r="A668">
            <v>1996</v>
          </cell>
          <cell r="B668">
            <v>35221</v>
          </cell>
          <cell r="C668" t="str">
            <v>加拿大</v>
          </cell>
          <cell r="D668" t="str">
            <v>香料</v>
          </cell>
          <cell r="E668">
            <v>17</v>
          </cell>
        </row>
        <row r="669">
          <cell r="A669">
            <v>1996</v>
          </cell>
          <cell r="B669">
            <v>35221</v>
          </cell>
          <cell r="C669" t="str">
            <v>加拿大</v>
          </cell>
          <cell r="D669" t="str">
            <v>海洋食品</v>
          </cell>
          <cell r="E669">
            <v>29.700000006705523</v>
          </cell>
        </row>
        <row r="670">
          <cell r="A670">
            <v>1996</v>
          </cell>
          <cell r="B670">
            <v>35221</v>
          </cell>
          <cell r="C670" t="str">
            <v>加拿大</v>
          </cell>
          <cell r="D670" t="str">
            <v>饮料</v>
          </cell>
          <cell r="E670">
            <v>31</v>
          </cell>
        </row>
        <row r="671">
          <cell r="A671">
            <v>1996</v>
          </cell>
          <cell r="B671">
            <v>35221</v>
          </cell>
          <cell r="C671" t="str">
            <v>加拿大</v>
          </cell>
          <cell r="D671" t="str">
            <v>香料</v>
          </cell>
          <cell r="E671">
            <v>26</v>
          </cell>
        </row>
      </sheetData>
      <sheetData sheetId="7">
        <row r="3">
          <cell r="K3">
            <v>100</v>
          </cell>
          <cell r="L3">
            <v>283500</v>
          </cell>
        </row>
        <row r="4">
          <cell r="K4">
            <v>120</v>
          </cell>
          <cell r="L4">
            <v>279200</v>
          </cell>
        </row>
        <row r="5">
          <cell r="K5">
            <v>140</v>
          </cell>
          <cell r="L5">
            <v>276328.57142857142</v>
          </cell>
        </row>
        <row r="6">
          <cell r="K6">
            <v>160</v>
          </cell>
          <cell r="L6">
            <v>274350</v>
          </cell>
        </row>
        <row r="7">
          <cell r="K7">
            <v>180</v>
          </cell>
          <cell r="L7">
            <v>272966.66666666669</v>
          </cell>
        </row>
        <row r="8">
          <cell r="K8">
            <v>200</v>
          </cell>
          <cell r="L8">
            <v>272000</v>
          </cell>
        </row>
        <row r="9">
          <cell r="K9">
            <v>220</v>
          </cell>
          <cell r="L9">
            <v>271336.36363636365</v>
          </cell>
        </row>
        <row r="10">
          <cell r="K10">
            <v>240</v>
          </cell>
          <cell r="L10">
            <v>270900</v>
          </cell>
        </row>
        <row r="11">
          <cell r="K11">
            <v>260</v>
          </cell>
          <cell r="L11">
            <v>270638.4615384615</v>
          </cell>
        </row>
        <row r="12">
          <cell r="K12">
            <v>280</v>
          </cell>
          <cell r="L12">
            <v>270514.28571428568</v>
          </cell>
        </row>
        <row r="13">
          <cell r="K13">
            <v>300</v>
          </cell>
          <cell r="L13">
            <v>270500</v>
          </cell>
        </row>
        <row r="14">
          <cell r="K14">
            <v>320</v>
          </cell>
          <cell r="L14">
            <v>270575</v>
          </cell>
        </row>
        <row r="15">
          <cell r="K15">
            <v>340</v>
          </cell>
          <cell r="L15">
            <v>270723.5294117647</v>
          </cell>
        </row>
        <row r="16">
          <cell r="K16">
            <v>360</v>
          </cell>
          <cell r="L16">
            <v>270933.33333333337</v>
          </cell>
        </row>
        <row r="17">
          <cell r="K17">
            <v>380</v>
          </cell>
          <cell r="L17">
            <v>271194.73684210528</v>
          </cell>
        </row>
        <row r="18">
          <cell r="K18">
            <v>400</v>
          </cell>
          <cell r="L18">
            <v>271500</v>
          </cell>
        </row>
        <row r="19">
          <cell r="K19">
            <v>599.99990000000003</v>
          </cell>
          <cell r="L19">
            <v>275999.99733333348</v>
          </cell>
        </row>
        <row r="20">
          <cell r="K20">
            <v>600</v>
          </cell>
          <cell r="L20">
            <v>271000</v>
          </cell>
        </row>
        <row r="21">
          <cell r="K21">
            <v>999.99</v>
          </cell>
          <cell r="L21">
            <v>282999.6800003</v>
          </cell>
        </row>
      </sheetData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解答"/>
      <sheetName val="第2题解答"/>
      <sheetName val="第3题解答"/>
      <sheetName val="第4题解答"/>
      <sheetName val="第5题解答"/>
      <sheetName val="第6题解答"/>
      <sheetName val="第7题解答"/>
      <sheetName val="第8题解答"/>
      <sheetName val="第9题解答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订购年</v>
          </cell>
          <cell r="B1" t="str">
            <v>订购日期</v>
          </cell>
          <cell r="C1" t="str">
            <v>货主国家</v>
          </cell>
          <cell r="D1" t="str">
            <v>类别名称</v>
          </cell>
          <cell r="E1" t="str">
            <v>销售额</v>
          </cell>
        </row>
        <row r="2">
          <cell r="A2">
            <v>1994</v>
          </cell>
          <cell r="B2">
            <v>34551</v>
          </cell>
          <cell r="C2" t="str">
            <v>美国</v>
          </cell>
          <cell r="D2" t="str">
            <v>农产品</v>
          </cell>
          <cell r="E2">
            <v>167.4</v>
          </cell>
        </row>
        <row r="3">
          <cell r="A3">
            <v>1994</v>
          </cell>
          <cell r="B3">
            <v>34551</v>
          </cell>
          <cell r="C3" t="str">
            <v>美国</v>
          </cell>
          <cell r="D3" t="str">
            <v>农产品</v>
          </cell>
          <cell r="E3">
            <v>1696</v>
          </cell>
        </row>
        <row r="4">
          <cell r="A4">
            <v>1994</v>
          </cell>
          <cell r="B4">
            <v>34565</v>
          </cell>
          <cell r="C4" t="str">
            <v>美国</v>
          </cell>
          <cell r="D4" t="str">
            <v>海洋食品</v>
          </cell>
          <cell r="E4">
            <v>92.4</v>
          </cell>
        </row>
        <row r="5">
          <cell r="A5">
            <v>1994</v>
          </cell>
          <cell r="B5">
            <v>34565</v>
          </cell>
          <cell r="C5" t="str">
            <v>美国</v>
          </cell>
          <cell r="D5" t="str">
            <v>面食/谷类</v>
          </cell>
          <cell r="E5">
            <v>780</v>
          </cell>
        </row>
        <row r="6">
          <cell r="A6">
            <v>1994</v>
          </cell>
          <cell r="B6">
            <v>34565</v>
          </cell>
          <cell r="C6" t="str">
            <v>美国</v>
          </cell>
          <cell r="D6" t="str">
            <v>糖果</v>
          </cell>
          <cell r="E6">
            <v>443.25</v>
          </cell>
        </row>
        <row r="7">
          <cell r="A7">
            <v>1994</v>
          </cell>
          <cell r="B7">
            <v>34565</v>
          </cell>
          <cell r="C7" t="str">
            <v>美国</v>
          </cell>
          <cell r="D7" t="str">
            <v>饮料</v>
          </cell>
          <cell r="E7">
            <v>189</v>
          </cell>
        </row>
        <row r="8">
          <cell r="A8">
            <v>1994</v>
          </cell>
          <cell r="B8">
            <v>34568</v>
          </cell>
          <cell r="C8" t="str">
            <v>加拿大</v>
          </cell>
          <cell r="D8" t="str">
            <v>香料</v>
          </cell>
          <cell r="E8">
            <v>163.19999939203262</v>
          </cell>
        </row>
        <row r="9">
          <cell r="A9">
            <v>1994</v>
          </cell>
          <cell r="B9">
            <v>34568</v>
          </cell>
          <cell r="C9" t="str">
            <v>加拿大</v>
          </cell>
          <cell r="D9" t="str">
            <v>农产品</v>
          </cell>
          <cell r="E9">
            <v>360</v>
          </cell>
        </row>
        <row r="10">
          <cell r="A10">
            <v>1994</v>
          </cell>
          <cell r="B10">
            <v>34568</v>
          </cell>
          <cell r="C10" t="str">
            <v>加拿大</v>
          </cell>
          <cell r="D10" t="str">
            <v>面食/谷类</v>
          </cell>
          <cell r="E10">
            <v>60.8</v>
          </cell>
        </row>
        <row r="11">
          <cell r="A11">
            <v>1994</v>
          </cell>
          <cell r="B11">
            <v>34575</v>
          </cell>
          <cell r="C11" t="str">
            <v>美国</v>
          </cell>
          <cell r="D11" t="str">
            <v>海洋食品</v>
          </cell>
          <cell r="E11">
            <v>735</v>
          </cell>
        </row>
        <row r="12">
          <cell r="A12">
            <v>1994</v>
          </cell>
          <cell r="B12">
            <v>34575</v>
          </cell>
          <cell r="C12" t="str">
            <v>美国</v>
          </cell>
          <cell r="D12" t="str">
            <v>乳制品</v>
          </cell>
          <cell r="E12">
            <v>2617.9999816417694</v>
          </cell>
        </row>
        <row r="13">
          <cell r="A13">
            <v>1994</v>
          </cell>
          <cell r="B13">
            <v>34575</v>
          </cell>
          <cell r="C13" t="str">
            <v>美国</v>
          </cell>
          <cell r="D13" t="str">
            <v>饮料</v>
          </cell>
          <cell r="E13">
            <v>183.59999871253967</v>
          </cell>
        </row>
        <row r="14">
          <cell r="A14">
            <v>1994</v>
          </cell>
          <cell r="B14">
            <v>34577</v>
          </cell>
          <cell r="C14" t="str">
            <v>加拿大</v>
          </cell>
          <cell r="D14" t="str">
            <v>乳制品</v>
          </cell>
          <cell r="E14">
            <v>113.99999991059303</v>
          </cell>
        </row>
        <row r="15">
          <cell r="A15">
            <v>1994</v>
          </cell>
          <cell r="B15">
            <v>34577</v>
          </cell>
          <cell r="C15" t="str">
            <v>加拿大</v>
          </cell>
          <cell r="D15" t="str">
            <v>乳制品</v>
          </cell>
          <cell r="E15">
            <v>528.19999958574772</v>
          </cell>
        </row>
        <row r="16">
          <cell r="A16">
            <v>1994</v>
          </cell>
          <cell r="B16">
            <v>34578</v>
          </cell>
          <cell r="C16" t="str">
            <v>加拿大</v>
          </cell>
          <cell r="D16" t="str">
            <v>乳制品</v>
          </cell>
          <cell r="E16">
            <v>48</v>
          </cell>
        </row>
        <row r="17">
          <cell r="A17">
            <v>1994</v>
          </cell>
          <cell r="B17">
            <v>34579</v>
          </cell>
          <cell r="C17" t="str">
            <v>加拿大</v>
          </cell>
          <cell r="D17" t="str">
            <v>糖果</v>
          </cell>
          <cell r="E17">
            <v>388.8</v>
          </cell>
        </row>
        <row r="18">
          <cell r="A18">
            <v>1994</v>
          </cell>
          <cell r="B18">
            <v>34579</v>
          </cell>
          <cell r="C18" t="str">
            <v>加拿大</v>
          </cell>
          <cell r="D18" t="str">
            <v>乳制品</v>
          </cell>
          <cell r="E18">
            <v>400</v>
          </cell>
        </row>
        <row r="19">
          <cell r="A19">
            <v>1994</v>
          </cell>
          <cell r="B19">
            <v>34579</v>
          </cell>
          <cell r="C19" t="str">
            <v>加拿大</v>
          </cell>
          <cell r="D19" t="str">
            <v>乳制品</v>
          </cell>
          <cell r="E19">
            <v>667.2</v>
          </cell>
        </row>
        <row r="20">
          <cell r="A20">
            <v>1994</v>
          </cell>
          <cell r="B20">
            <v>34582</v>
          </cell>
          <cell r="C20" t="str">
            <v>美国</v>
          </cell>
          <cell r="D20" t="str">
            <v>海洋食品</v>
          </cell>
          <cell r="E20">
            <v>565.43999955654147</v>
          </cell>
        </row>
        <row r="21">
          <cell r="A21">
            <v>1994</v>
          </cell>
          <cell r="B21">
            <v>34582</v>
          </cell>
          <cell r="C21" t="str">
            <v>美国</v>
          </cell>
          <cell r="D21" t="str">
            <v>乳制品</v>
          </cell>
          <cell r="E21">
            <v>142.49999988824129</v>
          </cell>
        </row>
        <row r="22">
          <cell r="A22">
            <v>1994</v>
          </cell>
          <cell r="B22">
            <v>34582</v>
          </cell>
          <cell r="C22" t="str">
            <v>美国</v>
          </cell>
          <cell r="D22" t="str">
            <v>乳制品</v>
          </cell>
          <cell r="E22">
            <v>40</v>
          </cell>
        </row>
        <row r="23">
          <cell r="A23">
            <v>1994</v>
          </cell>
          <cell r="B23">
            <v>34582</v>
          </cell>
          <cell r="C23" t="str">
            <v>美国</v>
          </cell>
          <cell r="D23" t="str">
            <v>海洋食品</v>
          </cell>
          <cell r="E23">
            <v>837.89999934285879</v>
          </cell>
        </row>
        <row r="24">
          <cell r="A24">
            <v>1994</v>
          </cell>
          <cell r="B24">
            <v>34582</v>
          </cell>
          <cell r="C24" t="str">
            <v>美国</v>
          </cell>
          <cell r="D24" t="str">
            <v>饮料</v>
          </cell>
          <cell r="E24">
            <v>451.43999964594838</v>
          </cell>
        </row>
        <row r="25">
          <cell r="A25">
            <v>1994</v>
          </cell>
          <cell r="B25">
            <v>34586</v>
          </cell>
          <cell r="C25" t="str">
            <v>美国</v>
          </cell>
          <cell r="D25" t="str">
            <v>农产品</v>
          </cell>
          <cell r="E25">
            <v>728</v>
          </cell>
        </row>
        <row r="26">
          <cell r="A26">
            <v>1994</v>
          </cell>
          <cell r="B26">
            <v>34586</v>
          </cell>
          <cell r="C26" t="str">
            <v>美国</v>
          </cell>
          <cell r="D26" t="str">
            <v>糖果</v>
          </cell>
          <cell r="E26">
            <v>472.8</v>
          </cell>
        </row>
        <row r="27">
          <cell r="A27">
            <v>1994</v>
          </cell>
          <cell r="B27">
            <v>34590</v>
          </cell>
          <cell r="C27" t="str">
            <v>美国</v>
          </cell>
          <cell r="D27" t="str">
            <v>肉/家禽</v>
          </cell>
          <cell r="E27">
            <v>351</v>
          </cell>
        </row>
        <row r="28">
          <cell r="A28">
            <v>1994</v>
          </cell>
          <cell r="B28">
            <v>34596</v>
          </cell>
          <cell r="C28" t="str">
            <v>美国</v>
          </cell>
          <cell r="D28" t="str">
            <v>糖果</v>
          </cell>
          <cell r="E28">
            <v>394.875</v>
          </cell>
        </row>
        <row r="29">
          <cell r="A29">
            <v>1994</v>
          </cell>
          <cell r="B29">
            <v>34596</v>
          </cell>
          <cell r="C29" t="str">
            <v>美国</v>
          </cell>
          <cell r="D29" t="str">
            <v>香料</v>
          </cell>
          <cell r="E29">
            <v>325.5</v>
          </cell>
        </row>
        <row r="30">
          <cell r="A30">
            <v>1994</v>
          </cell>
          <cell r="B30">
            <v>34596</v>
          </cell>
          <cell r="C30" t="str">
            <v>美国</v>
          </cell>
          <cell r="D30" t="str">
            <v>乳制品</v>
          </cell>
          <cell r="E30">
            <v>408</v>
          </cell>
        </row>
        <row r="31">
          <cell r="A31">
            <v>1994</v>
          </cell>
          <cell r="B31">
            <v>34596</v>
          </cell>
          <cell r="C31" t="str">
            <v>美国</v>
          </cell>
          <cell r="D31" t="str">
            <v>饮料</v>
          </cell>
          <cell r="E31">
            <v>42</v>
          </cell>
        </row>
        <row r="32">
          <cell r="A32">
            <v>1994</v>
          </cell>
          <cell r="B32">
            <v>34597</v>
          </cell>
          <cell r="C32" t="str">
            <v>美国</v>
          </cell>
          <cell r="D32" t="str">
            <v>饮料</v>
          </cell>
          <cell r="E32">
            <v>518.39999806880951</v>
          </cell>
        </row>
        <row r="33">
          <cell r="A33">
            <v>1994</v>
          </cell>
          <cell r="B33">
            <v>34597</v>
          </cell>
          <cell r="C33" t="str">
            <v>美国</v>
          </cell>
          <cell r="D33" t="str">
            <v>海洋食品</v>
          </cell>
          <cell r="E33">
            <v>470.39999824762344</v>
          </cell>
        </row>
        <row r="34">
          <cell r="A34">
            <v>1994</v>
          </cell>
          <cell r="B34">
            <v>34597</v>
          </cell>
          <cell r="C34" t="str">
            <v>美国</v>
          </cell>
          <cell r="D34" t="str">
            <v>肉/家禽</v>
          </cell>
          <cell r="E34">
            <v>754.55999718904502</v>
          </cell>
        </row>
        <row r="35">
          <cell r="A35">
            <v>1994</v>
          </cell>
          <cell r="B35">
            <v>34598</v>
          </cell>
          <cell r="C35" t="str">
            <v>美国</v>
          </cell>
          <cell r="D35" t="str">
            <v>饮料</v>
          </cell>
          <cell r="E35">
            <v>1440</v>
          </cell>
        </row>
        <row r="36">
          <cell r="A36">
            <v>1994</v>
          </cell>
          <cell r="B36">
            <v>34598</v>
          </cell>
          <cell r="C36" t="str">
            <v>美国</v>
          </cell>
          <cell r="D36" t="str">
            <v>糖果</v>
          </cell>
          <cell r="E36">
            <v>1576</v>
          </cell>
        </row>
        <row r="37">
          <cell r="A37">
            <v>1994</v>
          </cell>
          <cell r="B37">
            <v>34607</v>
          </cell>
          <cell r="C37" t="str">
            <v>加拿大</v>
          </cell>
          <cell r="D37" t="str">
            <v>饮料</v>
          </cell>
          <cell r="E37">
            <v>259.2</v>
          </cell>
        </row>
        <row r="38">
          <cell r="A38">
            <v>1994</v>
          </cell>
          <cell r="B38">
            <v>34607</v>
          </cell>
          <cell r="C38" t="str">
            <v>加拿大</v>
          </cell>
          <cell r="D38" t="str">
            <v>肉/家禽</v>
          </cell>
          <cell r="E38">
            <v>468</v>
          </cell>
        </row>
        <row r="39">
          <cell r="A39">
            <v>1994</v>
          </cell>
          <cell r="B39">
            <v>34607</v>
          </cell>
          <cell r="C39" t="str">
            <v>加拿大</v>
          </cell>
          <cell r="D39" t="str">
            <v>饮料</v>
          </cell>
          <cell r="E39">
            <v>552</v>
          </cell>
        </row>
        <row r="40">
          <cell r="A40">
            <v>1994</v>
          </cell>
          <cell r="B40">
            <v>34607</v>
          </cell>
          <cell r="C40" t="str">
            <v>加拿大</v>
          </cell>
          <cell r="D40" t="str">
            <v>乳制品</v>
          </cell>
          <cell r="E40">
            <v>571.20000000000005</v>
          </cell>
        </row>
        <row r="41">
          <cell r="A41">
            <v>1994</v>
          </cell>
          <cell r="B41">
            <v>34607</v>
          </cell>
          <cell r="C41" t="str">
            <v>加拿大</v>
          </cell>
          <cell r="D41" t="str">
            <v>饮料</v>
          </cell>
          <cell r="E41">
            <v>37.200000000000003</v>
          </cell>
        </row>
        <row r="42">
          <cell r="A42">
            <v>1994</v>
          </cell>
          <cell r="B42">
            <v>34617</v>
          </cell>
          <cell r="C42" t="str">
            <v>美国</v>
          </cell>
          <cell r="D42" t="str">
            <v>海洋食品</v>
          </cell>
          <cell r="E42">
            <v>147</v>
          </cell>
        </row>
        <row r="43">
          <cell r="A43">
            <v>1994</v>
          </cell>
          <cell r="B43">
            <v>34617</v>
          </cell>
          <cell r="C43" t="str">
            <v>美国</v>
          </cell>
          <cell r="D43" t="str">
            <v>面食/谷类</v>
          </cell>
          <cell r="E43">
            <v>608</v>
          </cell>
        </row>
        <row r="44">
          <cell r="A44">
            <v>1994</v>
          </cell>
          <cell r="B44">
            <v>34621</v>
          </cell>
          <cell r="C44" t="str">
            <v>加拿大</v>
          </cell>
          <cell r="D44" t="str">
            <v>海洋食品</v>
          </cell>
          <cell r="E44">
            <v>1124.9999981373549</v>
          </cell>
        </row>
        <row r="45">
          <cell r="A45">
            <v>1994</v>
          </cell>
          <cell r="B45">
            <v>34621</v>
          </cell>
          <cell r="C45" t="str">
            <v>加拿大</v>
          </cell>
          <cell r="D45" t="str">
            <v>肉/家禽</v>
          </cell>
          <cell r="E45">
            <v>2227.4999963119626</v>
          </cell>
        </row>
        <row r="46">
          <cell r="A46">
            <v>1994</v>
          </cell>
          <cell r="B46">
            <v>34621</v>
          </cell>
          <cell r="C46" t="str">
            <v>加拿大</v>
          </cell>
          <cell r="D46" t="str">
            <v>饮料</v>
          </cell>
          <cell r="E46">
            <v>388.79999935626984</v>
          </cell>
        </row>
        <row r="47">
          <cell r="A47">
            <v>1994</v>
          </cell>
          <cell r="B47">
            <v>34625</v>
          </cell>
          <cell r="C47" t="str">
            <v>加拿大</v>
          </cell>
          <cell r="D47" t="str">
            <v>糖果</v>
          </cell>
          <cell r="E47">
            <v>394</v>
          </cell>
        </row>
        <row r="48">
          <cell r="A48">
            <v>1994</v>
          </cell>
          <cell r="B48">
            <v>34625</v>
          </cell>
          <cell r="C48" t="str">
            <v>加拿大</v>
          </cell>
          <cell r="D48" t="str">
            <v>糖果</v>
          </cell>
          <cell r="E48">
            <v>30</v>
          </cell>
        </row>
        <row r="49">
          <cell r="A49">
            <v>1994</v>
          </cell>
          <cell r="B49">
            <v>34628</v>
          </cell>
          <cell r="C49" t="str">
            <v>加拿大</v>
          </cell>
          <cell r="D49" t="str">
            <v>糖果</v>
          </cell>
          <cell r="E49">
            <v>139</v>
          </cell>
        </row>
        <row r="50">
          <cell r="A50">
            <v>1994</v>
          </cell>
          <cell r="B50">
            <v>34628</v>
          </cell>
          <cell r="C50" t="str">
            <v>加拿大</v>
          </cell>
          <cell r="D50" t="str">
            <v>糖果</v>
          </cell>
          <cell r="E50">
            <v>197</v>
          </cell>
        </row>
        <row r="51">
          <cell r="A51">
            <v>1994</v>
          </cell>
          <cell r="B51">
            <v>34631</v>
          </cell>
          <cell r="C51" t="str">
            <v>美国</v>
          </cell>
          <cell r="D51" t="str">
            <v>农产品</v>
          </cell>
          <cell r="E51">
            <v>145.6</v>
          </cell>
        </row>
        <row r="52">
          <cell r="A52">
            <v>1994</v>
          </cell>
          <cell r="B52">
            <v>34631</v>
          </cell>
          <cell r="C52" t="str">
            <v>美国</v>
          </cell>
          <cell r="D52" t="str">
            <v>饮料</v>
          </cell>
          <cell r="E52">
            <v>883.2</v>
          </cell>
        </row>
        <row r="53">
          <cell r="A53">
            <v>1994</v>
          </cell>
          <cell r="B53">
            <v>34631</v>
          </cell>
          <cell r="C53" t="str">
            <v>美国</v>
          </cell>
          <cell r="D53" t="str">
            <v>肉/家禽</v>
          </cell>
          <cell r="E53">
            <v>524</v>
          </cell>
        </row>
        <row r="54">
          <cell r="A54">
            <v>1994</v>
          </cell>
          <cell r="B54">
            <v>34631</v>
          </cell>
          <cell r="C54" t="str">
            <v>美国</v>
          </cell>
          <cell r="D54" t="str">
            <v>饮料</v>
          </cell>
          <cell r="E54">
            <v>62</v>
          </cell>
        </row>
        <row r="55">
          <cell r="A55">
            <v>1994</v>
          </cell>
          <cell r="B55">
            <v>34632</v>
          </cell>
          <cell r="C55" t="str">
            <v>美国</v>
          </cell>
          <cell r="D55" t="str">
            <v>海洋食品</v>
          </cell>
          <cell r="E55">
            <v>182.4</v>
          </cell>
        </row>
        <row r="56">
          <cell r="A56">
            <v>1994</v>
          </cell>
          <cell r="B56">
            <v>34633</v>
          </cell>
          <cell r="C56" t="str">
            <v>加拿大</v>
          </cell>
          <cell r="D56" t="str">
            <v>乳制品</v>
          </cell>
          <cell r="E56">
            <v>921.59999847412109</v>
          </cell>
        </row>
        <row r="57">
          <cell r="A57">
            <v>1994</v>
          </cell>
          <cell r="B57">
            <v>34633</v>
          </cell>
          <cell r="C57" t="str">
            <v>加拿大</v>
          </cell>
          <cell r="D57" t="str">
            <v>海洋食品</v>
          </cell>
          <cell r="E57">
            <v>286.19999952614307</v>
          </cell>
        </row>
        <row r="58">
          <cell r="A58">
            <v>1994</v>
          </cell>
          <cell r="B58">
            <v>34633</v>
          </cell>
          <cell r="C58" t="str">
            <v>加拿大</v>
          </cell>
          <cell r="D58" t="str">
            <v>糖果</v>
          </cell>
          <cell r="E58">
            <v>886.49999853223562</v>
          </cell>
        </row>
        <row r="59">
          <cell r="A59">
            <v>1994</v>
          </cell>
          <cell r="B59">
            <v>34635</v>
          </cell>
          <cell r="C59" t="str">
            <v>加拿大</v>
          </cell>
          <cell r="D59" t="str">
            <v>海洋食品</v>
          </cell>
          <cell r="E59">
            <v>77</v>
          </cell>
        </row>
        <row r="60">
          <cell r="A60">
            <v>1994</v>
          </cell>
          <cell r="B60">
            <v>34635</v>
          </cell>
          <cell r="C60" t="str">
            <v>加拿大</v>
          </cell>
          <cell r="D60" t="str">
            <v>糖果</v>
          </cell>
          <cell r="E60">
            <v>2758</v>
          </cell>
        </row>
        <row r="61">
          <cell r="A61">
            <v>1994</v>
          </cell>
          <cell r="B61">
            <v>34638</v>
          </cell>
          <cell r="C61" t="str">
            <v>加拿大</v>
          </cell>
          <cell r="D61" t="str">
            <v>饮料</v>
          </cell>
          <cell r="E61">
            <v>288</v>
          </cell>
        </row>
        <row r="62">
          <cell r="A62">
            <v>1994</v>
          </cell>
          <cell r="B62">
            <v>34645</v>
          </cell>
          <cell r="C62" t="str">
            <v>美国</v>
          </cell>
          <cell r="D62" t="str">
            <v>香料</v>
          </cell>
          <cell r="E62">
            <v>62</v>
          </cell>
        </row>
        <row r="63">
          <cell r="A63">
            <v>1994</v>
          </cell>
          <cell r="B63">
            <v>34645</v>
          </cell>
          <cell r="C63" t="str">
            <v>美国</v>
          </cell>
          <cell r="D63" t="str">
            <v>糖果</v>
          </cell>
          <cell r="E63">
            <v>44.8</v>
          </cell>
        </row>
        <row r="64">
          <cell r="A64">
            <v>1994</v>
          </cell>
          <cell r="B64">
            <v>34645</v>
          </cell>
          <cell r="C64" t="str">
            <v>美国</v>
          </cell>
          <cell r="D64" t="str">
            <v>饮料</v>
          </cell>
          <cell r="E64">
            <v>57.6</v>
          </cell>
        </row>
        <row r="65">
          <cell r="A65">
            <v>1994</v>
          </cell>
          <cell r="B65">
            <v>34646</v>
          </cell>
          <cell r="C65" t="str">
            <v>加拿大</v>
          </cell>
          <cell r="D65" t="str">
            <v>糖果</v>
          </cell>
          <cell r="E65">
            <v>248.1149982601404</v>
          </cell>
        </row>
        <row r="66">
          <cell r="A66">
            <v>1994</v>
          </cell>
          <cell r="B66">
            <v>34646</v>
          </cell>
          <cell r="C66" t="str">
            <v>加拿大</v>
          </cell>
          <cell r="D66" t="str">
            <v>饮料</v>
          </cell>
          <cell r="E66">
            <v>856.79999399185181</v>
          </cell>
        </row>
        <row r="67">
          <cell r="A67">
            <v>1994</v>
          </cell>
          <cell r="B67">
            <v>34646</v>
          </cell>
          <cell r="C67" t="str">
            <v>加拿大</v>
          </cell>
          <cell r="D67" t="str">
            <v>海洋食品</v>
          </cell>
          <cell r="E67">
            <v>288</v>
          </cell>
        </row>
        <row r="68">
          <cell r="A68">
            <v>1994</v>
          </cell>
          <cell r="B68">
            <v>34646</v>
          </cell>
          <cell r="C68" t="str">
            <v>加拿大</v>
          </cell>
          <cell r="D68" t="str">
            <v>乳制品</v>
          </cell>
          <cell r="E68">
            <v>1495.9999895095825</v>
          </cell>
        </row>
        <row r="69">
          <cell r="A69">
            <v>1994</v>
          </cell>
          <cell r="B69">
            <v>34646</v>
          </cell>
          <cell r="C69" t="str">
            <v>加拿大</v>
          </cell>
          <cell r="D69" t="str">
            <v>香料</v>
          </cell>
          <cell r="E69">
            <v>2386.7999832630157</v>
          </cell>
        </row>
        <row r="70">
          <cell r="A70">
            <v>1994</v>
          </cell>
          <cell r="B70">
            <v>34647</v>
          </cell>
          <cell r="C70" t="str">
            <v>美国</v>
          </cell>
          <cell r="D70" t="str">
            <v>香料</v>
          </cell>
          <cell r="E70">
            <v>120</v>
          </cell>
        </row>
        <row r="71">
          <cell r="A71">
            <v>1994</v>
          </cell>
          <cell r="B71">
            <v>34647</v>
          </cell>
          <cell r="C71" t="str">
            <v>美国</v>
          </cell>
          <cell r="D71" t="str">
            <v>海洋食品</v>
          </cell>
          <cell r="E71">
            <v>57.6</v>
          </cell>
        </row>
        <row r="72">
          <cell r="A72">
            <v>1994</v>
          </cell>
          <cell r="B72">
            <v>34647</v>
          </cell>
          <cell r="C72" t="str">
            <v>美国</v>
          </cell>
          <cell r="D72" t="str">
            <v>农产品</v>
          </cell>
          <cell r="E72">
            <v>167.4</v>
          </cell>
        </row>
        <row r="73">
          <cell r="A73">
            <v>1994</v>
          </cell>
          <cell r="B73">
            <v>34647</v>
          </cell>
          <cell r="C73" t="str">
            <v>美国</v>
          </cell>
          <cell r="D73" t="str">
            <v>乳制品</v>
          </cell>
          <cell r="E73">
            <v>40</v>
          </cell>
        </row>
        <row r="74">
          <cell r="A74">
            <v>1994</v>
          </cell>
          <cell r="B74">
            <v>34647</v>
          </cell>
          <cell r="C74" t="str">
            <v>美国</v>
          </cell>
          <cell r="D74" t="str">
            <v>乳制品</v>
          </cell>
          <cell r="E74">
            <v>1112</v>
          </cell>
        </row>
        <row r="75">
          <cell r="A75">
            <v>1994</v>
          </cell>
          <cell r="B75">
            <v>34653</v>
          </cell>
          <cell r="C75" t="str">
            <v>加拿大</v>
          </cell>
          <cell r="D75" t="str">
            <v>糖果</v>
          </cell>
          <cell r="E75">
            <v>69.349999945610762</v>
          </cell>
        </row>
        <row r="76">
          <cell r="A76">
            <v>1994</v>
          </cell>
          <cell r="B76">
            <v>34653</v>
          </cell>
          <cell r="C76" t="str">
            <v>加拿大</v>
          </cell>
          <cell r="D76" t="str">
            <v>海洋食品</v>
          </cell>
          <cell r="E76">
            <v>157.31999987661837</v>
          </cell>
        </row>
        <row r="77">
          <cell r="A77">
            <v>1994</v>
          </cell>
          <cell r="B77">
            <v>34653</v>
          </cell>
          <cell r="C77" t="str">
            <v>加拿大</v>
          </cell>
          <cell r="D77" t="str">
            <v>饮料</v>
          </cell>
          <cell r="E77">
            <v>4005.1999968588352</v>
          </cell>
        </row>
        <row r="78">
          <cell r="A78">
            <v>1994</v>
          </cell>
          <cell r="B78">
            <v>34653</v>
          </cell>
          <cell r="C78" t="str">
            <v>加拿大</v>
          </cell>
          <cell r="D78" t="str">
            <v>面食/谷类</v>
          </cell>
          <cell r="E78">
            <v>346.55999972820285</v>
          </cell>
        </row>
        <row r="79">
          <cell r="A79">
            <v>1994</v>
          </cell>
          <cell r="B79">
            <v>34662</v>
          </cell>
          <cell r="C79" t="str">
            <v>美国</v>
          </cell>
          <cell r="D79" t="str">
            <v>面食/谷类</v>
          </cell>
          <cell r="E79">
            <v>288</v>
          </cell>
        </row>
        <row r="80">
          <cell r="A80">
            <v>1994</v>
          </cell>
          <cell r="B80">
            <v>34662</v>
          </cell>
          <cell r="C80" t="str">
            <v>美国</v>
          </cell>
          <cell r="D80" t="str">
            <v>糖果</v>
          </cell>
          <cell r="E80">
            <v>597.6</v>
          </cell>
        </row>
        <row r="81">
          <cell r="A81">
            <v>1994</v>
          </cell>
          <cell r="B81">
            <v>34662</v>
          </cell>
          <cell r="C81" t="str">
            <v>美国</v>
          </cell>
          <cell r="D81" t="str">
            <v>海洋食品</v>
          </cell>
          <cell r="E81">
            <v>304</v>
          </cell>
        </row>
        <row r="82">
          <cell r="A82">
            <v>1994</v>
          </cell>
          <cell r="B82">
            <v>34662</v>
          </cell>
          <cell r="C82" t="str">
            <v>美国</v>
          </cell>
          <cell r="D82" t="str">
            <v>海洋食品</v>
          </cell>
          <cell r="E82">
            <v>582.4</v>
          </cell>
        </row>
        <row r="83">
          <cell r="A83">
            <v>1994</v>
          </cell>
          <cell r="B83">
            <v>34662</v>
          </cell>
          <cell r="C83" t="str">
            <v>美国</v>
          </cell>
          <cell r="D83" t="str">
            <v>乳制品</v>
          </cell>
          <cell r="E83">
            <v>695</v>
          </cell>
        </row>
        <row r="84">
          <cell r="A84">
            <v>1994</v>
          </cell>
          <cell r="B84">
            <v>34663</v>
          </cell>
          <cell r="C84" t="str">
            <v>加拿大</v>
          </cell>
          <cell r="D84" t="str">
            <v>肉/家禽</v>
          </cell>
          <cell r="E84">
            <v>624</v>
          </cell>
        </row>
        <row r="85">
          <cell r="A85">
            <v>1994</v>
          </cell>
          <cell r="B85">
            <v>34663</v>
          </cell>
          <cell r="C85" t="str">
            <v>加拿大</v>
          </cell>
          <cell r="D85" t="str">
            <v>海洋食品</v>
          </cell>
          <cell r="E85">
            <v>310.5</v>
          </cell>
        </row>
        <row r="86">
          <cell r="A86">
            <v>1994</v>
          </cell>
          <cell r="B86">
            <v>34668</v>
          </cell>
          <cell r="C86" t="str">
            <v>美国</v>
          </cell>
          <cell r="D86" t="str">
            <v>饮料</v>
          </cell>
          <cell r="E86">
            <v>291.83999891281127</v>
          </cell>
        </row>
        <row r="87">
          <cell r="A87">
            <v>1994</v>
          </cell>
          <cell r="B87">
            <v>34668</v>
          </cell>
          <cell r="C87" t="str">
            <v>美国</v>
          </cell>
          <cell r="D87" t="str">
            <v>乳制品</v>
          </cell>
          <cell r="E87">
            <v>447.99999833106995</v>
          </cell>
        </row>
        <row r="88">
          <cell r="A88">
            <v>1994</v>
          </cell>
          <cell r="B88">
            <v>34668</v>
          </cell>
          <cell r="C88" t="str">
            <v>美国</v>
          </cell>
          <cell r="D88" t="str">
            <v>海洋食品</v>
          </cell>
          <cell r="E88">
            <v>486.3999981880188</v>
          </cell>
        </row>
        <row r="89">
          <cell r="A89">
            <v>1994</v>
          </cell>
          <cell r="B89">
            <v>34668</v>
          </cell>
          <cell r="C89" t="str">
            <v>美国</v>
          </cell>
          <cell r="D89" t="str">
            <v>肉/家禽</v>
          </cell>
          <cell r="E89">
            <v>614.39999771118164</v>
          </cell>
        </row>
        <row r="90">
          <cell r="A90">
            <v>1994</v>
          </cell>
          <cell r="B90">
            <v>34669</v>
          </cell>
          <cell r="C90" t="str">
            <v>美国</v>
          </cell>
          <cell r="D90" t="str">
            <v>面食/谷类</v>
          </cell>
          <cell r="E90">
            <v>1330</v>
          </cell>
        </row>
        <row r="91">
          <cell r="A91">
            <v>1994</v>
          </cell>
          <cell r="B91">
            <v>34669</v>
          </cell>
          <cell r="C91" t="str">
            <v>美国</v>
          </cell>
          <cell r="D91" t="str">
            <v>糖果</v>
          </cell>
          <cell r="E91">
            <v>37.999999970197678</v>
          </cell>
        </row>
        <row r="92">
          <cell r="A92">
            <v>1994</v>
          </cell>
          <cell r="B92">
            <v>34669</v>
          </cell>
          <cell r="C92" t="str">
            <v>美国</v>
          </cell>
          <cell r="D92" t="str">
            <v>饮料</v>
          </cell>
          <cell r="E92">
            <v>216</v>
          </cell>
        </row>
        <row r="93">
          <cell r="A93">
            <v>1994</v>
          </cell>
          <cell r="B93">
            <v>34670</v>
          </cell>
          <cell r="C93" t="str">
            <v>加拿大</v>
          </cell>
          <cell r="D93" t="str">
            <v>香料</v>
          </cell>
          <cell r="E93">
            <v>616</v>
          </cell>
        </row>
        <row r="94">
          <cell r="A94">
            <v>1994</v>
          </cell>
          <cell r="B94">
            <v>34670</v>
          </cell>
          <cell r="C94" t="str">
            <v>加拿大</v>
          </cell>
          <cell r="D94" t="str">
            <v>香料</v>
          </cell>
          <cell r="E94">
            <v>1680</v>
          </cell>
        </row>
        <row r="95">
          <cell r="A95">
            <v>1994</v>
          </cell>
          <cell r="B95">
            <v>34673</v>
          </cell>
          <cell r="C95" t="str">
            <v>美国</v>
          </cell>
          <cell r="D95" t="str">
            <v>香料</v>
          </cell>
          <cell r="E95">
            <v>2240</v>
          </cell>
        </row>
        <row r="96">
          <cell r="A96">
            <v>1994</v>
          </cell>
          <cell r="B96">
            <v>34673</v>
          </cell>
          <cell r="C96" t="str">
            <v>美国</v>
          </cell>
          <cell r="D96" t="str">
            <v>糖果</v>
          </cell>
          <cell r="E96">
            <v>584</v>
          </cell>
        </row>
        <row r="97">
          <cell r="A97">
            <v>1994</v>
          </cell>
          <cell r="B97">
            <v>34673</v>
          </cell>
          <cell r="C97" t="str">
            <v>美国</v>
          </cell>
          <cell r="D97" t="str">
            <v>面食/谷类</v>
          </cell>
          <cell r="E97">
            <v>100.8</v>
          </cell>
        </row>
        <row r="98">
          <cell r="A98">
            <v>1994</v>
          </cell>
          <cell r="B98">
            <v>34674</v>
          </cell>
          <cell r="C98" t="str">
            <v>加拿大</v>
          </cell>
          <cell r="D98" t="str">
            <v>肉/家禽</v>
          </cell>
          <cell r="E98">
            <v>1010.8799983263016</v>
          </cell>
        </row>
        <row r="99">
          <cell r="A99">
            <v>1994</v>
          </cell>
          <cell r="B99">
            <v>34674</v>
          </cell>
          <cell r="C99" t="str">
            <v>加拿大</v>
          </cell>
          <cell r="D99" t="str">
            <v>面食/谷类</v>
          </cell>
          <cell r="E99">
            <v>608</v>
          </cell>
        </row>
        <row r="100">
          <cell r="A100">
            <v>1994</v>
          </cell>
          <cell r="B100">
            <v>34676</v>
          </cell>
          <cell r="C100" t="str">
            <v>美国</v>
          </cell>
          <cell r="D100" t="str">
            <v>饮料</v>
          </cell>
          <cell r="E100">
            <v>183.59999871253967</v>
          </cell>
        </row>
        <row r="101">
          <cell r="A101">
            <v>1994</v>
          </cell>
          <cell r="B101">
            <v>34676</v>
          </cell>
          <cell r="C101" t="str">
            <v>美国</v>
          </cell>
          <cell r="D101" t="str">
            <v>面食/谷类</v>
          </cell>
          <cell r="E101">
            <v>180</v>
          </cell>
        </row>
        <row r="102">
          <cell r="A102">
            <v>1994</v>
          </cell>
          <cell r="B102">
            <v>34677</v>
          </cell>
          <cell r="C102" t="str">
            <v>加拿大</v>
          </cell>
          <cell r="D102" t="str">
            <v>肉/家禽</v>
          </cell>
          <cell r="E102">
            <v>141.6</v>
          </cell>
        </row>
        <row r="103">
          <cell r="A103">
            <v>1994</v>
          </cell>
          <cell r="B103">
            <v>34687</v>
          </cell>
          <cell r="C103" t="str">
            <v>美国</v>
          </cell>
          <cell r="D103" t="str">
            <v>乳制品</v>
          </cell>
          <cell r="E103">
            <v>300</v>
          </cell>
        </row>
        <row r="104">
          <cell r="A104">
            <v>1994</v>
          </cell>
          <cell r="B104">
            <v>34687</v>
          </cell>
          <cell r="C104" t="str">
            <v>美国</v>
          </cell>
          <cell r="D104" t="str">
            <v>肉/家禽</v>
          </cell>
          <cell r="E104">
            <v>230.4</v>
          </cell>
        </row>
        <row r="105">
          <cell r="A105">
            <v>1994</v>
          </cell>
          <cell r="B105">
            <v>34687</v>
          </cell>
          <cell r="C105" t="str">
            <v>美国</v>
          </cell>
          <cell r="D105" t="str">
            <v>乳制品</v>
          </cell>
          <cell r="E105">
            <v>576</v>
          </cell>
        </row>
        <row r="106">
          <cell r="A106">
            <v>1994</v>
          </cell>
          <cell r="B106">
            <v>34691</v>
          </cell>
          <cell r="C106" t="str">
            <v>美国</v>
          </cell>
          <cell r="D106" t="str">
            <v>饮料</v>
          </cell>
          <cell r="E106">
            <v>699.83999884128571</v>
          </cell>
        </row>
        <row r="107">
          <cell r="A107">
            <v>1994</v>
          </cell>
          <cell r="B107">
            <v>34691</v>
          </cell>
          <cell r="C107" t="str">
            <v>美国</v>
          </cell>
          <cell r="D107" t="str">
            <v>乳制品</v>
          </cell>
          <cell r="E107">
            <v>1346.3999977707863</v>
          </cell>
        </row>
        <row r="108">
          <cell r="A108">
            <v>1994</v>
          </cell>
          <cell r="B108">
            <v>34695</v>
          </cell>
          <cell r="C108" t="str">
            <v>美国</v>
          </cell>
          <cell r="D108" t="str">
            <v>乳制品</v>
          </cell>
          <cell r="E108">
            <v>200</v>
          </cell>
        </row>
        <row r="109">
          <cell r="A109">
            <v>1994</v>
          </cell>
          <cell r="B109">
            <v>34695</v>
          </cell>
          <cell r="C109" t="str">
            <v>美国</v>
          </cell>
          <cell r="D109" t="str">
            <v>饮料</v>
          </cell>
          <cell r="E109">
            <v>74.400000000000006</v>
          </cell>
        </row>
        <row r="110">
          <cell r="A110">
            <v>1994</v>
          </cell>
          <cell r="B110">
            <v>34695</v>
          </cell>
          <cell r="C110" t="str">
            <v>美国</v>
          </cell>
          <cell r="D110" t="str">
            <v>饮料</v>
          </cell>
          <cell r="E110">
            <v>172.8</v>
          </cell>
        </row>
        <row r="111">
          <cell r="A111">
            <v>1995</v>
          </cell>
          <cell r="B111">
            <v>34701</v>
          </cell>
          <cell r="C111" t="str">
            <v>加拿大</v>
          </cell>
          <cell r="D111" t="str">
            <v>肉/家禽</v>
          </cell>
          <cell r="E111">
            <v>1980</v>
          </cell>
        </row>
        <row r="112">
          <cell r="A112">
            <v>1995</v>
          </cell>
          <cell r="B112">
            <v>34701</v>
          </cell>
          <cell r="C112" t="str">
            <v>加拿大</v>
          </cell>
          <cell r="D112" t="str">
            <v>面食/谷类</v>
          </cell>
          <cell r="E112">
            <v>410.4</v>
          </cell>
        </row>
        <row r="113">
          <cell r="A113">
            <v>1995</v>
          </cell>
          <cell r="B113">
            <v>34705</v>
          </cell>
          <cell r="C113" t="str">
            <v>加拿大</v>
          </cell>
          <cell r="D113" t="str">
            <v>农产品</v>
          </cell>
          <cell r="E113">
            <v>279</v>
          </cell>
        </row>
        <row r="114">
          <cell r="A114">
            <v>1995</v>
          </cell>
          <cell r="B114">
            <v>34705</v>
          </cell>
          <cell r="C114" t="str">
            <v>加拿大</v>
          </cell>
          <cell r="D114" t="str">
            <v>肉/家禽</v>
          </cell>
          <cell r="E114">
            <v>59</v>
          </cell>
        </row>
        <row r="115">
          <cell r="A115">
            <v>1995</v>
          </cell>
          <cell r="B115">
            <v>34716</v>
          </cell>
          <cell r="C115" t="str">
            <v>加拿大</v>
          </cell>
          <cell r="D115" t="str">
            <v>农产品</v>
          </cell>
          <cell r="E115">
            <v>191.99999928474426</v>
          </cell>
        </row>
        <row r="116">
          <cell r="A116">
            <v>1995</v>
          </cell>
          <cell r="B116">
            <v>34716</v>
          </cell>
          <cell r="C116" t="str">
            <v>加拿大</v>
          </cell>
          <cell r="D116" t="str">
            <v>乳制品</v>
          </cell>
          <cell r="E116">
            <v>435.19999837875366</v>
          </cell>
        </row>
        <row r="117">
          <cell r="A117">
            <v>1995</v>
          </cell>
          <cell r="B117">
            <v>34716</v>
          </cell>
          <cell r="C117" t="str">
            <v>加拿大</v>
          </cell>
          <cell r="D117" t="str">
            <v>糖果</v>
          </cell>
          <cell r="E117">
            <v>63.999999761581421</v>
          </cell>
        </row>
        <row r="118">
          <cell r="A118">
            <v>1995</v>
          </cell>
          <cell r="B118">
            <v>34722</v>
          </cell>
          <cell r="C118" t="str">
            <v>美国</v>
          </cell>
          <cell r="D118" t="str">
            <v>海洋食品</v>
          </cell>
          <cell r="E118">
            <v>86.4</v>
          </cell>
        </row>
        <row r="119">
          <cell r="A119">
            <v>1995</v>
          </cell>
          <cell r="B119">
            <v>34724</v>
          </cell>
          <cell r="C119" t="str">
            <v>加拿大</v>
          </cell>
          <cell r="D119" t="str">
            <v>饮料</v>
          </cell>
          <cell r="E119">
            <v>285</v>
          </cell>
        </row>
        <row r="120">
          <cell r="A120">
            <v>1995</v>
          </cell>
          <cell r="B120">
            <v>34724</v>
          </cell>
          <cell r="C120" t="str">
            <v>加拿大</v>
          </cell>
          <cell r="D120" t="str">
            <v>农产品</v>
          </cell>
          <cell r="E120">
            <v>585.9</v>
          </cell>
        </row>
        <row r="121">
          <cell r="A121">
            <v>1995</v>
          </cell>
          <cell r="B121">
            <v>34724</v>
          </cell>
          <cell r="C121" t="str">
            <v>加拿大</v>
          </cell>
          <cell r="D121" t="str">
            <v>糖果</v>
          </cell>
          <cell r="E121">
            <v>58.8</v>
          </cell>
        </row>
        <row r="122">
          <cell r="A122">
            <v>1995</v>
          </cell>
          <cell r="B122">
            <v>34724</v>
          </cell>
          <cell r="C122" t="str">
            <v>加拿大</v>
          </cell>
          <cell r="D122" t="str">
            <v>糖果</v>
          </cell>
          <cell r="E122">
            <v>1307.25</v>
          </cell>
        </row>
        <row r="123">
          <cell r="A123">
            <v>1995</v>
          </cell>
          <cell r="B123">
            <v>34724</v>
          </cell>
          <cell r="C123" t="str">
            <v>加拿大</v>
          </cell>
          <cell r="D123" t="str">
            <v>乳制品</v>
          </cell>
          <cell r="E123">
            <v>320</v>
          </cell>
        </row>
        <row r="124">
          <cell r="A124">
            <v>1995</v>
          </cell>
          <cell r="B124">
            <v>34724</v>
          </cell>
          <cell r="C124" t="str">
            <v>加拿大</v>
          </cell>
          <cell r="D124" t="str">
            <v>海洋食品</v>
          </cell>
          <cell r="E124">
            <v>48</v>
          </cell>
        </row>
        <row r="125">
          <cell r="A125">
            <v>1995</v>
          </cell>
          <cell r="B125">
            <v>34724</v>
          </cell>
          <cell r="C125" t="str">
            <v>加拿大</v>
          </cell>
          <cell r="D125" t="str">
            <v>糖果</v>
          </cell>
          <cell r="E125">
            <v>394</v>
          </cell>
        </row>
        <row r="126">
          <cell r="A126">
            <v>1995</v>
          </cell>
          <cell r="B126">
            <v>34726</v>
          </cell>
          <cell r="C126" t="str">
            <v>美国</v>
          </cell>
          <cell r="D126" t="str">
            <v>面食/谷类</v>
          </cell>
          <cell r="E126">
            <v>288</v>
          </cell>
        </row>
        <row r="127">
          <cell r="A127">
            <v>1995</v>
          </cell>
          <cell r="B127">
            <v>34726</v>
          </cell>
          <cell r="C127" t="str">
            <v>美国</v>
          </cell>
          <cell r="D127" t="str">
            <v>乳制品</v>
          </cell>
          <cell r="E127">
            <v>1032</v>
          </cell>
        </row>
        <row r="128">
          <cell r="A128">
            <v>1995</v>
          </cell>
          <cell r="B128">
            <v>34726</v>
          </cell>
          <cell r="C128" t="str">
            <v>美国</v>
          </cell>
          <cell r="D128" t="str">
            <v>乳制品</v>
          </cell>
          <cell r="E128">
            <v>583.79999999999995</v>
          </cell>
        </row>
        <row r="129">
          <cell r="A129">
            <v>1995</v>
          </cell>
          <cell r="B129">
            <v>34729</v>
          </cell>
          <cell r="C129" t="str">
            <v>加拿大</v>
          </cell>
          <cell r="D129" t="str">
            <v>饮料</v>
          </cell>
          <cell r="E129">
            <v>432</v>
          </cell>
        </row>
        <row r="130">
          <cell r="A130">
            <v>1995</v>
          </cell>
          <cell r="B130">
            <v>34729</v>
          </cell>
          <cell r="C130" t="str">
            <v>加拿大</v>
          </cell>
          <cell r="D130" t="str">
            <v>肉/家禽</v>
          </cell>
          <cell r="E130">
            <v>2073.5999965667725</v>
          </cell>
        </row>
        <row r="131">
          <cell r="A131">
            <v>1995</v>
          </cell>
          <cell r="B131">
            <v>34731</v>
          </cell>
          <cell r="C131" t="str">
            <v>加拿大</v>
          </cell>
          <cell r="D131" t="str">
            <v>海洋食品</v>
          </cell>
          <cell r="E131">
            <v>372.6</v>
          </cell>
        </row>
        <row r="132">
          <cell r="A132">
            <v>1995</v>
          </cell>
          <cell r="B132">
            <v>34731</v>
          </cell>
          <cell r="C132" t="str">
            <v>加拿大</v>
          </cell>
          <cell r="D132" t="str">
            <v>面食/谷类</v>
          </cell>
          <cell r="E132">
            <v>2128</v>
          </cell>
        </row>
        <row r="133">
          <cell r="A133">
            <v>1995</v>
          </cell>
          <cell r="B133">
            <v>34731</v>
          </cell>
          <cell r="C133" t="str">
            <v>加拿大</v>
          </cell>
          <cell r="D133" t="str">
            <v>香料</v>
          </cell>
          <cell r="E133">
            <v>336</v>
          </cell>
        </row>
        <row r="134">
          <cell r="A134">
            <v>1995</v>
          </cell>
          <cell r="B134">
            <v>34731</v>
          </cell>
          <cell r="C134" t="str">
            <v>加拿大</v>
          </cell>
          <cell r="D134" t="str">
            <v>乳制品</v>
          </cell>
          <cell r="E134">
            <v>1032</v>
          </cell>
        </row>
        <row r="135">
          <cell r="A135">
            <v>1995</v>
          </cell>
          <cell r="B135">
            <v>34737</v>
          </cell>
          <cell r="C135" t="str">
            <v>美国</v>
          </cell>
          <cell r="D135" t="str">
            <v>乳制品</v>
          </cell>
          <cell r="E135">
            <v>504</v>
          </cell>
        </row>
        <row r="136">
          <cell r="A136">
            <v>1995</v>
          </cell>
          <cell r="B136">
            <v>34737</v>
          </cell>
          <cell r="C136" t="str">
            <v>美国</v>
          </cell>
          <cell r="D136" t="str">
            <v>乳制品</v>
          </cell>
          <cell r="E136">
            <v>432</v>
          </cell>
        </row>
        <row r="137">
          <cell r="A137">
            <v>1995</v>
          </cell>
          <cell r="B137">
            <v>34737</v>
          </cell>
          <cell r="C137" t="str">
            <v>美国</v>
          </cell>
          <cell r="D137" t="str">
            <v>乳制品</v>
          </cell>
          <cell r="E137">
            <v>258</v>
          </cell>
        </row>
        <row r="138">
          <cell r="A138">
            <v>1995</v>
          </cell>
          <cell r="B138">
            <v>34745</v>
          </cell>
          <cell r="C138" t="str">
            <v>加拿大</v>
          </cell>
          <cell r="D138" t="str">
            <v>肉/家禽</v>
          </cell>
          <cell r="E138">
            <v>62.4</v>
          </cell>
        </row>
        <row r="139">
          <cell r="A139">
            <v>1995</v>
          </cell>
          <cell r="B139">
            <v>34745</v>
          </cell>
          <cell r="C139" t="str">
            <v>加拿大</v>
          </cell>
          <cell r="D139" t="str">
            <v>乳制品</v>
          </cell>
          <cell r="E139">
            <v>40</v>
          </cell>
        </row>
        <row r="140">
          <cell r="A140">
            <v>1995</v>
          </cell>
          <cell r="B140">
            <v>34747</v>
          </cell>
          <cell r="C140" t="str">
            <v>美国</v>
          </cell>
          <cell r="D140" t="str">
            <v>饮料</v>
          </cell>
          <cell r="E140">
            <v>912</v>
          </cell>
        </row>
        <row r="141">
          <cell r="A141">
            <v>1995</v>
          </cell>
          <cell r="B141">
            <v>34747</v>
          </cell>
          <cell r="C141" t="str">
            <v>美国</v>
          </cell>
          <cell r="D141" t="str">
            <v>糖果</v>
          </cell>
          <cell r="E141">
            <v>418</v>
          </cell>
        </row>
        <row r="142">
          <cell r="A142">
            <v>1995</v>
          </cell>
          <cell r="B142">
            <v>34747</v>
          </cell>
          <cell r="C142" t="str">
            <v>美国</v>
          </cell>
          <cell r="D142" t="str">
            <v>香料</v>
          </cell>
          <cell r="E142">
            <v>364.8</v>
          </cell>
        </row>
        <row r="143">
          <cell r="A143">
            <v>1995</v>
          </cell>
          <cell r="B143">
            <v>34747</v>
          </cell>
          <cell r="C143" t="str">
            <v>美国</v>
          </cell>
          <cell r="D143" t="str">
            <v>农产品</v>
          </cell>
          <cell r="E143">
            <v>120</v>
          </cell>
        </row>
        <row r="144">
          <cell r="A144">
            <v>1995</v>
          </cell>
          <cell r="B144">
            <v>34761</v>
          </cell>
          <cell r="C144" t="str">
            <v>加拿大</v>
          </cell>
          <cell r="D144" t="str">
            <v>糖果</v>
          </cell>
          <cell r="E144">
            <v>249</v>
          </cell>
        </row>
        <row r="145">
          <cell r="A145">
            <v>1995</v>
          </cell>
          <cell r="B145">
            <v>34761</v>
          </cell>
          <cell r="C145" t="str">
            <v>加拿大</v>
          </cell>
          <cell r="D145" t="str">
            <v>肉/家禽</v>
          </cell>
          <cell r="E145">
            <v>236</v>
          </cell>
        </row>
        <row r="146">
          <cell r="A146">
            <v>1995</v>
          </cell>
          <cell r="B146">
            <v>34767</v>
          </cell>
          <cell r="C146" t="str">
            <v>美国</v>
          </cell>
          <cell r="D146" t="str">
            <v>糖果</v>
          </cell>
          <cell r="E146">
            <v>87.59999967366457</v>
          </cell>
        </row>
        <row r="147">
          <cell r="A147">
            <v>1995</v>
          </cell>
          <cell r="B147">
            <v>34767</v>
          </cell>
          <cell r="C147" t="str">
            <v>美国</v>
          </cell>
          <cell r="D147" t="str">
            <v>饮料</v>
          </cell>
          <cell r="E147">
            <v>179.19999933242798</v>
          </cell>
        </row>
        <row r="148">
          <cell r="A148">
            <v>1995</v>
          </cell>
          <cell r="B148">
            <v>34767</v>
          </cell>
          <cell r="C148" t="str">
            <v>美国</v>
          </cell>
          <cell r="D148" t="str">
            <v>面食/谷类</v>
          </cell>
          <cell r="E148">
            <v>187.19999930262566</v>
          </cell>
        </row>
        <row r="149">
          <cell r="A149">
            <v>1995</v>
          </cell>
          <cell r="B149">
            <v>34771</v>
          </cell>
          <cell r="C149" t="str">
            <v>加拿大</v>
          </cell>
          <cell r="D149" t="str">
            <v>饮料</v>
          </cell>
          <cell r="E149">
            <v>581.3999959230423</v>
          </cell>
        </row>
        <row r="150">
          <cell r="A150">
            <v>1995</v>
          </cell>
          <cell r="B150">
            <v>34771</v>
          </cell>
          <cell r="C150" t="str">
            <v>加拿大</v>
          </cell>
          <cell r="D150" t="str">
            <v>糖果</v>
          </cell>
          <cell r="E150">
            <v>578.93499594032767</v>
          </cell>
        </row>
        <row r="151">
          <cell r="A151">
            <v>1995</v>
          </cell>
          <cell r="B151">
            <v>34771</v>
          </cell>
          <cell r="C151" t="str">
            <v>加拿大</v>
          </cell>
          <cell r="D151" t="str">
            <v>肉/家禽</v>
          </cell>
          <cell r="E151">
            <v>2019.5999858379364</v>
          </cell>
        </row>
        <row r="152">
          <cell r="A152">
            <v>1995</v>
          </cell>
          <cell r="B152">
            <v>34771</v>
          </cell>
          <cell r="C152" t="str">
            <v>加拿大</v>
          </cell>
          <cell r="D152" t="str">
            <v>香料</v>
          </cell>
          <cell r="E152">
            <v>1744.1999877691269</v>
          </cell>
        </row>
        <row r="153">
          <cell r="A153">
            <v>1995</v>
          </cell>
          <cell r="B153">
            <v>34771</v>
          </cell>
          <cell r="C153" t="str">
            <v>加拿大</v>
          </cell>
          <cell r="D153" t="str">
            <v>糖果</v>
          </cell>
          <cell r="E153">
            <v>1755</v>
          </cell>
        </row>
        <row r="154">
          <cell r="A154">
            <v>1995</v>
          </cell>
          <cell r="B154">
            <v>34775</v>
          </cell>
          <cell r="C154" t="str">
            <v>美国</v>
          </cell>
          <cell r="D154" t="str">
            <v>糖果</v>
          </cell>
          <cell r="E154">
            <v>78.839999869465828</v>
          </cell>
        </row>
        <row r="155">
          <cell r="A155">
            <v>1995</v>
          </cell>
          <cell r="B155">
            <v>34775</v>
          </cell>
          <cell r="C155" t="str">
            <v>美国</v>
          </cell>
          <cell r="D155" t="str">
            <v>饮料</v>
          </cell>
          <cell r="E155">
            <v>64.799999892711639</v>
          </cell>
        </row>
        <row r="156">
          <cell r="A156">
            <v>1995</v>
          </cell>
          <cell r="B156">
            <v>34775</v>
          </cell>
          <cell r="C156" t="str">
            <v>美国</v>
          </cell>
          <cell r="D156" t="str">
            <v>乳制品</v>
          </cell>
          <cell r="E156">
            <v>26.999999955296516</v>
          </cell>
        </row>
        <row r="157">
          <cell r="A157">
            <v>1995</v>
          </cell>
          <cell r="B157">
            <v>34775</v>
          </cell>
          <cell r="C157" t="str">
            <v>美国</v>
          </cell>
          <cell r="D157" t="str">
            <v>面食/谷类</v>
          </cell>
          <cell r="E157">
            <v>75.599999874830246</v>
          </cell>
        </row>
        <row r="158">
          <cell r="A158">
            <v>1995</v>
          </cell>
          <cell r="B158">
            <v>34780</v>
          </cell>
          <cell r="C158" t="str">
            <v>美国</v>
          </cell>
          <cell r="D158" t="str">
            <v>肉/家禽</v>
          </cell>
          <cell r="E158">
            <v>2073.5999965667725</v>
          </cell>
        </row>
        <row r="159">
          <cell r="A159">
            <v>1995</v>
          </cell>
          <cell r="B159">
            <v>34780</v>
          </cell>
          <cell r="C159" t="str">
            <v>美国</v>
          </cell>
          <cell r="D159" t="str">
            <v>面食/谷类</v>
          </cell>
          <cell r="E159">
            <v>837.89999861270189</v>
          </cell>
        </row>
        <row r="160">
          <cell r="A160">
            <v>1995</v>
          </cell>
          <cell r="B160">
            <v>34780</v>
          </cell>
          <cell r="C160" t="str">
            <v>美国</v>
          </cell>
          <cell r="D160" t="str">
            <v>香料</v>
          </cell>
          <cell r="E160">
            <v>423.35999929904938</v>
          </cell>
        </row>
        <row r="161">
          <cell r="A161">
            <v>1995</v>
          </cell>
          <cell r="B161">
            <v>34780</v>
          </cell>
          <cell r="C161" t="str">
            <v>美国</v>
          </cell>
          <cell r="D161" t="str">
            <v>香料</v>
          </cell>
          <cell r="E161">
            <v>514.79999914765358</v>
          </cell>
        </row>
        <row r="162">
          <cell r="A162">
            <v>1995</v>
          </cell>
          <cell r="B162">
            <v>34781</v>
          </cell>
          <cell r="C162" t="str">
            <v>加拿大</v>
          </cell>
          <cell r="D162" t="str">
            <v>农产品</v>
          </cell>
          <cell r="E162">
            <v>546</v>
          </cell>
        </row>
        <row r="163">
          <cell r="A163">
            <v>1995</v>
          </cell>
          <cell r="B163">
            <v>34781</v>
          </cell>
          <cell r="C163" t="str">
            <v>加拿大</v>
          </cell>
          <cell r="D163" t="str">
            <v>香料</v>
          </cell>
          <cell r="E163">
            <v>1472.49999884516</v>
          </cell>
        </row>
        <row r="164">
          <cell r="A164">
            <v>1995</v>
          </cell>
          <cell r="B164">
            <v>34786</v>
          </cell>
          <cell r="C164" t="str">
            <v>美国</v>
          </cell>
          <cell r="D164" t="str">
            <v>糖果</v>
          </cell>
          <cell r="E164">
            <v>271.99999809265137</v>
          </cell>
        </row>
        <row r="165">
          <cell r="A165">
            <v>1995</v>
          </cell>
          <cell r="B165">
            <v>34786</v>
          </cell>
          <cell r="C165" t="str">
            <v>美国</v>
          </cell>
          <cell r="D165" t="str">
            <v>糖果</v>
          </cell>
          <cell r="E165">
            <v>285.59999799728394</v>
          </cell>
        </row>
        <row r="166">
          <cell r="A166">
            <v>1995</v>
          </cell>
          <cell r="B166">
            <v>34786</v>
          </cell>
          <cell r="C166" t="str">
            <v>美国</v>
          </cell>
          <cell r="D166" t="str">
            <v>乳制品</v>
          </cell>
          <cell r="E166">
            <v>1584</v>
          </cell>
        </row>
        <row r="167">
          <cell r="A167">
            <v>1995</v>
          </cell>
          <cell r="B167">
            <v>34796</v>
          </cell>
          <cell r="C167" t="str">
            <v>美国</v>
          </cell>
          <cell r="D167" t="str">
            <v>海洋食品</v>
          </cell>
          <cell r="E167">
            <v>165.6</v>
          </cell>
        </row>
        <row r="168">
          <cell r="A168">
            <v>1995</v>
          </cell>
          <cell r="B168">
            <v>34796</v>
          </cell>
          <cell r="C168" t="str">
            <v>美国</v>
          </cell>
          <cell r="D168" t="str">
            <v>饮料</v>
          </cell>
          <cell r="E168">
            <v>552</v>
          </cell>
        </row>
        <row r="169">
          <cell r="A169">
            <v>1995</v>
          </cell>
          <cell r="B169">
            <v>34799</v>
          </cell>
          <cell r="C169" t="str">
            <v>加拿大</v>
          </cell>
          <cell r="D169" t="str">
            <v>饮料</v>
          </cell>
          <cell r="E169">
            <v>516.7999963760376</v>
          </cell>
        </row>
        <row r="170">
          <cell r="A170">
            <v>1995</v>
          </cell>
          <cell r="B170">
            <v>34799</v>
          </cell>
          <cell r="C170" t="str">
            <v>加拿大</v>
          </cell>
          <cell r="D170" t="str">
            <v>糖果</v>
          </cell>
          <cell r="E170">
            <v>413.52499710023403</v>
          </cell>
        </row>
        <row r="171">
          <cell r="A171">
            <v>1995</v>
          </cell>
          <cell r="B171">
            <v>34799</v>
          </cell>
          <cell r="C171" t="str">
            <v>加拿大</v>
          </cell>
          <cell r="D171" t="str">
            <v>香料</v>
          </cell>
          <cell r="E171">
            <v>26.349999815225601</v>
          </cell>
        </row>
        <row r="172">
          <cell r="A172">
            <v>1995</v>
          </cell>
          <cell r="B172">
            <v>34808</v>
          </cell>
          <cell r="C172" t="str">
            <v>加拿大</v>
          </cell>
          <cell r="D172" t="str">
            <v>饮料</v>
          </cell>
          <cell r="E172">
            <v>6324</v>
          </cell>
        </row>
        <row r="173">
          <cell r="A173">
            <v>1995</v>
          </cell>
          <cell r="B173">
            <v>34808</v>
          </cell>
          <cell r="C173" t="str">
            <v>加拿大</v>
          </cell>
          <cell r="D173" t="str">
            <v>肉/家禽</v>
          </cell>
          <cell r="E173">
            <v>733.6</v>
          </cell>
        </row>
        <row r="174">
          <cell r="A174">
            <v>1995</v>
          </cell>
          <cell r="B174">
            <v>34808</v>
          </cell>
          <cell r="C174" t="str">
            <v>加拿大</v>
          </cell>
          <cell r="D174" t="str">
            <v>乳制品</v>
          </cell>
          <cell r="E174">
            <v>2640</v>
          </cell>
        </row>
        <row r="175">
          <cell r="A175">
            <v>1995</v>
          </cell>
          <cell r="B175">
            <v>34808</v>
          </cell>
          <cell r="C175" t="str">
            <v>加拿大</v>
          </cell>
          <cell r="D175" t="str">
            <v>面食/谷类</v>
          </cell>
          <cell r="E175">
            <v>798</v>
          </cell>
        </row>
        <row r="176">
          <cell r="A176">
            <v>1995</v>
          </cell>
          <cell r="B176">
            <v>34810</v>
          </cell>
          <cell r="C176" t="str">
            <v>加拿大</v>
          </cell>
          <cell r="D176" t="str">
            <v>海洋食品</v>
          </cell>
          <cell r="E176">
            <v>147</v>
          </cell>
        </row>
        <row r="177">
          <cell r="A177">
            <v>1995</v>
          </cell>
          <cell r="B177">
            <v>34813</v>
          </cell>
          <cell r="C177" t="str">
            <v>加拿大</v>
          </cell>
          <cell r="D177" t="str">
            <v>饮料</v>
          </cell>
          <cell r="E177">
            <v>372.39999970793724</v>
          </cell>
        </row>
        <row r="178">
          <cell r="A178">
            <v>1995</v>
          </cell>
          <cell r="B178">
            <v>34813</v>
          </cell>
          <cell r="C178" t="str">
            <v>加拿大</v>
          </cell>
          <cell r="D178" t="str">
            <v>香料</v>
          </cell>
          <cell r="E178">
            <v>296.39999976754189</v>
          </cell>
        </row>
        <row r="179">
          <cell r="A179">
            <v>1995</v>
          </cell>
          <cell r="B179">
            <v>34816</v>
          </cell>
          <cell r="C179" t="str">
            <v>美国</v>
          </cell>
          <cell r="D179" t="str">
            <v>乳制品</v>
          </cell>
          <cell r="E179">
            <v>1320</v>
          </cell>
        </row>
        <row r="180">
          <cell r="A180">
            <v>1995</v>
          </cell>
          <cell r="B180">
            <v>34816</v>
          </cell>
          <cell r="C180" t="str">
            <v>美国</v>
          </cell>
          <cell r="D180" t="str">
            <v>海洋食品</v>
          </cell>
          <cell r="E180">
            <v>191.99999928474426</v>
          </cell>
        </row>
        <row r="181">
          <cell r="A181">
            <v>1995</v>
          </cell>
          <cell r="B181">
            <v>34824</v>
          </cell>
          <cell r="C181" t="str">
            <v>美国</v>
          </cell>
          <cell r="D181" t="str">
            <v>面食/谷类</v>
          </cell>
          <cell r="E181">
            <v>425.6</v>
          </cell>
        </row>
        <row r="182">
          <cell r="A182">
            <v>1995</v>
          </cell>
          <cell r="B182">
            <v>34824</v>
          </cell>
          <cell r="C182" t="str">
            <v>美国</v>
          </cell>
          <cell r="D182" t="str">
            <v>乳制品</v>
          </cell>
          <cell r="E182">
            <v>695</v>
          </cell>
        </row>
        <row r="183">
          <cell r="A183">
            <v>1995</v>
          </cell>
          <cell r="B183">
            <v>34824</v>
          </cell>
          <cell r="C183" t="str">
            <v>美国</v>
          </cell>
          <cell r="D183" t="str">
            <v>香料</v>
          </cell>
          <cell r="E183">
            <v>260</v>
          </cell>
        </row>
        <row r="184">
          <cell r="A184">
            <v>1995</v>
          </cell>
          <cell r="B184">
            <v>34829</v>
          </cell>
          <cell r="C184" t="str">
            <v>美国</v>
          </cell>
          <cell r="D184" t="str">
            <v>肉/家禽</v>
          </cell>
          <cell r="E184">
            <v>149</v>
          </cell>
        </row>
        <row r="185">
          <cell r="A185">
            <v>1995</v>
          </cell>
          <cell r="B185">
            <v>34831</v>
          </cell>
          <cell r="C185" t="str">
            <v>加拿大</v>
          </cell>
          <cell r="D185" t="str">
            <v>饮料</v>
          </cell>
          <cell r="E185">
            <v>228</v>
          </cell>
        </row>
        <row r="186">
          <cell r="A186">
            <v>1995</v>
          </cell>
          <cell r="B186">
            <v>34831</v>
          </cell>
          <cell r="C186" t="str">
            <v>加拿大</v>
          </cell>
          <cell r="D186" t="str">
            <v>糖果</v>
          </cell>
          <cell r="E186">
            <v>120</v>
          </cell>
        </row>
        <row r="187">
          <cell r="A187">
            <v>1995</v>
          </cell>
          <cell r="B187">
            <v>34831</v>
          </cell>
          <cell r="C187" t="str">
            <v>加拿大</v>
          </cell>
          <cell r="D187" t="str">
            <v>肉/家禽</v>
          </cell>
          <cell r="E187">
            <v>328</v>
          </cell>
        </row>
        <row r="188">
          <cell r="A188">
            <v>1995</v>
          </cell>
          <cell r="B188">
            <v>34831</v>
          </cell>
          <cell r="C188" t="str">
            <v>加拿大</v>
          </cell>
          <cell r="D188" t="str">
            <v>香料</v>
          </cell>
          <cell r="E188">
            <v>712.5</v>
          </cell>
        </row>
        <row r="189">
          <cell r="A189">
            <v>1995</v>
          </cell>
          <cell r="B189">
            <v>34835</v>
          </cell>
          <cell r="C189" t="str">
            <v>美国</v>
          </cell>
          <cell r="D189" t="str">
            <v>糖果</v>
          </cell>
          <cell r="E189">
            <v>226.79999962449074</v>
          </cell>
        </row>
        <row r="190">
          <cell r="A190">
            <v>1995</v>
          </cell>
          <cell r="B190">
            <v>34835</v>
          </cell>
          <cell r="C190" t="str">
            <v>美国</v>
          </cell>
          <cell r="D190" t="str">
            <v>饮料</v>
          </cell>
          <cell r="E190">
            <v>188.99999968707561</v>
          </cell>
        </row>
        <row r="191">
          <cell r="A191">
            <v>1995</v>
          </cell>
          <cell r="B191">
            <v>34836</v>
          </cell>
          <cell r="C191" t="str">
            <v>美国</v>
          </cell>
          <cell r="D191" t="str">
            <v>海洋食品</v>
          </cell>
          <cell r="E191">
            <v>60</v>
          </cell>
        </row>
        <row r="192">
          <cell r="A192">
            <v>1995</v>
          </cell>
          <cell r="B192">
            <v>34836</v>
          </cell>
          <cell r="C192" t="str">
            <v>美国</v>
          </cell>
          <cell r="D192" t="str">
            <v>饮料</v>
          </cell>
          <cell r="E192">
            <v>180</v>
          </cell>
        </row>
        <row r="193">
          <cell r="A193">
            <v>1995</v>
          </cell>
          <cell r="B193">
            <v>34837</v>
          </cell>
          <cell r="C193" t="str">
            <v>美国</v>
          </cell>
          <cell r="D193" t="str">
            <v>农产品</v>
          </cell>
          <cell r="E193">
            <v>136.80000000000001</v>
          </cell>
        </row>
        <row r="194">
          <cell r="A194">
            <v>1995</v>
          </cell>
          <cell r="B194">
            <v>34838</v>
          </cell>
          <cell r="C194" t="str">
            <v>加拿大</v>
          </cell>
          <cell r="D194" t="str">
            <v>肉/家禽</v>
          </cell>
          <cell r="E194">
            <v>4456.4399999999996</v>
          </cell>
        </row>
        <row r="195">
          <cell r="A195">
            <v>1995</v>
          </cell>
          <cell r="B195">
            <v>34838</v>
          </cell>
          <cell r="C195" t="str">
            <v>加拿大</v>
          </cell>
          <cell r="D195" t="str">
            <v>饮料</v>
          </cell>
          <cell r="E195">
            <v>251.0999995842576</v>
          </cell>
        </row>
        <row r="196">
          <cell r="A196">
            <v>1995</v>
          </cell>
          <cell r="B196">
            <v>34842</v>
          </cell>
          <cell r="C196" t="str">
            <v>美国</v>
          </cell>
          <cell r="D196" t="str">
            <v>糖果</v>
          </cell>
          <cell r="E196">
            <v>319.9999988079071</v>
          </cell>
        </row>
        <row r="197">
          <cell r="A197">
            <v>1995</v>
          </cell>
          <cell r="B197">
            <v>34842</v>
          </cell>
          <cell r="C197" t="str">
            <v>美国</v>
          </cell>
          <cell r="D197" t="str">
            <v>乳制品</v>
          </cell>
          <cell r="E197">
            <v>1279.9999952316284</v>
          </cell>
        </row>
        <row r="198">
          <cell r="A198">
            <v>1995</v>
          </cell>
          <cell r="B198">
            <v>34842</v>
          </cell>
          <cell r="C198" t="str">
            <v>美国</v>
          </cell>
          <cell r="D198" t="str">
            <v>香料</v>
          </cell>
          <cell r="E198">
            <v>341.99999872595072</v>
          </cell>
        </row>
        <row r="199">
          <cell r="A199">
            <v>1995</v>
          </cell>
          <cell r="B199">
            <v>34843</v>
          </cell>
          <cell r="C199" t="str">
            <v>美国</v>
          </cell>
          <cell r="D199" t="str">
            <v>肉/家禽</v>
          </cell>
          <cell r="E199">
            <v>1319.1999907493591</v>
          </cell>
        </row>
        <row r="200">
          <cell r="A200">
            <v>1995</v>
          </cell>
          <cell r="B200">
            <v>34843</v>
          </cell>
          <cell r="C200" t="str">
            <v>美国</v>
          </cell>
          <cell r="D200" t="str">
            <v>糖果</v>
          </cell>
          <cell r="E200">
            <v>872.5</v>
          </cell>
        </row>
        <row r="201">
          <cell r="A201">
            <v>1995</v>
          </cell>
          <cell r="B201">
            <v>34843</v>
          </cell>
          <cell r="C201" t="str">
            <v>美国</v>
          </cell>
          <cell r="D201" t="str">
            <v>糖果</v>
          </cell>
          <cell r="E201">
            <v>5268</v>
          </cell>
        </row>
        <row r="202">
          <cell r="A202">
            <v>1995</v>
          </cell>
          <cell r="B202">
            <v>34843</v>
          </cell>
          <cell r="C202" t="str">
            <v>美国</v>
          </cell>
          <cell r="D202" t="str">
            <v>乳制品</v>
          </cell>
          <cell r="E202">
            <v>33.999999761581421</v>
          </cell>
        </row>
        <row r="203">
          <cell r="A203">
            <v>1995</v>
          </cell>
          <cell r="B203">
            <v>34843</v>
          </cell>
          <cell r="C203" t="str">
            <v>美国</v>
          </cell>
          <cell r="D203" t="str">
            <v>乳制品</v>
          </cell>
          <cell r="E203">
            <v>2427.5999829769135</v>
          </cell>
        </row>
        <row r="204">
          <cell r="A204">
            <v>1995</v>
          </cell>
          <cell r="B204">
            <v>34850</v>
          </cell>
          <cell r="C204" t="str">
            <v>美国</v>
          </cell>
          <cell r="D204" t="str">
            <v>饮料</v>
          </cell>
          <cell r="E204">
            <v>575.99999785423279</v>
          </cell>
        </row>
        <row r="205">
          <cell r="A205">
            <v>1995</v>
          </cell>
          <cell r="B205">
            <v>34850</v>
          </cell>
          <cell r="C205" t="str">
            <v>美国</v>
          </cell>
          <cell r="D205" t="str">
            <v>香料</v>
          </cell>
          <cell r="E205">
            <v>960</v>
          </cell>
        </row>
        <row r="206">
          <cell r="A206">
            <v>1995</v>
          </cell>
          <cell r="B206">
            <v>34850</v>
          </cell>
          <cell r="C206" t="str">
            <v>美国</v>
          </cell>
          <cell r="D206" t="str">
            <v>海洋食品</v>
          </cell>
          <cell r="E206">
            <v>414.23999845683574</v>
          </cell>
        </row>
        <row r="207">
          <cell r="A207">
            <v>1995</v>
          </cell>
          <cell r="B207">
            <v>34850</v>
          </cell>
          <cell r="C207" t="str">
            <v>美国</v>
          </cell>
          <cell r="D207" t="str">
            <v>海洋食品</v>
          </cell>
          <cell r="E207">
            <v>367.99999862909317</v>
          </cell>
        </row>
        <row r="208">
          <cell r="A208">
            <v>1995</v>
          </cell>
          <cell r="B208">
            <v>34855</v>
          </cell>
          <cell r="C208" t="str">
            <v>美国</v>
          </cell>
          <cell r="D208" t="str">
            <v>香料</v>
          </cell>
          <cell r="E208">
            <v>989.99999836087227</v>
          </cell>
        </row>
        <row r="209">
          <cell r="A209">
            <v>1995</v>
          </cell>
          <cell r="B209">
            <v>34855</v>
          </cell>
          <cell r="C209" t="str">
            <v>美国</v>
          </cell>
          <cell r="D209" t="str">
            <v>海洋食品</v>
          </cell>
          <cell r="E209">
            <v>512.99999915063381</v>
          </cell>
        </row>
        <row r="210">
          <cell r="A210">
            <v>1995</v>
          </cell>
          <cell r="B210">
            <v>34856</v>
          </cell>
          <cell r="C210" t="str">
            <v>加拿大</v>
          </cell>
          <cell r="D210" t="str">
            <v>乳制品</v>
          </cell>
          <cell r="E210">
            <v>63</v>
          </cell>
        </row>
        <row r="211">
          <cell r="A211">
            <v>1995</v>
          </cell>
          <cell r="B211">
            <v>34856</v>
          </cell>
          <cell r="C211" t="str">
            <v>加拿大</v>
          </cell>
          <cell r="D211" t="str">
            <v>乳制品</v>
          </cell>
          <cell r="E211">
            <v>15.999999940395355</v>
          </cell>
        </row>
        <row r="212">
          <cell r="A212">
            <v>1995</v>
          </cell>
          <cell r="B212">
            <v>34856</v>
          </cell>
          <cell r="C212" t="str">
            <v>加拿大</v>
          </cell>
          <cell r="D212" t="str">
            <v>乳制品</v>
          </cell>
          <cell r="E212">
            <v>313.2</v>
          </cell>
        </row>
        <row r="213">
          <cell r="A213">
            <v>1995</v>
          </cell>
          <cell r="B213">
            <v>34862</v>
          </cell>
          <cell r="C213" t="str">
            <v>美国</v>
          </cell>
          <cell r="D213" t="str">
            <v>海洋食品</v>
          </cell>
          <cell r="E213">
            <v>258.89999999999998</v>
          </cell>
        </row>
        <row r="214">
          <cell r="A214">
            <v>1995</v>
          </cell>
          <cell r="B214">
            <v>34862</v>
          </cell>
          <cell r="C214" t="str">
            <v>美国</v>
          </cell>
          <cell r="D214" t="str">
            <v>海洋食品</v>
          </cell>
          <cell r="E214">
            <v>147.19999945163727</v>
          </cell>
        </row>
        <row r="215">
          <cell r="A215">
            <v>1995</v>
          </cell>
          <cell r="B215">
            <v>34862</v>
          </cell>
          <cell r="C215" t="str">
            <v>美国</v>
          </cell>
          <cell r="D215" t="str">
            <v>肉/家禽</v>
          </cell>
          <cell r="E215">
            <v>59.599999777972698</v>
          </cell>
        </row>
        <row r="216">
          <cell r="A216">
            <v>1995</v>
          </cell>
          <cell r="B216">
            <v>34864</v>
          </cell>
          <cell r="C216" t="str">
            <v>美国</v>
          </cell>
          <cell r="D216" t="str">
            <v>乳制品</v>
          </cell>
          <cell r="E216">
            <v>427.5</v>
          </cell>
        </row>
        <row r="217">
          <cell r="A217">
            <v>1995</v>
          </cell>
          <cell r="B217">
            <v>34864</v>
          </cell>
          <cell r="C217" t="str">
            <v>美国</v>
          </cell>
          <cell r="D217" t="str">
            <v>乳制品</v>
          </cell>
          <cell r="E217">
            <v>250</v>
          </cell>
        </row>
        <row r="218">
          <cell r="A218">
            <v>1995</v>
          </cell>
          <cell r="B218">
            <v>34864</v>
          </cell>
          <cell r="C218" t="str">
            <v>美国</v>
          </cell>
          <cell r="D218" t="str">
            <v>乳制品</v>
          </cell>
          <cell r="E218">
            <v>75</v>
          </cell>
        </row>
        <row r="219">
          <cell r="A219">
            <v>1995</v>
          </cell>
          <cell r="B219">
            <v>34864</v>
          </cell>
          <cell r="C219" t="str">
            <v>美国</v>
          </cell>
          <cell r="D219" t="str">
            <v>乳制品</v>
          </cell>
          <cell r="E219">
            <v>892.5</v>
          </cell>
        </row>
        <row r="220">
          <cell r="A220">
            <v>1995</v>
          </cell>
          <cell r="B220">
            <v>34869</v>
          </cell>
          <cell r="C220" t="str">
            <v>美国</v>
          </cell>
          <cell r="D220" t="str">
            <v>香料</v>
          </cell>
          <cell r="E220">
            <v>600</v>
          </cell>
        </row>
        <row r="221">
          <cell r="A221">
            <v>1995</v>
          </cell>
          <cell r="B221">
            <v>34869</v>
          </cell>
          <cell r="C221" t="str">
            <v>美国</v>
          </cell>
          <cell r="D221" t="str">
            <v>糖果</v>
          </cell>
          <cell r="E221">
            <v>1249.2</v>
          </cell>
        </row>
        <row r="222">
          <cell r="A222">
            <v>1995</v>
          </cell>
          <cell r="B222">
            <v>34869</v>
          </cell>
          <cell r="C222" t="str">
            <v>美国</v>
          </cell>
          <cell r="D222" t="str">
            <v>饮料</v>
          </cell>
          <cell r="E222">
            <v>7905</v>
          </cell>
        </row>
        <row r="223">
          <cell r="A223">
            <v>1995</v>
          </cell>
          <cell r="B223">
            <v>34869</v>
          </cell>
          <cell r="C223" t="str">
            <v>美国</v>
          </cell>
          <cell r="D223" t="str">
            <v>糖果</v>
          </cell>
          <cell r="E223">
            <v>437.5</v>
          </cell>
        </row>
        <row r="224">
          <cell r="A224">
            <v>1995</v>
          </cell>
          <cell r="B224">
            <v>34870</v>
          </cell>
          <cell r="C224" t="str">
            <v>美国</v>
          </cell>
          <cell r="D224" t="str">
            <v>乳制品</v>
          </cell>
          <cell r="E224">
            <v>299.24999976530671</v>
          </cell>
        </row>
        <row r="225">
          <cell r="A225">
            <v>1995</v>
          </cell>
          <cell r="B225">
            <v>34870</v>
          </cell>
          <cell r="C225" t="str">
            <v>美国</v>
          </cell>
          <cell r="D225" t="str">
            <v>肉/家禽</v>
          </cell>
          <cell r="E225">
            <v>169.85999986678362</v>
          </cell>
        </row>
        <row r="226">
          <cell r="A226">
            <v>1995</v>
          </cell>
          <cell r="B226">
            <v>34871</v>
          </cell>
          <cell r="C226" t="str">
            <v>加拿大</v>
          </cell>
          <cell r="D226" t="str">
            <v>农产品</v>
          </cell>
          <cell r="E226">
            <v>319.2</v>
          </cell>
        </row>
        <row r="227">
          <cell r="A227">
            <v>1995</v>
          </cell>
          <cell r="B227">
            <v>34871</v>
          </cell>
          <cell r="C227" t="str">
            <v>加拿大</v>
          </cell>
          <cell r="D227" t="str">
            <v>饮料</v>
          </cell>
          <cell r="E227">
            <v>98</v>
          </cell>
        </row>
        <row r="228">
          <cell r="A228">
            <v>1995</v>
          </cell>
          <cell r="B228">
            <v>34872</v>
          </cell>
          <cell r="C228" t="str">
            <v>加拿大</v>
          </cell>
          <cell r="D228" t="str">
            <v>乳制品</v>
          </cell>
          <cell r="E228">
            <v>210</v>
          </cell>
        </row>
        <row r="229">
          <cell r="A229">
            <v>1995</v>
          </cell>
          <cell r="B229">
            <v>34876</v>
          </cell>
          <cell r="C229" t="str">
            <v>美国</v>
          </cell>
          <cell r="D229" t="str">
            <v>饮料</v>
          </cell>
          <cell r="E229">
            <v>105</v>
          </cell>
        </row>
        <row r="230">
          <cell r="A230">
            <v>1995</v>
          </cell>
          <cell r="B230">
            <v>34876</v>
          </cell>
          <cell r="C230" t="str">
            <v>美国</v>
          </cell>
          <cell r="D230" t="str">
            <v>海洋食品</v>
          </cell>
          <cell r="E230">
            <v>135.1</v>
          </cell>
        </row>
        <row r="231">
          <cell r="A231">
            <v>1995</v>
          </cell>
          <cell r="B231">
            <v>34877</v>
          </cell>
          <cell r="C231" t="str">
            <v>美国</v>
          </cell>
          <cell r="D231" t="str">
            <v>乳制品</v>
          </cell>
          <cell r="E231">
            <v>584.37499590218067</v>
          </cell>
        </row>
        <row r="232">
          <cell r="A232">
            <v>1995</v>
          </cell>
          <cell r="B232">
            <v>34877</v>
          </cell>
          <cell r="C232" t="str">
            <v>美国</v>
          </cell>
          <cell r="D232" t="str">
            <v>海洋食品</v>
          </cell>
          <cell r="E232">
            <v>807.49999433755875</v>
          </cell>
        </row>
        <row r="233">
          <cell r="A233">
            <v>1995</v>
          </cell>
          <cell r="B233">
            <v>34877</v>
          </cell>
          <cell r="C233" t="str">
            <v>美国</v>
          </cell>
          <cell r="D233" t="str">
            <v>农产品</v>
          </cell>
          <cell r="E233">
            <v>2162.3999848365784</v>
          </cell>
        </row>
        <row r="234">
          <cell r="A234">
            <v>1995</v>
          </cell>
          <cell r="B234">
            <v>34880</v>
          </cell>
          <cell r="C234" t="str">
            <v>美国</v>
          </cell>
          <cell r="D234" t="str">
            <v>糖果</v>
          </cell>
          <cell r="E234">
            <v>497.32499960996211</v>
          </cell>
        </row>
        <row r="235">
          <cell r="A235">
            <v>1995</v>
          </cell>
          <cell r="B235">
            <v>34880</v>
          </cell>
          <cell r="C235" t="str">
            <v>美国</v>
          </cell>
          <cell r="D235" t="str">
            <v>面食/谷类</v>
          </cell>
          <cell r="E235">
            <v>170.99999986588955</v>
          </cell>
        </row>
        <row r="236">
          <cell r="A236">
            <v>1995</v>
          </cell>
          <cell r="B236">
            <v>34880</v>
          </cell>
          <cell r="C236" t="str">
            <v>美国</v>
          </cell>
          <cell r="D236" t="str">
            <v>糖果</v>
          </cell>
          <cell r="E236">
            <v>936.69999926537275</v>
          </cell>
        </row>
        <row r="237">
          <cell r="A237">
            <v>1995</v>
          </cell>
          <cell r="B237">
            <v>34880</v>
          </cell>
          <cell r="C237" t="str">
            <v>美国</v>
          </cell>
          <cell r="D237" t="str">
            <v>香料</v>
          </cell>
          <cell r="E237">
            <v>123.49999990314245</v>
          </cell>
        </row>
        <row r="238">
          <cell r="A238">
            <v>1995</v>
          </cell>
          <cell r="B238">
            <v>34883</v>
          </cell>
          <cell r="C238" t="str">
            <v>加拿大</v>
          </cell>
          <cell r="D238" t="str">
            <v>农产品</v>
          </cell>
          <cell r="E238">
            <v>557.99999792128801</v>
          </cell>
        </row>
        <row r="239">
          <cell r="A239">
            <v>1995</v>
          </cell>
          <cell r="B239">
            <v>34883</v>
          </cell>
          <cell r="C239" t="str">
            <v>加拿大</v>
          </cell>
          <cell r="D239" t="str">
            <v>糖果</v>
          </cell>
          <cell r="E239">
            <v>257.59999904036522</v>
          </cell>
        </row>
        <row r="240">
          <cell r="A240">
            <v>1995</v>
          </cell>
          <cell r="B240">
            <v>34883</v>
          </cell>
          <cell r="C240" t="str">
            <v>加拿大</v>
          </cell>
          <cell r="D240" t="str">
            <v>饮料</v>
          </cell>
          <cell r="E240">
            <v>64.799999758601189</v>
          </cell>
        </row>
        <row r="241">
          <cell r="A241">
            <v>1995</v>
          </cell>
          <cell r="B241">
            <v>34883</v>
          </cell>
          <cell r="C241" t="str">
            <v>加拿大</v>
          </cell>
          <cell r="D241" t="str">
            <v>农产品</v>
          </cell>
          <cell r="E241">
            <v>847.99999684095383</v>
          </cell>
        </row>
        <row r="242">
          <cell r="A242">
            <v>1995</v>
          </cell>
          <cell r="B242">
            <v>34883</v>
          </cell>
          <cell r="C242" t="str">
            <v>加拿大</v>
          </cell>
          <cell r="D242" t="str">
            <v>面食/谷类</v>
          </cell>
          <cell r="E242">
            <v>1215.999995470047</v>
          </cell>
        </row>
        <row r="243">
          <cell r="A243">
            <v>1995</v>
          </cell>
          <cell r="B243">
            <v>34884</v>
          </cell>
          <cell r="C243" t="str">
            <v>美国</v>
          </cell>
          <cell r="D243" t="str">
            <v>面食/谷类</v>
          </cell>
          <cell r="E243">
            <v>997.5</v>
          </cell>
        </row>
        <row r="244">
          <cell r="A244">
            <v>1995</v>
          </cell>
          <cell r="B244">
            <v>34884</v>
          </cell>
          <cell r="C244" t="str">
            <v>美国</v>
          </cell>
          <cell r="D244" t="str">
            <v>饮料</v>
          </cell>
          <cell r="E244">
            <v>155</v>
          </cell>
        </row>
        <row r="245">
          <cell r="A245">
            <v>1995</v>
          </cell>
          <cell r="B245">
            <v>34887</v>
          </cell>
          <cell r="C245" t="str">
            <v>美国</v>
          </cell>
          <cell r="D245" t="str">
            <v>海洋食品</v>
          </cell>
          <cell r="E245">
            <v>517.79999999999995</v>
          </cell>
        </row>
        <row r="246">
          <cell r="A246">
            <v>1995</v>
          </cell>
          <cell r="B246">
            <v>34887</v>
          </cell>
          <cell r="C246" t="str">
            <v>美国</v>
          </cell>
          <cell r="D246" t="str">
            <v>糖果</v>
          </cell>
          <cell r="E246">
            <v>554.625</v>
          </cell>
        </row>
        <row r="247">
          <cell r="A247">
            <v>1995</v>
          </cell>
          <cell r="B247">
            <v>34891</v>
          </cell>
          <cell r="C247" t="str">
            <v>加拿大</v>
          </cell>
          <cell r="D247" t="str">
            <v>肉/家禽</v>
          </cell>
          <cell r="E247">
            <v>592.79999953508377</v>
          </cell>
        </row>
        <row r="248">
          <cell r="A248">
            <v>1995</v>
          </cell>
          <cell r="B248">
            <v>34891</v>
          </cell>
          <cell r="C248" t="str">
            <v>加拿大</v>
          </cell>
          <cell r="D248" t="str">
            <v>乳制品</v>
          </cell>
          <cell r="E248">
            <v>71.249999944120646</v>
          </cell>
        </row>
        <row r="249">
          <cell r="A249">
            <v>1995</v>
          </cell>
          <cell r="B249">
            <v>34891</v>
          </cell>
          <cell r="C249" t="str">
            <v>加拿大</v>
          </cell>
          <cell r="D249" t="str">
            <v>肉/家禽</v>
          </cell>
          <cell r="E249">
            <v>569.99999955296516</v>
          </cell>
        </row>
        <row r="250">
          <cell r="A250">
            <v>1995</v>
          </cell>
          <cell r="B250">
            <v>34897</v>
          </cell>
          <cell r="C250" t="str">
            <v>加拿大</v>
          </cell>
          <cell r="D250" t="str">
            <v>乳制品</v>
          </cell>
          <cell r="E250">
            <v>349.9999986961484</v>
          </cell>
        </row>
        <row r="251">
          <cell r="A251">
            <v>1995</v>
          </cell>
          <cell r="B251">
            <v>34897</v>
          </cell>
          <cell r="C251" t="str">
            <v>加拿大</v>
          </cell>
          <cell r="D251" t="str">
            <v>饮料</v>
          </cell>
          <cell r="E251">
            <v>540</v>
          </cell>
        </row>
        <row r="252">
          <cell r="A252">
            <v>1995</v>
          </cell>
          <cell r="B252">
            <v>34900</v>
          </cell>
          <cell r="C252" t="str">
            <v>加拿大</v>
          </cell>
          <cell r="D252" t="str">
            <v>乳制品</v>
          </cell>
          <cell r="E252">
            <v>35</v>
          </cell>
        </row>
        <row r="253">
          <cell r="A253">
            <v>1995</v>
          </cell>
          <cell r="B253">
            <v>34900</v>
          </cell>
          <cell r="C253" t="str">
            <v>加拿大</v>
          </cell>
          <cell r="D253" t="str">
            <v>海洋食品</v>
          </cell>
          <cell r="E253">
            <v>36.799999999999997</v>
          </cell>
        </row>
        <row r="254">
          <cell r="A254">
            <v>1995</v>
          </cell>
          <cell r="B254">
            <v>34900</v>
          </cell>
          <cell r="C254" t="str">
            <v>加拿大</v>
          </cell>
          <cell r="D254" t="str">
            <v>糖果</v>
          </cell>
          <cell r="E254">
            <v>493</v>
          </cell>
        </row>
        <row r="255">
          <cell r="A255">
            <v>1995</v>
          </cell>
          <cell r="B255">
            <v>34900</v>
          </cell>
          <cell r="C255" t="str">
            <v>加拿大</v>
          </cell>
          <cell r="D255" t="str">
            <v>面食/谷类</v>
          </cell>
          <cell r="E255">
            <v>199.5</v>
          </cell>
        </row>
        <row r="256">
          <cell r="A256">
            <v>1995</v>
          </cell>
          <cell r="B256">
            <v>34901</v>
          </cell>
          <cell r="C256" t="str">
            <v>美国</v>
          </cell>
          <cell r="D256" t="str">
            <v>乳制品</v>
          </cell>
          <cell r="E256">
            <v>660</v>
          </cell>
        </row>
        <row r="257">
          <cell r="A257">
            <v>1995</v>
          </cell>
          <cell r="B257">
            <v>34901</v>
          </cell>
          <cell r="C257" t="str">
            <v>美国</v>
          </cell>
          <cell r="D257" t="str">
            <v>香料</v>
          </cell>
          <cell r="E257">
            <v>263.39999999999998</v>
          </cell>
        </row>
        <row r="258">
          <cell r="A258">
            <v>1995</v>
          </cell>
          <cell r="B258">
            <v>34901</v>
          </cell>
          <cell r="C258" t="str">
            <v>美国</v>
          </cell>
          <cell r="D258" t="str">
            <v>乳制品</v>
          </cell>
          <cell r="E258">
            <v>1044</v>
          </cell>
        </row>
        <row r="259">
          <cell r="A259">
            <v>1995</v>
          </cell>
          <cell r="B259">
            <v>34901</v>
          </cell>
          <cell r="C259" t="str">
            <v>美国</v>
          </cell>
          <cell r="D259" t="str">
            <v>饮料</v>
          </cell>
          <cell r="E259">
            <v>180</v>
          </cell>
        </row>
        <row r="260">
          <cell r="A260">
            <v>1995</v>
          </cell>
          <cell r="B260">
            <v>34904</v>
          </cell>
          <cell r="C260" t="str">
            <v>加拿大</v>
          </cell>
          <cell r="D260" t="str">
            <v>饮料</v>
          </cell>
          <cell r="E260">
            <v>180</v>
          </cell>
        </row>
        <row r="261">
          <cell r="A261">
            <v>1995</v>
          </cell>
          <cell r="B261">
            <v>34904</v>
          </cell>
          <cell r="C261" t="str">
            <v>加拿大</v>
          </cell>
          <cell r="D261" t="str">
            <v>饮料</v>
          </cell>
          <cell r="E261">
            <v>155</v>
          </cell>
        </row>
        <row r="262">
          <cell r="A262">
            <v>1995</v>
          </cell>
          <cell r="B262">
            <v>34904</v>
          </cell>
          <cell r="C262" t="str">
            <v>加拿大</v>
          </cell>
          <cell r="D262" t="str">
            <v>香料</v>
          </cell>
          <cell r="E262">
            <v>234</v>
          </cell>
        </row>
        <row r="263">
          <cell r="A263">
            <v>1995</v>
          </cell>
          <cell r="B263">
            <v>34906</v>
          </cell>
          <cell r="C263" t="str">
            <v>加拿大</v>
          </cell>
          <cell r="D263" t="str">
            <v>香料</v>
          </cell>
          <cell r="E263">
            <v>155</v>
          </cell>
        </row>
        <row r="264">
          <cell r="A264">
            <v>1995</v>
          </cell>
          <cell r="B264">
            <v>34906</v>
          </cell>
          <cell r="C264" t="str">
            <v>加拿大</v>
          </cell>
          <cell r="D264" t="str">
            <v>饮料</v>
          </cell>
          <cell r="E264">
            <v>162.75</v>
          </cell>
        </row>
        <row r="265">
          <cell r="A265">
            <v>1995</v>
          </cell>
          <cell r="B265">
            <v>34907</v>
          </cell>
          <cell r="C265" t="str">
            <v>美国</v>
          </cell>
          <cell r="D265" t="str">
            <v>农产品</v>
          </cell>
          <cell r="E265">
            <v>331.312499740161</v>
          </cell>
        </row>
        <row r="266">
          <cell r="A266">
            <v>1995</v>
          </cell>
          <cell r="B266">
            <v>34907</v>
          </cell>
          <cell r="C266" t="str">
            <v>美国</v>
          </cell>
          <cell r="D266" t="str">
            <v>海洋食品</v>
          </cell>
          <cell r="E266">
            <v>82.507499935291705</v>
          </cell>
        </row>
        <row r="267">
          <cell r="A267">
            <v>1995</v>
          </cell>
          <cell r="B267">
            <v>34907</v>
          </cell>
          <cell r="C267" t="str">
            <v>美国</v>
          </cell>
          <cell r="D267" t="str">
            <v>香料</v>
          </cell>
          <cell r="E267">
            <v>599.92499952949584</v>
          </cell>
        </row>
        <row r="268">
          <cell r="A268">
            <v>1995</v>
          </cell>
          <cell r="B268">
            <v>34908</v>
          </cell>
          <cell r="C268" t="str">
            <v>美国</v>
          </cell>
          <cell r="D268" t="str">
            <v>面食/谷类</v>
          </cell>
          <cell r="E268">
            <v>78</v>
          </cell>
        </row>
        <row r="269">
          <cell r="A269">
            <v>1995</v>
          </cell>
          <cell r="B269">
            <v>34908</v>
          </cell>
          <cell r="C269" t="str">
            <v>美国</v>
          </cell>
          <cell r="D269" t="str">
            <v>饮料</v>
          </cell>
          <cell r="E269">
            <v>252</v>
          </cell>
        </row>
        <row r="270">
          <cell r="A270">
            <v>1995</v>
          </cell>
          <cell r="B270">
            <v>34914</v>
          </cell>
          <cell r="C270" t="str">
            <v>美国</v>
          </cell>
          <cell r="D270" t="str">
            <v>海洋食品</v>
          </cell>
          <cell r="E270">
            <v>1999.9999925494194</v>
          </cell>
        </row>
        <row r="271">
          <cell r="A271">
            <v>1995</v>
          </cell>
          <cell r="B271">
            <v>34914</v>
          </cell>
          <cell r="C271" t="str">
            <v>美国</v>
          </cell>
          <cell r="D271" t="str">
            <v>面食/谷类</v>
          </cell>
          <cell r="E271">
            <v>1119.9999958276749</v>
          </cell>
        </row>
        <row r="272">
          <cell r="A272">
            <v>1995</v>
          </cell>
          <cell r="B272">
            <v>34915</v>
          </cell>
          <cell r="C272" t="str">
            <v>加拿大</v>
          </cell>
          <cell r="D272" t="str">
            <v>饮料</v>
          </cell>
          <cell r="E272">
            <v>72</v>
          </cell>
        </row>
        <row r="273">
          <cell r="A273">
            <v>1995</v>
          </cell>
          <cell r="B273">
            <v>34919</v>
          </cell>
          <cell r="C273" t="str">
            <v>美国</v>
          </cell>
          <cell r="D273" t="str">
            <v>香料</v>
          </cell>
          <cell r="E273">
            <v>368.12499971129</v>
          </cell>
        </row>
        <row r="274">
          <cell r="A274">
            <v>1995</v>
          </cell>
          <cell r="B274">
            <v>34919</v>
          </cell>
          <cell r="C274" t="str">
            <v>美国</v>
          </cell>
          <cell r="D274" t="str">
            <v>糖果</v>
          </cell>
          <cell r="E274">
            <v>148.3424998836592</v>
          </cell>
        </row>
        <row r="275">
          <cell r="A275">
            <v>1995</v>
          </cell>
          <cell r="B275">
            <v>34920</v>
          </cell>
          <cell r="C275" t="str">
            <v>美国</v>
          </cell>
          <cell r="D275" t="str">
            <v>糖果</v>
          </cell>
          <cell r="E275">
            <v>1360.799994930625</v>
          </cell>
        </row>
        <row r="276">
          <cell r="A276">
            <v>1995</v>
          </cell>
          <cell r="B276">
            <v>34920</v>
          </cell>
          <cell r="C276" t="str">
            <v>美国</v>
          </cell>
          <cell r="D276" t="str">
            <v>乳制品</v>
          </cell>
          <cell r="E276">
            <v>575.99999785423279</v>
          </cell>
        </row>
        <row r="277">
          <cell r="A277">
            <v>1995</v>
          </cell>
          <cell r="B277">
            <v>34920</v>
          </cell>
          <cell r="C277" t="str">
            <v>美国</v>
          </cell>
          <cell r="D277" t="str">
            <v>饮料</v>
          </cell>
          <cell r="E277">
            <v>57.599999785423279</v>
          </cell>
        </row>
        <row r="278">
          <cell r="A278">
            <v>1995</v>
          </cell>
          <cell r="B278">
            <v>34920</v>
          </cell>
          <cell r="C278" t="str">
            <v>加拿大</v>
          </cell>
          <cell r="D278" t="str">
            <v>面食/谷类</v>
          </cell>
          <cell r="E278">
            <v>168</v>
          </cell>
        </row>
        <row r="279">
          <cell r="A279">
            <v>1995</v>
          </cell>
          <cell r="B279">
            <v>34920</v>
          </cell>
          <cell r="C279" t="str">
            <v>加拿大</v>
          </cell>
          <cell r="D279" t="str">
            <v>海洋食品</v>
          </cell>
          <cell r="E279">
            <v>397.5</v>
          </cell>
        </row>
        <row r="280">
          <cell r="A280">
            <v>1995</v>
          </cell>
          <cell r="B280">
            <v>34922</v>
          </cell>
          <cell r="C280" t="str">
            <v>加拿大</v>
          </cell>
          <cell r="D280" t="str">
            <v>面食/谷类</v>
          </cell>
          <cell r="E280">
            <v>151.99999943375587</v>
          </cell>
        </row>
        <row r="281">
          <cell r="A281">
            <v>1995</v>
          </cell>
          <cell r="B281">
            <v>34922</v>
          </cell>
          <cell r="C281" t="str">
            <v>加拿大</v>
          </cell>
          <cell r="D281" t="str">
            <v>香料</v>
          </cell>
          <cell r="E281">
            <v>842.87999686002729</v>
          </cell>
        </row>
        <row r="282">
          <cell r="A282">
            <v>1995</v>
          </cell>
          <cell r="B282">
            <v>34922</v>
          </cell>
          <cell r="C282" t="str">
            <v>加拿大</v>
          </cell>
          <cell r="D282" t="str">
            <v>饮料</v>
          </cell>
          <cell r="E282">
            <v>185.999999307096</v>
          </cell>
        </row>
        <row r="283">
          <cell r="A283">
            <v>1995</v>
          </cell>
          <cell r="B283">
            <v>34925</v>
          </cell>
          <cell r="C283" t="str">
            <v>加拿大</v>
          </cell>
          <cell r="D283" t="str">
            <v>糖果</v>
          </cell>
          <cell r="E283">
            <v>2195</v>
          </cell>
        </row>
        <row r="284">
          <cell r="A284">
            <v>1995</v>
          </cell>
          <cell r="B284">
            <v>34925</v>
          </cell>
          <cell r="C284" t="str">
            <v>加拿大</v>
          </cell>
          <cell r="D284" t="str">
            <v>乳制品</v>
          </cell>
          <cell r="E284">
            <v>193.5</v>
          </cell>
        </row>
        <row r="285">
          <cell r="A285">
            <v>1995</v>
          </cell>
          <cell r="B285">
            <v>34927</v>
          </cell>
          <cell r="C285" t="str">
            <v>加拿大</v>
          </cell>
          <cell r="D285" t="str">
            <v>肉/家禽</v>
          </cell>
          <cell r="E285">
            <v>29.8</v>
          </cell>
        </row>
        <row r="286">
          <cell r="A286">
            <v>1995</v>
          </cell>
          <cell r="B286">
            <v>34927</v>
          </cell>
          <cell r="C286" t="str">
            <v>加拿大</v>
          </cell>
          <cell r="D286" t="str">
            <v>海洋食品</v>
          </cell>
          <cell r="E286">
            <v>450</v>
          </cell>
        </row>
        <row r="287">
          <cell r="A287">
            <v>1995</v>
          </cell>
          <cell r="B287">
            <v>34929</v>
          </cell>
          <cell r="C287" t="str">
            <v>加拿大</v>
          </cell>
          <cell r="D287" t="str">
            <v>面食/谷类</v>
          </cell>
          <cell r="E287">
            <v>1008</v>
          </cell>
        </row>
        <row r="288">
          <cell r="A288">
            <v>1995</v>
          </cell>
          <cell r="B288">
            <v>34929</v>
          </cell>
          <cell r="C288" t="str">
            <v>加拿大</v>
          </cell>
          <cell r="D288" t="str">
            <v>糖果</v>
          </cell>
          <cell r="E288">
            <v>474.99999962747097</v>
          </cell>
        </row>
        <row r="289">
          <cell r="A289">
            <v>1995</v>
          </cell>
          <cell r="B289">
            <v>34933</v>
          </cell>
          <cell r="C289" t="str">
            <v>加拿大</v>
          </cell>
          <cell r="D289" t="str">
            <v>农产品</v>
          </cell>
          <cell r="E289">
            <v>1350</v>
          </cell>
        </row>
        <row r="290">
          <cell r="A290">
            <v>1995</v>
          </cell>
          <cell r="B290">
            <v>34933</v>
          </cell>
          <cell r="C290" t="str">
            <v>加拿大</v>
          </cell>
          <cell r="D290" t="str">
            <v>肉/家禽</v>
          </cell>
          <cell r="E290">
            <v>3900</v>
          </cell>
        </row>
        <row r="291">
          <cell r="A291">
            <v>1995</v>
          </cell>
          <cell r="B291">
            <v>34933</v>
          </cell>
          <cell r="C291" t="str">
            <v>加拿大</v>
          </cell>
          <cell r="D291" t="str">
            <v>乳制品</v>
          </cell>
          <cell r="E291">
            <v>35</v>
          </cell>
        </row>
        <row r="292">
          <cell r="A292">
            <v>1995</v>
          </cell>
          <cell r="B292">
            <v>34933</v>
          </cell>
          <cell r="C292" t="str">
            <v>加拿大</v>
          </cell>
          <cell r="D292" t="str">
            <v>海洋食品</v>
          </cell>
          <cell r="E292">
            <v>772.8</v>
          </cell>
        </row>
        <row r="293">
          <cell r="A293">
            <v>1995</v>
          </cell>
          <cell r="B293">
            <v>34933</v>
          </cell>
          <cell r="C293" t="str">
            <v>加拿大</v>
          </cell>
          <cell r="D293" t="str">
            <v>乳制品</v>
          </cell>
          <cell r="E293">
            <v>417.6</v>
          </cell>
        </row>
        <row r="294">
          <cell r="A294">
            <v>1995</v>
          </cell>
          <cell r="B294">
            <v>34934</v>
          </cell>
          <cell r="C294" t="str">
            <v>美国</v>
          </cell>
          <cell r="D294" t="str">
            <v>面食/谷类</v>
          </cell>
          <cell r="E294">
            <v>1064</v>
          </cell>
        </row>
        <row r="295">
          <cell r="A295">
            <v>1995</v>
          </cell>
          <cell r="B295">
            <v>34939</v>
          </cell>
          <cell r="C295" t="str">
            <v>加拿大</v>
          </cell>
          <cell r="D295" t="str">
            <v>海洋食品</v>
          </cell>
          <cell r="E295">
            <v>2170</v>
          </cell>
        </row>
        <row r="296">
          <cell r="A296">
            <v>1995</v>
          </cell>
          <cell r="B296">
            <v>34939</v>
          </cell>
          <cell r="C296" t="str">
            <v>加拿大</v>
          </cell>
          <cell r="D296" t="str">
            <v>海洋食品</v>
          </cell>
          <cell r="E296">
            <v>1045</v>
          </cell>
        </row>
        <row r="297">
          <cell r="A297">
            <v>1995</v>
          </cell>
          <cell r="B297">
            <v>34939</v>
          </cell>
          <cell r="C297" t="str">
            <v>加拿大</v>
          </cell>
          <cell r="D297" t="str">
            <v>糖果</v>
          </cell>
          <cell r="E297">
            <v>360</v>
          </cell>
        </row>
        <row r="298">
          <cell r="A298">
            <v>1995</v>
          </cell>
          <cell r="B298">
            <v>34939</v>
          </cell>
          <cell r="C298" t="str">
            <v>加拿大</v>
          </cell>
          <cell r="D298" t="str">
            <v>乳制品</v>
          </cell>
          <cell r="E298">
            <v>1360</v>
          </cell>
        </row>
        <row r="299">
          <cell r="A299">
            <v>1995</v>
          </cell>
          <cell r="B299">
            <v>34939</v>
          </cell>
          <cell r="C299" t="str">
            <v>加拿大</v>
          </cell>
          <cell r="D299" t="str">
            <v>饮料</v>
          </cell>
          <cell r="E299">
            <v>1440</v>
          </cell>
        </row>
        <row r="300">
          <cell r="A300">
            <v>1995</v>
          </cell>
          <cell r="B300">
            <v>34940</v>
          </cell>
          <cell r="C300" t="str">
            <v>美国</v>
          </cell>
          <cell r="D300" t="str">
            <v>乳制品</v>
          </cell>
          <cell r="E300">
            <v>294</v>
          </cell>
        </row>
        <row r="301">
          <cell r="A301">
            <v>1995</v>
          </cell>
          <cell r="B301">
            <v>34940</v>
          </cell>
          <cell r="C301" t="str">
            <v>美国</v>
          </cell>
          <cell r="D301" t="str">
            <v>糖果</v>
          </cell>
          <cell r="E301">
            <v>80</v>
          </cell>
        </row>
        <row r="302">
          <cell r="A302">
            <v>1995</v>
          </cell>
          <cell r="B302">
            <v>34940</v>
          </cell>
          <cell r="C302" t="str">
            <v>美国</v>
          </cell>
          <cell r="D302" t="str">
            <v>饮料</v>
          </cell>
          <cell r="E302">
            <v>90</v>
          </cell>
        </row>
        <row r="303">
          <cell r="A303">
            <v>1995</v>
          </cell>
          <cell r="B303">
            <v>34942</v>
          </cell>
          <cell r="C303" t="str">
            <v>加拿大</v>
          </cell>
          <cell r="D303" t="str">
            <v>饮料</v>
          </cell>
          <cell r="E303">
            <v>3754.874997055158</v>
          </cell>
        </row>
        <row r="304">
          <cell r="A304">
            <v>1995</v>
          </cell>
          <cell r="B304">
            <v>34942</v>
          </cell>
          <cell r="C304" t="str">
            <v>加拿大</v>
          </cell>
          <cell r="D304" t="str">
            <v>面食/谷类</v>
          </cell>
          <cell r="E304">
            <v>532</v>
          </cell>
        </row>
        <row r="305">
          <cell r="A305">
            <v>1995</v>
          </cell>
          <cell r="B305">
            <v>34942</v>
          </cell>
          <cell r="C305" t="str">
            <v>加拿大</v>
          </cell>
          <cell r="D305" t="str">
            <v>饮料</v>
          </cell>
          <cell r="E305">
            <v>213.74999983236194</v>
          </cell>
        </row>
        <row r="306">
          <cell r="A306">
            <v>1995</v>
          </cell>
          <cell r="B306">
            <v>34942</v>
          </cell>
          <cell r="C306" t="str">
            <v>加拿大</v>
          </cell>
          <cell r="D306" t="str">
            <v>乳制品</v>
          </cell>
          <cell r="E306">
            <v>306.37499975971878</v>
          </cell>
        </row>
        <row r="307">
          <cell r="A307">
            <v>1995</v>
          </cell>
          <cell r="B307">
            <v>34942</v>
          </cell>
          <cell r="C307" t="str">
            <v>加拿大</v>
          </cell>
          <cell r="D307" t="str">
            <v>乳制品</v>
          </cell>
          <cell r="E307">
            <v>1402.4999901652336</v>
          </cell>
        </row>
        <row r="308">
          <cell r="A308">
            <v>1995</v>
          </cell>
          <cell r="B308">
            <v>34949</v>
          </cell>
          <cell r="C308" t="str">
            <v>美国</v>
          </cell>
          <cell r="D308" t="str">
            <v>农产品</v>
          </cell>
          <cell r="E308">
            <v>488.25</v>
          </cell>
        </row>
        <row r="309">
          <cell r="A309">
            <v>1995</v>
          </cell>
          <cell r="B309">
            <v>34949</v>
          </cell>
          <cell r="C309" t="str">
            <v>美国</v>
          </cell>
          <cell r="D309" t="str">
            <v>糖果</v>
          </cell>
          <cell r="E309">
            <v>124.19999979436398</v>
          </cell>
        </row>
        <row r="310">
          <cell r="A310">
            <v>1995</v>
          </cell>
          <cell r="B310">
            <v>34949</v>
          </cell>
          <cell r="C310" t="str">
            <v>美国</v>
          </cell>
          <cell r="D310" t="str">
            <v>糖果</v>
          </cell>
          <cell r="E310">
            <v>224.99999962747097</v>
          </cell>
        </row>
        <row r="311">
          <cell r="A311">
            <v>1995</v>
          </cell>
          <cell r="B311">
            <v>34949</v>
          </cell>
          <cell r="C311" t="str">
            <v>美国</v>
          </cell>
          <cell r="D311" t="str">
            <v>饮料</v>
          </cell>
          <cell r="E311">
            <v>13.5</v>
          </cell>
        </row>
        <row r="312">
          <cell r="A312">
            <v>1995</v>
          </cell>
          <cell r="B312">
            <v>34949</v>
          </cell>
          <cell r="C312" t="str">
            <v>美国</v>
          </cell>
          <cell r="D312" t="str">
            <v>饮料</v>
          </cell>
          <cell r="E312">
            <v>485.9999991953373</v>
          </cell>
        </row>
        <row r="313">
          <cell r="A313">
            <v>1995</v>
          </cell>
          <cell r="B313">
            <v>34949</v>
          </cell>
          <cell r="C313" t="str">
            <v>加拿大</v>
          </cell>
          <cell r="D313" t="str">
            <v>农产品</v>
          </cell>
          <cell r="E313">
            <v>456</v>
          </cell>
        </row>
        <row r="314">
          <cell r="A314">
            <v>1995</v>
          </cell>
          <cell r="B314">
            <v>34949</v>
          </cell>
          <cell r="C314" t="str">
            <v>加拿大</v>
          </cell>
          <cell r="D314" t="str">
            <v>肉/家禽</v>
          </cell>
          <cell r="E314">
            <v>742.74</v>
          </cell>
        </row>
        <row r="315">
          <cell r="A315">
            <v>1995</v>
          </cell>
          <cell r="B315">
            <v>34949</v>
          </cell>
          <cell r="C315" t="str">
            <v>加拿大</v>
          </cell>
          <cell r="D315" t="str">
            <v>香料</v>
          </cell>
          <cell r="E315">
            <v>194.5</v>
          </cell>
        </row>
        <row r="316">
          <cell r="A316">
            <v>1995</v>
          </cell>
          <cell r="B316">
            <v>34953</v>
          </cell>
          <cell r="C316" t="str">
            <v>加拿大</v>
          </cell>
          <cell r="D316" t="str">
            <v>糖果</v>
          </cell>
          <cell r="E316">
            <v>739.5</v>
          </cell>
        </row>
        <row r="317">
          <cell r="A317">
            <v>1995</v>
          </cell>
          <cell r="B317">
            <v>34953</v>
          </cell>
          <cell r="C317" t="str">
            <v>加拿大</v>
          </cell>
          <cell r="D317" t="str">
            <v>海洋食品</v>
          </cell>
          <cell r="E317">
            <v>446.24999687075615</v>
          </cell>
        </row>
        <row r="318">
          <cell r="A318">
            <v>1995</v>
          </cell>
          <cell r="B318">
            <v>34955</v>
          </cell>
          <cell r="C318" t="str">
            <v>美国</v>
          </cell>
          <cell r="D318" t="str">
            <v>肉/家禽</v>
          </cell>
          <cell r="E318">
            <v>273.59999978542328</v>
          </cell>
        </row>
        <row r="319">
          <cell r="A319">
            <v>1995</v>
          </cell>
          <cell r="B319">
            <v>34955</v>
          </cell>
          <cell r="C319" t="str">
            <v>美国</v>
          </cell>
          <cell r="D319" t="str">
            <v>饮料</v>
          </cell>
          <cell r="E319">
            <v>630</v>
          </cell>
        </row>
        <row r="320">
          <cell r="A320">
            <v>1995</v>
          </cell>
          <cell r="B320">
            <v>34956</v>
          </cell>
          <cell r="C320" t="str">
            <v>美国</v>
          </cell>
          <cell r="D320" t="str">
            <v>饮料</v>
          </cell>
          <cell r="E320">
            <v>541.49999957531691</v>
          </cell>
        </row>
        <row r="321">
          <cell r="A321">
            <v>1995</v>
          </cell>
          <cell r="B321">
            <v>34956</v>
          </cell>
          <cell r="C321" t="str">
            <v>美国</v>
          </cell>
          <cell r="D321" t="str">
            <v>乳制品</v>
          </cell>
          <cell r="E321">
            <v>47.499999962747097</v>
          </cell>
        </row>
        <row r="322">
          <cell r="A322">
            <v>1995</v>
          </cell>
          <cell r="B322">
            <v>34963</v>
          </cell>
          <cell r="C322" t="str">
            <v>美国</v>
          </cell>
          <cell r="D322" t="str">
            <v>乳制品</v>
          </cell>
          <cell r="E322">
            <v>540</v>
          </cell>
        </row>
        <row r="323">
          <cell r="A323">
            <v>1995</v>
          </cell>
          <cell r="B323">
            <v>34963</v>
          </cell>
          <cell r="C323" t="str">
            <v>美国</v>
          </cell>
          <cell r="D323" t="str">
            <v>饮料</v>
          </cell>
          <cell r="E323">
            <v>168.75</v>
          </cell>
        </row>
        <row r="324">
          <cell r="A324">
            <v>1995</v>
          </cell>
          <cell r="B324">
            <v>34974</v>
          </cell>
          <cell r="C324" t="str">
            <v>美国</v>
          </cell>
          <cell r="D324" t="str">
            <v>糖果</v>
          </cell>
          <cell r="E324">
            <v>82.8</v>
          </cell>
        </row>
        <row r="325">
          <cell r="A325">
            <v>1995</v>
          </cell>
          <cell r="B325">
            <v>34974</v>
          </cell>
          <cell r="C325" t="str">
            <v>美国</v>
          </cell>
          <cell r="D325" t="str">
            <v>面食/谷类</v>
          </cell>
          <cell r="E325">
            <v>315</v>
          </cell>
        </row>
        <row r="326">
          <cell r="A326">
            <v>1995</v>
          </cell>
          <cell r="B326">
            <v>34975</v>
          </cell>
          <cell r="C326" t="str">
            <v>美国</v>
          </cell>
          <cell r="D326" t="str">
            <v>糖果</v>
          </cell>
          <cell r="E326">
            <v>471.14999921992421</v>
          </cell>
        </row>
        <row r="327">
          <cell r="A327">
            <v>1995</v>
          </cell>
          <cell r="B327">
            <v>34975</v>
          </cell>
          <cell r="C327" t="str">
            <v>美国</v>
          </cell>
          <cell r="D327" t="str">
            <v>乳制品</v>
          </cell>
          <cell r="E327">
            <v>611.99999898672104</v>
          </cell>
        </row>
        <row r="328">
          <cell r="A328">
            <v>1995</v>
          </cell>
          <cell r="B328">
            <v>34977</v>
          </cell>
          <cell r="C328" t="str">
            <v>加拿大</v>
          </cell>
          <cell r="D328" t="str">
            <v>农产品</v>
          </cell>
          <cell r="E328">
            <v>62.774999896064401</v>
          </cell>
        </row>
        <row r="329">
          <cell r="A329">
            <v>1995</v>
          </cell>
          <cell r="B329">
            <v>34977</v>
          </cell>
          <cell r="C329" t="str">
            <v>加拿大</v>
          </cell>
          <cell r="D329" t="str">
            <v>香料</v>
          </cell>
          <cell r="E329">
            <v>490.13999918848276</v>
          </cell>
        </row>
        <row r="330">
          <cell r="A330">
            <v>1995</v>
          </cell>
          <cell r="B330">
            <v>34977</v>
          </cell>
          <cell r="C330" t="str">
            <v>加拿大</v>
          </cell>
          <cell r="D330" t="str">
            <v>糖果</v>
          </cell>
          <cell r="E330">
            <v>51.299999915063381</v>
          </cell>
        </row>
        <row r="331">
          <cell r="A331">
            <v>1995</v>
          </cell>
          <cell r="B331">
            <v>34977</v>
          </cell>
          <cell r="C331" t="str">
            <v>加拿大</v>
          </cell>
          <cell r="D331" t="str">
            <v>香料</v>
          </cell>
          <cell r="E331">
            <v>775</v>
          </cell>
        </row>
        <row r="332">
          <cell r="A332">
            <v>1995</v>
          </cell>
          <cell r="B332">
            <v>34977</v>
          </cell>
          <cell r="C332" t="str">
            <v>加拿大</v>
          </cell>
          <cell r="D332" t="str">
            <v>海洋食品</v>
          </cell>
          <cell r="E332">
            <v>231.6</v>
          </cell>
        </row>
        <row r="333">
          <cell r="A333">
            <v>1995</v>
          </cell>
          <cell r="B333">
            <v>34977</v>
          </cell>
          <cell r="C333" t="str">
            <v>加拿大</v>
          </cell>
          <cell r="D333" t="str">
            <v>海洋食品</v>
          </cell>
          <cell r="E333">
            <v>540</v>
          </cell>
        </row>
        <row r="334">
          <cell r="A334">
            <v>1995</v>
          </cell>
          <cell r="B334">
            <v>34977</v>
          </cell>
          <cell r="C334" t="str">
            <v>加拿大</v>
          </cell>
          <cell r="D334" t="str">
            <v>糖果</v>
          </cell>
          <cell r="E334">
            <v>95</v>
          </cell>
        </row>
        <row r="335">
          <cell r="A335">
            <v>1995</v>
          </cell>
          <cell r="B335">
            <v>34977</v>
          </cell>
          <cell r="C335" t="str">
            <v>加拿大</v>
          </cell>
          <cell r="D335" t="str">
            <v>面食/谷类</v>
          </cell>
          <cell r="E335">
            <v>1710</v>
          </cell>
        </row>
        <row r="336">
          <cell r="A336">
            <v>1995</v>
          </cell>
          <cell r="B336">
            <v>34977</v>
          </cell>
          <cell r="C336" t="str">
            <v>加拿大</v>
          </cell>
          <cell r="D336" t="str">
            <v>乳制品</v>
          </cell>
          <cell r="E336">
            <v>1020</v>
          </cell>
        </row>
        <row r="337">
          <cell r="A337">
            <v>1995</v>
          </cell>
          <cell r="B337">
            <v>34978</v>
          </cell>
          <cell r="C337" t="str">
            <v>美国</v>
          </cell>
          <cell r="D337" t="str">
            <v>糖果</v>
          </cell>
          <cell r="E337">
            <v>600</v>
          </cell>
        </row>
        <row r="338">
          <cell r="A338">
            <v>1995</v>
          </cell>
          <cell r="B338">
            <v>34978</v>
          </cell>
          <cell r="C338" t="str">
            <v>美国</v>
          </cell>
          <cell r="D338" t="str">
            <v>海洋食品</v>
          </cell>
          <cell r="E338">
            <v>1223.5999990403652</v>
          </cell>
        </row>
        <row r="339">
          <cell r="A339">
            <v>1995</v>
          </cell>
          <cell r="B339">
            <v>34978</v>
          </cell>
          <cell r="C339" t="str">
            <v>美国</v>
          </cell>
          <cell r="D339" t="str">
            <v>乳制品</v>
          </cell>
          <cell r="E339">
            <v>1776.4999986067414</v>
          </cell>
        </row>
        <row r="340">
          <cell r="A340">
            <v>1995</v>
          </cell>
          <cell r="B340">
            <v>34978</v>
          </cell>
          <cell r="C340" t="str">
            <v>美国</v>
          </cell>
          <cell r="D340" t="str">
            <v>香料</v>
          </cell>
          <cell r="E340">
            <v>864.49999932199717</v>
          </cell>
        </row>
        <row r="341">
          <cell r="A341">
            <v>1995</v>
          </cell>
          <cell r="B341">
            <v>34981</v>
          </cell>
          <cell r="C341" t="str">
            <v>加拿大</v>
          </cell>
          <cell r="D341" t="str">
            <v>糖果</v>
          </cell>
          <cell r="E341">
            <v>1701</v>
          </cell>
        </row>
        <row r="342">
          <cell r="A342">
            <v>1995</v>
          </cell>
          <cell r="B342">
            <v>34982</v>
          </cell>
          <cell r="C342" t="str">
            <v>加拿大</v>
          </cell>
          <cell r="D342" t="str">
            <v>糖果</v>
          </cell>
          <cell r="E342">
            <v>125</v>
          </cell>
        </row>
        <row r="343">
          <cell r="A343">
            <v>1995</v>
          </cell>
          <cell r="B343">
            <v>34984</v>
          </cell>
          <cell r="C343" t="str">
            <v>加拿大</v>
          </cell>
          <cell r="D343" t="str">
            <v>农产品</v>
          </cell>
          <cell r="E343">
            <v>1060</v>
          </cell>
        </row>
        <row r="344">
          <cell r="A344">
            <v>1995</v>
          </cell>
          <cell r="B344">
            <v>34984</v>
          </cell>
          <cell r="C344" t="str">
            <v>加拿大</v>
          </cell>
          <cell r="D344" t="str">
            <v>乳制品</v>
          </cell>
          <cell r="E344">
            <v>55</v>
          </cell>
        </row>
        <row r="345">
          <cell r="A345">
            <v>1995</v>
          </cell>
          <cell r="B345">
            <v>34984</v>
          </cell>
          <cell r="C345" t="str">
            <v>加拿大</v>
          </cell>
          <cell r="D345" t="str">
            <v>饮料</v>
          </cell>
          <cell r="E345">
            <v>180</v>
          </cell>
        </row>
        <row r="346">
          <cell r="A346">
            <v>1995</v>
          </cell>
          <cell r="B346">
            <v>34988</v>
          </cell>
          <cell r="C346" t="str">
            <v>美国</v>
          </cell>
          <cell r="D346" t="str">
            <v>乳制品</v>
          </cell>
          <cell r="E346">
            <v>89.999999850988388</v>
          </cell>
        </row>
        <row r="347">
          <cell r="A347">
            <v>1995</v>
          </cell>
          <cell r="B347">
            <v>34988</v>
          </cell>
          <cell r="C347" t="str">
            <v>美国</v>
          </cell>
          <cell r="D347" t="str">
            <v>肉/家禽</v>
          </cell>
          <cell r="E347">
            <v>86.399999856948853</v>
          </cell>
        </row>
        <row r="348">
          <cell r="A348">
            <v>1995</v>
          </cell>
          <cell r="B348">
            <v>34988</v>
          </cell>
          <cell r="C348" t="str">
            <v>美国</v>
          </cell>
          <cell r="D348" t="str">
            <v>面食/谷类</v>
          </cell>
          <cell r="E348">
            <v>448.87499925680459</v>
          </cell>
        </row>
        <row r="349">
          <cell r="A349">
            <v>1995</v>
          </cell>
          <cell r="B349">
            <v>34989</v>
          </cell>
          <cell r="C349" t="str">
            <v>美国</v>
          </cell>
          <cell r="D349" t="str">
            <v>面食/谷类</v>
          </cell>
          <cell r="E349">
            <v>288</v>
          </cell>
        </row>
        <row r="350">
          <cell r="A350">
            <v>1995</v>
          </cell>
          <cell r="B350">
            <v>34989</v>
          </cell>
          <cell r="C350" t="str">
            <v>美国</v>
          </cell>
          <cell r="D350" t="str">
            <v>海洋食品</v>
          </cell>
          <cell r="E350">
            <v>720</v>
          </cell>
        </row>
        <row r="351">
          <cell r="A351">
            <v>1995</v>
          </cell>
          <cell r="B351">
            <v>34989</v>
          </cell>
          <cell r="C351" t="str">
            <v>美国</v>
          </cell>
          <cell r="D351" t="str">
            <v>饮料</v>
          </cell>
          <cell r="E351">
            <v>350</v>
          </cell>
        </row>
        <row r="352">
          <cell r="A352">
            <v>1995</v>
          </cell>
          <cell r="B352">
            <v>34989</v>
          </cell>
          <cell r="C352" t="str">
            <v>美国</v>
          </cell>
          <cell r="D352" t="str">
            <v>海洋食品</v>
          </cell>
          <cell r="E352">
            <v>750</v>
          </cell>
        </row>
        <row r="353">
          <cell r="A353">
            <v>1995</v>
          </cell>
          <cell r="B353">
            <v>34989</v>
          </cell>
          <cell r="C353" t="str">
            <v>美国</v>
          </cell>
          <cell r="D353" t="str">
            <v>饮料</v>
          </cell>
          <cell r="E353">
            <v>193.75</v>
          </cell>
        </row>
        <row r="354">
          <cell r="A354">
            <v>1995</v>
          </cell>
          <cell r="B354">
            <v>34992</v>
          </cell>
          <cell r="C354" t="str">
            <v>美国</v>
          </cell>
          <cell r="D354" t="str">
            <v>农产品</v>
          </cell>
          <cell r="E354">
            <v>697.5</v>
          </cell>
        </row>
        <row r="355">
          <cell r="A355">
            <v>1995</v>
          </cell>
          <cell r="B355">
            <v>34992</v>
          </cell>
          <cell r="C355" t="str">
            <v>美国</v>
          </cell>
          <cell r="D355" t="str">
            <v>肉/家禽</v>
          </cell>
          <cell r="E355">
            <v>328</v>
          </cell>
        </row>
        <row r="356">
          <cell r="A356">
            <v>1995</v>
          </cell>
          <cell r="B356">
            <v>34992</v>
          </cell>
          <cell r="C356" t="str">
            <v>美国</v>
          </cell>
          <cell r="D356" t="str">
            <v>海洋食品</v>
          </cell>
          <cell r="E356">
            <v>397.5</v>
          </cell>
        </row>
        <row r="357">
          <cell r="A357">
            <v>1995</v>
          </cell>
          <cell r="B357">
            <v>34996</v>
          </cell>
          <cell r="C357" t="str">
            <v>加拿大</v>
          </cell>
          <cell r="D357" t="str">
            <v>乳制品</v>
          </cell>
          <cell r="E357">
            <v>3800</v>
          </cell>
        </row>
        <row r="358">
          <cell r="A358">
            <v>1995</v>
          </cell>
          <cell r="B358">
            <v>34996</v>
          </cell>
          <cell r="C358" t="str">
            <v>加拿大</v>
          </cell>
          <cell r="D358" t="str">
            <v>乳制品</v>
          </cell>
          <cell r="E358">
            <v>75</v>
          </cell>
        </row>
        <row r="359">
          <cell r="A359">
            <v>1995</v>
          </cell>
          <cell r="B359">
            <v>34996</v>
          </cell>
          <cell r="C359" t="str">
            <v>加拿大</v>
          </cell>
          <cell r="D359" t="str">
            <v>海洋食品</v>
          </cell>
          <cell r="E359">
            <v>1158</v>
          </cell>
        </row>
        <row r="360">
          <cell r="A360">
            <v>1995</v>
          </cell>
          <cell r="B360">
            <v>34996</v>
          </cell>
          <cell r="C360" t="str">
            <v>加拿大</v>
          </cell>
          <cell r="D360" t="str">
            <v>肉/家禽</v>
          </cell>
          <cell r="E360">
            <v>223.5</v>
          </cell>
        </row>
        <row r="361">
          <cell r="A361">
            <v>1995</v>
          </cell>
          <cell r="B361">
            <v>34997</v>
          </cell>
          <cell r="C361" t="str">
            <v>加拿大</v>
          </cell>
          <cell r="D361" t="str">
            <v>糖果</v>
          </cell>
          <cell r="E361">
            <v>654.375</v>
          </cell>
        </row>
        <row r="362">
          <cell r="A362">
            <v>1995</v>
          </cell>
          <cell r="B362">
            <v>34997</v>
          </cell>
          <cell r="C362" t="str">
            <v>加拿大</v>
          </cell>
          <cell r="D362" t="str">
            <v>乳制品</v>
          </cell>
          <cell r="E362">
            <v>187.5</v>
          </cell>
        </row>
        <row r="363">
          <cell r="A363">
            <v>1995</v>
          </cell>
          <cell r="B363">
            <v>34997</v>
          </cell>
          <cell r="C363" t="str">
            <v>加拿大</v>
          </cell>
          <cell r="D363" t="str">
            <v>面食/谷类</v>
          </cell>
          <cell r="E363">
            <v>420</v>
          </cell>
        </row>
        <row r="364">
          <cell r="A364">
            <v>1995</v>
          </cell>
          <cell r="B364">
            <v>34998</v>
          </cell>
          <cell r="C364" t="str">
            <v>加拿大</v>
          </cell>
          <cell r="D364" t="str">
            <v>糖果</v>
          </cell>
          <cell r="E364">
            <v>248.39999958872795</v>
          </cell>
        </row>
        <row r="365">
          <cell r="A365">
            <v>1995</v>
          </cell>
          <cell r="B365">
            <v>34998</v>
          </cell>
          <cell r="C365" t="str">
            <v>加拿大</v>
          </cell>
          <cell r="D365" t="str">
            <v>糖果</v>
          </cell>
          <cell r="E365">
            <v>107.99999982118607</v>
          </cell>
        </row>
        <row r="366">
          <cell r="A366">
            <v>1995</v>
          </cell>
          <cell r="B366">
            <v>34998</v>
          </cell>
          <cell r="C366" t="str">
            <v>加拿大</v>
          </cell>
          <cell r="D366" t="str">
            <v>面食/谷类</v>
          </cell>
          <cell r="E366">
            <v>931</v>
          </cell>
        </row>
        <row r="367">
          <cell r="A367">
            <v>1995</v>
          </cell>
          <cell r="B367">
            <v>34999</v>
          </cell>
          <cell r="C367" t="str">
            <v>美国</v>
          </cell>
          <cell r="D367" t="str">
            <v>海洋食品</v>
          </cell>
          <cell r="E367">
            <v>368</v>
          </cell>
        </row>
        <row r="368">
          <cell r="A368">
            <v>1995</v>
          </cell>
          <cell r="B368">
            <v>34999</v>
          </cell>
          <cell r="C368" t="str">
            <v>美国</v>
          </cell>
          <cell r="D368" t="str">
            <v>糖果</v>
          </cell>
          <cell r="E368">
            <v>380</v>
          </cell>
        </row>
        <row r="369">
          <cell r="A369">
            <v>1995</v>
          </cell>
          <cell r="B369">
            <v>34999</v>
          </cell>
          <cell r="C369" t="str">
            <v>美国</v>
          </cell>
          <cell r="D369" t="str">
            <v>乳制品</v>
          </cell>
          <cell r="E369">
            <v>1020</v>
          </cell>
        </row>
        <row r="370">
          <cell r="A370">
            <v>1995</v>
          </cell>
          <cell r="B370">
            <v>35006</v>
          </cell>
          <cell r="C370" t="str">
            <v>美国</v>
          </cell>
          <cell r="D370" t="str">
            <v>饮料</v>
          </cell>
          <cell r="E370">
            <v>540</v>
          </cell>
        </row>
        <row r="371">
          <cell r="A371">
            <v>1995</v>
          </cell>
          <cell r="B371">
            <v>35006</v>
          </cell>
          <cell r="C371" t="str">
            <v>美国</v>
          </cell>
          <cell r="D371" t="str">
            <v>肉/家禽</v>
          </cell>
          <cell r="E371">
            <v>4951.6000000000004</v>
          </cell>
        </row>
        <row r="372">
          <cell r="A372">
            <v>1995</v>
          </cell>
          <cell r="B372">
            <v>35006</v>
          </cell>
          <cell r="C372" t="str">
            <v>美国</v>
          </cell>
          <cell r="D372" t="str">
            <v>饮料</v>
          </cell>
          <cell r="E372">
            <v>1840</v>
          </cell>
        </row>
        <row r="373">
          <cell r="A373">
            <v>1995</v>
          </cell>
          <cell r="B373">
            <v>35006</v>
          </cell>
          <cell r="C373" t="str">
            <v>美国</v>
          </cell>
          <cell r="D373" t="str">
            <v>香料</v>
          </cell>
          <cell r="E373">
            <v>466.8</v>
          </cell>
        </row>
        <row r="374">
          <cell r="A374">
            <v>1995</v>
          </cell>
          <cell r="B374">
            <v>35006</v>
          </cell>
          <cell r="C374" t="str">
            <v>美国</v>
          </cell>
          <cell r="D374" t="str">
            <v>糖果</v>
          </cell>
          <cell r="E374">
            <v>2366.4</v>
          </cell>
        </row>
        <row r="375">
          <cell r="A375">
            <v>1995</v>
          </cell>
          <cell r="B375">
            <v>35009</v>
          </cell>
          <cell r="C375" t="str">
            <v>加拿大</v>
          </cell>
          <cell r="D375" t="str">
            <v>肉/家禽</v>
          </cell>
          <cell r="E375">
            <v>582</v>
          </cell>
        </row>
        <row r="376">
          <cell r="A376">
            <v>1995</v>
          </cell>
          <cell r="B376">
            <v>35009</v>
          </cell>
          <cell r="C376" t="str">
            <v>加拿大</v>
          </cell>
          <cell r="D376" t="str">
            <v>肉/家禽</v>
          </cell>
          <cell r="E376">
            <v>379.94999733567238</v>
          </cell>
        </row>
        <row r="377">
          <cell r="A377">
            <v>1995</v>
          </cell>
          <cell r="B377">
            <v>35009</v>
          </cell>
          <cell r="C377" t="str">
            <v>加拿大</v>
          </cell>
          <cell r="D377" t="str">
            <v>乳制品</v>
          </cell>
          <cell r="E377">
            <v>917.99999356269836</v>
          </cell>
        </row>
        <row r="378">
          <cell r="A378">
            <v>1995</v>
          </cell>
          <cell r="B378">
            <v>35009</v>
          </cell>
          <cell r="C378" t="str">
            <v>加拿大</v>
          </cell>
          <cell r="D378" t="str">
            <v>海洋食品</v>
          </cell>
          <cell r="E378">
            <v>191.24999865889549</v>
          </cell>
        </row>
        <row r="379">
          <cell r="A379">
            <v>1995</v>
          </cell>
          <cell r="B379">
            <v>35009</v>
          </cell>
          <cell r="C379" t="str">
            <v>美国</v>
          </cell>
          <cell r="D379" t="str">
            <v>农产品</v>
          </cell>
          <cell r="E379">
            <v>2700</v>
          </cell>
        </row>
        <row r="380">
          <cell r="A380">
            <v>1995</v>
          </cell>
          <cell r="B380">
            <v>35009</v>
          </cell>
          <cell r="C380" t="str">
            <v>美国</v>
          </cell>
          <cell r="D380" t="str">
            <v>乳制品</v>
          </cell>
          <cell r="E380">
            <v>1375</v>
          </cell>
        </row>
        <row r="381">
          <cell r="A381">
            <v>1995</v>
          </cell>
          <cell r="B381">
            <v>35009</v>
          </cell>
          <cell r="C381" t="str">
            <v>美国</v>
          </cell>
          <cell r="D381" t="str">
            <v>饮料</v>
          </cell>
          <cell r="E381">
            <v>750</v>
          </cell>
        </row>
        <row r="382">
          <cell r="A382">
            <v>1995</v>
          </cell>
          <cell r="B382">
            <v>35011</v>
          </cell>
          <cell r="C382" t="str">
            <v>加拿大</v>
          </cell>
          <cell r="D382" t="str">
            <v>肉/家禽</v>
          </cell>
          <cell r="E382">
            <v>780</v>
          </cell>
        </row>
        <row r="383">
          <cell r="A383">
            <v>1995</v>
          </cell>
          <cell r="B383">
            <v>35011</v>
          </cell>
          <cell r="C383" t="str">
            <v>加拿大</v>
          </cell>
          <cell r="D383" t="str">
            <v>海洋食品</v>
          </cell>
          <cell r="E383">
            <v>216</v>
          </cell>
        </row>
        <row r="384">
          <cell r="A384">
            <v>1995</v>
          </cell>
          <cell r="B384">
            <v>35012</v>
          </cell>
          <cell r="C384" t="str">
            <v>美国</v>
          </cell>
          <cell r="D384" t="str">
            <v>糖果</v>
          </cell>
          <cell r="E384">
            <v>114</v>
          </cell>
        </row>
        <row r="385">
          <cell r="A385">
            <v>1995</v>
          </cell>
          <cell r="B385">
            <v>35013</v>
          </cell>
          <cell r="C385" t="str">
            <v>加拿大</v>
          </cell>
          <cell r="D385" t="str">
            <v>饮料</v>
          </cell>
          <cell r="E385">
            <v>71.999999731779099</v>
          </cell>
        </row>
        <row r="386">
          <cell r="A386">
            <v>1995</v>
          </cell>
          <cell r="B386">
            <v>35013</v>
          </cell>
          <cell r="C386" t="str">
            <v>加拿大</v>
          </cell>
          <cell r="D386" t="str">
            <v>饮料</v>
          </cell>
          <cell r="E386">
            <v>134.39999949932098</v>
          </cell>
        </row>
        <row r="387">
          <cell r="A387">
            <v>1995</v>
          </cell>
          <cell r="B387">
            <v>35013</v>
          </cell>
          <cell r="C387" t="str">
            <v>加拿大</v>
          </cell>
          <cell r="D387" t="str">
            <v>糖果</v>
          </cell>
          <cell r="E387">
            <v>399.99999850988388</v>
          </cell>
        </row>
        <row r="388">
          <cell r="A388">
            <v>1995</v>
          </cell>
          <cell r="B388">
            <v>35013</v>
          </cell>
          <cell r="C388" t="str">
            <v>加拿大</v>
          </cell>
          <cell r="D388" t="str">
            <v>乳制品</v>
          </cell>
          <cell r="E388">
            <v>1031.9999961555004</v>
          </cell>
        </row>
        <row r="389">
          <cell r="A389">
            <v>1995</v>
          </cell>
          <cell r="B389">
            <v>35019</v>
          </cell>
          <cell r="C389" t="str">
            <v>加拿大</v>
          </cell>
          <cell r="D389" t="str">
            <v>糖果</v>
          </cell>
          <cell r="E389">
            <v>349</v>
          </cell>
        </row>
        <row r="390">
          <cell r="A390">
            <v>1995</v>
          </cell>
          <cell r="B390">
            <v>35019</v>
          </cell>
          <cell r="C390" t="str">
            <v>加拿大</v>
          </cell>
          <cell r="D390" t="str">
            <v>饮料</v>
          </cell>
          <cell r="E390">
            <v>1104</v>
          </cell>
        </row>
        <row r="391">
          <cell r="A391">
            <v>1995</v>
          </cell>
          <cell r="B391">
            <v>35019</v>
          </cell>
          <cell r="C391" t="str">
            <v>加拿大</v>
          </cell>
          <cell r="D391" t="str">
            <v>乳制品</v>
          </cell>
          <cell r="E391">
            <v>440</v>
          </cell>
        </row>
        <row r="392">
          <cell r="A392">
            <v>1995</v>
          </cell>
          <cell r="B392">
            <v>35020</v>
          </cell>
          <cell r="C392" t="str">
            <v>加拿大</v>
          </cell>
          <cell r="D392" t="str">
            <v>香料</v>
          </cell>
          <cell r="E392">
            <v>85.4</v>
          </cell>
        </row>
        <row r="393">
          <cell r="A393">
            <v>1995</v>
          </cell>
          <cell r="B393">
            <v>35020</v>
          </cell>
          <cell r="C393" t="str">
            <v>加拿大</v>
          </cell>
          <cell r="D393" t="str">
            <v>海洋食品</v>
          </cell>
          <cell r="E393">
            <v>95</v>
          </cell>
        </row>
        <row r="394">
          <cell r="A394">
            <v>1995</v>
          </cell>
          <cell r="B394">
            <v>35024</v>
          </cell>
          <cell r="C394" t="str">
            <v>加拿大</v>
          </cell>
          <cell r="D394" t="str">
            <v>糖果</v>
          </cell>
          <cell r="E394">
            <v>110.4</v>
          </cell>
        </row>
        <row r="395">
          <cell r="A395">
            <v>1995</v>
          </cell>
          <cell r="B395">
            <v>35024</v>
          </cell>
          <cell r="C395" t="str">
            <v>加拿大</v>
          </cell>
          <cell r="D395" t="str">
            <v>海洋食品</v>
          </cell>
          <cell r="E395">
            <v>405.3</v>
          </cell>
        </row>
        <row r="396">
          <cell r="A396">
            <v>1995</v>
          </cell>
          <cell r="B396">
            <v>35024</v>
          </cell>
          <cell r="C396" t="str">
            <v>加拿大</v>
          </cell>
          <cell r="D396" t="str">
            <v>肉/家禽</v>
          </cell>
          <cell r="E396">
            <v>3936</v>
          </cell>
        </row>
        <row r="397">
          <cell r="A397">
            <v>1995</v>
          </cell>
          <cell r="B397">
            <v>35025</v>
          </cell>
          <cell r="C397" t="str">
            <v>加拿大</v>
          </cell>
          <cell r="D397" t="str">
            <v>海洋食品</v>
          </cell>
          <cell r="E397">
            <v>558</v>
          </cell>
        </row>
        <row r="398">
          <cell r="A398">
            <v>1995</v>
          </cell>
          <cell r="B398">
            <v>35025</v>
          </cell>
          <cell r="C398" t="str">
            <v>加拿大</v>
          </cell>
          <cell r="D398" t="str">
            <v>糖果</v>
          </cell>
          <cell r="E398">
            <v>936.9</v>
          </cell>
        </row>
        <row r="399">
          <cell r="A399">
            <v>1995</v>
          </cell>
          <cell r="B399">
            <v>35025</v>
          </cell>
          <cell r="C399" t="str">
            <v>加拿大</v>
          </cell>
          <cell r="D399" t="str">
            <v>海洋食品</v>
          </cell>
          <cell r="E399">
            <v>1045</v>
          </cell>
        </row>
        <row r="400">
          <cell r="A400">
            <v>1995</v>
          </cell>
          <cell r="B400">
            <v>35025</v>
          </cell>
          <cell r="C400" t="str">
            <v>加拿大</v>
          </cell>
          <cell r="D400" t="str">
            <v>海洋食品</v>
          </cell>
          <cell r="E400">
            <v>288</v>
          </cell>
        </row>
        <row r="401">
          <cell r="A401">
            <v>1995</v>
          </cell>
          <cell r="B401">
            <v>35025</v>
          </cell>
          <cell r="C401" t="str">
            <v>加拿大</v>
          </cell>
          <cell r="D401" t="str">
            <v>饮料</v>
          </cell>
          <cell r="E401">
            <v>427.5</v>
          </cell>
        </row>
        <row r="402">
          <cell r="A402">
            <v>1995</v>
          </cell>
          <cell r="B402">
            <v>35025</v>
          </cell>
          <cell r="C402" t="str">
            <v>加拿大</v>
          </cell>
          <cell r="D402" t="str">
            <v>肉/家禽</v>
          </cell>
          <cell r="E402">
            <v>789.75</v>
          </cell>
        </row>
        <row r="403">
          <cell r="A403">
            <v>1995</v>
          </cell>
          <cell r="B403">
            <v>35025</v>
          </cell>
          <cell r="C403" t="str">
            <v>加拿大</v>
          </cell>
          <cell r="D403" t="str">
            <v>糖果</v>
          </cell>
          <cell r="E403">
            <v>356.25</v>
          </cell>
        </row>
        <row r="404">
          <cell r="A404">
            <v>1995</v>
          </cell>
          <cell r="B404">
            <v>35025</v>
          </cell>
          <cell r="C404" t="str">
            <v>加拿大</v>
          </cell>
          <cell r="D404" t="str">
            <v>面食/谷类</v>
          </cell>
          <cell r="E404">
            <v>513</v>
          </cell>
        </row>
        <row r="405">
          <cell r="A405">
            <v>1995</v>
          </cell>
          <cell r="B405">
            <v>35025</v>
          </cell>
          <cell r="C405" t="str">
            <v>加拿大</v>
          </cell>
          <cell r="D405" t="str">
            <v>海洋食品</v>
          </cell>
          <cell r="E405">
            <v>119.25</v>
          </cell>
        </row>
        <row r="406">
          <cell r="A406">
            <v>1995</v>
          </cell>
          <cell r="B406">
            <v>35027</v>
          </cell>
          <cell r="C406" t="str">
            <v>美国</v>
          </cell>
          <cell r="D406" t="str">
            <v>糖果</v>
          </cell>
          <cell r="E406">
            <v>303.99999976158142</v>
          </cell>
        </row>
        <row r="407">
          <cell r="A407">
            <v>1995</v>
          </cell>
          <cell r="B407">
            <v>35027</v>
          </cell>
          <cell r="C407" t="str">
            <v>美国</v>
          </cell>
          <cell r="D407" t="str">
            <v>肉/家禽</v>
          </cell>
          <cell r="E407">
            <v>111.75</v>
          </cell>
        </row>
        <row r="408">
          <cell r="A408">
            <v>1995</v>
          </cell>
          <cell r="B408">
            <v>35027</v>
          </cell>
          <cell r="C408" t="str">
            <v>美国</v>
          </cell>
          <cell r="D408" t="str">
            <v>乳制品</v>
          </cell>
          <cell r="E408">
            <v>854.99999932944775</v>
          </cell>
        </row>
        <row r="409">
          <cell r="A409">
            <v>1995</v>
          </cell>
          <cell r="B409">
            <v>35030</v>
          </cell>
          <cell r="C409" t="str">
            <v>美国</v>
          </cell>
          <cell r="D409" t="str">
            <v>乳制品</v>
          </cell>
          <cell r="E409">
            <v>1368</v>
          </cell>
        </row>
        <row r="410">
          <cell r="A410">
            <v>1995</v>
          </cell>
          <cell r="B410">
            <v>35030</v>
          </cell>
          <cell r="C410" t="str">
            <v>美国</v>
          </cell>
          <cell r="D410" t="str">
            <v>糖果</v>
          </cell>
          <cell r="E410">
            <v>349</v>
          </cell>
        </row>
        <row r="411">
          <cell r="A411">
            <v>1995</v>
          </cell>
          <cell r="B411">
            <v>35030</v>
          </cell>
          <cell r="C411" t="str">
            <v>美国</v>
          </cell>
          <cell r="D411" t="str">
            <v>海洋食品</v>
          </cell>
          <cell r="E411">
            <v>760</v>
          </cell>
        </row>
        <row r="412">
          <cell r="A412">
            <v>1995</v>
          </cell>
          <cell r="B412">
            <v>35030</v>
          </cell>
          <cell r="C412" t="str">
            <v>美国</v>
          </cell>
          <cell r="D412" t="str">
            <v>糖果</v>
          </cell>
          <cell r="E412">
            <v>986</v>
          </cell>
        </row>
        <row r="413">
          <cell r="A413">
            <v>1995</v>
          </cell>
          <cell r="B413">
            <v>35030</v>
          </cell>
          <cell r="C413" t="str">
            <v>加拿大</v>
          </cell>
          <cell r="D413" t="str">
            <v>海洋食品</v>
          </cell>
          <cell r="E413">
            <v>562.5</v>
          </cell>
        </row>
        <row r="414">
          <cell r="A414">
            <v>1995</v>
          </cell>
          <cell r="B414">
            <v>35030</v>
          </cell>
          <cell r="C414" t="str">
            <v>加拿大</v>
          </cell>
          <cell r="D414" t="str">
            <v>海洋食品</v>
          </cell>
          <cell r="E414">
            <v>58.252499999999998</v>
          </cell>
        </row>
        <row r="415">
          <cell r="A415">
            <v>1995</v>
          </cell>
          <cell r="B415">
            <v>35030</v>
          </cell>
          <cell r="C415" t="str">
            <v>加拿大</v>
          </cell>
          <cell r="D415" t="str">
            <v>肉/家禽</v>
          </cell>
          <cell r="E415">
            <v>223.5</v>
          </cell>
        </row>
        <row r="416">
          <cell r="A416">
            <v>1995</v>
          </cell>
          <cell r="B416">
            <v>35032</v>
          </cell>
          <cell r="C416" t="str">
            <v>美国</v>
          </cell>
          <cell r="D416" t="str">
            <v>香料</v>
          </cell>
          <cell r="E416">
            <v>923.87499927543104</v>
          </cell>
        </row>
        <row r="417">
          <cell r="A417">
            <v>1995</v>
          </cell>
          <cell r="B417">
            <v>35032</v>
          </cell>
          <cell r="C417" t="str">
            <v>加拿大</v>
          </cell>
          <cell r="D417" t="str">
            <v>饮料</v>
          </cell>
          <cell r="E417">
            <v>57</v>
          </cell>
        </row>
        <row r="418">
          <cell r="A418">
            <v>1995</v>
          </cell>
          <cell r="B418">
            <v>35032</v>
          </cell>
          <cell r="C418" t="str">
            <v>加拿大</v>
          </cell>
          <cell r="D418" t="str">
            <v>乳制品</v>
          </cell>
          <cell r="E418">
            <v>625</v>
          </cell>
        </row>
        <row r="419">
          <cell r="A419">
            <v>1995</v>
          </cell>
          <cell r="B419">
            <v>35032</v>
          </cell>
          <cell r="C419" t="str">
            <v>加拿大</v>
          </cell>
          <cell r="D419" t="str">
            <v>糖果</v>
          </cell>
          <cell r="E419">
            <v>562.5</v>
          </cell>
        </row>
        <row r="420">
          <cell r="A420">
            <v>1995</v>
          </cell>
          <cell r="B420">
            <v>35032</v>
          </cell>
          <cell r="C420" t="str">
            <v>加拿大</v>
          </cell>
          <cell r="D420" t="str">
            <v>饮料</v>
          </cell>
          <cell r="E420">
            <v>325.5</v>
          </cell>
        </row>
        <row r="421">
          <cell r="A421">
            <v>1995</v>
          </cell>
          <cell r="B421">
            <v>35033</v>
          </cell>
          <cell r="C421" t="str">
            <v>加拿大</v>
          </cell>
          <cell r="D421" t="str">
            <v>糖果</v>
          </cell>
          <cell r="E421">
            <v>468.45</v>
          </cell>
        </row>
        <row r="422">
          <cell r="A422">
            <v>1995</v>
          </cell>
          <cell r="B422">
            <v>35044</v>
          </cell>
          <cell r="C422" t="str">
            <v>加拿大</v>
          </cell>
          <cell r="D422" t="str">
            <v>香料</v>
          </cell>
          <cell r="E422">
            <v>512.99999915063381</v>
          </cell>
        </row>
        <row r="423">
          <cell r="A423">
            <v>1995</v>
          </cell>
          <cell r="B423">
            <v>35044</v>
          </cell>
          <cell r="C423" t="str">
            <v>加拿大</v>
          </cell>
          <cell r="D423" t="str">
            <v>香料</v>
          </cell>
          <cell r="E423">
            <v>23.399999961256981</v>
          </cell>
        </row>
        <row r="424">
          <cell r="A424">
            <v>1995</v>
          </cell>
          <cell r="B424">
            <v>35047</v>
          </cell>
          <cell r="C424" t="str">
            <v>加拿大</v>
          </cell>
          <cell r="D424" t="str">
            <v>农产品</v>
          </cell>
          <cell r="E424">
            <v>182.39999932050705</v>
          </cell>
        </row>
        <row r="425">
          <cell r="A425">
            <v>1995</v>
          </cell>
          <cell r="B425">
            <v>35047</v>
          </cell>
          <cell r="C425" t="str">
            <v>加拿大</v>
          </cell>
          <cell r="D425" t="str">
            <v>饮料</v>
          </cell>
          <cell r="E425">
            <v>503.99999812245369</v>
          </cell>
        </row>
        <row r="426">
          <cell r="A426">
            <v>1995</v>
          </cell>
          <cell r="B426">
            <v>35047</v>
          </cell>
          <cell r="C426" t="str">
            <v>加拿大</v>
          </cell>
          <cell r="D426" t="str">
            <v>海洋食品</v>
          </cell>
          <cell r="E426">
            <v>303.99999886751175</v>
          </cell>
        </row>
        <row r="427">
          <cell r="A427">
            <v>1995</v>
          </cell>
          <cell r="B427">
            <v>35047</v>
          </cell>
          <cell r="C427" t="str">
            <v>加拿大</v>
          </cell>
          <cell r="D427" t="str">
            <v>面食/谷类</v>
          </cell>
          <cell r="E427">
            <v>425.59999841451645</v>
          </cell>
        </row>
        <row r="428">
          <cell r="A428">
            <v>1995</v>
          </cell>
          <cell r="B428">
            <v>35052</v>
          </cell>
          <cell r="C428" t="str">
            <v>美国</v>
          </cell>
          <cell r="D428" t="str">
            <v>海洋食品</v>
          </cell>
          <cell r="E428">
            <v>1500</v>
          </cell>
        </row>
        <row r="429">
          <cell r="A429">
            <v>1995</v>
          </cell>
          <cell r="B429">
            <v>35052</v>
          </cell>
          <cell r="C429" t="str">
            <v>美国</v>
          </cell>
          <cell r="D429" t="str">
            <v>香料</v>
          </cell>
          <cell r="E429">
            <v>311.2</v>
          </cell>
        </row>
        <row r="430">
          <cell r="A430">
            <v>1995</v>
          </cell>
          <cell r="B430">
            <v>35052</v>
          </cell>
          <cell r="C430" t="str">
            <v>美国</v>
          </cell>
          <cell r="D430" t="str">
            <v>乳制品</v>
          </cell>
          <cell r="E430">
            <v>2475</v>
          </cell>
        </row>
        <row r="431">
          <cell r="A431">
            <v>1995</v>
          </cell>
          <cell r="B431">
            <v>35052</v>
          </cell>
          <cell r="C431" t="str">
            <v>美国</v>
          </cell>
          <cell r="D431" t="str">
            <v>乳制品</v>
          </cell>
          <cell r="E431">
            <v>243.6</v>
          </cell>
        </row>
        <row r="432">
          <cell r="A432">
            <v>1995</v>
          </cell>
          <cell r="B432">
            <v>35054</v>
          </cell>
          <cell r="C432" t="str">
            <v>加拿大</v>
          </cell>
          <cell r="D432" t="str">
            <v>面食/谷类</v>
          </cell>
          <cell r="E432">
            <v>396</v>
          </cell>
        </row>
        <row r="433">
          <cell r="A433">
            <v>1995</v>
          </cell>
          <cell r="B433">
            <v>35054</v>
          </cell>
          <cell r="C433" t="str">
            <v>加拿大</v>
          </cell>
          <cell r="D433" t="str">
            <v>海洋食品</v>
          </cell>
          <cell r="E433">
            <v>736</v>
          </cell>
        </row>
        <row r="434">
          <cell r="A434">
            <v>1995</v>
          </cell>
          <cell r="B434">
            <v>35054</v>
          </cell>
          <cell r="C434" t="str">
            <v>加拿大</v>
          </cell>
          <cell r="D434" t="str">
            <v>面食/谷类</v>
          </cell>
          <cell r="E434">
            <v>1064</v>
          </cell>
        </row>
        <row r="435">
          <cell r="A435">
            <v>1995</v>
          </cell>
          <cell r="B435">
            <v>35061</v>
          </cell>
          <cell r="C435" t="str">
            <v>加拿大</v>
          </cell>
          <cell r="D435" t="str">
            <v>海洋食品</v>
          </cell>
          <cell r="E435">
            <v>1049.9999960884452</v>
          </cell>
        </row>
        <row r="436">
          <cell r="A436">
            <v>1995</v>
          </cell>
          <cell r="B436">
            <v>35061</v>
          </cell>
          <cell r="C436" t="str">
            <v>加拿大</v>
          </cell>
          <cell r="D436" t="str">
            <v>海洋食品</v>
          </cell>
          <cell r="E436">
            <v>303.99999886751175</v>
          </cell>
        </row>
        <row r="437">
          <cell r="A437">
            <v>1995</v>
          </cell>
          <cell r="B437">
            <v>35061</v>
          </cell>
          <cell r="C437" t="str">
            <v>加拿大</v>
          </cell>
          <cell r="D437" t="str">
            <v>糖果</v>
          </cell>
          <cell r="E437">
            <v>59.999999776482582</v>
          </cell>
        </row>
        <row r="438">
          <cell r="A438">
            <v>1995</v>
          </cell>
          <cell r="B438">
            <v>35061</v>
          </cell>
          <cell r="C438" t="str">
            <v>加拿大</v>
          </cell>
          <cell r="D438" t="str">
            <v>乳制品</v>
          </cell>
          <cell r="E438">
            <v>575.99999785423279</v>
          </cell>
        </row>
        <row r="439">
          <cell r="A439">
            <v>1995</v>
          </cell>
          <cell r="B439">
            <v>35061</v>
          </cell>
          <cell r="C439" t="str">
            <v>加拿大</v>
          </cell>
          <cell r="D439" t="str">
            <v>饮料</v>
          </cell>
          <cell r="E439">
            <v>420</v>
          </cell>
        </row>
        <row r="440">
          <cell r="A440">
            <v>1995</v>
          </cell>
          <cell r="B440">
            <v>35061</v>
          </cell>
          <cell r="C440" t="str">
            <v>加拿大</v>
          </cell>
          <cell r="D440" t="str">
            <v>乳制品</v>
          </cell>
          <cell r="E440">
            <v>385</v>
          </cell>
        </row>
        <row r="441">
          <cell r="A441">
            <v>1995</v>
          </cell>
          <cell r="B441">
            <v>35061</v>
          </cell>
          <cell r="C441" t="str">
            <v>加拿大</v>
          </cell>
          <cell r="D441" t="str">
            <v>糖果</v>
          </cell>
          <cell r="E441">
            <v>1479</v>
          </cell>
        </row>
        <row r="442">
          <cell r="A442">
            <v>1995</v>
          </cell>
          <cell r="B442">
            <v>35061</v>
          </cell>
          <cell r="C442" t="str">
            <v>加拿大</v>
          </cell>
          <cell r="D442" t="str">
            <v>面食/谷类</v>
          </cell>
          <cell r="E442">
            <v>798</v>
          </cell>
        </row>
        <row r="443">
          <cell r="A443">
            <v>1996</v>
          </cell>
          <cell r="B443">
            <v>35066</v>
          </cell>
          <cell r="C443" t="str">
            <v>加拿大</v>
          </cell>
          <cell r="D443" t="str">
            <v>糖果</v>
          </cell>
          <cell r="E443">
            <v>367.5</v>
          </cell>
        </row>
        <row r="444">
          <cell r="A444">
            <v>1996</v>
          </cell>
          <cell r="B444">
            <v>35066</v>
          </cell>
          <cell r="C444" t="str">
            <v>加拿大</v>
          </cell>
          <cell r="D444" t="str">
            <v>饮料</v>
          </cell>
          <cell r="E444">
            <v>139.5</v>
          </cell>
        </row>
        <row r="445">
          <cell r="A445">
            <v>1996</v>
          </cell>
          <cell r="B445">
            <v>35068</v>
          </cell>
          <cell r="C445" t="str">
            <v>美国</v>
          </cell>
          <cell r="D445" t="str">
            <v>香料</v>
          </cell>
          <cell r="E445">
            <v>1515.5999974906445</v>
          </cell>
        </row>
        <row r="446">
          <cell r="A446">
            <v>1996</v>
          </cell>
          <cell r="B446">
            <v>35069</v>
          </cell>
          <cell r="C446" t="str">
            <v>美国</v>
          </cell>
          <cell r="D446" t="str">
            <v>饮料</v>
          </cell>
          <cell r="E446">
            <v>760</v>
          </cell>
        </row>
        <row r="447">
          <cell r="A447">
            <v>1996</v>
          </cell>
          <cell r="B447">
            <v>35069</v>
          </cell>
          <cell r="C447" t="str">
            <v>美国</v>
          </cell>
          <cell r="D447" t="str">
            <v>农产品</v>
          </cell>
          <cell r="E447">
            <v>1050</v>
          </cell>
        </row>
        <row r="448">
          <cell r="A448">
            <v>1996</v>
          </cell>
          <cell r="B448">
            <v>35069</v>
          </cell>
          <cell r="C448" t="str">
            <v>美国</v>
          </cell>
          <cell r="D448" t="str">
            <v>糖果</v>
          </cell>
          <cell r="E448">
            <v>500</v>
          </cell>
        </row>
        <row r="449">
          <cell r="A449">
            <v>1996</v>
          </cell>
          <cell r="B449">
            <v>35074</v>
          </cell>
          <cell r="C449" t="str">
            <v>美国</v>
          </cell>
          <cell r="D449" t="str">
            <v>肉/家禽</v>
          </cell>
          <cell r="E449">
            <v>2228.2199999999998</v>
          </cell>
        </row>
        <row r="450">
          <cell r="A450">
            <v>1996</v>
          </cell>
          <cell r="B450">
            <v>35074</v>
          </cell>
          <cell r="C450" t="str">
            <v>美国</v>
          </cell>
          <cell r="D450" t="str">
            <v>乳制品</v>
          </cell>
          <cell r="E450">
            <v>1375</v>
          </cell>
        </row>
        <row r="451">
          <cell r="A451">
            <v>1996</v>
          </cell>
          <cell r="B451">
            <v>35076</v>
          </cell>
          <cell r="C451" t="str">
            <v>加拿大</v>
          </cell>
          <cell r="D451" t="str">
            <v>海洋食品</v>
          </cell>
          <cell r="E451">
            <v>186</v>
          </cell>
        </row>
        <row r="452">
          <cell r="A452">
            <v>1996</v>
          </cell>
          <cell r="B452">
            <v>35076</v>
          </cell>
          <cell r="C452" t="str">
            <v>加拿大</v>
          </cell>
          <cell r="D452" t="str">
            <v>饮料</v>
          </cell>
          <cell r="E452">
            <v>42</v>
          </cell>
        </row>
        <row r="453">
          <cell r="A453">
            <v>1996</v>
          </cell>
          <cell r="B453">
            <v>35080</v>
          </cell>
          <cell r="C453" t="str">
            <v>美国</v>
          </cell>
          <cell r="D453" t="str">
            <v>糖果</v>
          </cell>
          <cell r="E453">
            <v>349</v>
          </cell>
        </row>
        <row r="454">
          <cell r="A454">
            <v>1996</v>
          </cell>
          <cell r="B454">
            <v>35080</v>
          </cell>
          <cell r="C454" t="str">
            <v>美国</v>
          </cell>
          <cell r="D454" t="str">
            <v>糖果</v>
          </cell>
          <cell r="E454">
            <v>986</v>
          </cell>
        </row>
        <row r="455">
          <cell r="A455">
            <v>1996</v>
          </cell>
          <cell r="B455">
            <v>35086</v>
          </cell>
          <cell r="C455" t="str">
            <v>美国</v>
          </cell>
          <cell r="D455" t="str">
            <v>糖果</v>
          </cell>
          <cell r="E455">
            <v>436.99999965727329</v>
          </cell>
        </row>
        <row r="456">
          <cell r="A456">
            <v>1996</v>
          </cell>
          <cell r="B456">
            <v>35086</v>
          </cell>
          <cell r="C456" t="str">
            <v>美国</v>
          </cell>
          <cell r="D456" t="str">
            <v>饮料</v>
          </cell>
          <cell r="E456">
            <v>294.499999769032</v>
          </cell>
        </row>
        <row r="457">
          <cell r="A457">
            <v>1996</v>
          </cell>
          <cell r="B457">
            <v>35087</v>
          </cell>
          <cell r="C457" t="str">
            <v>美国</v>
          </cell>
          <cell r="D457" t="str">
            <v>肉/家禽</v>
          </cell>
          <cell r="E457">
            <v>1646.4069987087696</v>
          </cell>
        </row>
        <row r="458">
          <cell r="A458">
            <v>1996</v>
          </cell>
          <cell r="B458">
            <v>35087</v>
          </cell>
          <cell r="C458" t="str">
            <v>美国</v>
          </cell>
          <cell r="D458" t="str">
            <v>海洋食品</v>
          </cell>
          <cell r="E458">
            <v>183.34999985620379</v>
          </cell>
        </row>
        <row r="459">
          <cell r="A459">
            <v>1996</v>
          </cell>
          <cell r="B459">
            <v>35089</v>
          </cell>
          <cell r="C459" t="str">
            <v>美国</v>
          </cell>
          <cell r="D459" t="str">
            <v>乳制品</v>
          </cell>
          <cell r="E459">
            <v>420</v>
          </cell>
        </row>
        <row r="460">
          <cell r="A460">
            <v>1996</v>
          </cell>
          <cell r="B460">
            <v>35090</v>
          </cell>
          <cell r="C460" t="str">
            <v>美国</v>
          </cell>
          <cell r="D460" t="str">
            <v>海洋食品</v>
          </cell>
          <cell r="E460">
            <v>101.99999928474426</v>
          </cell>
        </row>
        <row r="461">
          <cell r="A461">
            <v>1996</v>
          </cell>
          <cell r="B461">
            <v>35090</v>
          </cell>
          <cell r="C461" t="str">
            <v>美国</v>
          </cell>
          <cell r="D461" t="str">
            <v>饮料</v>
          </cell>
          <cell r="E461">
            <v>76.499999463558197</v>
          </cell>
        </row>
        <row r="462">
          <cell r="A462">
            <v>1996</v>
          </cell>
          <cell r="B462">
            <v>35090</v>
          </cell>
          <cell r="C462" t="str">
            <v>美国</v>
          </cell>
          <cell r="D462" t="str">
            <v>乳制品</v>
          </cell>
          <cell r="E462">
            <v>1375</v>
          </cell>
        </row>
        <row r="463">
          <cell r="A463">
            <v>1996</v>
          </cell>
          <cell r="B463">
            <v>35094</v>
          </cell>
          <cell r="C463" t="str">
            <v>加拿大</v>
          </cell>
          <cell r="D463" t="str">
            <v>饮料</v>
          </cell>
          <cell r="E463">
            <v>140</v>
          </cell>
        </row>
        <row r="464">
          <cell r="A464">
            <v>1996</v>
          </cell>
          <cell r="B464">
            <v>35094</v>
          </cell>
          <cell r="C464" t="str">
            <v>加拿大</v>
          </cell>
          <cell r="D464" t="str">
            <v>饮料</v>
          </cell>
          <cell r="E464">
            <v>2635</v>
          </cell>
        </row>
        <row r="465">
          <cell r="A465">
            <v>1996</v>
          </cell>
          <cell r="B465">
            <v>35096</v>
          </cell>
          <cell r="C465" t="str">
            <v>加拿大</v>
          </cell>
          <cell r="D465" t="str">
            <v>面食/谷类</v>
          </cell>
          <cell r="E465">
            <v>645.999995470047</v>
          </cell>
        </row>
        <row r="466">
          <cell r="A466">
            <v>1996</v>
          </cell>
          <cell r="B466">
            <v>35096</v>
          </cell>
          <cell r="C466" t="str">
            <v>加拿大</v>
          </cell>
          <cell r="D466" t="str">
            <v>饮料</v>
          </cell>
          <cell r="E466">
            <v>764.99999463558197</v>
          </cell>
        </row>
        <row r="467">
          <cell r="A467">
            <v>1996</v>
          </cell>
          <cell r="B467">
            <v>35100</v>
          </cell>
          <cell r="C467" t="str">
            <v>加拿大</v>
          </cell>
          <cell r="D467" t="str">
            <v>乳制品</v>
          </cell>
          <cell r="E467">
            <v>40</v>
          </cell>
        </row>
        <row r="468">
          <cell r="A468">
            <v>1996</v>
          </cell>
          <cell r="B468">
            <v>35101</v>
          </cell>
          <cell r="C468" t="str">
            <v>加拿大</v>
          </cell>
          <cell r="D468" t="str">
            <v>饮料</v>
          </cell>
          <cell r="E468">
            <v>7509.749994110316</v>
          </cell>
        </row>
        <row r="469">
          <cell r="A469">
            <v>1996</v>
          </cell>
          <cell r="B469">
            <v>35101</v>
          </cell>
          <cell r="C469" t="str">
            <v>加拿大</v>
          </cell>
          <cell r="D469" t="str">
            <v>糖果</v>
          </cell>
          <cell r="E469">
            <v>936.69999926537275</v>
          </cell>
        </row>
        <row r="470">
          <cell r="A470">
            <v>1996</v>
          </cell>
          <cell r="B470">
            <v>35101</v>
          </cell>
          <cell r="C470" t="str">
            <v>美国</v>
          </cell>
          <cell r="D470" t="str">
            <v>糖果</v>
          </cell>
          <cell r="E470">
            <v>1061.8199925541878</v>
          </cell>
        </row>
        <row r="471">
          <cell r="A471">
            <v>1996</v>
          </cell>
          <cell r="B471">
            <v>35101</v>
          </cell>
          <cell r="C471" t="str">
            <v>美国</v>
          </cell>
          <cell r="D471" t="str">
            <v>饮料</v>
          </cell>
          <cell r="E471">
            <v>7905</v>
          </cell>
        </row>
        <row r="472">
          <cell r="A472">
            <v>1996</v>
          </cell>
          <cell r="B472">
            <v>35101</v>
          </cell>
          <cell r="C472" t="str">
            <v>美国</v>
          </cell>
          <cell r="D472" t="str">
            <v>海洋食品</v>
          </cell>
          <cell r="E472">
            <v>938.39999341964722</v>
          </cell>
        </row>
        <row r="473">
          <cell r="A473">
            <v>1996</v>
          </cell>
          <cell r="B473">
            <v>35101</v>
          </cell>
          <cell r="C473" t="str">
            <v>美国</v>
          </cell>
          <cell r="D473" t="str">
            <v>糖果</v>
          </cell>
          <cell r="E473">
            <v>1047.6249926537275</v>
          </cell>
        </row>
        <row r="474">
          <cell r="A474">
            <v>1996</v>
          </cell>
          <cell r="B474">
            <v>35102</v>
          </cell>
          <cell r="C474" t="str">
            <v>加拿大</v>
          </cell>
          <cell r="D474" t="str">
            <v>面食/谷类</v>
          </cell>
          <cell r="E474">
            <v>1140</v>
          </cell>
        </row>
        <row r="475">
          <cell r="A475">
            <v>1996</v>
          </cell>
          <cell r="B475">
            <v>35103</v>
          </cell>
          <cell r="C475" t="str">
            <v>加拿大</v>
          </cell>
          <cell r="D475" t="str">
            <v>饮料</v>
          </cell>
          <cell r="E475">
            <v>360</v>
          </cell>
        </row>
        <row r="476">
          <cell r="A476">
            <v>1996</v>
          </cell>
          <cell r="B476">
            <v>35103</v>
          </cell>
          <cell r="C476" t="str">
            <v>加拿大</v>
          </cell>
          <cell r="D476" t="str">
            <v>农产品</v>
          </cell>
          <cell r="E476">
            <v>318</v>
          </cell>
        </row>
        <row r="477">
          <cell r="A477">
            <v>1996</v>
          </cell>
          <cell r="B477">
            <v>35103</v>
          </cell>
          <cell r="C477" t="str">
            <v>加拿大</v>
          </cell>
          <cell r="D477" t="str">
            <v>糖果</v>
          </cell>
          <cell r="E477">
            <v>147.9</v>
          </cell>
        </row>
        <row r="478">
          <cell r="A478">
            <v>1996</v>
          </cell>
          <cell r="B478">
            <v>35103</v>
          </cell>
          <cell r="C478" t="str">
            <v>加拿大</v>
          </cell>
          <cell r="D478" t="str">
            <v>饮料</v>
          </cell>
          <cell r="E478">
            <v>90</v>
          </cell>
        </row>
        <row r="479">
          <cell r="A479">
            <v>1996</v>
          </cell>
          <cell r="B479">
            <v>35104</v>
          </cell>
          <cell r="C479" t="str">
            <v>美国</v>
          </cell>
          <cell r="D479" t="str">
            <v>糖果</v>
          </cell>
          <cell r="E479">
            <v>374.76</v>
          </cell>
        </row>
        <row r="480">
          <cell r="A480">
            <v>1996</v>
          </cell>
          <cell r="B480">
            <v>35104</v>
          </cell>
          <cell r="C480" t="str">
            <v>美国</v>
          </cell>
          <cell r="D480" t="str">
            <v>肉/家禽</v>
          </cell>
          <cell r="E480">
            <v>656</v>
          </cell>
        </row>
        <row r="481">
          <cell r="A481">
            <v>1996</v>
          </cell>
          <cell r="B481">
            <v>35110</v>
          </cell>
          <cell r="C481" t="str">
            <v>美国</v>
          </cell>
          <cell r="D481" t="str">
            <v>农产品</v>
          </cell>
          <cell r="E481">
            <v>539.99999910593033</v>
          </cell>
        </row>
        <row r="482">
          <cell r="A482">
            <v>1996</v>
          </cell>
          <cell r="B482">
            <v>35110</v>
          </cell>
          <cell r="C482" t="str">
            <v>美国</v>
          </cell>
          <cell r="D482" t="str">
            <v>乳制品</v>
          </cell>
          <cell r="E482">
            <v>101.24999983236194</v>
          </cell>
        </row>
        <row r="483">
          <cell r="A483">
            <v>1996</v>
          </cell>
          <cell r="B483">
            <v>35110</v>
          </cell>
          <cell r="C483" t="str">
            <v>美国</v>
          </cell>
          <cell r="D483" t="str">
            <v>肉/家禽</v>
          </cell>
          <cell r="E483">
            <v>265.67999956011772</v>
          </cell>
        </row>
        <row r="484">
          <cell r="A484">
            <v>1996</v>
          </cell>
          <cell r="B484">
            <v>35116</v>
          </cell>
          <cell r="C484" t="str">
            <v>美国</v>
          </cell>
          <cell r="D484" t="str">
            <v>面食/谷类</v>
          </cell>
          <cell r="E484">
            <v>566.99999906122684</v>
          </cell>
        </row>
        <row r="485">
          <cell r="A485">
            <v>1996</v>
          </cell>
          <cell r="B485">
            <v>35116</v>
          </cell>
          <cell r="C485" t="str">
            <v>美国</v>
          </cell>
          <cell r="D485" t="str">
            <v>饮料</v>
          </cell>
          <cell r="E485">
            <v>404.99999932944775</v>
          </cell>
        </row>
        <row r="486">
          <cell r="A486">
            <v>1996</v>
          </cell>
          <cell r="B486">
            <v>35116</v>
          </cell>
          <cell r="C486" t="str">
            <v>美国</v>
          </cell>
          <cell r="D486" t="str">
            <v>面食/谷类</v>
          </cell>
          <cell r="E486">
            <v>529.19999912381172</v>
          </cell>
        </row>
        <row r="487">
          <cell r="A487">
            <v>1996</v>
          </cell>
          <cell r="B487">
            <v>35116</v>
          </cell>
          <cell r="C487" t="str">
            <v>美国</v>
          </cell>
          <cell r="D487" t="str">
            <v>海洋食品</v>
          </cell>
          <cell r="E487">
            <v>715.49999881535769</v>
          </cell>
        </row>
        <row r="488">
          <cell r="A488">
            <v>1996</v>
          </cell>
          <cell r="B488">
            <v>35116</v>
          </cell>
          <cell r="C488" t="str">
            <v>美国</v>
          </cell>
          <cell r="D488" t="str">
            <v>面食/谷类</v>
          </cell>
          <cell r="E488">
            <v>1596</v>
          </cell>
        </row>
        <row r="489">
          <cell r="A489">
            <v>1996</v>
          </cell>
          <cell r="B489">
            <v>35117</v>
          </cell>
          <cell r="C489" t="str">
            <v>加拿大</v>
          </cell>
          <cell r="D489" t="str">
            <v>饮料</v>
          </cell>
          <cell r="E489">
            <v>1151.9999957084656</v>
          </cell>
        </row>
        <row r="490">
          <cell r="A490">
            <v>1996</v>
          </cell>
          <cell r="B490">
            <v>35117</v>
          </cell>
          <cell r="C490" t="str">
            <v>加拿大</v>
          </cell>
          <cell r="D490" t="str">
            <v>糖果</v>
          </cell>
          <cell r="E490">
            <v>88.319999670982369</v>
          </cell>
        </row>
        <row r="491">
          <cell r="A491">
            <v>1996</v>
          </cell>
          <cell r="B491">
            <v>35117</v>
          </cell>
          <cell r="C491" t="str">
            <v>加拿大</v>
          </cell>
          <cell r="D491" t="str">
            <v>海洋食品</v>
          </cell>
          <cell r="E491">
            <v>1247.9999953508377</v>
          </cell>
        </row>
        <row r="492">
          <cell r="A492">
            <v>1996</v>
          </cell>
          <cell r="B492">
            <v>35117</v>
          </cell>
          <cell r="C492" t="str">
            <v>加拿大</v>
          </cell>
          <cell r="D492" t="str">
            <v>海洋食品</v>
          </cell>
          <cell r="E492">
            <v>273.59999898076057</v>
          </cell>
        </row>
        <row r="493">
          <cell r="A493">
            <v>1996</v>
          </cell>
          <cell r="B493">
            <v>35117</v>
          </cell>
          <cell r="C493" t="str">
            <v>加拿大</v>
          </cell>
          <cell r="D493" t="str">
            <v>乳制品</v>
          </cell>
          <cell r="E493">
            <v>1223.9999954402447</v>
          </cell>
        </row>
        <row r="494">
          <cell r="A494">
            <v>1996</v>
          </cell>
          <cell r="B494">
            <v>35117</v>
          </cell>
          <cell r="C494" t="str">
            <v>加拿大</v>
          </cell>
          <cell r="D494" t="str">
            <v>乳制品</v>
          </cell>
          <cell r="E494">
            <v>945.99999647587538</v>
          </cell>
        </row>
        <row r="495">
          <cell r="A495">
            <v>1996</v>
          </cell>
          <cell r="B495">
            <v>35118</v>
          </cell>
          <cell r="C495" t="str">
            <v>美国</v>
          </cell>
          <cell r="D495" t="str">
            <v>香料</v>
          </cell>
          <cell r="E495">
            <v>490</v>
          </cell>
        </row>
        <row r="496">
          <cell r="A496">
            <v>1996</v>
          </cell>
          <cell r="B496">
            <v>35118</v>
          </cell>
          <cell r="C496" t="str">
            <v>美国</v>
          </cell>
          <cell r="D496" t="str">
            <v>糖果</v>
          </cell>
          <cell r="E496">
            <v>477.81899664938447</v>
          </cell>
        </row>
        <row r="497">
          <cell r="A497">
            <v>1996</v>
          </cell>
          <cell r="B497">
            <v>35121</v>
          </cell>
          <cell r="C497" t="str">
            <v>加拿大</v>
          </cell>
          <cell r="D497" t="str">
            <v>饮料</v>
          </cell>
          <cell r="E497">
            <v>285</v>
          </cell>
        </row>
        <row r="498">
          <cell r="A498">
            <v>1996</v>
          </cell>
          <cell r="B498">
            <v>35121</v>
          </cell>
          <cell r="C498" t="str">
            <v>加拿大</v>
          </cell>
          <cell r="D498" t="str">
            <v>肉/家禽</v>
          </cell>
          <cell r="E498">
            <v>234</v>
          </cell>
        </row>
        <row r="499">
          <cell r="A499">
            <v>1996</v>
          </cell>
          <cell r="B499">
            <v>35121</v>
          </cell>
          <cell r="C499" t="str">
            <v>加拿大</v>
          </cell>
          <cell r="D499" t="str">
            <v>糖果</v>
          </cell>
          <cell r="E499">
            <v>2465</v>
          </cell>
        </row>
        <row r="500">
          <cell r="A500">
            <v>1996</v>
          </cell>
          <cell r="B500">
            <v>35122</v>
          </cell>
          <cell r="C500" t="str">
            <v>美国</v>
          </cell>
          <cell r="D500" t="str">
            <v>海洋食品</v>
          </cell>
          <cell r="E500">
            <v>625</v>
          </cell>
        </row>
        <row r="501">
          <cell r="A501">
            <v>1996</v>
          </cell>
          <cell r="B501">
            <v>35122</v>
          </cell>
          <cell r="C501" t="str">
            <v>加拿大</v>
          </cell>
          <cell r="D501" t="str">
            <v>糖果</v>
          </cell>
          <cell r="E501">
            <v>872.5</v>
          </cell>
        </row>
        <row r="502">
          <cell r="A502">
            <v>1996</v>
          </cell>
          <cell r="B502">
            <v>35122</v>
          </cell>
          <cell r="C502" t="str">
            <v>加拿大</v>
          </cell>
          <cell r="D502" t="str">
            <v>乳制品</v>
          </cell>
          <cell r="E502">
            <v>175</v>
          </cell>
        </row>
        <row r="503">
          <cell r="A503">
            <v>1996</v>
          </cell>
          <cell r="B503">
            <v>35122</v>
          </cell>
          <cell r="C503" t="str">
            <v>加拿大</v>
          </cell>
          <cell r="D503" t="str">
            <v>面食/谷类</v>
          </cell>
          <cell r="E503">
            <v>912</v>
          </cell>
        </row>
        <row r="504">
          <cell r="A504">
            <v>1996</v>
          </cell>
          <cell r="B504">
            <v>35122</v>
          </cell>
          <cell r="C504" t="str">
            <v>加拿大</v>
          </cell>
          <cell r="D504" t="str">
            <v>香料</v>
          </cell>
          <cell r="E504">
            <v>268.38749811798334</v>
          </cell>
        </row>
        <row r="505">
          <cell r="A505">
            <v>1996</v>
          </cell>
          <cell r="B505">
            <v>35124</v>
          </cell>
          <cell r="C505" t="str">
            <v>美国</v>
          </cell>
          <cell r="D505" t="str">
            <v>饮料</v>
          </cell>
          <cell r="E505">
            <v>135</v>
          </cell>
        </row>
        <row r="506">
          <cell r="A506">
            <v>1996</v>
          </cell>
          <cell r="B506">
            <v>35124</v>
          </cell>
          <cell r="C506" t="str">
            <v>美国</v>
          </cell>
          <cell r="D506" t="str">
            <v>肉/家禽</v>
          </cell>
          <cell r="E506">
            <v>195.5625</v>
          </cell>
        </row>
        <row r="507">
          <cell r="A507">
            <v>1996</v>
          </cell>
          <cell r="B507">
            <v>35124</v>
          </cell>
          <cell r="C507" t="str">
            <v>美国</v>
          </cell>
          <cell r="D507" t="str">
            <v>面食/谷类</v>
          </cell>
          <cell r="E507">
            <v>748.125</v>
          </cell>
        </row>
        <row r="508">
          <cell r="A508">
            <v>1996</v>
          </cell>
          <cell r="B508">
            <v>35125</v>
          </cell>
          <cell r="C508" t="str">
            <v>加拿大</v>
          </cell>
          <cell r="D508" t="str">
            <v>肉/家禽</v>
          </cell>
          <cell r="E508">
            <v>1638</v>
          </cell>
        </row>
        <row r="509">
          <cell r="A509">
            <v>1996</v>
          </cell>
          <cell r="B509">
            <v>35125</v>
          </cell>
          <cell r="C509" t="str">
            <v>加拿大</v>
          </cell>
          <cell r="D509" t="str">
            <v>海洋食品</v>
          </cell>
          <cell r="E509">
            <v>1250</v>
          </cell>
        </row>
        <row r="510">
          <cell r="A510">
            <v>1996</v>
          </cell>
          <cell r="B510">
            <v>35125</v>
          </cell>
          <cell r="C510" t="str">
            <v>加拿大</v>
          </cell>
          <cell r="D510" t="str">
            <v>糖果</v>
          </cell>
          <cell r="E510">
            <v>400</v>
          </cell>
        </row>
        <row r="511">
          <cell r="A511">
            <v>1996</v>
          </cell>
          <cell r="B511">
            <v>35125</v>
          </cell>
          <cell r="C511" t="str">
            <v>加拿大</v>
          </cell>
          <cell r="D511" t="str">
            <v>乳制品</v>
          </cell>
          <cell r="E511">
            <v>87.5</v>
          </cell>
        </row>
        <row r="512">
          <cell r="A512">
            <v>1996</v>
          </cell>
          <cell r="B512">
            <v>35125</v>
          </cell>
          <cell r="C512" t="str">
            <v>加拿大</v>
          </cell>
          <cell r="D512" t="str">
            <v>糖果</v>
          </cell>
          <cell r="E512">
            <v>147.9</v>
          </cell>
        </row>
        <row r="513">
          <cell r="A513">
            <v>1996</v>
          </cell>
          <cell r="B513">
            <v>35125</v>
          </cell>
          <cell r="C513" t="str">
            <v>美国</v>
          </cell>
          <cell r="D513" t="str">
            <v>乳制品</v>
          </cell>
          <cell r="E513">
            <v>525</v>
          </cell>
        </row>
        <row r="514">
          <cell r="A514">
            <v>1996</v>
          </cell>
          <cell r="B514">
            <v>35125</v>
          </cell>
          <cell r="C514" t="str">
            <v>美国</v>
          </cell>
          <cell r="D514" t="str">
            <v>面食/谷类</v>
          </cell>
          <cell r="E514">
            <v>56</v>
          </cell>
        </row>
        <row r="515">
          <cell r="A515">
            <v>1996</v>
          </cell>
          <cell r="B515">
            <v>35128</v>
          </cell>
          <cell r="C515" t="str">
            <v>美国</v>
          </cell>
          <cell r="D515" t="str">
            <v>饮料</v>
          </cell>
          <cell r="E515">
            <v>15019.499988220632</v>
          </cell>
        </row>
        <row r="516">
          <cell r="A516">
            <v>1996</v>
          </cell>
          <cell r="B516">
            <v>35128</v>
          </cell>
          <cell r="C516" t="str">
            <v>美国</v>
          </cell>
          <cell r="D516" t="str">
            <v>饮料</v>
          </cell>
          <cell r="E516">
            <v>1367.9999989271164</v>
          </cell>
        </row>
        <row r="517">
          <cell r="A517">
            <v>1996</v>
          </cell>
          <cell r="B517">
            <v>35129</v>
          </cell>
          <cell r="C517" t="str">
            <v>加拿大</v>
          </cell>
          <cell r="D517" t="str">
            <v>肉/家禽</v>
          </cell>
          <cell r="E517">
            <v>98.4</v>
          </cell>
        </row>
        <row r="518">
          <cell r="A518">
            <v>1996</v>
          </cell>
          <cell r="B518">
            <v>35136</v>
          </cell>
          <cell r="C518" t="str">
            <v>美国</v>
          </cell>
          <cell r="D518" t="str">
            <v>糖果</v>
          </cell>
          <cell r="E518">
            <v>1538.9999987930059</v>
          </cell>
        </row>
        <row r="519">
          <cell r="A519">
            <v>1996</v>
          </cell>
          <cell r="B519">
            <v>35137</v>
          </cell>
          <cell r="C519" t="str">
            <v>加拿大</v>
          </cell>
          <cell r="D519" t="str">
            <v>面食/谷类</v>
          </cell>
          <cell r="E519">
            <v>350</v>
          </cell>
        </row>
        <row r="520">
          <cell r="A520">
            <v>1996</v>
          </cell>
          <cell r="B520">
            <v>35137</v>
          </cell>
          <cell r="C520" t="str">
            <v>加拿大</v>
          </cell>
          <cell r="D520" t="str">
            <v>糖果</v>
          </cell>
          <cell r="E520">
            <v>339.99999761581421</v>
          </cell>
        </row>
        <row r="521">
          <cell r="A521">
            <v>1996</v>
          </cell>
          <cell r="B521">
            <v>35137</v>
          </cell>
          <cell r="C521" t="str">
            <v>加拿大</v>
          </cell>
          <cell r="D521" t="str">
            <v>肉/家禽</v>
          </cell>
          <cell r="E521">
            <v>202.63999857902527</v>
          </cell>
        </row>
        <row r="522">
          <cell r="A522">
            <v>1996</v>
          </cell>
          <cell r="B522">
            <v>35138</v>
          </cell>
          <cell r="C522" t="str">
            <v>加拿大</v>
          </cell>
          <cell r="D522" t="str">
            <v>饮料</v>
          </cell>
          <cell r="E522">
            <v>36</v>
          </cell>
        </row>
        <row r="523">
          <cell r="A523">
            <v>1996</v>
          </cell>
          <cell r="B523">
            <v>35138</v>
          </cell>
          <cell r="C523" t="str">
            <v>加拿大</v>
          </cell>
          <cell r="D523" t="str">
            <v>糖果</v>
          </cell>
          <cell r="E523">
            <v>379.99999970197678</v>
          </cell>
        </row>
        <row r="524">
          <cell r="A524">
            <v>1996</v>
          </cell>
          <cell r="B524">
            <v>35138</v>
          </cell>
          <cell r="C524" t="str">
            <v>加拿大</v>
          </cell>
          <cell r="D524" t="str">
            <v>面食/谷类</v>
          </cell>
          <cell r="E524">
            <v>758.09999940544367</v>
          </cell>
        </row>
        <row r="525">
          <cell r="A525">
            <v>1996</v>
          </cell>
          <cell r="B525">
            <v>35138</v>
          </cell>
          <cell r="C525" t="str">
            <v>加拿大</v>
          </cell>
          <cell r="D525" t="str">
            <v>香料</v>
          </cell>
          <cell r="E525">
            <v>239.96999981179832</v>
          </cell>
        </row>
        <row r="526">
          <cell r="A526">
            <v>1996</v>
          </cell>
          <cell r="B526">
            <v>35142</v>
          </cell>
          <cell r="C526" t="str">
            <v>加拿大</v>
          </cell>
          <cell r="D526" t="str">
            <v>乳制品</v>
          </cell>
          <cell r="E526">
            <v>840</v>
          </cell>
        </row>
        <row r="527">
          <cell r="A527">
            <v>1996</v>
          </cell>
          <cell r="B527">
            <v>35142</v>
          </cell>
          <cell r="C527" t="str">
            <v>加拿大</v>
          </cell>
          <cell r="D527" t="str">
            <v>饮料</v>
          </cell>
          <cell r="E527">
            <v>10540</v>
          </cell>
        </row>
        <row r="528">
          <cell r="A528">
            <v>1996</v>
          </cell>
          <cell r="B528">
            <v>35143</v>
          </cell>
          <cell r="C528" t="str">
            <v>美国</v>
          </cell>
          <cell r="D528" t="str">
            <v>海洋食品</v>
          </cell>
          <cell r="E528">
            <v>368.93249971065671</v>
          </cell>
        </row>
        <row r="529">
          <cell r="A529">
            <v>1996</v>
          </cell>
          <cell r="B529">
            <v>35144</v>
          </cell>
          <cell r="C529" t="str">
            <v>美国</v>
          </cell>
          <cell r="D529" t="str">
            <v>香料</v>
          </cell>
          <cell r="E529">
            <v>1200</v>
          </cell>
        </row>
        <row r="530">
          <cell r="A530">
            <v>1996</v>
          </cell>
          <cell r="B530">
            <v>35144</v>
          </cell>
          <cell r="C530" t="str">
            <v>美国</v>
          </cell>
          <cell r="D530" t="str">
            <v>饮料</v>
          </cell>
          <cell r="E530">
            <v>45</v>
          </cell>
        </row>
        <row r="531">
          <cell r="A531">
            <v>1996</v>
          </cell>
          <cell r="B531">
            <v>35144</v>
          </cell>
          <cell r="C531" t="str">
            <v>美国</v>
          </cell>
          <cell r="D531" t="str">
            <v>肉/家禽</v>
          </cell>
          <cell r="E531">
            <v>2970.96</v>
          </cell>
        </row>
        <row r="532">
          <cell r="A532">
            <v>1996</v>
          </cell>
          <cell r="B532">
            <v>35144</v>
          </cell>
          <cell r="C532" t="str">
            <v>美国</v>
          </cell>
          <cell r="D532" t="str">
            <v>海洋食品</v>
          </cell>
          <cell r="E532">
            <v>906.15</v>
          </cell>
        </row>
        <row r="533">
          <cell r="A533">
            <v>1996</v>
          </cell>
          <cell r="B533">
            <v>35144</v>
          </cell>
          <cell r="C533" t="str">
            <v>美国</v>
          </cell>
          <cell r="D533" t="str">
            <v>海洋食品</v>
          </cell>
          <cell r="E533">
            <v>380</v>
          </cell>
        </row>
        <row r="534">
          <cell r="A534">
            <v>1996</v>
          </cell>
          <cell r="B534">
            <v>35144</v>
          </cell>
          <cell r="C534" t="str">
            <v>加拿大</v>
          </cell>
          <cell r="D534" t="str">
            <v>海洋食品</v>
          </cell>
          <cell r="E534">
            <v>159.59999987483025</v>
          </cell>
        </row>
        <row r="535">
          <cell r="A535">
            <v>1996</v>
          </cell>
          <cell r="B535">
            <v>35144</v>
          </cell>
          <cell r="C535" t="str">
            <v>加拿大</v>
          </cell>
          <cell r="D535" t="str">
            <v>乳制品</v>
          </cell>
          <cell r="E535">
            <v>1709.9999986588955</v>
          </cell>
        </row>
        <row r="536">
          <cell r="A536">
            <v>1996</v>
          </cell>
          <cell r="B536">
            <v>35144</v>
          </cell>
          <cell r="C536" t="str">
            <v>加拿大</v>
          </cell>
          <cell r="D536" t="str">
            <v>饮料</v>
          </cell>
          <cell r="E536">
            <v>883.499999307096</v>
          </cell>
        </row>
        <row r="537">
          <cell r="A537">
            <v>1996</v>
          </cell>
          <cell r="B537">
            <v>35150</v>
          </cell>
          <cell r="C537" t="str">
            <v>加拿大</v>
          </cell>
          <cell r="D537" t="str">
            <v>海洋食品</v>
          </cell>
          <cell r="E537">
            <v>198.75</v>
          </cell>
        </row>
        <row r="538">
          <cell r="A538">
            <v>1996</v>
          </cell>
          <cell r="B538">
            <v>35150</v>
          </cell>
          <cell r="C538" t="str">
            <v>加拿大</v>
          </cell>
          <cell r="D538" t="str">
            <v>糖果</v>
          </cell>
          <cell r="E538">
            <v>1725.5</v>
          </cell>
        </row>
        <row r="539">
          <cell r="A539">
            <v>1996</v>
          </cell>
          <cell r="B539">
            <v>35159</v>
          </cell>
          <cell r="C539" t="str">
            <v>美国</v>
          </cell>
          <cell r="D539" t="str">
            <v>糖果</v>
          </cell>
          <cell r="E539">
            <v>600</v>
          </cell>
        </row>
        <row r="540">
          <cell r="A540">
            <v>1996</v>
          </cell>
          <cell r="B540">
            <v>35159</v>
          </cell>
          <cell r="C540" t="str">
            <v>美国</v>
          </cell>
          <cell r="D540" t="str">
            <v>饮料</v>
          </cell>
          <cell r="E540">
            <v>379.75</v>
          </cell>
        </row>
        <row r="541">
          <cell r="A541">
            <v>1996</v>
          </cell>
          <cell r="B541">
            <v>35159</v>
          </cell>
          <cell r="C541" t="str">
            <v>美国</v>
          </cell>
          <cell r="D541" t="str">
            <v>香料</v>
          </cell>
          <cell r="E541">
            <v>195</v>
          </cell>
        </row>
        <row r="542">
          <cell r="A542">
            <v>1996</v>
          </cell>
          <cell r="B542">
            <v>35163</v>
          </cell>
          <cell r="C542" t="str">
            <v>美国</v>
          </cell>
          <cell r="D542" t="str">
            <v>香料</v>
          </cell>
          <cell r="E542">
            <v>500</v>
          </cell>
        </row>
        <row r="543">
          <cell r="A543">
            <v>1996</v>
          </cell>
          <cell r="B543">
            <v>35163</v>
          </cell>
          <cell r="C543" t="str">
            <v>加拿大</v>
          </cell>
          <cell r="D543" t="str">
            <v>海洋食品</v>
          </cell>
          <cell r="E543">
            <v>455.99999830126762</v>
          </cell>
        </row>
        <row r="544">
          <cell r="A544">
            <v>1996</v>
          </cell>
          <cell r="B544">
            <v>35164</v>
          </cell>
          <cell r="C544" t="str">
            <v>美国</v>
          </cell>
          <cell r="D544" t="str">
            <v>海洋食品</v>
          </cell>
          <cell r="E544">
            <v>90</v>
          </cell>
        </row>
        <row r="545">
          <cell r="A545">
            <v>1996</v>
          </cell>
          <cell r="B545">
            <v>35164</v>
          </cell>
          <cell r="C545" t="str">
            <v>美国</v>
          </cell>
          <cell r="D545" t="str">
            <v>饮料</v>
          </cell>
          <cell r="E545">
            <v>828</v>
          </cell>
        </row>
        <row r="546">
          <cell r="A546">
            <v>1996</v>
          </cell>
          <cell r="B546">
            <v>35164</v>
          </cell>
          <cell r="C546" t="str">
            <v>美国</v>
          </cell>
          <cell r="D546" t="str">
            <v>乳制品</v>
          </cell>
          <cell r="E546">
            <v>1249.5</v>
          </cell>
        </row>
        <row r="547">
          <cell r="A547">
            <v>1996</v>
          </cell>
          <cell r="B547">
            <v>35164</v>
          </cell>
          <cell r="C547" t="str">
            <v>美国</v>
          </cell>
          <cell r="D547" t="str">
            <v>乳制品</v>
          </cell>
          <cell r="E547">
            <v>564.375</v>
          </cell>
        </row>
        <row r="548">
          <cell r="A548">
            <v>1996</v>
          </cell>
          <cell r="B548">
            <v>35165</v>
          </cell>
          <cell r="C548" t="str">
            <v>加拿大</v>
          </cell>
          <cell r="D548" t="str">
            <v>乳制品</v>
          </cell>
          <cell r="E548">
            <v>412.5</v>
          </cell>
        </row>
        <row r="549">
          <cell r="A549">
            <v>1996</v>
          </cell>
          <cell r="B549">
            <v>35165</v>
          </cell>
          <cell r="C549" t="str">
            <v>加拿大</v>
          </cell>
          <cell r="D549" t="str">
            <v>糖果</v>
          </cell>
          <cell r="E549">
            <v>1109.25</v>
          </cell>
        </row>
        <row r="550">
          <cell r="A550">
            <v>1996</v>
          </cell>
          <cell r="B550">
            <v>35165</v>
          </cell>
          <cell r="C550" t="str">
            <v>加拿大</v>
          </cell>
          <cell r="D550" t="str">
            <v>糖果</v>
          </cell>
          <cell r="E550">
            <v>750</v>
          </cell>
        </row>
        <row r="551">
          <cell r="A551">
            <v>1996</v>
          </cell>
          <cell r="B551">
            <v>35165</v>
          </cell>
          <cell r="C551" t="str">
            <v>加拿大</v>
          </cell>
          <cell r="D551" t="str">
            <v>乳制品</v>
          </cell>
          <cell r="E551">
            <v>1740</v>
          </cell>
        </row>
        <row r="552">
          <cell r="A552">
            <v>1996</v>
          </cell>
          <cell r="B552">
            <v>35166</v>
          </cell>
          <cell r="C552" t="str">
            <v>美国</v>
          </cell>
          <cell r="D552" t="str">
            <v>海洋食品</v>
          </cell>
          <cell r="E552">
            <v>120</v>
          </cell>
        </row>
        <row r="553">
          <cell r="A553">
            <v>1996</v>
          </cell>
          <cell r="B553">
            <v>35166</v>
          </cell>
          <cell r="C553" t="str">
            <v>美国</v>
          </cell>
          <cell r="D553" t="str">
            <v>乳制品</v>
          </cell>
          <cell r="E553">
            <v>125</v>
          </cell>
        </row>
        <row r="554">
          <cell r="A554">
            <v>1996</v>
          </cell>
          <cell r="B554">
            <v>35170</v>
          </cell>
          <cell r="C554" t="str">
            <v>美国</v>
          </cell>
          <cell r="D554" t="str">
            <v>香料</v>
          </cell>
          <cell r="E554">
            <v>379.99999970197678</v>
          </cell>
        </row>
        <row r="555">
          <cell r="A555">
            <v>1996</v>
          </cell>
          <cell r="B555">
            <v>35170</v>
          </cell>
          <cell r="C555" t="str">
            <v>美国</v>
          </cell>
          <cell r="D555" t="str">
            <v>农产品</v>
          </cell>
          <cell r="E555">
            <v>91.2</v>
          </cell>
        </row>
        <row r="556">
          <cell r="A556">
            <v>1996</v>
          </cell>
          <cell r="B556">
            <v>35171</v>
          </cell>
          <cell r="C556" t="str">
            <v>美国</v>
          </cell>
          <cell r="D556" t="str">
            <v>糖果</v>
          </cell>
          <cell r="E556">
            <v>120</v>
          </cell>
        </row>
        <row r="557">
          <cell r="A557">
            <v>1996</v>
          </cell>
          <cell r="B557">
            <v>35171</v>
          </cell>
          <cell r="C557" t="str">
            <v>美国</v>
          </cell>
          <cell r="D557" t="str">
            <v>糖果</v>
          </cell>
          <cell r="E557">
            <v>133</v>
          </cell>
        </row>
        <row r="558">
          <cell r="A558">
            <v>1996</v>
          </cell>
          <cell r="B558">
            <v>35171</v>
          </cell>
          <cell r="C558" t="str">
            <v>美国</v>
          </cell>
          <cell r="D558" t="str">
            <v>农产品</v>
          </cell>
          <cell r="E558">
            <v>424</v>
          </cell>
        </row>
        <row r="559">
          <cell r="A559">
            <v>1996</v>
          </cell>
          <cell r="B559">
            <v>35173</v>
          </cell>
          <cell r="C559" t="str">
            <v>美国</v>
          </cell>
          <cell r="D559" t="str">
            <v>农产品</v>
          </cell>
          <cell r="E559">
            <v>1350</v>
          </cell>
        </row>
        <row r="560">
          <cell r="A560">
            <v>1996</v>
          </cell>
          <cell r="B560">
            <v>35173</v>
          </cell>
          <cell r="C560" t="str">
            <v>美国</v>
          </cell>
          <cell r="D560" t="str">
            <v>海洋食品</v>
          </cell>
          <cell r="E560">
            <v>462</v>
          </cell>
        </row>
        <row r="561">
          <cell r="A561">
            <v>1996</v>
          </cell>
          <cell r="B561">
            <v>35173</v>
          </cell>
          <cell r="C561" t="str">
            <v>美国</v>
          </cell>
          <cell r="D561" t="str">
            <v>肉/家禽</v>
          </cell>
          <cell r="E561">
            <v>656</v>
          </cell>
        </row>
        <row r="562">
          <cell r="A562">
            <v>1996</v>
          </cell>
          <cell r="B562">
            <v>35173</v>
          </cell>
          <cell r="C562" t="str">
            <v>美国</v>
          </cell>
          <cell r="D562" t="str">
            <v>乳制品</v>
          </cell>
          <cell r="E562">
            <v>324</v>
          </cell>
        </row>
        <row r="563">
          <cell r="A563">
            <v>1996</v>
          </cell>
          <cell r="B563">
            <v>35173</v>
          </cell>
          <cell r="C563" t="str">
            <v>美国</v>
          </cell>
          <cell r="D563" t="str">
            <v>饮料</v>
          </cell>
          <cell r="E563">
            <v>792</v>
          </cell>
        </row>
        <row r="564">
          <cell r="A564">
            <v>1996</v>
          </cell>
          <cell r="B564">
            <v>35174</v>
          </cell>
          <cell r="C564" t="str">
            <v>加拿大</v>
          </cell>
          <cell r="D564" t="str">
            <v>农产品</v>
          </cell>
          <cell r="E564">
            <v>848</v>
          </cell>
        </row>
        <row r="565">
          <cell r="A565">
            <v>1996</v>
          </cell>
          <cell r="B565">
            <v>35177</v>
          </cell>
          <cell r="C565" t="str">
            <v>美国</v>
          </cell>
          <cell r="D565" t="str">
            <v>糖果</v>
          </cell>
          <cell r="E565">
            <v>110.4</v>
          </cell>
        </row>
        <row r="566">
          <cell r="A566">
            <v>1996</v>
          </cell>
          <cell r="B566">
            <v>35177</v>
          </cell>
          <cell r="C566" t="str">
            <v>美国</v>
          </cell>
          <cell r="D566" t="str">
            <v>糖果</v>
          </cell>
          <cell r="E566">
            <v>800</v>
          </cell>
        </row>
        <row r="567">
          <cell r="A567">
            <v>1996</v>
          </cell>
          <cell r="B567">
            <v>35179</v>
          </cell>
          <cell r="C567" t="str">
            <v>加拿大</v>
          </cell>
          <cell r="D567" t="str">
            <v>香料</v>
          </cell>
          <cell r="E567">
            <v>439</v>
          </cell>
        </row>
        <row r="568">
          <cell r="A568">
            <v>1996</v>
          </cell>
          <cell r="B568">
            <v>35181</v>
          </cell>
          <cell r="C568" t="str">
            <v>加拿大</v>
          </cell>
          <cell r="D568" t="str">
            <v>海洋食品</v>
          </cell>
          <cell r="E568">
            <v>428.3999969959259</v>
          </cell>
        </row>
        <row r="569">
          <cell r="A569">
            <v>1996</v>
          </cell>
          <cell r="B569">
            <v>35181</v>
          </cell>
          <cell r="C569" t="str">
            <v>加拿大</v>
          </cell>
          <cell r="D569" t="str">
            <v>面食/谷类</v>
          </cell>
          <cell r="E569">
            <v>292.5</v>
          </cell>
        </row>
        <row r="570">
          <cell r="A570">
            <v>1996</v>
          </cell>
          <cell r="B570">
            <v>35184</v>
          </cell>
          <cell r="C570" t="str">
            <v>加拿大</v>
          </cell>
          <cell r="D570" t="str">
            <v>糖果</v>
          </cell>
          <cell r="E570">
            <v>959.75</v>
          </cell>
        </row>
        <row r="571">
          <cell r="A571">
            <v>1996</v>
          </cell>
          <cell r="B571">
            <v>35184</v>
          </cell>
          <cell r="C571" t="str">
            <v>加拿大</v>
          </cell>
          <cell r="D571" t="str">
            <v>饮料</v>
          </cell>
          <cell r="E571">
            <v>90</v>
          </cell>
        </row>
        <row r="572">
          <cell r="A572">
            <v>1996</v>
          </cell>
          <cell r="B572">
            <v>35184</v>
          </cell>
          <cell r="C572" t="str">
            <v>加拿大</v>
          </cell>
          <cell r="D572" t="str">
            <v>海洋食品</v>
          </cell>
          <cell r="E572">
            <v>760</v>
          </cell>
        </row>
        <row r="573">
          <cell r="A573">
            <v>1996</v>
          </cell>
          <cell r="B573">
            <v>35185</v>
          </cell>
          <cell r="C573" t="str">
            <v>加拿大</v>
          </cell>
          <cell r="D573" t="str">
            <v>农产品</v>
          </cell>
          <cell r="E573">
            <v>1800</v>
          </cell>
        </row>
        <row r="574">
          <cell r="A574">
            <v>1996</v>
          </cell>
          <cell r="B574">
            <v>35185</v>
          </cell>
          <cell r="C574" t="str">
            <v>加拿大</v>
          </cell>
          <cell r="D574" t="str">
            <v>糖果</v>
          </cell>
          <cell r="E574">
            <v>1774.799997061491</v>
          </cell>
        </row>
        <row r="575">
          <cell r="A575">
            <v>1996</v>
          </cell>
          <cell r="B575">
            <v>35186</v>
          </cell>
          <cell r="C575" t="str">
            <v>美国</v>
          </cell>
          <cell r="D575" t="str">
            <v>饮料</v>
          </cell>
          <cell r="E575">
            <v>759.99999716877937</v>
          </cell>
        </row>
        <row r="576">
          <cell r="A576">
            <v>1996</v>
          </cell>
          <cell r="B576">
            <v>35186</v>
          </cell>
          <cell r="C576" t="str">
            <v>美国</v>
          </cell>
          <cell r="D576" t="str">
            <v>饮料</v>
          </cell>
          <cell r="E576">
            <v>239.99999910593033</v>
          </cell>
        </row>
        <row r="577">
          <cell r="A577">
            <v>1996</v>
          </cell>
          <cell r="B577">
            <v>35186</v>
          </cell>
          <cell r="C577" t="str">
            <v>美国</v>
          </cell>
          <cell r="D577" t="str">
            <v>饮料</v>
          </cell>
          <cell r="E577">
            <v>1295.9999951720238</v>
          </cell>
        </row>
        <row r="578">
          <cell r="A578">
            <v>1996</v>
          </cell>
          <cell r="B578">
            <v>35186</v>
          </cell>
          <cell r="C578" t="str">
            <v>加拿大</v>
          </cell>
          <cell r="D578" t="str">
            <v>乳制品</v>
          </cell>
          <cell r="E578">
            <v>69.599999999999994</v>
          </cell>
        </row>
        <row r="579">
          <cell r="A579">
            <v>1996</v>
          </cell>
          <cell r="B579">
            <v>35187</v>
          </cell>
          <cell r="C579" t="str">
            <v>美国</v>
          </cell>
          <cell r="D579" t="str">
            <v>面食/谷类</v>
          </cell>
          <cell r="E579">
            <v>560</v>
          </cell>
        </row>
        <row r="580">
          <cell r="A580">
            <v>1996</v>
          </cell>
          <cell r="B580">
            <v>35188</v>
          </cell>
          <cell r="C580" t="str">
            <v>美国</v>
          </cell>
          <cell r="D580" t="str">
            <v>海洋食品</v>
          </cell>
          <cell r="E580">
            <v>183.34999985620379</v>
          </cell>
        </row>
        <row r="581">
          <cell r="A581">
            <v>1996</v>
          </cell>
          <cell r="B581">
            <v>35188</v>
          </cell>
          <cell r="C581" t="str">
            <v>美国</v>
          </cell>
          <cell r="D581" t="str">
            <v>农产品</v>
          </cell>
          <cell r="E581">
            <v>755.24999940767884</v>
          </cell>
        </row>
        <row r="582">
          <cell r="A582">
            <v>1996</v>
          </cell>
          <cell r="B582">
            <v>35188</v>
          </cell>
          <cell r="C582" t="str">
            <v>美国</v>
          </cell>
          <cell r="D582" t="str">
            <v>香料</v>
          </cell>
          <cell r="E582">
            <v>259.34999979659915</v>
          </cell>
        </row>
        <row r="583">
          <cell r="A583">
            <v>1996</v>
          </cell>
          <cell r="B583">
            <v>35191</v>
          </cell>
          <cell r="C583" t="str">
            <v>加拿大</v>
          </cell>
          <cell r="D583" t="str">
            <v>香料</v>
          </cell>
          <cell r="E583">
            <v>412.5</v>
          </cell>
        </row>
        <row r="584">
          <cell r="A584">
            <v>1996</v>
          </cell>
          <cell r="B584">
            <v>35191</v>
          </cell>
          <cell r="C584" t="str">
            <v>加拿大</v>
          </cell>
          <cell r="D584" t="str">
            <v>饮料</v>
          </cell>
          <cell r="E584">
            <v>101.25</v>
          </cell>
        </row>
        <row r="585">
          <cell r="A585">
            <v>1996</v>
          </cell>
          <cell r="B585">
            <v>35191</v>
          </cell>
          <cell r="C585" t="str">
            <v>加拿大</v>
          </cell>
          <cell r="D585" t="str">
            <v>香料</v>
          </cell>
          <cell r="E585">
            <v>390</v>
          </cell>
        </row>
        <row r="586">
          <cell r="A586">
            <v>1996</v>
          </cell>
          <cell r="B586">
            <v>35191</v>
          </cell>
          <cell r="C586" t="str">
            <v>加拿大</v>
          </cell>
          <cell r="D586" t="str">
            <v>海洋食品</v>
          </cell>
          <cell r="E586">
            <v>336</v>
          </cell>
        </row>
        <row r="587">
          <cell r="A587">
            <v>1996</v>
          </cell>
          <cell r="B587">
            <v>35191</v>
          </cell>
          <cell r="C587" t="str">
            <v>加拿大</v>
          </cell>
          <cell r="D587" t="str">
            <v>饮料</v>
          </cell>
          <cell r="E587">
            <v>229.49999839067459</v>
          </cell>
        </row>
        <row r="588">
          <cell r="A588">
            <v>1996</v>
          </cell>
          <cell r="B588">
            <v>35191</v>
          </cell>
          <cell r="C588" t="str">
            <v>加拿大</v>
          </cell>
          <cell r="D588" t="str">
            <v>面食/谷类</v>
          </cell>
          <cell r="E588">
            <v>285.59999799728394</v>
          </cell>
        </row>
        <row r="589">
          <cell r="A589">
            <v>1996</v>
          </cell>
          <cell r="B589">
            <v>35191</v>
          </cell>
          <cell r="C589" t="str">
            <v>加拿大</v>
          </cell>
          <cell r="D589" t="str">
            <v>肉/家禽</v>
          </cell>
          <cell r="E589">
            <v>960</v>
          </cell>
        </row>
        <row r="590">
          <cell r="A590">
            <v>1996</v>
          </cell>
          <cell r="B590">
            <v>35191</v>
          </cell>
          <cell r="C590" t="str">
            <v>加拿大</v>
          </cell>
          <cell r="D590" t="str">
            <v>饮料</v>
          </cell>
          <cell r="E590">
            <v>72</v>
          </cell>
        </row>
        <row r="591">
          <cell r="A591">
            <v>1996</v>
          </cell>
          <cell r="B591">
            <v>35191</v>
          </cell>
          <cell r="C591" t="str">
            <v>加拿大</v>
          </cell>
          <cell r="D591" t="str">
            <v>海洋食品</v>
          </cell>
          <cell r="E591">
            <v>184</v>
          </cell>
        </row>
        <row r="592">
          <cell r="A592">
            <v>1996</v>
          </cell>
          <cell r="B592">
            <v>35191</v>
          </cell>
          <cell r="C592" t="str">
            <v>加拿大</v>
          </cell>
          <cell r="D592" t="str">
            <v>面食/谷类</v>
          </cell>
          <cell r="E592">
            <v>70</v>
          </cell>
        </row>
        <row r="593">
          <cell r="A593">
            <v>1996</v>
          </cell>
          <cell r="B593">
            <v>35192</v>
          </cell>
          <cell r="C593" t="str">
            <v>加拿大</v>
          </cell>
          <cell r="D593" t="str">
            <v>饮料</v>
          </cell>
          <cell r="E593">
            <v>144</v>
          </cell>
        </row>
        <row r="594">
          <cell r="A594">
            <v>1996</v>
          </cell>
          <cell r="B594">
            <v>35192</v>
          </cell>
          <cell r="C594" t="str">
            <v>加拿大</v>
          </cell>
          <cell r="D594" t="str">
            <v>肉/家禽</v>
          </cell>
          <cell r="E594">
            <v>185.685</v>
          </cell>
        </row>
        <row r="595">
          <cell r="A595">
            <v>1996</v>
          </cell>
          <cell r="B595">
            <v>35194</v>
          </cell>
          <cell r="C595" t="str">
            <v>美国</v>
          </cell>
          <cell r="D595" t="str">
            <v>糖果</v>
          </cell>
          <cell r="E595">
            <v>436.99999965727329</v>
          </cell>
        </row>
        <row r="596">
          <cell r="A596">
            <v>1996</v>
          </cell>
          <cell r="B596">
            <v>35194</v>
          </cell>
          <cell r="C596" t="str">
            <v>美国</v>
          </cell>
          <cell r="D596" t="str">
            <v>乳制品</v>
          </cell>
          <cell r="E596">
            <v>1162.7999990880489</v>
          </cell>
        </row>
        <row r="597">
          <cell r="A597">
            <v>1996</v>
          </cell>
          <cell r="B597">
            <v>35194</v>
          </cell>
          <cell r="C597" t="str">
            <v>美国</v>
          </cell>
          <cell r="D597" t="str">
            <v>乳制品</v>
          </cell>
          <cell r="E597">
            <v>1225.4999990388751</v>
          </cell>
        </row>
        <row r="598">
          <cell r="A598">
            <v>1996</v>
          </cell>
          <cell r="B598">
            <v>35198</v>
          </cell>
          <cell r="C598" t="str">
            <v>加拿大</v>
          </cell>
          <cell r="D598" t="str">
            <v>乳制品</v>
          </cell>
          <cell r="E598">
            <v>760</v>
          </cell>
        </row>
        <row r="599">
          <cell r="A599">
            <v>1996</v>
          </cell>
          <cell r="B599">
            <v>35198</v>
          </cell>
          <cell r="C599" t="str">
            <v>加拿大</v>
          </cell>
          <cell r="D599" t="str">
            <v>海洋食品</v>
          </cell>
          <cell r="E599">
            <v>625</v>
          </cell>
        </row>
        <row r="600">
          <cell r="A600">
            <v>1996</v>
          </cell>
          <cell r="B600">
            <v>35198</v>
          </cell>
          <cell r="C600" t="str">
            <v>加拿大</v>
          </cell>
          <cell r="D600" t="str">
            <v>面食/谷类</v>
          </cell>
          <cell r="E600">
            <v>190</v>
          </cell>
        </row>
        <row r="601">
          <cell r="A601">
            <v>1996</v>
          </cell>
          <cell r="B601">
            <v>35199</v>
          </cell>
          <cell r="C601" t="str">
            <v>美国</v>
          </cell>
          <cell r="D601" t="str">
            <v>海洋食品</v>
          </cell>
          <cell r="E601">
            <v>632.39999556541443</v>
          </cell>
        </row>
        <row r="602">
          <cell r="A602">
            <v>1996</v>
          </cell>
          <cell r="B602">
            <v>35199</v>
          </cell>
          <cell r="C602" t="str">
            <v>美国</v>
          </cell>
          <cell r="D602" t="str">
            <v>饮料</v>
          </cell>
          <cell r="E602">
            <v>156.75</v>
          </cell>
        </row>
        <row r="603">
          <cell r="A603">
            <v>1996</v>
          </cell>
          <cell r="B603">
            <v>35199</v>
          </cell>
          <cell r="C603" t="str">
            <v>美国</v>
          </cell>
          <cell r="D603" t="str">
            <v>糖果</v>
          </cell>
          <cell r="E603">
            <v>1215</v>
          </cell>
        </row>
        <row r="604">
          <cell r="A604">
            <v>1996</v>
          </cell>
          <cell r="B604">
            <v>35199</v>
          </cell>
          <cell r="C604" t="str">
            <v>美国</v>
          </cell>
          <cell r="D604" t="str">
            <v>糖果</v>
          </cell>
          <cell r="E604">
            <v>1967.49</v>
          </cell>
        </row>
        <row r="605">
          <cell r="A605">
            <v>1996</v>
          </cell>
          <cell r="B605">
            <v>35199</v>
          </cell>
          <cell r="C605" t="str">
            <v>美国</v>
          </cell>
          <cell r="D605" t="str">
            <v>农产品</v>
          </cell>
          <cell r="E605">
            <v>1749</v>
          </cell>
        </row>
        <row r="606">
          <cell r="A606">
            <v>1996</v>
          </cell>
          <cell r="B606">
            <v>35199</v>
          </cell>
          <cell r="C606" t="str">
            <v>美国</v>
          </cell>
          <cell r="D606" t="str">
            <v>乳制品</v>
          </cell>
          <cell r="E606">
            <v>1218</v>
          </cell>
        </row>
        <row r="607">
          <cell r="A607">
            <v>1996</v>
          </cell>
          <cell r="B607">
            <v>35201</v>
          </cell>
          <cell r="C607" t="str">
            <v>美国</v>
          </cell>
          <cell r="D607" t="str">
            <v>肉/家禽</v>
          </cell>
          <cell r="E607">
            <v>840</v>
          </cell>
        </row>
        <row r="608">
          <cell r="A608">
            <v>1996</v>
          </cell>
          <cell r="B608">
            <v>35201</v>
          </cell>
          <cell r="C608" t="str">
            <v>美国</v>
          </cell>
          <cell r="D608" t="str">
            <v>乳制品</v>
          </cell>
          <cell r="E608">
            <v>1320</v>
          </cell>
        </row>
        <row r="609">
          <cell r="A609">
            <v>1996</v>
          </cell>
          <cell r="B609">
            <v>35202</v>
          </cell>
          <cell r="C609" t="str">
            <v>加拿大</v>
          </cell>
          <cell r="D609" t="str">
            <v>饮料</v>
          </cell>
          <cell r="E609">
            <v>1425</v>
          </cell>
        </row>
        <row r="610">
          <cell r="A610">
            <v>1996</v>
          </cell>
          <cell r="B610">
            <v>35202</v>
          </cell>
          <cell r="C610" t="str">
            <v>加拿大</v>
          </cell>
          <cell r="D610" t="str">
            <v>香料</v>
          </cell>
          <cell r="E610">
            <v>1494.5</v>
          </cell>
        </row>
        <row r="611">
          <cell r="A611">
            <v>1996</v>
          </cell>
          <cell r="B611">
            <v>35202</v>
          </cell>
          <cell r="C611" t="str">
            <v>加拿大</v>
          </cell>
          <cell r="D611" t="str">
            <v>肉/家禽</v>
          </cell>
          <cell r="E611">
            <v>5570.55</v>
          </cell>
        </row>
        <row r="612">
          <cell r="A612">
            <v>1996</v>
          </cell>
          <cell r="B612">
            <v>35202</v>
          </cell>
          <cell r="C612" t="str">
            <v>加拿大</v>
          </cell>
          <cell r="D612" t="str">
            <v>乳制品</v>
          </cell>
          <cell r="E612">
            <v>4125</v>
          </cell>
        </row>
        <row r="613">
          <cell r="A613">
            <v>1996</v>
          </cell>
          <cell r="B613">
            <v>35202</v>
          </cell>
          <cell r="C613" t="str">
            <v>加拿大</v>
          </cell>
          <cell r="D613" t="str">
            <v>饮料</v>
          </cell>
          <cell r="E613">
            <v>810</v>
          </cell>
        </row>
        <row r="614">
          <cell r="A614">
            <v>1996</v>
          </cell>
          <cell r="B614">
            <v>35202</v>
          </cell>
          <cell r="C614" t="str">
            <v>加拿大</v>
          </cell>
          <cell r="D614" t="str">
            <v>海洋食品</v>
          </cell>
          <cell r="E614">
            <v>480</v>
          </cell>
        </row>
        <row r="615">
          <cell r="A615">
            <v>1996</v>
          </cell>
          <cell r="B615">
            <v>35202</v>
          </cell>
          <cell r="C615" t="str">
            <v>加拿大</v>
          </cell>
          <cell r="D615" t="str">
            <v>饮料</v>
          </cell>
          <cell r="E615">
            <v>94.5</v>
          </cell>
        </row>
        <row r="616">
          <cell r="A616">
            <v>1996</v>
          </cell>
          <cell r="B616">
            <v>35202</v>
          </cell>
          <cell r="C616" t="str">
            <v>加拿大</v>
          </cell>
          <cell r="D616" t="str">
            <v>面食/谷类</v>
          </cell>
          <cell r="E616">
            <v>665</v>
          </cell>
        </row>
        <row r="617">
          <cell r="A617">
            <v>1996</v>
          </cell>
          <cell r="B617">
            <v>35202</v>
          </cell>
          <cell r="C617" t="str">
            <v>加拿大</v>
          </cell>
          <cell r="D617" t="str">
            <v>乳制品</v>
          </cell>
          <cell r="E617">
            <v>344</v>
          </cell>
        </row>
        <row r="618">
          <cell r="A618">
            <v>1996</v>
          </cell>
          <cell r="B618">
            <v>35202</v>
          </cell>
          <cell r="C618" t="str">
            <v>加拿大</v>
          </cell>
          <cell r="D618" t="str">
            <v>海洋食品</v>
          </cell>
          <cell r="E618">
            <v>665</v>
          </cell>
        </row>
        <row r="619">
          <cell r="A619">
            <v>1996</v>
          </cell>
          <cell r="B619">
            <v>35202</v>
          </cell>
          <cell r="C619" t="str">
            <v>加拿大</v>
          </cell>
          <cell r="D619" t="str">
            <v>饮料</v>
          </cell>
          <cell r="E619">
            <v>6587.5</v>
          </cell>
        </row>
        <row r="620">
          <cell r="A620">
            <v>1996</v>
          </cell>
          <cell r="B620">
            <v>35202</v>
          </cell>
          <cell r="C620" t="str">
            <v>加拿大</v>
          </cell>
          <cell r="D620" t="str">
            <v>乳制品</v>
          </cell>
          <cell r="E620">
            <v>1650</v>
          </cell>
        </row>
        <row r="621">
          <cell r="A621">
            <v>1996</v>
          </cell>
          <cell r="B621">
            <v>35205</v>
          </cell>
          <cell r="C621" t="str">
            <v>加拿大</v>
          </cell>
          <cell r="D621" t="str">
            <v>糖果</v>
          </cell>
          <cell r="E621">
            <v>134.99999977648258</v>
          </cell>
        </row>
        <row r="622">
          <cell r="A622">
            <v>1996</v>
          </cell>
          <cell r="B622">
            <v>35205</v>
          </cell>
          <cell r="C622" t="str">
            <v>加拿大</v>
          </cell>
          <cell r="D622" t="str">
            <v>香料</v>
          </cell>
          <cell r="E622">
            <v>233.4</v>
          </cell>
        </row>
        <row r="623">
          <cell r="A623">
            <v>1996</v>
          </cell>
          <cell r="B623">
            <v>35205</v>
          </cell>
          <cell r="C623" t="str">
            <v>加拿大</v>
          </cell>
          <cell r="D623" t="str">
            <v>香料</v>
          </cell>
          <cell r="E623">
            <v>171</v>
          </cell>
        </row>
        <row r="624">
          <cell r="A624">
            <v>1996</v>
          </cell>
          <cell r="B624">
            <v>35205</v>
          </cell>
          <cell r="C624" t="str">
            <v>美国</v>
          </cell>
          <cell r="D624" t="str">
            <v>海洋食品</v>
          </cell>
          <cell r="E624">
            <v>42</v>
          </cell>
        </row>
        <row r="625">
          <cell r="A625">
            <v>1996</v>
          </cell>
          <cell r="B625">
            <v>35205</v>
          </cell>
          <cell r="C625" t="str">
            <v>美国</v>
          </cell>
          <cell r="D625" t="str">
            <v>乳制品</v>
          </cell>
          <cell r="E625">
            <v>1650</v>
          </cell>
        </row>
        <row r="626">
          <cell r="A626">
            <v>1996</v>
          </cell>
          <cell r="B626">
            <v>35207</v>
          </cell>
          <cell r="C626" t="str">
            <v>加拿大</v>
          </cell>
          <cell r="D626" t="str">
            <v>糖果</v>
          </cell>
          <cell r="E626">
            <v>200</v>
          </cell>
        </row>
        <row r="627">
          <cell r="A627">
            <v>1996</v>
          </cell>
          <cell r="B627">
            <v>35208</v>
          </cell>
          <cell r="C627" t="str">
            <v>美国</v>
          </cell>
          <cell r="D627" t="str">
            <v>乳制品</v>
          </cell>
          <cell r="E627">
            <v>721.99999943375587</v>
          </cell>
        </row>
        <row r="628">
          <cell r="A628">
            <v>1996</v>
          </cell>
          <cell r="B628">
            <v>35208</v>
          </cell>
          <cell r="C628" t="str">
            <v>美国</v>
          </cell>
          <cell r="D628" t="str">
            <v>乳制品</v>
          </cell>
          <cell r="E628">
            <v>455.99999964237213</v>
          </cell>
        </row>
        <row r="629">
          <cell r="A629">
            <v>1996</v>
          </cell>
          <cell r="B629">
            <v>35208</v>
          </cell>
          <cell r="C629" t="str">
            <v>美国</v>
          </cell>
          <cell r="D629" t="str">
            <v>饮料</v>
          </cell>
          <cell r="E629">
            <v>307.79999975860119</v>
          </cell>
        </row>
        <row r="630">
          <cell r="A630">
            <v>1996</v>
          </cell>
          <cell r="B630">
            <v>35214</v>
          </cell>
          <cell r="C630" t="str">
            <v>美国</v>
          </cell>
          <cell r="D630" t="str">
            <v>糖果</v>
          </cell>
          <cell r="E630">
            <v>30</v>
          </cell>
        </row>
        <row r="631">
          <cell r="A631">
            <v>1996</v>
          </cell>
          <cell r="B631">
            <v>35214</v>
          </cell>
          <cell r="C631" t="str">
            <v>美国</v>
          </cell>
          <cell r="D631" t="str">
            <v>乳制品</v>
          </cell>
          <cell r="E631">
            <v>714</v>
          </cell>
        </row>
        <row r="632">
          <cell r="A632">
            <v>1996</v>
          </cell>
          <cell r="B632">
            <v>35214</v>
          </cell>
          <cell r="C632" t="str">
            <v>美国</v>
          </cell>
          <cell r="D632" t="str">
            <v>香料</v>
          </cell>
          <cell r="E632">
            <v>114</v>
          </cell>
        </row>
        <row r="633">
          <cell r="A633">
            <v>1996</v>
          </cell>
          <cell r="B633">
            <v>35215</v>
          </cell>
          <cell r="C633" t="str">
            <v>加拿大</v>
          </cell>
          <cell r="D633" t="str">
            <v>乳制品</v>
          </cell>
          <cell r="E633">
            <v>510</v>
          </cell>
        </row>
        <row r="634">
          <cell r="A634">
            <v>1996</v>
          </cell>
          <cell r="B634">
            <v>35216</v>
          </cell>
          <cell r="C634" t="str">
            <v>加拿大</v>
          </cell>
          <cell r="D634" t="str">
            <v>肉/家禽</v>
          </cell>
          <cell r="E634">
            <v>2702.6999955251813</v>
          </cell>
        </row>
        <row r="635">
          <cell r="A635">
            <v>1996</v>
          </cell>
          <cell r="B635">
            <v>35216</v>
          </cell>
          <cell r="C635" t="str">
            <v>加拿大</v>
          </cell>
          <cell r="D635" t="str">
            <v>海洋食品</v>
          </cell>
          <cell r="E635">
            <v>115.8</v>
          </cell>
        </row>
        <row r="636">
          <cell r="A636">
            <v>1996</v>
          </cell>
          <cell r="B636">
            <v>35216</v>
          </cell>
          <cell r="C636" t="str">
            <v>加拿大</v>
          </cell>
          <cell r="D636" t="str">
            <v>肉/家禽</v>
          </cell>
          <cell r="E636">
            <v>737.99999877810478</v>
          </cell>
        </row>
        <row r="637">
          <cell r="A637">
            <v>1996</v>
          </cell>
          <cell r="B637">
            <v>35216</v>
          </cell>
          <cell r="C637" t="str">
            <v>加拿大</v>
          </cell>
          <cell r="D637" t="str">
            <v>肉/家禽</v>
          </cell>
          <cell r="E637">
            <v>86.399999856948853</v>
          </cell>
        </row>
        <row r="638">
          <cell r="A638">
            <v>1996</v>
          </cell>
          <cell r="B638">
            <v>35216</v>
          </cell>
          <cell r="C638" t="str">
            <v>加拿大</v>
          </cell>
          <cell r="D638" t="str">
            <v>糖果</v>
          </cell>
          <cell r="E638">
            <v>687.5</v>
          </cell>
        </row>
        <row r="639">
          <cell r="A639">
            <v>1996</v>
          </cell>
          <cell r="B639">
            <v>35216</v>
          </cell>
          <cell r="C639" t="str">
            <v>加拿大</v>
          </cell>
          <cell r="D639" t="str">
            <v>糖果</v>
          </cell>
          <cell r="E639">
            <v>52.35</v>
          </cell>
        </row>
        <row r="640">
          <cell r="A640">
            <v>1996</v>
          </cell>
          <cell r="B640">
            <v>35216</v>
          </cell>
          <cell r="C640" t="str">
            <v>加拿大</v>
          </cell>
          <cell r="D640" t="str">
            <v>糖果</v>
          </cell>
          <cell r="E640">
            <v>386.4</v>
          </cell>
        </row>
        <row r="641">
          <cell r="A641">
            <v>1996</v>
          </cell>
          <cell r="B641">
            <v>35216</v>
          </cell>
          <cell r="C641" t="str">
            <v>加拿大</v>
          </cell>
          <cell r="D641" t="str">
            <v>饮料</v>
          </cell>
          <cell r="E641">
            <v>490</v>
          </cell>
        </row>
        <row r="642">
          <cell r="A642">
            <v>1996</v>
          </cell>
          <cell r="B642">
            <v>35219</v>
          </cell>
          <cell r="C642" t="str">
            <v>美国</v>
          </cell>
          <cell r="D642" t="str">
            <v>海洋食品</v>
          </cell>
          <cell r="E642">
            <v>86.85</v>
          </cell>
        </row>
        <row r="643">
          <cell r="A643">
            <v>1996</v>
          </cell>
          <cell r="B643">
            <v>35220</v>
          </cell>
          <cell r="C643" t="str">
            <v>美国</v>
          </cell>
          <cell r="D643" t="str">
            <v>饮料</v>
          </cell>
          <cell r="E643">
            <v>611.99999570846558</v>
          </cell>
        </row>
        <row r="644">
          <cell r="A644">
            <v>1996</v>
          </cell>
          <cell r="B644">
            <v>35220</v>
          </cell>
          <cell r="C644" t="str">
            <v>美国</v>
          </cell>
          <cell r="D644" t="str">
            <v>饮料</v>
          </cell>
          <cell r="E644">
            <v>322.9999977350235</v>
          </cell>
        </row>
        <row r="645">
          <cell r="A645">
            <v>1996</v>
          </cell>
          <cell r="B645">
            <v>35220</v>
          </cell>
          <cell r="C645" t="str">
            <v>美国</v>
          </cell>
          <cell r="D645" t="str">
            <v>糖果</v>
          </cell>
          <cell r="E645">
            <v>444.97499687969685</v>
          </cell>
        </row>
        <row r="646">
          <cell r="A646">
            <v>1996</v>
          </cell>
          <cell r="B646">
            <v>35220</v>
          </cell>
          <cell r="C646" t="str">
            <v>美国</v>
          </cell>
          <cell r="D646" t="str">
            <v>乳制品</v>
          </cell>
          <cell r="E646">
            <v>250</v>
          </cell>
        </row>
        <row r="647">
          <cell r="A647">
            <v>1996</v>
          </cell>
          <cell r="B647">
            <v>35221</v>
          </cell>
          <cell r="C647" t="str">
            <v>加拿大</v>
          </cell>
          <cell r="D647" t="str">
            <v>饮料</v>
          </cell>
          <cell r="E647">
            <v>364.7999986410141</v>
          </cell>
        </row>
        <row r="648">
          <cell r="A648">
            <v>1996</v>
          </cell>
          <cell r="B648">
            <v>35221</v>
          </cell>
          <cell r="C648" t="str">
            <v>加拿大</v>
          </cell>
          <cell r="D648" t="str">
            <v>香料</v>
          </cell>
          <cell r="E648">
            <v>40</v>
          </cell>
        </row>
        <row r="649">
          <cell r="A649">
            <v>1996</v>
          </cell>
          <cell r="B649">
            <v>35221</v>
          </cell>
          <cell r="C649" t="str">
            <v>加拿大</v>
          </cell>
          <cell r="D649" t="str">
            <v>香料</v>
          </cell>
          <cell r="E649">
            <v>22</v>
          </cell>
        </row>
        <row r="650">
          <cell r="A650">
            <v>1996</v>
          </cell>
          <cell r="B650">
            <v>35221</v>
          </cell>
          <cell r="C650" t="str">
            <v>加拿大</v>
          </cell>
          <cell r="D650" t="str">
            <v>香料</v>
          </cell>
          <cell r="E650">
            <v>24.500000011175871</v>
          </cell>
        </row>
        <row r="651">
          <cell r="A651">
            <v>1996</v>
          </cell>
          <cell r="B651">
            <v>35221</v>
          </cell>
          <cell r="C651" t="str">
            <v>加拿大</v>
          </cell>
          <cell r="D651" t="str">
            <v>农产品</v>
          </cell>
          <cell r="E651">
            <v>28.499999977648258</v>
          </cell>
        </row>
        <row r="652">
          <cell r="A652">
            <v>1996</v>
          </cell>
          <cell r="B652">
            <v>35221</v>
          </cell>
          <cell r="C652" t="str">
            <v>加拿大</v>
          </cell>
          <cell r="D652" t="str">
            <v>香料</v>
          </cell>
          <cell r="E652">
            <v>71.99999988079071</v>
          </cell>
        </row>
        <row r="653">
          <cell r="A653">
            <v>1996</v>
          </cell>
          <cell r="B653">
            <v>35221</v>
          </cell>
          <cell r="C653" t="str">
            <v>加拿大</v>
          </cell>
          <cell r="D653" t="str">
            <v>海洋食品</v>
          </cell>
          <cell r="E653">
            <v>31</v>
          </cell>
        </row>
        <row r="654">
          <cell r="A654">
            <v>1996</v>
          </cell>
          <cell r="B654">
            <v>35221</v>
          </cell>
          <cell r="C654" t="str">
            <v>加拿大</v>
          </cell>
          <cell r="D654" t="str">
            <v>乳制品</v>
          </cell>
          <cell r="E654">
            <v>72.199999943375587</v>
          </cell>
        </row>
        <row r="655">
          <cell r="A655">
            <v>1996</v>
          </cell>
          <cell r="B655">
            <v>35221</v>
          </cell>
          <cell r="C655" t="str">
            <v>加拿大</v>
          </cell>
          <cell r="D655" t="str">
            <v>海洋食品</v>
          </cell>
          <cell r="E655">
            <v>24</v>
          </cell>
        </row>
        <row r="656">
          <cell r="A656">
            <v>1996</v>
          </cell>
          <cell r="B656">
            <v>35221</v>
          </cell>
          <cell r="C656" t="str">
            <v>加拿大</v>
          </cell>
          <cell r="D656" t="str">
            <v>农产品</v>
          </cell>
          <cell r="E656">
            <v>22.55250001559034</v>
          </cell>
        </row>
        <row r="657">
          <cell r="A657">
            <v>1996</v>
          </cell>
          <cell r="B657">
            <v>35221</v>
          </cell>
          <cell r="C657" t="str">
            <v>加拿大</v>
          </cell>
          <cell r="D657" t="str">
            <v>糖果</v>
          </cell>
          <cell r="E657">
            <v>33.853000023402274</v>
          </cell>
        </row>
        <row r="658">
          <cell r="A658">
            <v>1996</v>
          </cell>
          <cell r="B658">
            <v>35221</v>
          </cell>
          <cell r="C658" t="str">
            <v>加拿大</v>
          </cell>
          <cell r="D658" t="str">
            <v>糖果</v>
          </cell>
          <cell r="E658">
            <v>77.760000072419643</v>
          </cell>
        </row>
        <row r="659">
          <cell r="A659">
            <v>1996</v>
          </cell>
          <cell r="B659">
            <v>35221</v>
          </cell>
          <cell r="C659" t="str">
            <v>加拿大</v>
          </cell>
          <cell r="D659" t="str">
            <v>面食/谷类</v>
          </cell>
          <cell r="E659">
            <v>18</v>
          </cell>
        </row>
        <row r="660">
          <cell r="A660">
            <v>1996</v>
          </cell>
          <cell r="B660">
            <v>35221</v>
          </cell>
          <cell r="C660" t="str">
            <v>加拿大</v>
          </cell>
          <cell r="D660" t="str">
            <v>乳制品</v>
          </cell>
          <cell r="E660">
            <v>32</v>
          </cell>
        </row>
        <row r="661">
          <cell r="A661">
            <v>1996</v>
          </cell>
          <cell r="B661">
            <v>35221</v>
          </cell>
          <cell r="C661" t="str">
            <v>加拿大</v>
          </cell>
          <cell r="D661" t="str">
            <v>饮料</v>
          </cell>
          <cell r="E661">
            <v>34.19999997317791</v>
          </cell>
        </row>
        <row r="662">
          <cell r="A662">
            <v>1996</v>
          </cell>
          <cell r="B662">
            <v>35221</v>
          </cell>
          <cell r="C662" t="str">
            <v>加拿大</v>
          </cell>
          <cell r="D662" t="str">
            <v>海洋食品</v>
          </cell>
          <cell r="E662">
            <v>28.95</v>
          </cell>
        </row>
        <row r="663">
          <cell r="A663">
            <v>1996</v>
          </cell>
          <cell r="B663">
            <v>35221</v>
          </cell>
          <cell r="C663" t="str">
            <v>加拿大</v>
          </cell>
          <cell r="D663" t="str">
            <v>海洋食品</v>
          </cell>
          <cell r="E663">
            <v>35.280000016093254</v>
          </cell>
        </row>
        <row r="664">
          <cell r="A664">
            <v>1996</v>
          </cell>
          <cell r="B664">
            <v>35221</v>
          </cell>
          <cell r="C664" t="str">
            <v>加拿大</v>
          </cell>
          <cell r="D664" t="str">
            <v>面食/谷类</v>
          </cell>
          <cell r="E664">
            <v>14</v>
          </cell>
        </row>
        <row r="665">
          <cell r="A665">
            <v>1996</v>
          </cell>
          <cell r="B665">
            <v>35221</v>
          </cell>
          <cell r="C665" t="str">
            <v>加拿大</v>
          </cell>
          <cell r="D665" t="str">
            <v>肉/家禽</v>
          </cell>
          <cell r="E665">
            <v>48</v>
          </cell>
        </row>
        <row r="666">
          <cell r="A666">
            <v>1996</v>
          </cell>
          <cell r="B666">
            <v>35221</v>
          </cell>
          <cell r="C666" t="str">
            <v>加拿大</v>
          </cell>
          <cell r="D666" t="str">
            <v>乳制品</v>
          </cell>
          <cell r="E666">
            <v>63.920000091195107</v>
          </cell>
        </row>
        <row r="667">
          <cell r="A667">
            <v>1996</v>
          </cell>
          <cell r="B667">
            <v>35221</v>
          </cell>
          <cell r="C667" t="str">
            <v>加拿大</v>
          </cell>
          <cell r="D667" t="str">
            <v>面食/谷类</v>
          </cell>
          <cell r="E667">
            <v>64.505000044591725</v>
          </cell>
        </row>
        <row r="668">
          <cell r="A668">
            <v>1996</v>
          </cell>
          <cell r="B668">
            <v>35221</v>
          </cell>
          <cell r="C668" t="str">
            <v>加拿大</v>
          </cell>
          <cell r="D668" t="str">
            <v>香料</v>
          </cell>
          <cell r="E668">
            <v>17</v>
          </cell>
        </row>
        <row r="669">
          <cell r="A669">
            <v>1996</v>
          </cell>
          <cell r="B669">
            <v>35221</v>
          </cell>
          <cell r="C669" t="str">
            <v>加拿大</v>
          </cell>
          <cell r="D669" t="str">
            <v>海洋食品</v>
          </cell>
          <cell r="E669">
            <v>29.700000006705523</v>
          </cell>
        </row>
        <row r="670">
          <cell r="A670">
            <v>1996</v>
          </cell>
          <cell r="B670">
            <v>35221</v>
          </cell>
          <cell r="C670" t="str">
            <v>加拿大</v>
          </cell>
          <cell r="D670" t="str">
            <v>饮料</v>
          </cell>
          <cell r="E670">
            <v>31</v>
          </cell>
        </row>
        <row r="671">
          <cell r="A671">
            <v>1996</v>
          </cell>
          <cell r="B671">
            <v>35221</v>
          </cell>
          <cell r="C671" t="str">
            <v>加拿大</v>
          </cell>
          <cell r="D671" t="str">
            <v>香料</v>
          </cell>
          <cell r="E671">
            <v>26</v>
          </cell>
        </row>
      </sheetData>
      <sheetData sheetId="7">
        <row r="3">
          <cell r="K3">
            <v>100</v>
          </cell>
          <cell r="L3">
            <v>283500</v>
          </cell>
        </row>
        <row r="4">
          <cell r="K4">
            <v>120</v>
          </cell>
          <cell r="L4">
            <v>279200</v>
          </cell>
        </row>
        <row r="5">
          <cell r="K5">
            <v>140</v>
          </cell>
          <cell r="L5">
            <v>276328.57142857142</v>
          </cell>
        </row>
        <row r="6">
          <cell r="K6">
            <v>160</v>
          </cell>
          <cell r="L6">
            <v>274350</v>
          </cell>
        </row>
        <row r="7">
          <cell r="K7">
            <v>180</v>
          </cell>
          <cell r="L7">
            <v>272966.66666666669</v>
          </cell>
        </row>
        <row r="8">
          <cell r="K8">
            <v>200</v>
          </cell>
          <cell r="L8">
            <v>272000</v>
          </cell>
        </row>
        <row r="9">
          <cell r="K9">
            <v>220</v>
          </cell>
          <cell r="L9">
            <v>271336.36363636365</v>
          </cell>
        </row>
        <row r="10">
          <cell r="K10">
            <v>240</v>
          </cell>
          <cell r="L10">
            <v>270900</v>
          </cell>
        </row>
        <row r="11">
          <cell r="K11">
            <v>260</v>
          </cell>
          <cell r="L11">
            <v>270638.4615384615</v>
          </cell>
        </row>
        <row r="12">
          <cell r="K12">
            <v>280</v>
          </cell>
          <cell r="L12">
            <v>270514.28571428568</v>
          </cell>
        </row>
        <row r="13">
          <cell r="K13">
            <v>300</v>
          </cell>
          <cell r="L13">
            <v>270500</v>
          </cell>
        </row>
        <row r="14">
          <cell r="K14">
            <v>320</v>
          </cell>
          <cell r="L14">
            <v>270575</v>
          </cell>
        </row>
        <row r="15">
          <cell r="K15">
            <v>340</v>
          </cell>
          <cell r="L15">
            <v>270723.5294117647</v>
          </cell>
        </row>
        <row r="16">
          <cell r="K16">
            <v>360</v>
          </cell>
          <cell r="L16">
            <v>270933.33333333337</v>
          </cell>
        </row>
        <row r="17">
          <cell r="K17">
            <v>380</v>
          </cell>
          <cell r="L17">
            <v>271194.73684210528</v>
          </cell>
        </row>
        <row r="18">
          <cell r="K18">
            <v>400</v>
          </cell>
          <cell r="L18">
            <v>271500</v>
          </cell>
        </row>
        <row r="19">
          <cell r="K19">
            <v>599.99990000000003</v>
          </cell>
          <cell r="L19">
            <v>275999.99733333348</v>
          </cell>
        </row>
        <row r="20">
          <cell r="K20">
            <v>600</v>
          </cell>
          <cell r="L20">
            <v>271000</v>
          </cell>
        </row>
        <row r="21">
          <cell r="K21">
            <v>999.99</v>
          </cell>
          <cell r="L21">
            <v>282999.6800003</v>
          </cell>
        </row>
      </sheetData>
      <sheetData sheetId="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解答"/>
      <sheetName val="第2题解答"/>
      <sheetName val="第3题解答"/>
      <sheetName val="第4题解答"/>
      <sheetName val="第5题解答"/>
      <sheetName val="第6题解答"/>
      <sheetName val="第7题解答"/>
      <sheetName val="第8题解答"/>
      <sheetName val="第9题解答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订购年</v>
          </cell>
          <cell r="B1" t="str">
            <v>订购日期</v>
          </cell>
          <cell r="C1" t="str">
            <v>货主国家</v>
          </cell>
          <cell r="D1" t="str">
            <v>类别名称</v>
          </cell>
          <cell r="E1" t="str">
            <v>销售额</v>
          </cell>
        </row>
        <row r="2">
          <cell r="A2">
            <v>1994</v>
          </cell>
          <cell r="B2">
            <v>34551</v>
          </cell>
          <cell r="C2" t="str">
            <v>美国</v>
          </cell>
          <cell r="D2" t="str">
            <v>农产品</v>
          </cell>
          <cell r="E2">
            <v>167.4</v>
          </cell>
        </row>
        <row r="3">
          <cell r="A3">
            <v>1994</v>
          </cell>
          <cell r="B3">
            <v>34551</v>
          </cell>
          <cell r="C3" t="str">
            <v>美国</v>
          </cell>
          <cell r="D3" t="str">
            <v>农产品</v>
          </cell>
          <cell r="E3">
            <v>1696</v>
          </cell>
        </row>
        <row r="4">
          <cell r="A4">
            <v>1994</v>
          </cell>
          <cell r="B4">
            <v>34565</v>
          </cell>
          <cell r="C4" t="str">
            <v>美国</v>
          </cell>
          <cell r="D4" t="str">
            <v>海洋食品</v>
          </cell>
          <cell r="E4">
            <v>92.4</v>
          </cell>
        </row>
        <row r="5">
          <cell r="A5">
            <v>1994</v>
          </cell>
          <cell r="B5">
            <v>34565</v>
          </cell>
          <cell r="C5" t="str">
            <v>美国</v>
          </cell>
          <cell r="D5" t="str">
            <v>面食/谷类</v>
          </cell>
          <cell r="E5">
            <v>780</v>
          </cell>
        </row>
        <row r="6">
          <cell r="A6">
            <v>1994</v>
          </cell>
          <cell r="B6">
            <v>34565</v>
          </cell>
          <cell r="C6" t="str">
            <v>美国</v>
          </cell>
          <cell r="D6" t="str">
            <v>糖果</v>
          </cell>
          <cell r="E6">
            <v>443.25</v>
          </cell>
        </row>
        <row r="7">
          <cell r="A7">
            <v>1994</v>
          </cell>
          <cell r="B7">
            <v>34565</v>
          </cell>
          <cell r="C7" t="str">
            <v>美国</v>
          </cell>
          <cell r="D7" t="str">
            <v>饮料</v>
          </cell>
          <cell r="E7">
            <v>189</v>
          </cell>
        </row>
        <row r="8">
          <cell r="A8">
            <v>1994</v>
          </cell>
          <cell r="B8">
            <v>34568</v>
          </cell>
          <cell r="C8" t="str">
            <v>加拿大</v>
          </cell>
          <cell r="D8" t="str">
            <v>香料</v>
          </cell>
          <cell r="E8">
            <v>163.19999939203262</v>
          </cell>
        </row>
        <row r="9">
          <cell r="A9">
            <v>1994</v>
          </cell>
          <cell r="B9">
            <v>34568</v>
          </cell>
          <cell r="C9" t="str">
            <v>加拿大</v>
          </cell>
          <cell r="D9" t="str">
            <v>农产品</v>
          </cell>
          <cell r="E9">
            <v>360</v>
          </cell>
        </row>
        <row r="10">
          <cell r="A10">
            <v>1994</v>
          </cell>
          <cell r="B10">
            <v>34568</v>
          </cell>
          <cell r="C10" t="str">
            <v>加拿大</v>
          </cell>
          <cell r="D10" t="str">
            <v>面食/谷类</v>
          </cell>
          <cell r="E10">
            <v>60.8</v>
          </cell>
        </row>
        <row r="11">
          <cell r="A11">
            <v>1994</v>
          </cell>
          <cell r="B11">
            <v>34575</v>
          </cell>
          <cell r="C11" t="str">
            <v>美国</v>
          </cell>
          <cell r="D11" t="str">
            <v>海洋食品</v>
          </cell>
          <cell r="E11">
            <v>735</v>
          </cell>
        </row>
        <row r="12">
          <cell r="A12">
            <v>1994</v>
          </cell>
          <cell r="B12">
            <v>34575</v>
          </cell>
          <cell r="C12" t="str">
            <v>美国</v>
          </cell>
          <cell r="D12" t="str">
            <v>乳制品</v>
          </cell>
          <cell r="E12">
            <v>2617.9999816417694</v>
          </cell>
        </row>
        <row r="13">
          <cell r="A13">
            <v>1994</v>
          </cell>
          <cell r="B13">
            <v>34575</v>
          </cell>
          <cell r="C13" t="str">
            <v>美国</v>
          </cell>
          <cell r="D13" t="str">
            <v>饮料</v>
          </cell>
          <cell r="E13">
            <v>183.59999871253967</v>
          </cell>
        </row>
        <row r="14">
          <cell r="A14">
            <v>1994</v>
          </cell>
          <cell r="B14">
            <v>34577</v>
          </cell>
          <cell r="C14" t="str">
            <v>加拿大</v>
          </cell>
          <cell r="D14" t="str">
            <v>乳制品</v>
          </cell>
          <cell r="E14">
            <v>113.99999991059303</v>
          </cell>
        </row>
        <row r="15">
          <cell r="A15">
            <v>1994</v>
          </cell>
          <cell r="B15">
            <v>34577</v>
          </cell>
          <cell r="C15" t="str">
            <v>加拿大</v>
          </cell>
          <cell r="D15" t="str">
            <v>乳制品</v>
          </cell>
          <cell r="E15">
            <v>528.19999958574772</v>
          </cell>
        </row>
        <row r="16">
          <cell r="A16">
            <v>1994</v>
          </cell>
          <cell r="B16">
            <v>34578</v>
          </cell>
          <cell r="C16" t="str">
            <v>加拿大</v>
          </cell>
          <cell r="D16" t="str">
            <v>乳制品</v>
          </cell>
          <cell r="E16">
            <v>48</v>
          </cell>
        </row>
        <row r="17">
          <cell r="A17">
            <v>1994</v>
          </cell>
          <cell r="B17">
            <v>34579</v>
          </cell>
          <cell r="C17" t="str">
            <v>加拿大</v>
          </cell>
          <cell r="D17" t="str">
            <v>糖果</v>
          </cell>
          <cell r="E17">
            <v>388.8</v>
          </cell>
        </row>
        <row r="18">
          <cell r="A18">
            <v>1994</v>
          </cell>
          <cell r="B18">
            <v>34579</v>
          </cell>
          <cell r="C18" t="str">
            <v>加拿大</v>
          </cell>
          <cell r="D18" t="str">
            <v>乳制品</v>
          </cell>
          <cell r="E18">
            <v>400</v>
          </cell>
        </row>
        <row r="19">
          <cell r="A19">
            <v>1994</v>
          </cell>
          <cell r="B19">
            <v>34579</v>
          </cell>
          <cell r="C19" t="str">
            <v>加拿大</v>
          </cell>
          <cell r="D19" t="str">
            <v>乳制品</v>
          </cell>
          <cell r="E19">
            <v>667.2</v>
          </cell>
        </row>
        <row r="20">
          <cell r="A20">
            <v>1994</v>
          </cell>
          <cell r="B20">
            <v>34582</v>
          </cell>
          <cell r="C20" t="str">
            <v>美国</v>
          </cell>
          <cell r="D20" t="str">
            <v>海洋食品</v>
          </cell>
          <cell r="E20">
            <v>565.43999955654147</v>
          </cell>
        </row>
        <row r="21">
          <cell r="A21">
            <v>1994</v>
          </cell>
          <cell r="B21">
            <v>34582</v>
          </cell>
          <cell r="C21" t="str">
            <v>美国</v>
          </cell>
          <cell r="D21" t="str">
            <v>乳制品</v>
          </cell>
          <cell r="E21">
            <v>142.49999988824129</v>
          </cell>
        </row>
        <row r="22">
          <cell r="A22">
            <v>1994</v>
          </cell>
          <cell r="B22">
            <v>34582</v>
          </cell>
          <cell r="C22" t="str">
            <v>美国</v>
          </cell>
          <cell r="D22" t="str">
            <v>乳制品</v>
          </cell>
          <cell r="E22">
            <v>40</v>
          </cell>
        </row>
        <row r="23">
          <cell r="A23">
            <v>1994</v>
          </cell>
          <cell r="B23">
            <v>34582</v>
          </cell>
          <cell r="C23" t="str">
            <v>美国</v>
          </cell>
          <cell r="D23" t="str">
            <v>海洋食品</v>
          </cell>
          <cell r="E23">
            <v>837.89999934285879</v>
          </cell>
        </row>
        <row r="24">
          <cell r="A24">
            <v>1994</v>
          </cell>
          <cell r="B24">
            <v>34582</v>
          </cell>
          <cell r="C24" t="str">
            <v>美国</v>
          </cell>
          <cell r="D24" t="str">
            <v>饮料</v>
          </cell>
          <cell r="E24">
            <v>451.43999964594838</v>
          </cell>
        </row>
        <row r="25">
          <cell r="A25">
            <v>1994</v>
          </cell>
          <cell r="B25">
            <v>34586</v>
          </cell>
          <cell r="C25" t="str">
            <v>美国</v>
          </cell>
          <cell r="D25" t="str">
            <v>农产品</v>
          </cell>
          <cell r="E25">
            <v>728</v>
          </cell>
        </row>
        <row r="26">
          <cell r="A26">
            <v>1994</v>
          </cell>
          <cell r="B26">
            <v>34586</v>
          </cell>
          <cell r="C26" t="str">
            <v>美国</v>
          </cell>
          <cell r="D26" t="str">
            <v>糖果</v>
          </cell>
          <cell r="E26">
            <v>472.8</v>
          </cell>
        </row>
        <row r="27">
          <cell r="A27">
            <v>1994</v>
          </cell>
          <cell r="B27">
            <v>34590</v>
          </cell>
          <cell r="C27" t="str">
            <v>美国</v>
          </cell>
          <cell r="D27" t="str">
            <v>肉/家禽</v>
          </cell>
          <cell r="E27">
            <v>351</v>
          </cell>
        </row>
        <row r="28">
          <cell r="A28">
            <v>1994</v>
          </cell>
          <cell r="B28">
            <v>34596</v>
          </cell>
          <cell r="C28" t="str">
            <v>美国</v>
          </cell>
          <cell r="D28" t="str">
            <v>糖果</v>
          </cell>
          <cell r="E28">
            <v>394.875</v>
          </cell>
        </row>
        <row r="29">
          <cell r="A29">
            <v>1994</v>
          </cell>
          <cell r="B29">
            <v>34596</v>
          </cell>
          <cell r="C29" t="str">
            <v>美国</v>
          </cell>
          <cell r="D29" t="str">
            <v>香料</v>
          </cell>
          <cell r="E29">
            <v>325.5</v>
          </cell>
        </row>
        <row r="30">
          <cell r="A30">
            <v>1994</v>
          </cell>
          <cell r="B30">
            <v>34596</v>
          </cell>
          <cell r="C30" t="str">
            <v>美国</v>
          </cell>
          <cell r="D30" t="str">
            <v>乳制品</v>
          </cell>
          <cell r="E30">
            <v>408</v>
          </cell>
        </row>
        <row r="31">
          <cell r="A31">
            <v>1994</v>
          </cell>
          <cell r="B31">
            <v>34596</v>
          </cell>
          <cell r="C31" t="str">
            <v>美国</v>
          </cell>
          <cell r="D31" t="str">
            <v>饮料</v>
          </cell>
          <cell r="E31">
            <v>42</v>
          </cell>
        </row>
        <row r="32">
          <cell r="A32">
            <v>1994</v>
          </cell>
          <cell r="B32">
            <v>34597</v>
          </cell>
          <cell r="C32" t="str">
            <v>美国</v>
          </cell>
          <cell r="D32" t="str">
            <v>饮料</v>
          </cell>
          <cell r="E32">
            <v>518.39999806880951</v>
          </cell>
        </row>
        <row r="33">
          <cell r="A33">
            <v>1994</v>
          </cell>
          <cell r="B33">
            <v>34597</v>
          </cell>
          <cell r="C33" t="str">
            <v>美国</v>
          </cell>
          <cell r="D33" t="str">
            <v>海洋食品</v>
          </cell>
          <cell r="E33">
            <v>470.39999824762344</v>
          </cell>
        </row>
        <row r="34">
          <cell r="A34">
            <v>1994</v>
          </cell>
          <cell r="B34">
            <v>34597</v>
          </cell>
          <cell r="C34" t="str">
            <v>美国</v>
          </cell>
          <cell r="D34" t="str">
            <v>肉/家禽</v>
          </cell>
          <cell r="E34">
            <v>754.55999718904502</v>
          </cell>
        </row>
        <row r="35">
          <cell r="A35">
            <v>1994</v>
          </cell>
          <cell r="B35">
            <v>34598</v>
          </cell>
          <cell r="C35" t="str">
            <v>美国</v>
          </cell>
          <cell r="D35" t="str">
            <v>饮料</v>
          </cell>
          <cell r="E35">
            <v>1440</v>
          </cell>
        </row>
        <row r="36">
          <cell r="A36">
            <v>1994</v>
          </cell>
          <cell r="B36">
            <v>34598</v>
          </cell>
          <cell r="C36" t="str">
            <v>美国</v>
          </cell>
          <cell r="D36" t="str">
            <v>糖果</v>
          </cell>
          <cell r="E36">
            <v>1576</v>
          </cell>
        </row>
        <row r="37">
          <cell r="A37">
            <v>1994</v>
          </cell>
          <cell r="B37">
            <v>34607</v>
          </cell>
          <cell r="C37" t="str">
            <v>加拿大</v>
          </cell>
          <cell r="D37" t="str">
            <v>饮料</v>
          </cell>
          <cell r="E37">
            <v>259.2</v>
          </cell>
        </row>
        <row r="38">
          <cell r="A38">
            <v>1994</v>
          </cell>
          <cell r="B38">
            <v>34607</v>
          </cell>
          <cell r="C38" t="str">
            <v>加拿大</v>
          </cell>
          <cell r="D38" t="str">
            <v>肉/家禽</v>
          </cell>
          <cell r="E38">
            <v>468</v>
          </cell>
        </row>
        <row r="39">
          <cell r="A39">
            <v>1994</v>
          </cell>
          <cell r="B39">
            <v>34607</v>
          </cell>
          <cell r="C39" t="str">
            <v>加拿大</v>
          </cell>
          <cell r="D39" t="str">
            <v>饮料</v>
          </cell>
          <cell r="E39">
            <v>552</v>
          </cell>
        </row>
        <row r="40">
          <cell r="A40">
            <v>1994</v>
          </cell>
          <cell r="B40">
            <v>34607</v>
          </cell>
          <cell r="C40" t="str">
            <v>加拿大</v>
          </cell>
          <cell r="D40" t="str">
            <v>乳制品</v>
          </cell>
          <cell r="E40">
            <v>571.20000000000005</v>
          </cell>
        </row>
        <row r="41">
          <cell r="A41">
            <v>1994</v>
          </cell>
          <cell r="B41">
            <v>34607</v>
          </cell>
          <cell r="C41" t="str">
            <v>加拿大</v>
          </cell>
          <cell r="D41" t="str">
            <v>饮料</v>
          </cell>
          <cell r="E41">
            <v>37.200000000000003</v>
          </cell>
        </row>
        <row r="42">
          <cell r="A42">
            <v>1994</v>
          </cell>
          <cell r="B42">
            <v>34617</v>
          </cell>
          <cell r="C42" t="str">
            <v>美国</v>
          </cell>
          <cell r="D42" t="str">
            <v>海洋食品</v>
          </cell>
          <cell r="E42">
            <v>147</v>
          </cell>
        </row>
        <row r="43">
          <cell r="A43">
            <v>1994</v>
          </cell>
          <cell r="B43">
            <v>34617</v>
          </cell>
          <cell r="C43" t="str">
            <v>美国</v>
          </cell>
          <cell r="D43" t="str">
            <v>面食/谷类</v>
          </cell>
          <cell r="E43">
            <v>608</v>
          </cell>
        </row>
        <row r="44">
          <cell r="A44">
            <v>1994</v>
          </cell>
          <cell r="B44">
            <v>34621</v>
          </cell>
          <cell r="C44" t="str">
            <v>加拿大</v>
          </cell>
          <cell r="D44" t="str">
            <v>海洋食品</v>
          </cell>
          <cell r="E44">
            <v>1124.9999981373549</v>
          </cell>
        </row>
        <row r="45">
          <cell r="A45">
            <v>1994</v>
          </cell>
          <cell r="B45">
            <v>34621</v>
          </cell>
          <cell r="C45" t="str">
            <v>加拿大</v>
          </cell>
          <cell r="D45" t="str">
            <v>肉/家禽</v>
          </cell>
          <cell r="E45">
            <v>2227.4999963119626</v>
          </cell>
        </row>
        <row r="46">
          <cell r="A46">
            <v>1994</v>
          </cell>
          <cell r="B46">
            <v>34621</v>
          </cell>
          <cell r="C46" t="str">
            <v>加拿大</v>
          </cell>
          <cell r="D46" t="str">
            <v>饮料</v>
          </cell>
          <cell r="E46">
            <v>388.79999935626984</v>
          </cell>
        </row>
        <row r="47">
          <cell r="A47">
            <v>1994</v>
          </cell>
          <cell r="B47">
            <v>34625</v>
          </cell>
          <cell r="C47" t="str">
            <v>加拿大</v>
          </cell>
          <cell r="D47" t="str">
            <v>糖果</v>
          </cell>
          <cell r="E47">
            <v>394</v>
          </cell>
        </row>
        <row r="48">
          <cell r="A48">
            <v>1994</v>
          </cell>
          <cell r="B48">
            <v>34625</v>
          </cell>
          <cell r="C48" t="str">
            <v>加拿大</v>
          </cell>
          <cell r="D48" t="str">
            <v>糖果</v>
          </cell>
          <cell r="E48">
            <v>30</v>
          </cell>
        </row>
        <row r="49">
          <cell r="A49">
            <v>1994</v>
          </cell>
          <cell r="B49">
            <v>34628</v>
          </cell>
          <cell r="C49" t="str">
            <v>加拿大</v>
          </cell>
          <cell r="D49" t="str">
            <v>糖果</v>
          </cell>
          <cell r="E49">
            <v>139</v>
          </cell>
        </row>
        <row r="50">
          <cell r="A50">
            <v>1994</v>
          </cell>
          <cell r="B50">
            <v>34628</v>
          </cell>
          <cell r="C50" t="str">
            <v>加拿大</v>
          </cell>
          <cell r="D50" t="str">
            <v>糖果</v>
          </cell>
          <cell r="E50">
            <v>197</v>
          </cell>
        </row>
        <row r="51">
          <cell r="A51">
            <v>1994</v>
          </cell>
          <cell r="B51">
            <v>34631</v>
          </cell>
          <cell r="C51" t="str">
            <v>美国</v>
          </cell>
          <cell r="D51" t="str">
            <v>农产品</v>
          </cell>
          <cell r="E51">
            <v>145.6</v>
          </cell>
        </row>
        <row r="52">
          <cell r="A52">
            <v>1994</v>
          </cell>
          <cell r="B52">
            <v>34631</v>
          </cell>
          <cell r="C52" t="str">
            <v>美国</v>
          </cell>
          <cell r="D52" t="str">
            <v>饮料</v>
          </cell>
          <cell r="E52">
            <v>883.2</v>
          </cell>
        </row>
        <row r="53">
          <cell r="A53">
            <v>1994</v>
          </cell>
          <cell r="B53">
            <v>34631</v>
          </cell>
          <cell r="C53" t="str">
            <v>美国</v>
          </cell>
          <cell r="D53" t="str">
            <v>肉/家禽</v>
          </cell>
          <cell r="E53">
            <v>524</v>
          </cell>
        </row>
        <row r="54">
          <cell r="A54">
            <v>1994</v>
          </cell>
          <cell r="B54">
            <v>34631</v>
          </cell>
          <cell r="C54" t="str">
            <v>美国</v>
          </cell>
          <cell r="D54" t="str">
            <v>饮料</v>
          </cell>
          <cell r="E54">
            <v>62</v>
          </cell>
        </row>
        <row r="55">
          <cell r="A55">
            <v>1994</v>
          </cell>
          <cell r="B55">
            <v>34632</v>
          </cell>
          <cell r="C55" t="str">
            <v>美国</v>
          </cell>
          <cell r="D55" t="str">
            <v>海洋食品</v>
          </cell>
          <cell r="E55">
            <v>182.4</v>
          </cell>
        </row>
        <row r="56">
          <cell r="A56">
            <v>1994</v>
          </cell>
          <cell r="B56">
            <v>34633</v>
          </cell>
          <cell r="C56" t="str">
            <v>加拿大</v>
          </cell>
          <cell r="D56" t="str">
            <v>乳制品</v>
          </cell>
          <cell r="E56">
            <v>921.59999847412109</v>
          </cell>
        </row>
        <row r="57">
          <cell r="A57">
            <v>1994</v>
          </cell>
          <cell r="B57">
            <v>34633</v>
          </cell>
          <cell r="C57" t="str">
            <v>加拿大</v>
          </cell>
          <cell r="D57" t="str">
            <v>海洋食品</v>
          </cell>
          <cell r="E57">
            <v>286.19999952614307</v>
          </cell>
        </row>
        <row r="58">
          <cell r="A58">
            <v>1994</v>
          </cell>
          <cell r="B58">
            <v>34633</v>
          </cell>
          <cell r="C58" t="str">
            <v>加拿大</v>
          </cell>
          <cell r="D58" t="str">
            <v>糖果</v>
          </cell>
          <cell r="E58">
            <v>886.49999853223562</v>
          </cell>
        </row>
        <row r="59">
          <cell r="A59">
            <v>1994</v>
          </cell>
          <cell r="B59">
            <v>34635</v>
          </cell>
          <cell r="C59" t="str">
            <v>加拿大</v>
          </cell>
          <cell r="D59" t="str">
            <v>海洋食品</v>
          </cell>
          <cell r="E59">
            <v>77</v>
          </cell>
        </row>
        <row r="60">
          <cell r="A60">
            <v>1994</v>
          </cell>
          <cell r="B60">
            <v>34635</v>
          </cell>
          <cell r="C60" t="str">
            <v>加拿大</v>
          </cell>
          <cell r="D60" t="str">
            <v>糖果</v>
          </cell>
          <cell r="E60">
            <v>2758</v>
          </cell>
        </row>
        <row r="61">
          <cell r="A61">
            <v>1994</v>
          </cell>
          <cell r="B61">
            <v>34638</v>
          </cell>
          <cell r="C61" t="str">
            <v>加拿大</v>
          </cell>
          <cell r="D61" t="str">
            <v>饮料</v>
          </cell>
          <cell r="E61">
            <v>288</v>
          </cell>
        </row>
        <row r="62">
          <cell r="A62">
            <v>1994</v>
          </cell>
          <cell r="B62">
            <v>34645</v>
          </cell>
          <cell r="C62" t="str">
            <v>美国</v>
          </cell>
          <cell r="D62" t="str">
            <v>香料</v>
          </cell>
          <cell r="E62">
            <v>62</v>
          </cell>
        </row>
        <row r="63">
          <cell r="A63">
            <v>1994</v>
          </cell>
          <cell r="B63">
            <v>34645</v>
          </cell>
          <cell r="C63" t="str">
            <v>美国</v>
          </cell>
          <cell r="D63" t="str">
            <v>糖果</v>
          </cell>
          <cell r="E63">
            <v>44.8</v>
          </cell>
        </row>
        <row r="64">
          <cell r="A64">
            <v>1994</v>
          </cell>
          <cell r="B64">
            <v>34645</v>
          </cell>
          <cell r="C64" t="str">
            <v>美国</v>
          </cell>
          <cell r="D64" t="str">
            <v>饮料</v>
          </cell>
          <cell r="E64">
            <v>57.6</v>
          </cell>
        </row>
        <row r="65">
          <cell r="A65">
            <v>1994</v>
          </cell>
          <cell r="B65">
            <v>34646</v>
          </cell>
          <cell r="C65" t="str">
            <v>加拿大</v>
          </cell>
          <cell r="D65" t="str">
            <v>糖果</v>
          </cell>
          <cell r="E65">
            <v>248.1149982601404</v>
          </cell>
        </row>
        <row r="66">
          <cell r="A66">
            <v>1994</v>
          </cell>
          <cell r="B66">
            <v>34646</v>
          </cell>
          <cell r="C66" t="str">
            <v>加拿大</v>
          </cell>
          <cell r="D66" t="str">
            <v>饮料</v>
          </cell>
          <cell r="E66">
            <v>856.79999399185181</v>
          </cell>
        </row>
        <row r="67">
          <cell r="A67">
            <v>1994</v>
          </cell>
          <cell r="B67">
            <v>34646</v>
          </cell>
          <cell r="C67" t="str">
            <v>加拿大</v>
          </cell>
          <cell r="D67" t="str">
            <v>海洋食品</v>
          </cell>
          <cell r="E67">
            <v>288</v>
          </cell>
        </row>
        <row r="68">
          <cell r="A68">
            <v>1994</v>
          </cell>
          <cell r="B68">
            <v>34646</v>
          </cell>
          <cell r="C68" t="str">
            <v>加拿大</v>
          </cell>
          <cell r="D68" t="str">
            <v>乳制品</v>
          </cell>
          <cell r="E68">
            <v>1495.9999895095825</v>
          </cell>
        </row>
        <row r="69">
          <cell r="A69">
            <v>1994</v>
          </cell>
          <cell r="B69">
            <v>34646</v>
          </cell>
          <cell r="C69" t="str">
            <v>加拿大</v>
          </cell>
          <cell r="D69" t="str">
            <v>香料</v>
          </cell>
          <cell r="E69">
            <v>2386.7999832630157</v>
          </cell>
        </row>
        <row r="70">
          <cell r="A70">
            <v>1994</v>
          </cell>
          <cell r="B70">
            <v>34647</v>
          </cell>
          <cell r="C70" t="str">
            <v>美国</v>
          </cell>
          <cell r="D70" t="str">
            <v>香料</v>
          </cell>
          <cell r="E70">
            <v>120</v>
          </cell>
        </row>
        <row r="71">
          <cell r="A71">
            <v>1994</v>
          </cell>
          <cell r="B71">
            <v>34647</v>
          </cell>
          <cell r="C71" t="str">
            <v>美国</v>
          </cell>
          <cell r="D71" t="str">
            <v>海洋食品</v>
          </cell>
          <cell r="E71">
            <v>57.6</v>
          </cell>
        </row>
        <row r="72">
          <cell r="A72">
            <v>1994</v>
          </cell>
          <cell r="B72">
            <v>34647</v>
          </cell>
          <cell r="C72" t="str">
            <v>美国</v>
          </cell>
          <cell r="D72" t="str">
            <v>农产品</v>
          </cell>
          <cell r="E72">
            <v>167.4</v>
          </cell>
        </row>
        <row r="73">
          <cell r="A73">
            <v>1994</v>
          </cell>
          <cell r="B73">
            <v>34647</v>
          </cell>
          <cell r="C73" t="str">
            <v>美国</v>
          </cell>
          <cell r="D73" t="str">
            <v>乳制品</v>
          </cell>
          <cell r="E73">
            <v>40</v>
          </cell>
        </row>
        <row r="74">
          <cell r="A74">
            <v>1994</v>
          </cell>
          <cell r="B74">
            <v>34647</v>
          </cell>
          <cell r="C74" t="str">
            <v>美国</v>
          </cell>
          <cell r="D74" t="str">
            <v>乳制品</v>
          </cell>
          <cell r="E74">
            <v>1112</v>
          </cell>
        </row>
        <row r="75">
          <cell r="A75">
            <v>1994</v>
          </cell>
          <cell r="B75">
            <v>34653</v>
          </cell>
          <cell r="C75" t="str">
            <v>加拿大</v>
          </cell>
          <cell r="D75" t="str">
            <v>糖果</v>
          </cell>
          <cell r="E75">
            <v>69.349999945610762</v>
          </cell>
        </row>
        <row r="76">
          <cell r="A76">
            <v>1994</v>
          </cell>
          <cell r="B76">
            <v>34653</v>
          </cell>
          <cell r="C76" t="str">
            <v>加拿大</v>
          </cell>
          <cell r="D76" t="str">
            <v>海洋食品</v>
          </cell>
          <cell r="E76">
            <v>157.31999987661837</v>
          </cell>
        </row>
        <row r="77">
          <cell r="A77">
            <v>1994</v>
          </cell>
          <cell r="B77">
            <v>34653</v>
          </cell>
          <cell r="C77" t="str">
            <v>加拿大</v>
          </cell>
          <cell r="D77" t="str">
            <v>饮料</v>
          </cell>
          <cell r="E77">
            <v>4005.1999968588352</v>
          </cell>
        </row>
        <row r="78">
          <cell r="A78">
            <v>1994</v>
          </cell>
          <cell r="B78">
            <v>34653</v>
          </cell>
          <cell r="C78" t="str">
            <v>加拿大</v>
          </cell>
          <cell r="D78" t="str">
            <v>面食/谷类</v>
          </cell>
          <cell r="E78">
            <v>346.55999972820285</v>
          </cell>
        </row>
        <row r="79">
          <cell r="A79">
            <v>1994</v>
          </cell>
          <cell r="B79">
            <v>34662</v>
          </cell>
          <cell r="C79" t="str">
            <v>美国</v>
          </cell>
          <cell r="D79" t="str">
            <v>面食/谷类</v>
          </cell>
          <cell r="E79">
            <v>288</v>
          </cell>
        </row>
        <row r="80">
          <cell r="A80">
            <v>1994</v>
          </cell>
          <cell r="B80">
            <v>34662</v>
          </cell>
          <cell r="C80" t="str">
            <v>美国</v>
          </cell>
          <cell r="D80" t="str">
            <v>糖果</v>
          </cell>
          <cell r="E80">
            <v>597.6</v>
          </cell>
        </row>
        <row r="81">
          <cell r="A81">
            <v>1994</v>
          </cell>
          <cell r="B81">
            <v>34662</v>
          </cell>
          <cell r="C81" t="str">
            <v>美国</v>
          </cell>
          <cell r="D81" t="str">
            <v>海洋食品</v>
          </cell>
          <cell r="E81">
            <v>304</v>
          </cell>
        </row>
        <row r="82">
          <cell r="A82">
            <v>1994</v>
          </cell>
          <cell r="B82">
            <v>34662</v>
          </cell>
          <cell r="C82" t="str">
            <v>美国</v>
          </cell>
          <cell r="D82" t="str">
            <v>海洋食品</v>
          </cell>
          <cell r="E82">
            <v>582.4</v>
          </cell>
        </row>
        <row r="83">
          <cell r="A83">
            <v>1994</v>
          </cell>
          <cell r="B83">
            <v>34662</v>
          </cell>
          <cell r="C83" t="str">
            <v>美国</v>
          </cell>
          <cell r="D83" t="str">
            <v>乳制品</v>
          </cell>
          <cell r="E83">
            <v>695</v>
          </cell>
        </row>
        <row r="84">
          <cell r="A84">
            <v>1994</v>
          </cell>
          <cell r="B84">
            <v>34663</v>
          </cell>
          <cell r="C84" t="str">
            <v>加拿大</v>
          </cell>
          <cell r="D84" t="str">
            <v>肉/家禽</v>
          </cell>
          <cell r="E84">
            <v>624</v>
          </cell>
        </row>
        <row r="85">
          <cell r="A85">
            <v>1994</v>
          </cell>
          <cell r="B85">
            <v>34663</v>
          </cell>
          <cell r="C85" t="str">
            <v>加拿大</v>
          </cell>
          <cell r="D85" t="str">
            <v>海洋食品</v>
          </cell>
          <cell r="E85">
            <v>310.5</v>
          </cell>
        </row>
        <row r="86">
          <cell r="A86">
            <v>1994</v>
          </cell>
          <cell r="B86">
            <v>34668</v>
          </cell>
          <cell r="C86" t="str">
            <v>美国</v>
          </cell>
          <cell r="D86" t="str">
            <v>饮料</v>
          </cell>
          <cell r="E86">
            <v>291.83999891281127</v>
          </cell>
        </row>
        <row r="87">
          <cell r="A87">
            <v>1994</v>
          </cell>
          <cell r="B87">
            <v>34668</v>
          </cell>
          <cell r="C87" t="str">
            <v>美国</v>
          </cell>
          <cell r="D87" t="str">
            <v>乳制品</v>
          </cell>
          <cell r="E87">
            <v>447.99999833106995</v>
          </cell>
        </row>
        <row r="88">
          <cell r="A88">
            <v>1994</v>
          </cell>
          <cell r="B88">
            <v>34668</v>
          </cell>
          <cell r="C88" t="str">
            <v>美国</v>
          </cell>
          <cell r="D88" t="str">
            <v>海洋食品</v>
          </cell>
          <cell r="E88">
            <v>486.3999981880188</v>
          </cell>
        </row>
        <row r="89">
          <cell r="A89">
            <v>1994</v>
          </cell>
          <cell r="B89">
            <v>34668</v>
          </cell>
          <cell r="C89" t="str">
            <v>美国</v>
          </cell>
          <cell r="D89" t="str">
            <v>肉/家禽</v>
          </cell>
          <cell r="E89">
            <v>614.39999771118164</v>
          </cell>
        </row>
        <row r="90">
          <cell r="A90">
            <v>1994</v>
          </cell>
          <cell r="B90">
            <v>34669</v>
          </cell>
          <cell r="C90" t="str">
            <v>美国</v>
          </cell>
          <cell r="D90" t="str">
            <v>面食/谷类</v>
          </cell>
          <cell r="E90">
            <v>1330</v>
          </cell>
        </row>
        <row r="91">
          <cell r="A91">
            <v>1994</v>
          </cell>
          <cell r="B91">
            <v>34669</v>
          </cell>
          <cell r="C91" t="str">
            <v>美国</v>
          </cell>
          <cell r="D91" t="str">
            <v>糖果</v>
          </cell>
          <cell r="E91">
            <v>37.999999970197678</v>
          </cell>
        </row>
        <row r="92">
          <cell r="A92">
            <v>1994</v>
          </cell>
          <cell r="B92">
            <v>34669</v>
          </cell>
          <cell r="C92" t="str">
            <v>美国</v>
          </cell>
          <cell r="D92" t="str">
            <v>饮料</v>
          </cell>
          <cell r="E92">
            <v>216</v>
          </cell>
        </row>
        <row r="93">
          <cell r="A93">
            <v>1994</v>
          </cell>
          <cell r="B93">
            <v>34670</v>
          </cell>
          <cell r="C93" t="str">
            <v>加拿大</v>
          </cell>
          <cell r="D93" t="str">
            <v>香料</v>
          </cell>
          <cell r="E93">
            <v>616</v>
          </cell>
        </row>
        <row r="94">
          <cell r="A94">
            <v>1994</v>
          </cell>
          <cell r="B94">
            <v>34670</v>
          </cell>
          <cell r="C94" t="str">
            <v>加拿大</v>
          </cell>
          <cell r="D94" t="str">
            <v>香料</v>
          </cell>
          <cell r="E94">
            <v>1680</v>
          </cell>
        </row>
        <row r="95">
          <cell r="A95">
            <v>1994</v>
          </cell>
          <cell r="B95">
            <v>34673</v>
          </cell>
          <cell r="C95" t="str">
            <v>美国</v>
          </cell>
          <cell r="D95" t="str">
            <v>香料</v>
          </cell>
          <cell r="E95">
            <v>2240</v>
          </cell>
        </row>
        <row r="96">
          <cell r="A96">
            <v>1994</v>
          </cell>
          <cell r="B96">
            <v>34673</v>
          </cell>
          <cell r="C96" t="str">
            <v>美国</v>
          </cell>
          <cell r="D96" t="str">
            <v>糖果</v>
          </cell>
          <cell r="E96">
            <v>584</v>
          </cell>
        </row>
        <row r="97">
          <cell r="A97">
            <v>1994</v>
          </cell>
          <cell r="B97">
            <v>34673</v>
          </cell>
          <cell r="C97" t="str">
            <v>美国</v>
          </cell>
          <cell r="D97" t="str">
            <v>面食/谷类</v>
          </cell>
          <cell r="E97">
            <v>100.8</v>
          </cell>
        </row>
        <row r="98">
          <cell r="A98">
            <v>1994</v>
          </cell>
          <cell r="B98">
            <v>34674</v>
          </cell>
          <cell r="C98" t="str">
            <v>加拿大</v>
          </cell>
          <cell r="D98" t="str">
            <v>肉/家禽</v>
          </cell>
          <cell r="E98">
            <v>1010.8799983263016</v>
          </cell>
        </row>
        <row r="99">
          <cell r="A99">
            <v>1994</v>
          </cell>
          <cell r="B99">
            <v>34674</v>
          </cell>
          <cell r="C99" t="str">
            <v>加拿大</v>
          </cell>
          <cell r="D99" t="str">
            <v>面食/谷类</v>
          </cell>
          <cell r="E99">
            <v>608</v>
          </cell>
        </row>
        <row r="100">
          <cell r="A100">
            <v>1994</v>
          </cell>
          <cell r="B100">
            <v>34676</v>
          </cell>
          <cell r="C100" t="str">
            <v>美国</v>
          </cell>
          <cell r="D100" t="str">
            <v>饮料</v>
          </cell>
          <cell r="E100">
            <v>183.59999871253967</v>
          </cell>
        </row>
        <row r="101">
          <cell r="A101">
            <v>1994</v>
          </cell>
          <cell r="B101">
            <v>34676</v>
          </cell>
          <cell r="C101" t="str">
            <v>美国</v>
          </cell>
          <cell r="D101" t="str">
            <v>面食/谷类</v>
          </cell>
          <cell r="E101">
            <v>180</v>
          </cell>
        </row>
        <row r="102">
          <cell r="A102">
            <v>1994</v>
          </cell>
          <cell r="B102">
            <v>34677</v>
          </cell>
          <cell r="C102" t="str">
            <v>加拿大</v>
          </cell>
          <cell r="D102" t="str">
            <v>肉/家禽</v>
          </cell>
          <cell r="E102">
            <v>141.6</v>
          </cell>
        </row>
        <row r="103">
          <cell r="A103">
            <v>1994</v>
          </cell>
          <cell r="B103">
            <v>34687</v>
          </cell>
          <cell r="C103" t="str">
            <v>美国</v>
          </cell>
          <cell r="D103" t="str">
            <v>乳制品</v>
          </cell>
          <cell r="E103">
            <v>300</v>
          </cell>
        </row>
        <row r="104">
          <cell r="A104">
            <v>1994</v>
          </cell>
          <cell r="B104">
            <v>34687</v>
          </cell>
          <cell r="C104" t="str">
            <v>美国</v>
          </cell>
          <cell r="D104" t="str">
            <v>肉/家禽</v>
          </cell>
          <cell r="E104">
            <v>230.4</v>
          </cell>
        </row>
        <row r="105">
          <cell r="A105">
            <v>1994</v>
          </cell>
          <cell r="B105">
            <v>34687</v>
          </cell>
          <cell r="C105" t="str">
            <v>美国</v>
          </cell>
          <cell r="D105" t="str">
            <v>乳制品</v>
          </cell>
          <cell r="E105">
            <v>576</v>
          </cell>
        </row>
        <row r="106">
          <cell r="A106">
            <v>1994</v>
          </cell>
          <cell r="B106">
            <v>34691</v>
          </cell>
          <cell r="C106" t="str">
            <v>美国</v>
          </cell>
          <cell r="D106" t="str">
            <v>饮料</v>
          </cell>
          <cell r="E106">
            <v>699.83999884128571</v>
          </cell>
        </row>
        <row r="107">
          <cell r="A107">
            <v>1994</v>
          </cell>
          <cell r="B107">
            <v>34691</v>
          </cell>
          <cell r="C107" t="str">
            <v>美国</v>
          </cell>
          <cell r="D107" t="str">
            <v>乳制品</v>
          </cell>
          <cell r="E107">
            <v>1346.3999977707863</v>
          </cell>
        </row>
        <row r="108">
          <cell r="A108">
            <v>1994</v>
          </cell>
          <cell r="B108">
            <v>34695</v>
          </cell>
          <cell r="C108" t="str">
            <v>美国</v>
          </cell>
          <cell r="D108" t="str">
            <v>乳制品</v>
          </cell>
          <cell r="E108">
            <v>200</v>
          </cell>
        </row>
        <row r="109">
          <cell r="A109">
            <v>1994</v>
          </cell>
          <cell r="B109">
            <v>34695</v>
          </cell>
          <cell r="C109" t="str">
            <v>美国</v>
          </cell>
          <cell r="D109" t="str">
            <v>饮料</v>
          </cell>
          <cell r="E109">
            <v>74.400000000000006</v>
          </cell>
        </row>
        <row r="110">
          <cell r="A110">
            <v>1994</v>
          </cell>
          <cell r="B110">
            <v>34695</v>
          </cell>
          <cell r="C110" t="str">
            <v>美国</v>
          </cell>
          <cell r="D110" t="str">
            <v>饮料</v>
          </cell>
          <cell r="E110">
            <v>172.8</v>
          </cell>
        </row>
        <row r="111">
          <cell r="A111">
            <v>1995</v>
          </cell>
          <cell r="B111">
            <v>34701</v>
          </cell>
          <cell r="C111" t="str">
            <v>加拿大</v>
          </cell>
          <cell r="D111" t="str">
            <v>肉/家禽</v>
          </cell>
          <cell r="E111">
            <v>1980</v>
          </cell>
        </row>
        <row r="112">
          <cell r="A112">
            <v>1995</v>
          </cell>
          <cell r="B112">
            <v>34701</v>
          </cell>
          <cell r="C112" t="str">
            <v>加拿大</v>
          </cell>
          <cell r="D112" t="str">
            <v>面食/谷类</v>
          </cell>
          <cell r="E112">
            <v>410.4</v>
          </cell>
        </row>
        <row r="113">
          <cell r="A113">
            <v>1995</v>
          </cell>
          <cell r="B113">
            <v>34705</v>
          </cell>
          <cell r="C113" t="str">
            <v>加拿大</v>
          </cell>
          <cell r="D113" t="str">
            <v>农产品</v>
          </cell>
          <cell r="E113">
            <v>279</v>
          </cell>
        </row>
        <row r="114">
          <cell r="A114">
            <v>1995</v>
          </cell>
          <cell r="B114">
            <v>34705</v>
          </cell>
          <cell r="C114" t="str">
            <v>加拿大</v>
          </cell>
          <cell r="D114" t="str">
            <v>肉/家禽</v>
          </cell>
          <cell r="E114">
            <v>59</v>
          </cell>
        </row>
        <row r="115">
          <cell r="A115">
            <v>1995</v>
          </cell>
          <cell r="B115">
            <v>34716</v>
          </cell>
          <cell r="C115" t="str">
            <v>加拿大</v>
          </cell>
          <cell r="D115" t="str">
            <v>农产品</v>
          </cell>
          <cell r="E115">
            <v>191.99999928474426</v>
          </cell>
        </row>
        <row r="116">
          <cell r="A116">
            <v>1995</v>
          </cell>
          <cell r="B116">
            <v>34716</v>
          </cell>
          <cell r="C116" t="str">
            <v>加拿大</v>
          </cell>
          <cell r="D116" t="str">
            <v>乳制品</v>
          </cell>
          <cell r="E116">
            <v>435.19999837875366</v>
          </cell>
        </row>
        <row r="117">
          <cell r="A117">
            <v>1995</v>
          </cell>
          <cell r="B117">
            <v>34716</v>
          </cell>
          <cell r="C117" t="str">
            <v>加拿大</v>
          </cell>
          <cell r="D117" t="str">
            <v>糖果</v>
          </cell>
          <cell r="E117">
            <v>63.999999761581421</v>
          </cell>
        </row>
        <row r="118">
          <cell r="A118">
            <v>1995</v>
          </cell>
          <cell r="B118">
            <v>34722</v>
          </cell>
          <cell r="C118" t="str">
            <v>美国</v>
          </cell>
          <cell r="D118" t="str">
            <v>海洋食品</v>
          </cell>
          <cell r="E118">
            <v>86.4</v>
          </cell>
        </row>
        <row r="119">
          <cell r="A119">
            <v>1995</v>
          </cell>
          <cell r="B119">
            <v>34724</v>
          </cell>
          <cell r="C119" t="str">
            <v>加拿大</v>
          </cell>
          <cell r="D119" t="str">
            <v>饮料</v>
          </cell>
          <cell r="E119">
            <v>285</v>
          </cell>
        </row>
        <row r="120">
          <cell r="A120">
            <v>1995</v>
          </cell>
          <cell r="B120">
            <v>34724</v>
          </cell>
          <cell r="C120" t="str">
            <v>加拿大</v>
          </cell>
          <cell r="D120" t="str">
            <v>农产品</v>
          </cell>
          <cell r="E120">
            <v>585.9</v>
          </cell>
        </row>
        <row r="121">
          <cell r="A121">
            <v>1995</v>
          </cell>
          <cell r="B121">
            <v>34724</v>
          </cell>
          <cell r="C121" t="str">
            <v>加拿大</v>
          </cell>
          <cell r="D121" t="str">
            <v>糖果</v>
          </cell>
          <cell r="E121">
            <v>58.8</v>
          </cell>
        </row>
        <row r="122">
          <cell r="A122">
            <v>1995</v>
          </cell>
          <cell r="B122">
            <v>34724</v>
          </cell>
          <cell r="C122" t="str">
            <v>加拿大</v>
          </cell>
          <cell r="D122" t="str">
            <v>糖果</v>
          </cell>
          <cell r="E122">
            <v>1307.25</v>
          </cell>
        </row>
        <row r="123">
          <cell r="A123">
            <v>1995</v>
          </cell>
          <cell r="B123">
            <v>34724</v>
          </cell>
          <cell r="C123" t="str">
            <v>加拿大</v>
          </cell>
          <cell r="D123" t="str">
            <v>乳制品</v>
          </cell>
          <cell r="E123">
            <v>320</v>
          </cell>
        </row>
        <row r="124">
          <cell r="A124">
            <v>1995</v>
          </cell>
          <cell r="B124">
            <v>34724</v>
          </cell>
          <cell r="C124" t="str">
            <v>加拿大</v>
          </cell>
          <cell r="D124" t="str">
            <v>海洋食品</v>
          </cell>
          <cell r="E124">
            <v>48</v>
          </cell>
        </row>
        <row r="125">
          <cell r="A125">
            <v>1995</v>
          </cell>
          <cell r="B125">
            <v>34724</v>
          </cell>
          <cell r="C125" t="str">
            <v>加拿大</v>
          </cell>
          <cell r="D125" t="str">
            <v>糖果</v>
          </cell>
          <cell r="E125">
            <v>394</v>
          </cell>
        </row>
        <row r="126">
          <cell r="A126">
            <v>1995</v>
          </cell>
          <cell r="B126">
            <v>34726</v>
          </cell>
          <cell r="C126" t="str">
            <v>美国</v>
          </cell>
          <cell r="D126" t="str">
            <v>面食/谷类</v>
          </cell>
          <cell r="E126">
            <v>288</v>
          </cell>
        </row>
        <row r="127">
          <cell r="A127">
            <v>1995</v>
          </cell>
          <cell r="B127">
            <v>34726</v>
          </cell>
          <cell r="C127" t="str">
            <v>美国</v>
          </cell>
          <cell r="D127" t="str">
            <v>乳制品</v>
          </cell>
          <cell r="E127">
            <v>1032</v>
          </cell>
        </row>
        <row r="128">
          <cell r="A128">
            <v>1995</v>
          </cell>
          <cell r="B128">
            <v>34726</v>
          </cell>
          <cell r="C128" t="str">
            <v>美国</v>
          </cell>
          <cell r="D128" t="str">
            <v>乳制品</v>
          </cell>
          <cell r="E128">
            <v>583.79999999999995</v>
          </cell>
        </row>
        <row r="129">
          <cell r="A129">
            <v>1995</v>
          </cell>
          <cell r="B129">
            <v>34729</v>
          </cell>
          <cell r="C129" t="str">
            <v>加拿大</v>
          </cell>
          <cell r="D129" t="str">
            <v>饮料</v>
          </cell>
          <cell r="E129">
            <v>432</v>
          </cell>
        </row>
        <row r="130">
          <cell r="A130">
            <v>1995</v>
          </cell>
          <cell r="B130">
            <v>34729</v>
          </cell>
          <cell r="C130" t="str">
            <v>加拿大</v>
          </cell>
          <cell r="D130" t="str">
            <v>肉/家禽</v>
          </cell>
          <cell r="E130">
            <v>2073.5999965667725</v>
          </cell>
        </row>
        <row r="131">
          <cell r="A131">
            <v>1995</v>
          </cell>
          <cell r="B131">
            <v>34731</v>
          </cell>
          <cell r="C131" t="str">
            <v>加拿大</v>
          </cell>
          <cell r="D131" t="str">
            <v>海洋食品</v>
          </cell>
          <cell r="E131">
            <v>372.6</v>
          </cell>
        </row>
        <row r="132">
          <cell r="A132">
            <v>1995</v>
          </cell>
          <cell r="B132">
            <v>34731</v>
          </cell>
          <cell r="C132" t="str">
            <v>加拿大</v>
          </cell>
          <cell r="D132" t="str">
            <v>面食/谷类</v>
          </cell>
          <cell r="E132">
            <v>2128</v>
          </cell>
        </row>
        <row r="133">
          <cell r="A133">
            <v>1995</v>
          </cell>
          <cell r="B133">
            <v>34731</v>
          </cell>
          <cell r="C133" t="str">
            <v>加拿大</v>
          </cell>
          <cell r="D133" t="str">
            <v>香料</v>
          </cell>
          <cell r="E133">
            <v>336</v>
          </cell>
        </row>
        <row r="134">
          <cell r="A134">
            <v>1995</v>
          </cell>
          <cell r="B134">
            <v>34731</v>
          </cell>
          <cell r="C134" t="str">
            <v>加拿大</v>
          </cell>
          <cell r="D134" t="str">
            <v>乳制品</v>
          </cell>
          <cell r="E134">
            <v>1032</v>
          </cell>
        </row>
        <row r="135">
          <cell r="A135">
            <v>1995</v>
          </cell>
          <cell r="B135">
            <v>34737</v>
          </cell>
          <cell r="C135" t="str">
            <v>美国</v>
          </cell>
          <cell r="D135" t="str">
            <v>乳制品</v>
          </cell>
          <cell r="E135">
            <v>504</v>
          </cell>
        </row>
        <row r="136">
          <cell r="A136">
            <v>1995</v>
          </cell>
          <cell r="B136">
            <v>34737</v>
          </cell>
          <cell r="C136" t="str">
            <v>美国</v>
          </cell>
          <cell r="D136" t="str">
            <v>乳制品</v>
          </cell>
          <cell r="E136">
            <v>432</v>
          </cell>
        </row>
        <row r="137">
          <cell r="A137">
            <v>1995</v>
          </cell>
          <cell r="B137">
            <v>34737</v>
          </cell>
          <cell r="C137" t="str">
            <v>美国</v>
          </cell>
          <cell r="D137" t="str">
            <v>乳制品</v>
          </cell>
          <cell r="E137">
            <v>258</v>
          </cell>
        </row>
        <row r="138">
          <cell r="A138">
            <v>1995</v>
          </cell>
          <cell r="B138">
            <v>34745</v>
          </cell>
          <cell r="C138" t="str">
            <v>加拿大</v>
          </cell>
          <cell r="D138" t="str">
            <v>肉/家禽</v>
          </cell>
          <cell r="E138">
            <v>62.4</v>
          </cell>
        </row>
        <row r="139">
          <cell r="A139">
            <v>1995</v>
          </cell>
          <cell r="B139">
            <v>34745</v>
          </cell>
          <cell r="C139" t="str">
            <v>加拿大</v>
          </cell>
          <cell r="D139" t="str">
            <v>乳制品</v>
          </cell>
          <cell r="E139">
            <v>40</v>
          </cell>
        </row>
        <row r="140">
          <cell r="A140">
            <v>1995</v>
          </cell>
          <cell r="B140">
            <v>34747</v>
          </cell>
          <cell r="C140" t="str">
            <v>美国</v>
          </cell>
          <cell r="D140" t="str">
            <v>饮料</v>
          </cell>
          <cell r="E140">
            <v>912</v>
          </cell>
        </row>
        <row r="141">
          <cell r="A141">
            <v>1995</v>
          </cell>
          <cell r="B141">
            <v>34747</v>
          </cell>
          <cell r="C141" t="str">
            <v>美国</v>
          </cell>
          <cell r="D141" t="str">
            <v>糖果</v>
          </cell>
          <cell r="E141">
            <v>418</v>
          </cell>
        </row>
        <row r="142">
          <cell r="A142">
            <v>1995</v>
          </cell>
          <cell r="B142">
            <v>34747</v>
          </cell>
          <cell r="C142" t="str">
            <v>美国</v>
          </cell>
          <cell r="D142" t="str">
            <v>香料</v>
          </cell>
          <cell r="E142">
            <v>364.8</v>
          </cell>
        </row>
        <row r="143">
          <cell r="A143">
            <v>1995</v>
          </cell>
          <cell r="B143">
            <v>34747</v>
          </cell>
          <cell r="C143" t="str">
            <v>美国</v>
          </cell>
          <cell r="D143" t="str">
            <v>农产品</v>
          </cell>
          <cell r="E143">
            <v>120</v>
          </cell>
        </row>
        <row r="144">
          <cell r="A144">
            <v>1995</v>
          </cell>
          <cell r="B144">
            <v>34761</v>
          </cell>
          <cell r="C144" t="str">
            <v>加拿大</v>
          </cell>
          <cell r="D144" t="str">
            <v>糖果</v>
          </cell>
          <cell r="E144">
            <v>249</v>
          </cell>
        </row>
        <row r="145">
          <cell r="A145">
            <v>1995</v>
          </cell>
          <cell r="B145">
            <v>34761</v>
          </cell>
          <cell r="C145" t="str">
            <v>加拿大</v>
          </cell>
          <cell r="D145" t="str">
            <v>肉/家禽</v>
          </cell>
          <cell r="E145">
            <v>236</v>
          </cell>
        </row>
        <row r="146">
          <cell r="A146">
            <v>1995</v>
          </cell>
          <cell r="B146">
            <v>34767</v>
          </cell>
          <cell r="C146" t="str">
            <v>美国</v>
          </cell>
          <cell r="D146" t="str">
            <v>糖果</v>
          </cell>
          <cell r="E146">
            <v>87.59999967366457</v>
          </cell>
        </row>
        <row r="147">
          <cell r="A147">
            <v>1995</v>
          </cell>
          <cell r="B147">
            <v>34767</v>
          </cell>
          <cell r="C147" t="str">
            <v>美国</v>
          </cell>
          <cell r="D147" t="str">
            <v>饮料</v>
          </cell>
          <cell r="E147">
            <v>179.19999933242798</v>
          </cell>
        </row>
        <row r="148">
          <cell r="A148">
            <v>1995</v>
          </cell>
          <cell r="B148">
            <v>34767</v>
          </cell>
          <cell r="C148" t="str">
            <v>美国</v>
          </cell>
          <cell r="D148" t="str">
            <v>面食/谷类</v>
          </cell>
          <cell r="E148">
            <v>187.19999930262566</v>
          </cell>
        </row>
        <row r="149">
          <cell r="A149">
            <v>1995</v>
          </cell>
          <cell r="B149">
            <v>34771</v>
          </cell>
          <cell r="C149" t="str">
            <v>加拿大</v>
          </cell>
          <cell r="D149" t="str">
            <v>饮料</v>
          </cell>
          <cell r="E149">
            <v>581.3999959230423</v>
          </cell>
        </row>
        <row r="150">
          <cell r="A150">
            <v>1995</v>
          </cell>
          <cell r="B150">
            <v>34771</v>
          </cell>
          <cell r="C150" t="str">
            <v>加拿大</v>
          </cell>
          <cell r="D150" t="str">
            <v>糖果</v>
          </cell>
          <cell r="E150">
            <v>578.93499594032767</v>
          </cell>
        </row>
        <row r="151">
          <cell r="A151">
            <v>1995</v>
          </cell>
          <cell r="B151">
            <v>34771</v>
          </cell>
          <cell r="C151" t="str">
            <v>加拿大</v>
          </cell>
          <cell r="D151" t="str">
            <v>肉/家禽</v>
          </cell>
          <cell r="E151">
            <v>2019.5999858379364</v>
          </cell>
        </row>
        <row r="152">
          <cell r="A152">
            <v>1995</v>
          </cell>
          <cell r="B152">
            <v>34771</v>
          </cell>
          <cell r="C152" t="str">
            <v>加拿大</v>
          </cell>
          <cell r="D152" t="str">
            <v>香料</v>
          </cell>
          <cell r="E152">
            <v>1744.1999877691269</v>
          </cell>
        </row>
        <row r="153">
          <cell r="A153">
            <v>1995</v>
          </cell>
          <cell r="B153">
            <v>34771</v>
          </cell>
          <cell r="C153" t="str">
            <v>加拿大</v>
          </cell>
          <cell r="D153" t="str">
            <v>糖果</v>
          </cell>
          <cell r="E153">
            <v>1755</v>
          </cell>
        </row>
        <row r="154">
          <cell r="A154">
            <v>1995</v>
          </cell>
          <cell r="B154">
            <v>34775</v>
          </cell>
          <cell r="C154" t="str">
            <v>美国</v>
          </cell>
          <cell r="D154" t="str">
            <v>糖果</v>
          </cell>
          <cell r="E154">
            <v>78.839999869465828</v>
          </cell>
        </row>
        <row r="155">
          <cell r="A155">
            <v>1995</v>
          </cell>
          <cell r="B155">
            <v>34775</v>
          </cell>
          <cell r="C155" t="str">
            <v>美国</v>
          </cell>
          <cell r="D155" t="str">
            <v>饮料</v>
          </cell>
          <cell r="E155">
            <v>64.799999892711639</v>
          </cell>
        </row>
        <row r="156">
          <cell r="A156">
            <v>1995</v>
          </cell>
          <cell r="B156">
            <v>34775</v>
          </cell>
          <cell r="C156" t="str">
            <v>美国</v>
          </cell>
          <cell r="D156" t="str">
            <v>乳制品</v>
          </cell>
          <cell r="E156">
            <v>26.999999955296516</v>
          </cell>
        </row>
        <row r="157">
          <cell r="A157">
            <v>1995</v>
          </cell>
          <cell r="B157">
            <v>34775</v>
          </cell>
          <cell r="C157" t="str">
            <v>美国</v>
          </cell>
          <cell r="D157" t="str">
            <v>面食/谷类</v>
          </cell>
          <cell r="E157">
            <v>75.599999874830246</v>
          </cell>
        </row>
        <row r="158">
          <cell r="A158">
            <v>1995</v>
          </cell>
          <cell r="B158">
            <v>34780</v>
          </cell>
          <cell r="C158" t="str">
            <v>美国</v>
          </cell>
          <cell r="D158" t="str">
            <v>肉/家禽</v>
          </cell>
          <cell r="E158">
            <v>2073.5999965667725</v>
          </cell>
        </row>
        <row r="159">
          <cell r="A159">
            <v>1995</v>
          </cell>
          <cell r="B159">
            <v>34780</v>
          </cell>
          <cell r="C159" t="str">
            <v>美国</v>
          </cell>
          <cell r="D159" t="str">
            <v>面食/谷类</v>
          </cell>
          <cell r="E159">
            <v>837.89999861270189</v>
          </cell>
        </row>
        <row r="160">
          <cell r="A160">
            <v>1995</v>
          </cell>
          <cell r="B160">
            <v>34780</v>
          </cell>
          <cell r="C160" t="str">
            <v>美国</v>
          </cell>
          <cell r="D160" t="str">
            <v>香料</v>
          </cell>
          <cell r="E160">
            <v>423.35999929904938</v>
          </cell>
        </row>
        <row r="161">
          <cell r="A161">
            <v>1995</v>
          </cell>
          <cell r="B161">
            <v>34780</v>
          </cell>
          <cell r="C161" t="str">
            <v>美国</v>
          </cell>
          <cell r="D161" t="str">
            <v>香料</v>
          </cell>
          <cell r="E161">
            <v>514.79999914765358</v>
          </cell>
        </row>
        <row r="162">
          <cell r="A162">
            <v>1995</v>
          </cell>
          <cell r="B162">
            <v>34781</v>
          </cell>
          <cell r="C162" t="str">
            <v>加拿大</v>
          </cell>
          <cell r="D162" t="str">
            <v>农产品</v>
          </cell>
          <cell r="E162">
            <v>546</v>
          </cell>
        </row>
        <row r="163">
          <cell r="A163">
            <v>1995</v>
          </cell>
          <cell r="B163">
            <v>34781</v>
          </cell>
          <cell r="C163" t="str">
            <v>加拿大</v>
          </cell>
          <cell r="D163" t="str">
            <v>香料</v>
          </cell>
          <cell r="E163">
            <v>1472.49999884516</v>
          </cell>
        </row>
        <row r="164">
          <cell r="A164">
            <v>1995</v>
          </cell>
          <cell r="B164">
            <v>34786</v>
          </cell>
          <cell r="C164" t="str">
            <v>美国</v>
          </cell>
          <cell r="D164" t="str">
            <v>糖果</v>
          </cell>
          <cell r="E164">
            <v>271.99999809265137</v>
          </cell>
        </row>
        <row r="165">
          <cell r="A165">
            <v>1995</v>
          </cell>
          <cell r="B165">
            <v>34786</v>
          </cell>
          <cell r="C165" t="str">
            <v>美国</v>
          </cell>
          <cell r="D165" t="str">
            <v>糖果</v>
          </cell>
          <cell r="E165">
            <v>285.59999799728394</v>
          </cell>
        </row>
        <row r="166">
          <cell r="A166">
            <v>1995</v>
          </cell>
          <cell r="B166">
            <v>34786</v>
          </cell>
          <cell r="C166" t="str">
            <v>美国</v>
          </cell>
          <cell r="D166" t="str">
            <v>乳制品</v>
          </cell>
          <cell r="E166">
            <v>1584</v>
          </cell>
        </row>
        <row r="167">
          <cell r="A167">
            <v>1995</v>
          </cell>
          <cell r="B167">
            <v>34796</v>
          </cell>
          <cell r="C167" t="str">
            <v>美国</v>
          </cell>
          <cell r="D167" t="str">
            <v>海洋食品</v>
          </cell>
          <cell r="E167">
            <v>165.6</v>
          </cell>
        </row>
        <row r="168">
          <cell r="A168">
            <v>1995</v>
          </cell>
          <cell r="B168">
            <v>34796</v>
          </cell>
          <cell r="C168" t="str">
            <v>美国</v>
          </cell>
          <cell r="D168" t="str">
            <v>饮料</v>
          </cell>
          <cell r="E168">
            <v>552</v>
          </cell>
        </row>
        <row r="169">
          <cell r="A169">
            <v>1995</v>
          </cell>
          <cell r="B169">
            <v>34799</v>
          </cell>
          <cell r="C169" t="str">
            <v>加拿大</v>
          </cell>
          <cell r="D169" t="str">
            <v>饮料</v>
          </cell>
          <cell r="E169">
            <v>516.7999963760376</v>
          </cell>
        </row>
        <row r="170">
          <cell r="A170">
            <v>1995</v>
          </cell>
          <cell r="B170">
            <v>34799</v>
          </cell>
          <cell r="C170" t="str">
            <v>加拿大</v>
          </cell>
          <cell r="D170" t="str">
            <v>糖果</v>
          </cell>
          <cell r="E170">
            <v>413.52499710023403</v>
          </cell>
        </row>
        <row r="171">
          <cell r="A171">
            <v>1995</v>
          </cell>
          <cell r="B171">
            <v>34799</v>
          </cell>
          <cell r="C171" t="str">
            <v>加拿大</v>
          </cell>
          <cell r="D171" t="str">
            <v>香料</v>
          </cell>
          <cell r="E171">
            <v>26.349999815225601</v>
          </cell>
        </row>
        <row r="172">
          <cell r="A172">
            <v>1995</v>
          </cell>
          <cell r="B172">
            <v>34808</v>
          </cell>
          <cell r="C172" t="str">
            <v>加拿大</v>
          </cell>
          <cell r="D172" t="str">
            <v>饮料</v>
          </cell>
          <cell r="E172">
            <v>6324</v>
          </cell>
        </row>
        <row r="173">
          <cell r="A173">
            <v>1995</v>
          </cell>
          <cell r="B173">
            <v>34808</v>
          </cell>
          <cell r="C173" t="str">
            <v>加拿大</v>
          </cell>
          <cell r="D173" t="str">
            <v>肉/家禽</v>
          </cell>
          <cell r="E173">
            <v>733.6</v>
          </cell>
        </row>
        <row r="174">
          <cell r="A174">
            <v>1995</v>
          </cell>
          <cell r="B174">
            <v>34808</v>
          </cell>
          <cell r="C174" t="str">
            <v>加拿大</v>
          </cell>
          <cell r="D174" t="str">
            <v>乳制品</v>
          </cell>
          <cell r="E174">
            <v>2640</v>
          </cell>
        </row>
        <row r="175">
          <cell r="A175">
            <v>1995</v>
          </cell>
          <cell r="B175">
            <v>34808</v>
          </cell>
          <cell r="C175" t="str">
            <v>加拿大</v>
          </cell>
          <cell r="D175" t="str">
            <v>面食/谷类</v>
          </cell>
          <cell r="E175">
            <v>798</v>
          </cell>
        </row>
        <row r="176">
          <cell r="A176">
            <v>1995</v>
          </cell>
          <cell r="B176">
            <v>34810</v>
          </cell>
          <cell r="C176" t="str">
            <v>加拿大</v>
          </cell>
          <cell r="D176" t="str">
            <v>海洋食品</v>
          </cell>
          <cell r="E176">
            <v>147</v>
          </cell>
        </row>
        <row r="177">
          <cell r="A177">
            <v>1995</v>
          </cell>
          <cell r="B177">
            <v>34813</v>
          </cell>
          <cell r="C177" t="str">
            <v>加拿大</v>
          </cell>
          <cell r="D177" t="str">
            <v>饮料</v>
          </cell>
          <cell r="E177">
            <v>372.39999970793724</v>
          </cell>
        </row>
        <row r="178">
          <cell r="A178">
            <v>1995</v>
          </cell>
          <cell r="B178">
            <v>34813</v>
          </cell>
          <cell r="C178" t="str">
            <v>加拿大</v>
          </cell>
          <cell r="D178" t="str">
            <v>香料</v>
          </cell>
          <cell r="E178">
            <v>296.39999976754189</v>
          </cell>
        </row>
        <row r="179">
          <cell r="A179">
            <v>1995</v>
          </cell>
          <cell r="B179">
            <v>34816</v>
          </cell>
          <cell r="C179" t="str">
            <v>美国</v>
          </cell>
          <cell r="D179" t="str">
            <v>乳制品</v>
          </cell>
          <cell r="E179">
            <v>1320</v>
          </cell>
        </row>
        <row r="180">
          <cell r="A180">
            <v>1995</v>
          </cell>
          <cell r="B180">
            <v>34816</v>
          </cell>
          <cell r="C180" t="str">
            <v>美国</v>
          </cell>
          <cell r="D180" t="str">
            <v>海洋食品</v>
          </cell>
          <cell r="E180">
            <v>191.99999928474426</v>
          </cell>
        </row>
        <row r="181">
          <cell r="A181">
            <v>1995</v>
          </cell>
          <cell r="B181">
            <v>34824</v>
          </cell>
          <cell r="C181" t="str">
            <v>美国</v>
          </cell>
          <cell r="D181" t="str">
            <v>面食/谷类</v>
          </cell>
          <cell r="E181">
            <v>425.6</v>
          </cell>
        </row>
        <row r="182">
          <cell r="A182">
            <v>1995</v>
          </cell>
          <cell r="B182">
            <v>34824</v>
          </cell>
          <cell r="C182" t="str">
            <v>美国</v>
          </cell>
          <cell r="D182" t="str">
            <v>乳制品</v>
          </cell>
          <cell r="E182">
            <v>695</v>
          </cell>
        </row>
        <row r="183">
          <cell r="A183">
            <v>1995</v>
          </cell>
          <cell r="B183">
            <v>34824</v>
          </cell>
          <cell r="C183" t="str">
            <v>美国</v>
          </cell>
          <cell r="D183" t="str">
            <v>香料</v>
          </cell>
          <cell r="E183">
            <v>260</v>
          </cell>
        </row>
        <row r="184">
          <cell r="A184">
            <v>1995</v>
          </cell>
          <cell r="B184">
            <v>34829</v>
          </cell>
          <cell r="C184" t="str">
            <v>美国</v>
          </cell>
          <cell r="D184" t="str">
            <v>肉/家禽</v>
          </cell>
          <cell r="E184">
            <v>149</v>
          </cell>
        </row>
        <row r="185">
          <cell r="A185">
            <v>1995</v>
          </cell>
          <cell r="B185">
            <v>34831</v>
          </cell>
          <cell r="C185" t="str">
            <v>加拿大</v>
          </cell>
          <cell r="D185" t="str">
            <v>饮料</v>
          </cell>
          <cell r="E185">
            <v>228</v>
          </cell>
        </row>
        <row r="186">
          <cell r="A186">
            <v>1995</v>
          </cell>
          <cell r="B186">
            <v>34831</v>
          </cell>
          <cell r="C186" t="str">
            <v>加拿大</v>
          </cell>
          <cell r="D186" t="str">
            <v>糖果</v>
          </cell>
          <cell r="E186">
            <v>120</v>
          </cell>
        </row>
        <row r="187">
          <cell r="A187">
            <v>1995</v>
          </cell>
          <cell r="B187">
            <v>34831</v>
          </cell>
          <cell r="C187" t="str">
            <v>加拿大</v>
          </cell>
          <cell r="D187" t="str">
            <v>肉/家禽</v>
          </cell>
          <cell r="E187">
            <v>328</v>
          </cell>
        </row>
        <row r="188">
          <cell r="A188">
            <v>1995</v>
          </cell>
          <cell r="B188">
            <v>34831</v>
          </cell>
          <cell r="C188" t="str">
            <v>加拿大</v>
          </cell>
          <cell r="D188" t="str">
            <v>香料</v>
          </cell>
          <cell r="E188">
            <v>712.5</v>
          </cell>
        </row>
        <row r="189">
          <cell r="A189">
            <v>1995</v>
          </cell>
          <cell r="B189">
            <v>34835</v>
          </cell>
          <cell r="C189" t="str">
            <v>美国</v>
          </cell>
          <cell r="D189" t="str">
            <v>糖果</v>
          </cell>
          <cell r="E189">
            <v>226.79999962449074</v>
          </cell>
        </row>
        <row r="190">
          <cell r="A190">
            <v>1995</v>
          </cell>
          <cell r="B190">
            <v>34835</v>
          </cell>
          <cell r="C190" t="str">
            <v>美国</v>
          </cell>
          <cell r="D190" t="str">
            <v>饮料</v>
          </cell>
          <cell r="E190">
            <v>188.99999968707561</v>
          </cell>
        </row>
        <row r="191">
          <cell r="A191">
            <v>1995</v>
          </cell>
          <cell r="B191">
            <v>34836</v>
          </cell>
          <cell r="C191" t="str">
            <v>美国</v>
          </cell>
          <cell r="D191" t="str">
            <v>海洋食品</v>
          </cell>
          <cell r="E191">
            <v>60</v>
          </cell>
        </row>
        <row r="192">
          <cell r="A192">
            <v>1995</v>
          </cell>
          <cell r="B192">
            <v>34836</v>
          </cell>
          <cell r="C192" t="str">
            <v>美国</v>
          </cell>
          <cell r="D192" t="str">
            <v>饮料</v>
          </cell>
          <cell r="E192">
            <v>180</v>
          </cell>
        </row>
        <row r="193">
          <cell r="A193">
            <v>1995</v>
          </cell>
          <cell r="B193">
            <v>34837</v>
          </cell>
          <cell r="C193" t="str">
            <v>美国</v>
          </cell>
          <cell r="D193" t="str">
            <v>农产品</v>
          </cell>
          <cell r="E193">
            <v>136.80000000000001</v>
          </cell>
        </row>
        <row r="194">
          <cell r="A194">
            <v>1995</v>
          </cell>
          <cell r="B194">
            <v>34838</v>
          </cell>
          <cell r="C194" t="str">
            <v>加拿大</v>
          </cell>
          <cell r="D194" t="str">
            <v>肉/家禽</v>
          </cell>
          <cell r="E194">
            <v>4456.4399999999996</v>
          </cell>
        </row>
        <row r="195">
          <cell r="A195">
            <v>1995</v>
          </cell>
          <cell r="B195">
            <v>34838</v>
          </cell>
          <cell r="C195" t="str">
            <v>加拿大</v>
          </cell>
          <cell r="D195" t="str">
            <v>饮料</v>
          </cell>
          <cell r="E195">
            <v>251.0999995842576</v>
          </cell>
        </row>
        <row r="196">
          <cell r="A196">
            <v>1995</v>
          </cell>
          <cell r="B196">
            <v>34842</v>
          </cell>
          <cell r="C196" t="str">
            <v>美国</v>
          </cell>
          <cell r="D196" t="str">
            <v>糖果</v>
          </cell>
          <cell r="E196">
            <v>319.9999988079071</v>
          </cell>
        </row>
        <row r="197">
          <cell r="A197">
            <v>1995</v>
          </cell>
          <cell r="B197">
            <v>34842</v>
          </cell>
          <cell r="C197" t="str">
            <v>美国</v>
          </cell>
          <cell r="D197" t="str">
            <v>乳制品</v>
          </cell>
          <cell r="E197">
            <v>1279.9999952316284</v>
          </cell>
        </row>
        <row r="198">
          <cell r="A198">
            <v>1995</v>
          </cell>
          <cell r="B198">
            <v>34842</v>
          </cell>
          <cell r="C198" t="str">
            <v>美国</v>
          </cell>
          <cell r="D198" t="str">
            <v>香料</v>
          </cell>
          <cell r="E198">
            <v>341.99999872595072</v>
          </cell>
        </row>
        <row r="199">
          <cell r="A199">
            <v>1995</v>
          </cell>
          <cell r="B199">
            <v>34843</v>
          </cell>
          <cell r="C199" t="str">
            <v>美国</v>
          </cell>
          <cell r="D199" t="str">
            <v>肉/家禽</v>
          </cell>
          <cell r="E199">
            <v>1319.1999907493591</v>
          </cell>
        </row>
        <row r="200">
          <cell r="A200">
            <v>1995</v>
          </cell>
          <cell r="B200">
            <v>34843</v>
          </cell>
          <cell r="C200" t="str">
            <v>美国</v>
          </cell>
          <cell r="D200" t="str">
            <v>糖果</v>
          </cell>
          <cell r="E200">
            <v>872.5</v>
          </cell>
        </row>
        <row r="201">
          <cell r="A201">
            <v>1995</v>
          </cell>
          <cell r="B201">
            <v>34843</v>
          </cell>
          <cell r="C201" t="str">
            <v>美国</v>
          </cell>
          <cell r="D201" t="str">
            <v>糖果</v>
          </cell>
          <cell r="E201">
            <v>5268</v>
          </cell>
        </row>
        <row r="202">
          <cell r="A202">
            <v>1995</v>
          </cell>
          <cell r="B202">
            <v>34843</v>
          </cell>
          <cell r="C202" t="str">
            <v>美国</v>
          </cell>
          <cell r="D202" t="str">
            <v>乳制品</v>
          </cell>
          <cell r="E202">
            <v>33.999999761581421</v>
          </cell>
        </row>
        <row r="203">
          <cell r="A203">
            <v>1995</v>
          </cell>
          <cell r="B203">
            <v>34843</v>
          </cell>
          <cell r="C203" t="str">
            <v>美国</v>
          </cell>
          <cell r="D203" t="str">
            <v>乳制品</v>
          </cell>
          <cell r="E203">
            <v>2427.5999829769135</v>
          </cell>
        </row>
        <row r="204">
          <cell r="A204">
            <v>1995</v>
          </cell>
          <cell r="B204">
            <v>34850</v>
          </cell>
          <cell r="C204" t="str">
            <v>美国</v>
          </cell>
          <cell r="D204" t="str">
            <v>饮料</v>
          </cell>
          <cell r="E204">
            <v>575.99999785423279</v>
          </cell>
        </row>
        <row r="205">
          <cell r="A205">
            <v>1995</v>
          </cell>
          <cell r="B205">
            <v>34850</v>
          </cell>
          <cell r="C205" t="str">
            <v>美国</v>
          </cell>
          <cell r="D205" t="str">
            <v>香料</v>
          </cell>
          <cell r="E205">
            <v>960</v>
          </cell>
        </row>
        <row r="206">
          <cell r="A206">
            <v>1995</v>
          </cell>
          <cell r="B206">
            <v>34850</v>
          </cell>
          <cell r="C206" t="str">
            <v>美国</v>
          </cell>
          <cell r="D206" t="str">
            <v>海洋食品</v>
          </cell>
          <cell r="E206">
            <v>414.23999845683574</v>
          </cell>
        </row>
        <row r="207">
          <cell r="A207">
            <v>1995</v>
          </cell>
          <cell r="B207">
            <v>34850</v>
          </cell>
          <cell r="C207" t="str">
            <v>美国</v>
          </cell>
          <cell r="D207" t="str">
            <v>海洋食品</v>
          </cell>
          <cell r="E207">
            <v>367.99999862909317</v>
          </cell>
        </row>
        <row r="208">
          <cell r="A208">
            <v>1995</v>
          </cell>
          <cell r="B208">
            <v>34855</v>
          </cell>
          <cell r="C208" t="str">
            <v>美国</v>
          </cell>
          <cell r="D208" t="str">
            <v>香料</v>
          </cell>
          <cell r="E208">
            <v>989.99999836087227</v>
          </cell>
        </row>
        <row r="209">
          <cell r="A209">
            <v>1995</v>
          </cell>
          <cell r="B209">
            <v>34855</v>
          </cell>
          <cell r="C209" t="str">
            <v>美国</v>
          </cell>
          <cell r="D209" t="str">
            <v>海洋食品</v>
          </cell>
          <cell r="E209">
            <v>512.99999915063381</v>
          </cell>
        </row>
        <row r="210">
          <cell r="A210">
            <v>1995</v>
          </cell>
          <cell r="B210">
            <v>34856</v>
          </cell>
          <cell r="C210" t="str">
            <v>加拿大</v>
          </cell>
          <cell r="D210" t="str">
            <v>乳制品</v>
          </cell>
          <cell r="E210">
            <v>63</v>
          </cell>
        </row>
        <row r="211">
          <cell r="A211">
            <v>1995</v>
          </cell>
          <cell r="B211">
            <v>34856</v>
          </cell>
          <cell r="C211" t="str">
            <v>加拿大</v>
          </cell>
          <cell r="D211" t="str">
            <v>乳制品</v>
          </cell>
          <cell r="E211">
            <v>15.999999940395355</v>
          </cell>
        </row>
        <row r="212">
          <cell r="A212">
            <v>1995</v>
          </cell>
          <cell r="B212">
            <v>34856</v>
          </cell>
          <cell r="C212" t="str">
            <v>加拿大</v>
          </cell>
          <cell r="D212" t="str">
            <v>乳制品</v>
          </cell>
          <cell r="E212">
            <v>313.2</v>
          </cell>
        </row>
        <row r="213">
          <cell r="A213">
            <v>1995</v>
          </cell>
          <cell r="B213">
            <v>34862</v>
          </cell>
          <cell r="C213" t="str">
            <v>美国</v>
          </cell>
          <cell r="D213" t="str">
            <v>海洋食品</v>
          </cell>
          <cell r="E213">
            <v>258.89999999999998</v>
          </cell>
        </row>
        <row r="214">
          <cell r="A214">
            <v>1995</v>
          </cell>
          <cell r="B214">
            <v>34862</v>
          </cell>
          <cell r="C214" t="str">
            <v>美国</v>
          </cell>
          <cell r="D214" t="str">
            <v>海洋食品</v>
          </cell>
          <cell r="E214">
            <v>147.19999945163727</v>
          </cell>
        </row>
        <row r="215">
          <cell r="A215">
            <v>1995</v>
          </cell>
          <cell r="B215">
            <v>34862</v>
          </cell>
          <cell r="C215" t="str">
            <v>美国</v>
          </cell>
          <cell r="D215" t="str">
            <v>肉/家禽</v>
          </cell>
          <cell r="E215">
            <v>59.599999777972698</v>
          </cell>
        </row>
        <row r="216">
          <cell r="A216">
            <v>1995</v>
          </cell>
          <cell r="B216">
            <v>34864</v>
          </cell>
          <cell r="C216" t="str">
            <v>美国</v>
          </cell>
          <cell r="D216" t="str">
            <v>乳制品</v>
          </cell>
          <cell r="E216">
            <v>427.5</v>
          </cell>
        </row>
        <row r="217">
          <cell r="A217">
            <v>1995</v>
          </cell>
          <cell r="B217">
            <v>34864</v>
          </cell>
          <cell r="C217" t="str">
            <v>美国</v>
          </cell>
          <cell r="D217" t="str">
            <v>乳制品</v>
          </cell>
          <cell r="E217">
            <v>250</v>
          </cell>
        </row>
        <row r="218">
          <cell r="A218">
            <v>1995</v>
          </cell>
          <cell r="B218">
            <v>34864</v>
          </cell>
          <cell r="C218" t="str">
            <v>美国</v>
          </cell>
          <cell r="D218" t="str">
            <v>乳制品</v>
          </cell>
          <cell r="E218">
            <v>75</v>
          </cell>
        </row>
        <row r="219">
          <cell r="A219">
            <v>1995</v>
          </cell>
          <cell r="B219">
            <v>34864</v>
          </cell>
          <cell r="C219" t="str">
            <v>美国</v>
          </cell>
          <cell r="D219" t="str">
            <v>乳制品</v>
          </cell>
          <cell r="E219">
            <v>892.5</v>
          </cell>
        </row>
        <row r="220">
          <cell r="A220">
            <v>1995</v>
          </cell>
          <cell r="B220">
            <v>34869</v>
          </cell>
          <cell r="C220" t="str">
            <v>美国</v>
          </cell>
          <cell r="D220" t="str">
            <v>香料</v>
          </cell>
          <cell r="E220">
            <v>600</v>
          </cell>
        </row>
        <row r="221">
          <cell r="A221">
            <v>1995</v>
          </cell>
          <cell r="B221">
            <v>34869</v>
          </cell>
          <cell r="C221" t="str">
            <v>美国</v>
          </cell>
          <cell r="D221" t="str">
            <v>糖果</v>
          </cell>
          <cell r="E221">
            <v>1249.2</v>
          </cell>
        </row>
        <row r="222">
          <cell r="A222">
            <v>1995</v>
          </cell>
          <cell r="B222">
            <v>34869</v>
          </cell>
          <cell r="C222" t="str">
            <v>美国</v>
          </cell>
          <cell r="D222" t="str">
            <v>饮料</v>
          </cell>
          <cell r="E222">
            <v>7905</v>
          </cell>
        </row>
        <row r="223">
          <cell r="A223">
            <v>1995</v>
          </cell>
          <cell r="B223">
            <v>34869</v>
          </cell>
          <cell r="C223" t="str">
            <v>美国</v>
          </cell>
          <cell r="D223" t="str">
            <v>糖果</v>
          </cell>
          <cell r="E223">
            <v>437.5</v>
          </cell>
        </row>
        <row r="224">
          <cell r="A224">
            <v>1995</v>
          </cell>
          <cell r="B224">
            <v>34870</v>
          </cell>
          <cell r="C224" t="str">
            <v>美国</v>
          </cell>
          <cell r="D224" t="str">
            <v>乳制品</v>
          </cell>
          <cell r="E224">
            <v>299.24999976530671</v>
          </cell>
        </row>
        <row r="225">
          <cell r="A225">
            <v>1995</v>
          </cell>
          <cell r="B225">
            <v>34870</v>
          </cell>
          <cell r="C225" t="str">
            <v>美国</v>
          </cell>
          <cell r="D225" t="str">
            <v>肉/家禽</v>
          </cell>
          <cell r="E225">
            <v>169.85999986678362</v>
          </cell>
        </row>
        <row r="226">
          <cell r="A226">
            <v>1995</v>
          </cell>
          <cell r="B226">
            <v>34871</v>
          </cell>
          <cell r="C226" t="str">
            <v>加拿大</v>
          </cell>
          <cell r="D226" t="str">
            <v>农产品</v>
          </cell>
          <cell r="E226">
            <v>319.2</v>
          </cell>
        </row>
        <row r="227">
          <cell r="A227">
            <v>1995</v>
          </cell>
          <cell r="B227">
            <v>34871</v>
          </cell>
          <cell r="C227" t="str">
            <v>加拿大</v>
          </cell>
          <cell r="D227" t="str">
            <v>饮料</v>
          </cell>
          <cell r="E227">
            <v>98</v>
          </cell>
        </row>
        <row r="228">
          <cell r="A228">
            <v>1995</v>
          </cell>
          <cell r="B228">
            <v>34872</v>
          </cell>
          <cell r="C228" t="str">
            <v>加拿大</v>
          </cell>
          <cell r="D228" t="str">
            <v>乳制品</v>
          </cell>
          <cell r="E228">
            <v>210</v>
          </cell>
        </row>
        <row r="229">
          <cell r="A229">
            <v>1995</v>
          </cell>
          <cell r="B229">
            <v>34876</v>
          </cell>
          <cell r="C229" t="str">
            <v>美国</v>
          </cell>
          <cell r="D229" t="str">
            <v>饮料</v>
          </cell>
          <cell r="E229">
            <v>105</v>
          </cell>
        </row>
        <row r="230">
          <cell r="A230">
            <v>1995</v>
          </cell>
          <cell r="B230">
            <v>34876</v>
          </cell>
          <cell r="C230" t="str">
            <v>美国</v>
          </cell>
          <cell r="D230" t="str">
            <v>海洋食品</v>
          </cell>
          <cell r="E230">
            <v>135.1</v>
          </cell>
        </row>
        <row r="231">
          <cell r="A231">
            <v>1995</v>
          </cell>
          <cell r="B231">
            <v>34877</v>
          </cell>
          <cell r="C231" t="str">
            <v>美国</v>
          </cell>
          <cell r="D231" t="str">
            <v>乳制品</v>
          </cell>
          <cell r="E231">
            <v>584.37499590218067</v>
          </cell>
        </row>
        <row r="232">
          <cell r="A232">
            <v>1995</v>
          </cell>
          <cell r="B232">
            <v>34877</v>
          </cell>
          <cell r="C232" t="str">
            <v>美国</v>
          </cell>
          <cell r="D232" t="str">
            <v>海洋食品</v>
          </cell>
          <cell r="E232">
            <v>807.49999433755875</v>
          </cell>
        </row>
        <row r="233">
          <cell r="A233">
            <v>1995</v>
          </cell>
          <cell r="B233">
            <v>34877</v>
          </cell>
          <cell r="C233" t="str">
            <v>美国</v>
          </cell>
          <cell r="D233" t="str">
            <v>农产品</v>
          </cell>
          <cell r="E233">
            <v>2162.3999848365784</v>
          </cell>
        </row>
        <row r="234">
          <cell r="A234">
            <v>1995</v>
          </cell>
          <cell r="B234">
            <v>34880</v>
          </cell>
          <cell r="C234" t="str">
            <v>美国</v>
          </cell>
          <cell r="D234" t="str">
            <v>糖果</v>
          </cell>
          <cell r="E234">
            <v>497.32499960996211</v>
          </cell>
        </row>
        <row r="235">
          <cell r="A235">
            <v>1995</v>
          </cell>
          <cell r="B235">
            <v>34880</v>
          </cell>
          <cell r="C235" t="str">
            <v>美国</v>
          </cell>
          <cell r="D235" t="str">
            <v>面食/谷类</v>
          </cell>
          <cell r="E235">
            <v>170.99999986588955</v>
          </cell>
        </row>
        <row r="236">
          <cell r="A236">
            <v>1995</v>
          </cell>
          <cell r="B236">
            <v>34880</v>
          </cell>
          <cell r="C236" t="str">
            <v>美国</v>
          </cell>
          <cell r="D236" t="str">
            <v>糖果</v>
          </cell>
          <cell r="E236">
            <v>936.69999926537275</v>
          </cell>
        </row>
        <row r="237">
          <cell r="A237">
            <v>1995</v>
          </cell>
          <cell r="B237">
            <v>34880</v>
          </cell>
          <cell r="C237" t="str">
            <v>美国</v>
          </cell>
          <cell r="D237" t="str">
            <v>香料</v>
          </cell>
          <cell r="E237">
            <v>123.49999990314245</v>
          </cell>
        </row>
        <row r="238">
          <cell r="A238">
            <v>1995</v>
          </cell>
          <cell r="B238">
            <v>34883</v>
          </cell>
          <cell r="C238" t="str">
            <v>加拿大</v>
          </cell>
          <cell r="D238" t="str">
            <v>农产品</v>
          </cell>
          <cell r="E238">
            <v>557.99999792128801</v>
          </cell>
        </row>
        <row r="239">
          <cell r="A239">
            <v>1995</v>
          </cell>
          <cell r="B239">
            <v>34883</v>
          </cell>
          <cell r="C239" t="str">
            <v>加拿大</v>
          </cell>
          <cell r="D239" t="str">
            <v>糖果</v>
          </cell>
          <cell r="E239">
            <v>257.59999904036522</v>
          </cell>
        </row>
        <row r="240">
          <cell r="A240">
            <v>1995</v>
          </cell>
          <cell r="B240">
            <v>34883</v>
          </cell>
          <cell r="C240" t="str">
            <v>加拿大</v>
          </cell>
          <cell r="D240" t="str">
            <v>饮料</v>
          </cell>
          <cell r="E240">
            <v>64.799999758601189</v>
          </cell>
        </row>
        <row r="241">
          <cell r="A241">
            <v>1995</v>
          </cell>
          <cell r="B241">
            <v>34883</v>
          </cell>
          <cell r="C241" t="str">
            <v>加拿大</v>
          </cell>
          <cell r="D241" t="str">
            <v>农产品</v>
          </cell>
          <cell r="E241">
            <v>847.99999684095383</v>
          </cell>
        </row>
        <row r="242">
          <cell r="A242">
            <v>1995</v>
          </cell>
          <cell r="B242">
            <v>34883</v>
          </cell>
          <cell r="C242" t="str">
            <v>加拿大</v>
          </cell>
          <cell r="D242" t="str">
            <v>面食/谷类</v>
          </cell>
          <cell r="E242">
            <v>1215.999995470047</v>
          </cell>
        </row>
        <row r="243">
          <cell r="A243">
            <v>1995</v>
          </cell>
          <cell r="B243">
            <v>34884</v>
          </cell>
          <cell r="C243" t="str">
            <v>美国</v>
          </cell>
          <cell r="D243" t="str">
            <v>面食/谷类</v>
          </cell>
          <cell r="E243">
            <v>997.5</v>
          </cell>
        </row>
        <row r="244">
          <cell r="A244">
            <v>1995</v>
          </cell>
          <cell r="B244">
            <v>34884</v>
          </cell>
          <cell r="C244" t="str">
            <v>美国</v>
          </cell>
          <cell r="D244" t="str">
            <v>饮料</v>
          </cell>
          <cell r="E244">
            <v>155</v>
          </cell>
        </row>
        <row r="245">
          <cell r="A245">
            <v>1995</v>
          </cell>
          <cell r="B245">
            <v>34887</v>
          </cell>
          <cell r="C245" t="str">
            <v>美国</v>
          </cell>
          <cell r="D245" t="str">
            <v>海洋食品</v>
          </cell>
          <cell r="E245">
            <v>517.79999999999995</v>
          </cell>
        </row>
        <row r="246">
          <cell r="A246">
            <v>1995</v>
          </cell>
          <cell r="B246">
            <v>34887</v>
          </cell>
          <cell r="C246" t="str">
            <v>美国</v>
          </cell>
          <cell r="D246" t="str">
            <v>糖果</v>
          </cell>
          <cell r="E246">
            <v>554.625</v>
          </cell>
        </row>
        <row r="247">
          <cell r="A247">
            <v>1995</v>
          </cell>
          <cell r="B247">
            <v>34891</v>
          </cell>
          <cell r="C247" t="str">
            <v>加拿大</v>
          </cell>
          <cell r="D247" t="str">
            <v>肉/家禽</v>
          </cell>
          <cell r="E247">
            <v>592.79999953508377</v>
          </cell>
        </row>
        <row r="248">
          <cell r="A248">
            <v>1995</v>
          </cell>
          <cell r="B248">
            <v>34891</v>
          </cell>
          <cell r="C248" t="str">
            <v>加拿大</v>
          </cell>
          <cell r="D248" t="str">
            <v>乳制品</v>
          </cell>
          <cell r="E248">
            <v>71.249999944120646</v>
          </cell>
        </row>
        <row r="249">
          <cell r="A249">
            <v>1995</v>
          </cell>
          <cell r="B249">
            <v>34891</v>
          </cell>
          <cell r="C249" t="str">
            <v>加拿大</v>
          </cell>
          <cell r="D249" t="str">
            <v>肉/家禽</v>
          </cell>
          <cell r="E249">
            <v>569.99999955296516</v>
          </cell>
        </row>
        <row r="250">
          <cell r="A250">
            <v>1995</v>
          </cell>
          <cell r="B250">
            <v>34897</v>
          </cell>
          <cell r="C250" t="str">
            <v>加拿大</v>
          </cell>
          <cell r="D250" t="str">
            <v>乳制品</v>
          </cell>
          <cell r="E250">
            <v>349.9999986961484</v>
          </cell>
        </row>
        <row r="251">
          <cell r="A251">
            <v>1995</v>
          </cell>
          <cell r="B251">
            <v>34897</v>
          </cell>
          <cell r="C251" t="str">
            <v>加拿大</v>
          </cell>
          <cell r="D251" t="str">
            <v>饮料</v>
          </cell>
          <cell r="E251">
            <v>540</v>
          </cell>
        </row>
        <row r="252">
          <cell r="A252">
            <v>1995</v>
          </cell>
          <cell r="B252">
            <v>34900</v>
          </cell>
          <cell r="C252" t="str">
            <v>加拿大</v>
          </cell>
          <cell r="D252" t="str">
            <v>乳制品</v>
          </cell>
          <cell r="E252">
            <v>35</v>
          </cell>
        </row>
        <row r="253">
          <cell r="A253">
            <v>1995</v>
          </cell>
          <cell r="B253">
            <v>34900</v>
          </cell>
          <cell r="C253" t="str">
            <v>加拿大</v>
          </cell>
          <cell r="D253" t="str">
            <v>海洋食品</v>
          </cell>
          <cell r="E253">
            <v>36.799999999999997</v>
          </cell>
        </row>
        <row r="254">
          <cell r="A254">
            <v>1995</v>
          </cell>
          <cell r="B254">
            <v>34900</v>
          </cell>
          <cell r="C254" t="str">
            <v>加拿大</v>
          </cell>
          <cell r="D254" t="str">
            <v>糖果</v>
          </cell>
          <cell r="E254">
            <v>493</v>
          </cell>
        </row>
        <row r="255">
          <cell r="A255">
            <v>1995</v>
          </cell>
          <cell r="B255">
            <v>34900</v>
          </cell>
          <cell r="C255" t="str">
            <v>加拿大</v>
          </cell>
          <cell r="D255" t="str">
            <v>面食/谷类</v>
          </cell>
          <cell r="E255">
            <v>199.5</v>
          </cell>
        </row>
        <row r="256">
          <cell r="A256">
            <v>1995</v>
          </cell>
          <cell r="B256">
            <v>34901</v>
          </cell>
          <cell r="C256" t="str">
            <v>美国</v>
          </cell>
          <cell r="D256" t="str">
            <v>乳制品</v>
          </cell>
          <cell r="E256">
            <v>660</v>
          </cell>
        </row>
        <row r="257">
          <cell r="A257">
            <v>1995</v>
          </cell>
          <cell r="B257">
            <v>34901</v>
          </cell>
          <cell r="C257" t="str">
            <v>美国</v>
          </cell>
          <cell r="D257" t="str">
            <v>香料</v>
          </cell>
          <cell r="E257">
            <v>263.39999999999998</v>
          </cell>
        </row>
        <row r="258">
          <cell r="A258">
            <v>1995</v>
          </cell>
          <cell r="B258">
            <v>34901</v>
          </cell>
          <cell r="C258" t="str">
            <v>美国</v>
          </cell>
          <cell r="D258" t="str">
            <v>乳制品</v>
          </cell>
          <cell r="E258">
            <v>1044</v>
          </cell>
        </row>
        <row r="259">
          <cell r="A259">
            <v>1995</v>
          </cell>
          <cell r="B259">
            <v>34901</v>
          </cell>
          <cell r="C259" t="str">
            <v>美国</v>
          </cell>
          <cell r="D259" t="str">
            <v>饮料</v>
          </cell>
          <cell r="E259">
            <v>180</v>
          </cell>
        </row>
        <row r="260">
          <cell r="A260">
            <v>1995</v>
          </cell>
          <cell r="B260">
            <v>34904</v>
          </cell>
          <cell r="C260" t="str">
            <v>加拿大</v>
          </cell>
          <cell r="D260" t="str">
            <v>饮料</v>
          </cell>
          <cell r="E260">
            <v>180</v>
          </cell>
        </row>
        <row r="261">
          <cell r="A261">
            <v>1995</v>
          </cell>
          <cell r="B261">
            <v>34904</v>
          </cell>
          <cell r="C261" t="str">
            <v>加拿大</v>
          </cell>
          <cell r="D261" t="str">
            <v>饮料</v>
          </cell>
          <cell r="E261">
            <v>155</v>
          </cell>
        </row>
        <row r="262">
          <cell r="A262">
            <v>1995</v>
          </cell>
          <cell r="B262">
            <v>34904</v>
          </cell>
          <cell r="C262" t="str">
            <v>加拿大</v>
          </cell>
          <cell r="D262" t="str">
            <v>香料</v>
          </cell>
          <cell r="E262">
            <v>234</v>
          </cell>
        </row>
        <row r="263">
          <cell r="A263">
            <v>1995</v>
          </cell>
          <cell r="B263">
            <v>34906</v>
          </cell>
          <cell r="C263" t="str">
            <v>加拿大</v>
          </cell>
          <cell r="D263" t="str">
            <v>香料</v>
          </cell>
          <cell r="E263">
            <v>155</v>
          </cell>
        </row>
        <row r="264">
          <cell r="A264">
            <v>1995</v>
          </cell>
          <cell r="B264">
            <v>34906</v>
          </cell>
          <cell r="C264" t="str">
            <v>加拿大</v>
          </cell>
          <cell r="D264" t="str">
            <v>饮料</v>
          </cell>
          <cell r="E264">
            <v>162.75</v>
          </cell>
        </row>
        <row r="265">
          <cell r="A265">
            <v>1995</v>
          </cell>
          <cell r="B265">
            <v>34907</v>
          </cell>
          <cell r="C265" t="str">
            <v>美国</v>
          </cell>
          <cell r="D265" t="str">
            <v>农产品</v>
          </cell>
          <cell r="E265">
            <v>331.312499740161</v>
          </cell>
        </row>
        <row r="266">
          <cell r="A266">
            <v>1995</v>
          </cell>
          <cell r="B266">
            <v>34907</v>
          </cell>
          <cell r="C266" t="str">
            <v>美国</v>
          </cell>
          <cell r="D266" t="str">
            <v>海洋食品</v>
          </cell>
          <cell r="E266">
            <v>82.507499935291705</v>
          </cell>
        </row>
        <row r="267">
          <cell r="A267">
            <v>1995</v>
          </cell>
          <cell r="B267">
            <v>34907</v>
          </cell>
          <cell r="C267" t="str">
            <v>美国</v>
          </cell>
          <cell r="D267" t="str">
            <v>香料</v>
          </cell>
          <cell r="E267">
            <v>599.92499952949584</v>
          </cell>
        </row>
        <row r="268">
          <cell r="A268">
            <v>1995</v>
          </cell>
          <cell r="B268">
            <v>34908</v>
          </cell>
          <cell r="C268" t="str">
            <v>美国</v>
          </cell>
          <cell r="D268" t="str">
            <v>面食/谷类</v>
          </cell>
          <cell r="E268">
            <v>78</v>
          </cell>
        </row>
        <row r="269">
          <cell r="A269">
            <v>1995</v>
          </cell>
          <cell r="B269">
            <v>34908</v>
          </cell>
          <cell r="C269" t="str">
            <v>美国</v>
          </cell>
          <cell r="D269" t="str">
            <v>饮料</v>
          </cell>
          <cell r="E269">
            <v>252</v>
          </cell>
        </row>
        <row r="270">
          <cell r="A270">
            <v>1995</v>
          </cell>
          <cell r="B270">
            <v>34914</v>
          </cell>
          <cell r="C270" t="str">
            <v>美国</v>
          </cell>
          <cell r="D270" t="str">
            <v>海洋食品</v>
          </cell>
          <cell r="E270">
            <v>1999.9999925494194</v>
          </cell>
        </row>
        <row r="271">
          <cell r="A271">
            <v>1995</v>
          </cell>
          <cell r="B271">
            <v>34914</v>
          </cell>
          <cell r="C271" t="str">
            <v>美国</v>
          </cell>
          <cell r="D271" t="str">
            <v>面食/谷类</v>
          </cell>
          <cell r="E271">
            <v>1119.9999958276749</v>
          </cell>
        </row>
        <row r="272">
          <cell r="A272">
            <v>1995</v>
          </cell>
          <cell r="B272">
            <v>34915</v>
          </cell>
          <cell r="C272" t="str">
            <v>加拿大</v>
          </cell>
          <cell r="D272" t="str">
            <v>饮料</v>
          </cell>
          <cell r="E272">
            <v>72</v>
          </cell>
        </row>
        <row r="273">
          <cell r="A273">
            <v>1995</v>
          </cell>
          <cell r="B273">
            <v>34919</v>
          </cell>
          <cell r="C273" t="str">
            <v>美国</v>
          </cell>
          <cell r="D273" t="str">
            <v>香料</v>
          </cell>
          <cell r="E273">
            <v>368.12499971129</v>
          </cell>
        </row>
        <row r="274">
          <cell r="A274">
            <v>1995</v>
          </cell>
          <cell r="B274">
            <v>34919</v>
          </cell>
          <cell r="C274" t="str">
            <v>美国</v>
          </cell>
          <cell r="D274" t="str">
            <v>糖果</v>
          </cell>
          <cell r="E274">
            <v>148.3424998836592</v>
          </cell>
        </row>
        <row r="275">
          <cell r="A275">
            <v>1995</v>
          </cell>
          <cell r="B275">
            <v>34920</v>
          </cell>
          <cell r="C275" t="str">
            <v>美国</v>
          </cell>
          <cell r="D275" t="str">
            <v>糖果</v>
          </cell>
          <cell r="E275">
            <v>1360.799994930625</v>
          </cell>
        </row>
        <row r="276">
          <cell r="A276">
            <v>1995</v>
          </cell>
          <cell r="B276">
            <v>34920</v>
          </cell>
          <cell r="C276" t="str">
            <v>美国</v>
          </cell>
          <cell r="D276" t="str">
            <v>乳制品</v>
          </cell>
          <cell r="E276">
            <v>575.99999785423279</v>
          </cell>
        </row>
        <row r="277">
          <cell r="A277">
            <v>1995</v>
          </cell>
          <cell r="B277">
            <v>34920</v>
          </cell>
          <cell r="C277" t="str">
            <v>美国</v>
          </cell>
          <cell r="D277" t="str">
            <v>饮料</v>
          </cell>
          <cell r="E277">
            <v>57.599999785423279</v>
          </cell>
        </row>
        <row r="278">
          <cell r="A278">
            <v>1995</v>
          </cell>
          <cell r="B278">
            <v>34920</v>
          </cell>
          <cell r="C278" t="str">
            <v>加拿大</v>
          </cell>
          <cell r="D278" t="str">
            <v>面食/谷类</v>
          </cell>
          <cell r="E278">
            <v>168</v>
          </cell>
        </row>
        <row r="279">
          <cell r="A279">
            <v>1995</v>
          </cell>
          <cell r="B279">
            <v>34920</v>
          </cell>
          <cell r="C279" t="str">
            <v>加拿大</v>
          </cell>
          <cell r="D279" t="str">
            <v>海洋食品</v>
          </cell>
          <cell r="E279">
            <v>397.5</v>
          </cell>
        </row>
        <row r="280">
          <cell r="A280">
            <v>1995</v>
          </cell>
          <cell r="B280">
            <v>34922</v>
          </cell>
          <cell r="C280" t="str">
            <v>加拿大</v>
          </cell>
          <cell r="D280" t="str">
            <v>面食/谷类</v>
          </cell>
          <cell r="E280">
            <v>151.99999943375587</v>
          </cell>
        </row>
        <row r="281">
          <cell r="A281">
            <v>1995</v>
          </cell>
          <cell r="B281">
            <v>34922</v>
          </cell>
          <cell r="C281" t="str">
            <v>加拿大</v>
          </cell>
          <cell r="D281" t="str">
            <v>香料</v>
          </cell>
          <cell r="E281">
            <v>842.87999686002729</v>
          </cell>
        </row>
        <row r="282">
          <cell r="A282">
            <v>1995</v>
          </cell>
          <cell r="B282">
            <v>34922</v>
          </cell>
          <cell r="C282" t="str">
            <v>加拿大</v>
          </cell>
          <cell r="D282" t="str">
            <v>饮料</v>
          </cell>
          <cell r="E282">
            <v>185.999999307096</v>
          </cell>
        </row>
        <row r="283">
          <cell r="A283">
            <v>1995</v>
          </cell>
          <cell r="B283">
            <v>34925</v>
          </cell>
          <cell r="C283" t="str">
            <v>加拿大</v>
          </cell>
          <cell r="D283" t="str">
            <v>糖果</v>
          </cell>
          <cell r="E283">
            <v>2195</v>
          </cell>
        </row>
        <row r="284">
          <cell r="A284">
            <v>1995</v>
          </cell>
          <cell r="B284">
            <v>34925</v>
          </cell>
          <cell r="C284" t="str">
            <v>加拿大</v>
          </cell>
          <cell r="D284" t="str">
            <v>乳制品</v>
          </cell>
          <cell r="E284">
            <v>193.5</v>
          </cell>
        </row>
        <row r="285">
          <cell r="A285">
            <v>1995</v>
          </cell>
          <cell r="B285">
            <v>34927</v>
          </cell>
          <cell r="C285" t="str">
            <v>加拿大</v>
          </cell>
          <cell r="D285" t="str">
            <v>肉/家禽</v>
          </cell>
          <cell r="E285">
            <v>29.8</v>
          </cell>
        </row>
        <row r="286">
          <cell r="A286">
            <v>1995</v>
          </cell>
          <cell r="B286">
            <v>34927</v>
          </cell>
          <cell r="C286" t="str">
            <v>加拿大</v>
          </cell>
          <cell r="D286" t="str">
            <v>海洋食品</v>
          </cell>
          <cell r="E286">
            <v>450</v>
          </cell>
        </row>
        <row r="287">
          <cell r="A287">
            <v>1995</v>
          </cell>
          <cell r="B287">
            <v>34929</v>
          </cell>
          <cell r="C287" t="str">
            <v>加拿大</v>
          </cell>
          <cell r="D287" t="str">
            <v>面食/谷类</v>
          </cell>
          <cell r="E287">
            <v>1008</v>
          </cell>
        </row>
        <row r="288">
          <cell r="A288">
            <v>1995</v>
          </cell>
          <cell r="B288">
            <v>34929</v>
          </cell>
          <cell r="C288" t="str">
            <v>加拿大</v>
          </cell>
          <cell r="D288" t="str">
            <v>糖果</v>
          </cell>
          <cell r="E288">
            <v>474.99999962747097</v>
          </cell>
        </row>
        <row r="289">
          <cell r="A289">
            <v>1995</v>
          </cell>
          <cell r="B289">
            <v>34933</v>
          </cell>
          <cell r="C289" t="str">
            <v>加拿大</v>
          </cell>
          <cell r="D289" t="str">
            <v>农产品</v>
          </cell>
          <cell r="E289">
            <v>1350</v>
          </cell>
        </row>
        <row r="290">
          <cell r="A290">
            <v>1995</v>
          </cell>
          <cell r="B290">
            <v>34933</v>
          </cell>
          <cell r="C290" t="str">
            <v>加拿大</v>
          </cell>
          <cell r="D290" t="str">
            <v>肉/家禽</v>
          </cell>
          <cell r="E290">
            <v>3900</v>
          </cell>
        </row>
        <row r="291">
          <cell r="A291">
            <v>1995</v>
          </cell>
          <cell r="B291">
            <v>34933</v>
          </cell>
          <cell r="C291" t="str">
            <v>加拿大</v>
          </cell>
          <cell r="D291" t="str">
            <v>乳制品</v>
          </cell>
          <cell r="E291">
            <v>35</v>
          </cell>
        </row>
        <row r="292">
          <cell r="A292">
            <v>1995</v>
          </cell>
          <cell r="B292">
            <v>34933</v>
          </cell>
          <cell r="C292" t="str">
            <v>加拿大</v>
          </cell>
          <cell r="D292" t="str">
            <v>海洋食品</v>
          </cell>
          <cell r="E292">
            <v>772.8</v>
          </cell>
        </row>
        <row r="293">
          <cell r="A293">
            <v>1995</v>
          </cell>
          <cell r="B293">
            <v>34933</v>
          </cell>
          <cell r="C293" t="str">
            <v>加拿大</v>
          </cell>
          <cell r="D293" t="str">
            <v>乳制品</v>
          </cell>
          <cell r="E293">
            <v>417.6</v>
          </cell>
        </row>
        <row r="294">
          <cell r="A294">
            <v>1995</v>
          </cell>
          <cell r="B294">
            <v>34934</v>
          </cell>
          <cell r="C294" t="str">
            <v>美国</v>
          </cell>
          <cell r="D294" t="str">
            <v>面食/谷类</v>
          </cell>
          <cell r="E294">
            <v>1064</v>
          </cell>
        </row>
        <row r="295">
          <cell r="A295">
            <v>1995</v>
          </cell>
          <cell r="B295">
            <v>34939</v>
          </cell>
          <cell r="C295" t="str">
            <v>加拿大</v>
          </cell>
          <cell r="D295" t="str">
            <v>海洋食品</v>
          </cell>
          <cell r="E295">
            <v>2170</v>
          </cell>
        </row>
        <row r="296">
          <cell r="A296">
            <v>1995</v>
          </cell>
          <cell r="B296">
            <v>34939</v>
          </cell>
          <cell r="C296" t="str">
            <v>加拿大</v>
          </cell>
          <cell r="D296" t="str">
            <v>海洋食品</v>
          </cell>
          <cell r="E296">
            <v>1045</v>
          </cell>
        </row>
        <row r="297">
          <cell r="A297">
            <v>1995</v>
          </cell>
          <cell r="B297">
            <v>34939</v>
          </cell>
          <cell r="C297" t="str">
            <v>加拿大</v>
          </cell>
          <cell r="D297" t="str">
            <v>糖果</v>
          </cell>
          <cell r="E297">
            <v>360</v>
          </cell>
        </row>
        <row r="298">
          <cell r="A298">
            <v>1995</v>
          </cell>
          <cell r="B298">
            <v>34939</v>
          </cell>
          <cell r="C298" t="str">
            <v>加拿大</v>
          </cell>
          <cell r="D298" t="str">
            <v>乳制品</v>
          </cell>
          <cell r="E298">
            <v>1360</v>
          </cell>
        </row>
        <row r="299">
          <cell r="A299">
            <v>1995</v>
          </cell>
          <cell r="B299">
            <v>34939</v>
          </cell>
          <cell r="C299" t="str">
            <v>加拿大</v>
          </cell>
          <cell r="D299" t="str">
            <v>饮料</v>
          </cell>
          <cell r="E299">
            <v>1440</v>
          </cell>
        </row>
        <row r="300">
          <cell r="A300">
            <v>1995</v>
          </cell>
          <cell r="B300">
            <v>34940</v>
          </cell>
          <cell r="C300" t="str">
            <v>美国</v>
          </cell>
          <cell r="D300" t="str">
            <v>乳制品</v>
          </cell>
          <cell r="E300">
            <v>294</v>
          </cell>
        </row>
        <row r="301">
          <cell r="A301">
            <v>1995</v>
          </cell>
          <cell r="B301">
            <v>34940</v>
          </cell>
          <cell r="C301" t="str">
            <v>美国</v>
          </cell>
          <cell r="D301" t="str">
            <v>糖果</v>
          </cell>
          <cell r="E301">
            <v>80</v>
          </cell>
        </row>
        <row r="302">
          <cell r="A302">
            <v>1995</v>
          </cell>
          <cell r="B302">
            <v>34940</v>
          </cell>
          <cell r="C302" t="str">
            <v>美国</v>
          </cell>
          <cell r="D302" t="str">
            <v>饮料</v>
          </cell>
          <cell r="E302">
            <v>90</v>
          </cell>
        </row>
        <row r="303">
          <cell r="A303">
            <v>1995</v>
          </cell>
          <cell r="B303">
            <v>34942</v>
          </cell>
          <cell r="C303" t="str">
            <v>加拿大</v>
          </cell>
          <cell r="D303" t="str">
            <v>饮料</v>
          </cell>
          <cell r="E303">
            <v>3754.874997055158</v>
          </cell>
        </row>
        <row r="304">
          <cell r="A304">
            <v>1995</v>
          </cell>
          <cell r="B304">
            <v>34942</v>
          </cell>
          <cell r="C304" t="str">
            <v>加拿大</v>
          </cell>
          <cell r="D304" t="str">
            <v>面食/谷类</v>
          </cell>
          <cell r="E304">
            <v>532</v>
          </cell>
        </row>
        <row r="305">
          <cell r="A305">
            <v>1995</v>
          </cell>
          <cell r="B305">
            <v>34942</v>
          </cell>
          <cell r="C305" t="str">
            <v>加拿大</v>
          </cell>
          <cell r="D305" t="str">
            <v>饮料</v>
          </cell>
          <cell r="E305">
            <v>213.74999983236194</v>
          </cell>
        </row>
        <row r="306">
          <cell r="A306">
            <v>1995</v>
          </cell>
          <cell r="B306">
            <v>34942</v>
          </cell>
          <cell r="C306" t="str">
            <v>加拿大</v>
          </cell>
          <cell r="D306" t="str">
            <v>乳制品</v>
          </cell>
          <cell r="E306">
            <v>306.37499975971878</v>
          </cell>
        </row>
        <row r="307">
          <cell r="A307">
            <v>1995</v>
          </cell>
          <cell r="B307">
            <v>34942</v>
          </cell>
          <cell r="C307" t="str">
            <v>加拿大</v>
          </cell>
          <cell r="D307" t="str">
            <v>乳制品</v>
          </cell>
          <cell r="E307">
            <v>1402.4999901652336</v>
          </cell>
        </row>
        <row r="308">
          <cell r="A308">
            <v>1995</v>
          </cell>
          <cell r="B308">
            <v>34949</v>
          </cell>
          <cell r="C308" t="str">
            <v>美国</v>
          </cell>
          <cell r="D308" t="str">
            <v>农产品</v>
          </cell>
          <cell r="E308">
            <v>488.25</v>
          </cell>
        </row>
        <row r="309">
          <cell r="A309">
            <v>1995</v>
          </cell>
          <cell r="B309">
            <v>34949</v>
          </cell>
          <cell r="C309" t="str">
            <v>美国</v>
          </cell>
          <cell r="D309" t="str">
            <v>糖果</v>
          </cell>
          <cell r="E309">
            <v>124.19999979436398</v>
          </cell>
        </row>
        <row r="310">
          <cell r="A310">
            <v>1995</v>
          </cell>
          <cell r="B310">
            <v>34949</v>
          </cell>
          <cell r="C310" t="str">
            <v>美国</v>
          </cell>
          <cell r="D310" t="str">
            <v>糖果</v>
          </cell>
          <cell r="E310">
            <v>224.99999962747097</v>
          </cell>
        </row>
        <row r="311">
          <cell r="A311">
            <v>1995</v>
          </cell>
          <cell r="B311">
            <v>34949</v>
          </cell>
          <cell r="C311" t="str">
            <v>美国</v>
          </cell>
          <cell r="D311" t="str">
            <v>饮料</v>
          </cell>
          <cell r="E311">
            <v>13.5</v>
          </cell>
        </row>
        <row r="312">
          <cell r="A312">
            <v>1995</v>
          </cell>
          <cell r="B312">
            <v>34949</v>
          </cell>
          <cell r="C312" t="str">
            <v>美国</v>
          </cell>
          <cell r="D312" t="str">
            <v>饮料</v>
          </cell>
          <cell r="E312">
            <v>485.9999991953373</v>
          </cell>
        </row>
        <row r="313">
          <cell r="A313">
            <v>1995</v>
          </cell>
          <cell r="B313">
            <v>34949</v>
          </cell>
          <cell r="C313" t="str">
            <v>加拿大</v>
          </cell>
          <cell r="D313" t="str">
            <v>农产品</v>
          </cell>
          <cell r="E313">
            <v>456</v>
          </cell>
        </row>
        <row r="314">
          <cell r="A314">
            <v>1995</v>
          </cell>
          <cell r="B314">
            <v>34949</v>
          </cell>
          <cell r="C314" t="str">
            <v>加拿大</v>
          </cell>
          <cell r="D314" t="str">
            <v>肉/家禽</v>
          </cell>
          <cell r="E314">
            <v>742.74</v>
          </cell>
        </row>
        <row r="315">
          <cell r="A315">
            <v>1995</v>
          </cell>
          <cell r="B315">
            <v>34949</v>
          </cell>
          <cell r="C315" t="str">
            <v>加拿大</v>
          </cell>
          <cell r="D315" t="str">
            <v>香料</v>
          </cell>
          <cell r="E315">
            <v>194.5</v>
          </cell>
        </row>
        <row r="316">
          <cell r="A316">
            <v>1995</v>
          </cell>
          <cell r="B316">
            <v>34953</v>
          </cell>
          <cell r="C316" t="str">
            <v>加拿大</v>
          </cell>
          <cell r="D316" t="str">
            <v>糖果</v>
          </cell>
          <cell r="E316">
            <v>739.5</v>
          </cell>
        </row>
        <row r="317">
          <cell r="A317">
            <v>1995</v>
          </cell>
          <cell r="B317">
            <v>34953</v>
          </cell>
          <cell r="C317" t="str">
            <v>加拿大</v>
          </cell>
          <cell r="D317" t="str">
            <v>海洋食品</v>
          </cell>
          <cell r="E317">
            <v>446.24999687075615</v>
          </cell>
        </row>
        <row r="318">
          <cell r="A318">
            <v>1995</v>
          </cell>
          <cell r="B318">
            <v>34955</v>
          </cell>
          <cell r="C318" t="str">
            <v>美国</v>
          </cell>
          <cell r="D318" t="str">
            <v>肉/家禽</v>
          </cell>
          <cell r="E318">
            <v>273.59999978542328</v>
          </cell>
        </row>
        <row r="319">
          <cell r="A319">
            <v>1995</v>
          </cell>
          <cell r="B319">
            <v>34955</v>
          </cell>
          <cell r="C319" t="str">
            <v>美国</v>
          </cell>
          <cell r="D319" t="str">
            <v>饮料</v>
          </cell>
          <cell r="E319">
            <v>630</v>
          </cell>
        </row>
        <row r="320">
          <cell r="A320">
            <v>1995</v>
          </cell>
          <cell r="B320">
            <v>34956</v>
          </cell>
          <cell r="C320" t="str">
            <v>美国</v>
          </cell>
          <cell r="D320" t="str">
            <v>饮料</v>
          </cell>
          <cell r="E320">
            <v>541.49999957531691</v>
          </cell>
        </row>
        <row r="321">
          <cell r="A321">
            <v>1995</v>
          </cell>
          <cell r="B321">
            <v>34956</v>
          </cell>
          <cell r="C321" t="str">
            <v>美国</v>
          </cell>
          <cell r="D321" t="str">
            <v>乳制品</v>
          </cell>
          <cell r="E321">
            <v>47.499999962747097</v>
          </cell>
        </row>
        <row r="322">
          <cell r="A322">
            <v>1995</v>
          </cell>
          <cell r="B322">
            <v>34963</v>
          </cell>
          <cell r="C322" t="str">
            <v>美国</v>
          </cell>
          <cell r="D322" t="str">
            <v>乳制品</v>
          </cell>
          <cell r="E322">
            <v>540</v>
          </cell>
        </row>
        <row r="323">
          <cell r="A323">
            <v>1995</v>
          </cell>
          <cell r="B323">
            <v>34963</v>
          </cell>
          <cell r="C323" t="str">
            <v>美国</v>
          </cell>
          <cell r="D323" t="str">
            <v>饮料</v>
          </cell>
          <cell r="E323">
            <v>168.75</v>
          </cell>
        </row>
        <row r="324">
          <cell r="A324">
            <v>1995</v>
          </cell>
          <cell r="B324">
            <v>34974</v>
          </cell>
          <cell r="C324" t="str">
            <v>美国</v>
          </cell>
          <cell r="D324" t="str">
            <v>糖果</v>
          </cell>
          <cell r="E324">
            <v>82.8</v>
          </cell>
        </row>
        <row r="325">
          <cell r="A325">
            <v>1995</v>
          </cell>
          <cell r="B325">
            <v>34974</v>
          </cell>
          <cell r="C325" t="str">
            <v>美国</v>
          </cell>
          <cell r="D325" t="str">
            <v>面食/谷类</v>
          </cell>
          <cell r="E325">
            <v>315</v>
          </cell>
        </row>
        <row r="326">
          <cell r="A326">
            <v>1995</v>
          </cell>
          <cell r="B326">
            <v>34975</v>
          </cell>
          <cell r="C326" t="str">
            <v>美国</v>
          </cell>
          <cell r="D326" t="str">
            <v>糖果</v>
          </cell>
          <cell r="E326">
            <v>471.14999921992421</v>
          </cell>
        </row>
        <row r="327">
          <cell r="A327">
            <v>1995</v>
          </cell>
          <cell r="B327">
            <v>34975</v>
          </cell>
          <cell r="C327" t="str">
            <v>美国</v>
          </cell>
          <cell r="D327" t="str">
            <v>乳制品</v>
          </cell>
          <cell r="E327">
            <v>611.99999898672104</v>
          </cell>
        </row>
        <row r="328">
          <cell r="A328">
            <v>1995</v>
          </cell>
          <cell r="B328">
            <v>34977</v>
          </cell>
          <cell r="C328" t="str">
            <v>加拿大</v>
          </cell>
          <cell r="D328" t="str">
            <v>农产品</v>
          </cell>
          <cell r="E328">
            <v>62.774999896064401</v>
          </cell>
        </row>
        <row r="329">
          <cell r="A329">
            <v>1995</v>
          </cell>
          <cell r="B329">
            <v>34977</v>
          </cell>
          <cell r="C329" t="str">
            <v>加拿大</v>
          </cell>
          <cell r="D329" t="str">
            <v>香料</v>
          </cell>
          <cell r="E329">
            <v>490.13999918848276</v>
          </cell>
        </row>
        <row r="330">
          <cell r="A330">
            <v>1995</v>
          </cell>
          <cell r="B330">
            <v>34977</v>
          </cell>
          <cell r="C330" t="str">
            <v>加拿大</v>
          </cell>
          <cell r="D330" t="str">
            <v>糖果</v>
          </cell>
          <cell r="E330">
            <v>51.299999915063381</v>
          </cell>
        </row>
        <row r="331">
          <cell r="A331">
            <v>1995</v>
          </cell>
          <cell r="B331">
            <v>34977</v>
          </cell>
          <cell r="C331" t="str">
            <v>加拿大</v>
          </cell>
          <cell r="D331" t="str">
            <v>香料</v>
          </cell>
          <cell r="E331">
            <v>775</v>
          </cell>
        </row>
        <row r="332">
          <cell r="A332">
            <v>1995</v>
          </cell>
          <cell r="B332">
            <v>34977</v>
          </cell>
          <cell r="C332" t="str">
            <v>加拿大</v>
          </cell>
          <cell r="D332" t="str">
            <v>海洋食品</v>
          </cell>
          <cell r="E332">
            <v>231.6</v>
          </cell>
        </row>
        <row r="333">
          <cell r="A333">
            <v>1995</v>
          </cell>
          <cell r="B333">
            <v>34977</v>
          </cell>
          <cell r="C333" t="str">
            <v>加拿大</v>
          </cell>
          <cell r="D333" t="str">
            <v>海洋食品</v>
          </cell>
          <cell r="E333">
            <v>540</v>
          </cell>
        </row>
        <row r="334">
          <cell r="A334">
            <v>1995</v>
          </cell>
          <cell r="B334">
            <v>34977</v>
          </cell>
          <cell r="C334" t="str">
            <v>加拿大</v>
          </cell>
          <cell r="D334" t="str">
            <v>糖果</v>
          </cell>
          <cell r="E334">
            <v>95</v>
          </cell>
        </row>
        <row r="335">
          <cell r="A335">
            <v>1995</v>
          </cell>
          <cell r="B335">
            <v>34977</v>
          </cell>
          <cell r="C335" t="str">
            <v>加拿大</v>
          </cell>
          <cell r="D335" t="str">
            <v>面食/谷类</v>
          </cell>
          <cell r="E335">
            <v>1710</v>
          </cell>
        </row>
        <row r="336">
          <cell r="A336">
            <v>1995</v>
          </cell>
          <cell r="B336">
            <v>34977</v>
          </cell>
          <cell r="C336" t="str">
            <v>加拿大</v>
          </cell>
          <cell r="D336" t="str">
            <v>乳制品</v>
          </cell>
          <cell r="E336">
            <v>1020</v>
          </cell>
        </row>
        <row r="337">
          <cell r="A337">
            <v>1995</v>
          </cell>
          <cell r="B337">
            <v>34978</v>
          </cell>
          <cell r="C337" t="str">
            <v>美国</v>
          </cell>
          <cell r="D337" t="str">
            <v>糖果</v>
          </cell>
          <cell r="E337">
            <v>600</v>
          </cell>
        </row>
        <row r="338">
          <cell r="A338">
            <v>1995</v>
          </cell>
          <cell r="B338">
            <v>34978</v>
          </cell>
          <cell r="C338" t="str">
            <v>美国</v>
          </cell>
          <cell r="D338" t="str">
            <v>海洋食品</v>
          </cell>
          <cell r="E338">
            <v>1223.5999990403652</v>
          </cell>
        </row>
        <row r="339">
          <cell r="A339">
            <v>1995</v>
          </cell>
          <cell r="B339">
            <v>34978</v>
          </cell>
          <cell r="C339" t="str">
            <v>美国</v>
          </cell>
          <cell r="D339" t="str">
            <v>乳制品</v>
          </cell>
          <cell r="E339">
            <v>1776.4999986067414</v>
          </cell>
        </row>
        <row r="340">
          <cell r="A340">
            <v>1995</v>
          </cell>
          <cell r="B340">
            <v>34978</v>
          </cell>
          <cell r="C340" t="str">
            <v>美国</v>
          </cell>
          <cell r="D340" t="str">
            <v>香料</v>
          </cell>
          <cell r="E340">
            <v>864.49999932199717</v>
          </cell>
        </row>
        <row r="341">
          <cell r="A341">
            <v>1995</v>
          </cell>
          <cell r="B341">
            <v>34981</v>
          </cell>
          <cell r="C341" t="str">
            <v>加拿大</v>
          </cell>
          <cell r="D341" t="str">
            <v>糖果</v>
          </cell>
          <cell r="E341">
            <v>1701</v>
          </cell>
        </row>
        <row r="342">
          <cell r="A342">
            <v>1995</v>
          </cell>
          <cell r="B342">
            <v>34982</v>
          </cell>
          <cell r="C342" t="str">
            <v>加拿大</v>
          </cell>
          <cell r="D342" t="str">
            <v>糖果</v>
          </cell>
          <cell r="E342">
            <v>125</v>
          </cell>
        </row>
        <row r="343">
          <cell r="A343">
            <v>1995</v>
          </cell>
          <cell r="B343">
            <v>34984</v>
          </cell>
          <cell r="C343" t="str">
            <v>加拿大</v>
          </cell>
          <cell r="D343" t="str">
            <v>农产品</v>
          </cell>
          <cell r="E343">
            <v>1060</v>
          </cell>
        </row>
        <row r="344">
          <cell r="A344">
            <v>1995</v>
          </cell>
          <cell r="B344">
            <v>34984</v>
          </cell>
          <cell r="C344" t="str">
            <v>加拿大</v>
          </cell>
          <cell r="D344" t="str">
            <v>乳制品</v>
          </cell>
          <cell r="E344">
            <v>55</v>
          </cell>
        </row>
        <row r="345">
          <cell r="A345">
            <v>1995</v>
          </cell>
          <cell r="B345">
            <v>34984</v>
          </cell>
          <cell r="C345" t="str">
            <v>加拿大</v>
          </cell>
          <cell r="D345" t="str">
            <v>饮料</v>
          </cell>
          <cell r="E345">
            <v>180</v>
          </cell>
        </row>
        <row r="346">
          <cell r="A346">
            <v>1995</v>
          </cell>
          <cell r="B346">
            <v>34988</v>
          </cell>
          <cell r="C346" t="str">
            <v>美国</v>
          </cell>
          <cell r="D346" t="str">
            <v>乳制品</v>
          </cell>
          <cell r="E346">
            <v>89.999999850988388</v>
          </cell>
        </row>
        <row r="347">
          <cell r="A347">
            <v>1995</v>
          </cell>
          <cell r="B347">
            <v>34988</v>
          </cell>
          <cell r="C347" t="str">
            <v>美国</v>
          </cell>
          <cell r="D347" t="str">
            <v>肉/家禽</v>
          </cell>
          <cell r="E347">
            <v>86.399999856948853</v>
          </cell>
        </row>
        <row r="348">
          <cell r="A348">
            <v>1995</v>
          </cell>
          <cell r="B348">
            <v>34988</v>
          </cell>
          <cell r="C348" t="str">
            <v>美国</v>
          </cell>
          <cell r="D348" t="str">
            <v>面食/谷类</v>
          </cell>
          <cell r="E348">
            <v>448.87499925680459</v>
          </cell>
        </row>
        <row r="349">
          <cell r="A349">
            <v>1995</v>
          </cell>
          <cell r="B349">
            <v>34989</v>
          </cell>
          <cell r="C349" t="str">
            <v>美国</v>
          </cell>
          <cell r="D349" t="str">
            <v>面食/谷类</v>
          </cell>
          <cell r="E349">
            <v>288</v>
          </cell>
        </row>
        <row r="350">
          <cell r="A350">
            <v>1995</v>
          </cell>
          <cell r="B350">
            <v>34989</v>
          </cell>
          <cell r="C350" t="str">
            <v>美国</v>
          </cell>
          <cell r="D350" t="str">
            <v>海洋食品</v>
          </cell>
          <cell r="E350">
            <v>720</v>
          </cell>
        </row>
        <row r="351">
          <cell r="A351">
            <v>1995</v>
          </cell>
          <cell r="B351">
            <v>34989</v>
          </cell>
          <cell r="C351" t="str">
            <v>美国</v>
          </cell>
          <cell r="D351" t="str">
            <v>饮料</v>
          </cell>
          <cell r="E351">
            <v>350</v>
          </cell>
        </row>
        <row r="352">
          <cell r="A352">
            <v>1995</v>
          </cell>
          <cell r="B352">
            <v>34989</v>
          </cell>
          <cell r="C352" t="str">
            <v>美国</v>
          </cell>
          <cell r="D352" t="str">
            <v>海洋食品</v>
          </cell>
          <cell r="E352">
            <v>750</v>
          </cell>
        </row>
        <row r="353">
          <cell r="A353">
            <v>1995</v>
          </cell>
          <cell r="B353">
            <v>34989</v>
          </cell>
          <cell r="C353" t="str">
            <v>美国</v>
          </cell>
          <cell r="D353" t="str">
            <v>饮料</v>
          </cell>
          <cell r="E353">
            <v>193.75</v>
          </cell>
        </row>
        <row r="354">
          <cell r="A354">
            <v>1995</v>
          </cell>
          <cell r="B354">
            <v>34992</v>
          </cell>
          <cell r="C354" t="str">
            <v>美国</v>
          </cell>
          <cell r="D354" t="str">
            <v>农产品</v>
          </cell>
          <cell r="E354">
            <v>697.5</v>
          </cell>
        </row>
        <row r="355">
          <cell r="A355">
            <v>1995</v>
          </cell>
          <cell r="B355">
            <v>34992</v>
          </cell>
          <cell r="C355" t="str">
            <v>美国</v>
          </cell>
          <cell r="D355" t="str">
            <v>肉/家禽</v>
          </cell>
          <cell r="E355">
            <v>328</v>
          </cell>
        </row>
        <row r="356">
          <cell r="A356">
            <v>1995</v>
          </cell>
          <cell r="B356">
            <v>34992</v>
          </cell>
          <cell r="C356" t="str">
            <v>美国</v>
          </cell>
          <cell r="D356" t="str">
            <v>海洋食品</v>
          </cell>
          <cell r="E356">
            <v>397.5</v>
          </cell>
        </row>
        <row r="357">
          <cell r="A357">
            <v>1995</v>
          </cell>
          <cell r="B357">
            <v>34996</v>
          </cell>
          <cell r="C357" t="str">
            <v>加拿大</v>
          </cell>
          <cell r="D357" t="str">
            <v>乳制品</v>
          </cell>
          <cell r="E357">
            <v>3800</v>
          </cell>
        </row>
        <row r="358">
          <cell r="A358">
            <v>1995</v>
          </cell>
          <cell r="B358">
            <v>34996</v>
          </cell>
          <cell r="C358" t="str">
            <v>加拿大</v>
          </cell>
          <cell r="D358" t="str">
            <v>乳制品</v>
          </cell>
          <cell r="E358">
            <v>75</v>
          </cell>
        </row>
        <row r="359">
          <cell r="A359">
            <v>1995</v>
          </cell>
          <cell r="B359">
            <v>34996</v>
          </cell>
          <cell r="C359" t="str">
            <v>加拿大</v>
          </cell>
          <cell r="D359" t="str">
            <v>海洋食品</v>
          </cell>
          <cell r="E359">
            <v>1158</v>
          </cell>
        </row>
        <row r="360">
          <cell r="A360">
            <v>1995</v>
          </cell>
          <cell r="B360">
            <v>34996</v>
          </cell>
          <cell r="C360" t="str">
            <v>加拿大</v>
          </cell>
          <cell r="D360" t="str">
            <v>肉/家禽</v>
          </cell>
          <cell r="E360">
            <v>223.5</v>
          </cell>
        </row>
        <row r="361">
          <cell r="A361">
            <v>1995</v>
          </cell>
          <cell r="B361">
            <v>34997</v>
          </cell>
          <cell r="C361" t="str">
            <v>加拿大</v>
          </cell>
          <cell r="D361" t="str">
            <v>糖果</v>
          </cell>
          <cell r="E361">
            <v>654.375</v>
          </cell>
        </row>
        <row r="362">
          <cell r="A362">
            <v>1995</v>
          </cell>
          <cell r="B362">
            <v>34997</v>
          </cell>
          <cell r="C362" t="str">
            <v>加拿大</v>
          </cell>
          <cell r="D362" t="str">
            <v>乳制品</v>
          </cell>
          <cell r="E362">
            <v>187.5</v>
          </cell>
        </row>
        <row r="363">
          <cell r="A363">
            <v>1995</v>
          </cell>
          <cell r="B363">
            <v>34997</v>
          </cell>
          <cell r="C363" t="str">
            <v>加拿大</v>
          </cell>
          <cell r="D363" t="str">
            <v>面食/谷类</v>
          </cell>
          <cell r="E363">
            <v>420</v>
          </cell>
        </row>
        <row r="364">
          <cell r="A364">
            <v>1995</v>
          </cell>
          <cell r="B364">
            <v>34998</v>
          </cell>
          <cell r="C364" t="str">
            <v>加拿大</v>
          </cell>
          <cell r="D364" t="str">
            <v>糖果</v>
          </cell>
          <cell r="E364">
            <v>248.39999958872795</v>
          </cell>
        </row>
        <row r="365">
          <cell r="A365">
            <v>1995</v>
          </cell>
          <cell r="B365">
            <v>34998</v>
          </cell>
          <cell r="C365" t="str">
            <v>加拿大</v>
          </cell>
          <cell r="D365" t="str">
            <v>糖果</v>
          </cell>
          <cell r="E365">
            <v>107.99999982118607</v>
          </cell>
        </row>
        <row r="366">
          <cell r="A366">
            <v>1995</v>
          </cell>
          <cell r="B366">
            <v>34998</v>
          </cell>
          <cell r="C366" t="str">
            <v>加拿大</v>
          </cell>
          <cell r="D366" t="str">
            <v>面食/谷类</v>
          </cell>
          <cell r="E366">
            <v>931</v>
          </cell>
        </row>
        <row r="367">
          <cell r="A367">
            <v>1995</v>
          </cell>
          <cell r="B367">
            <v>34999</v>
          </cell>
          <cell r="C367" t="str">
            <v>美国</v>
          </cell>
          <cell r="D367" t="str">
            <v>海洋食品</v>
          </cell>
          <cell r="E367">
            <v>368</v>
          </cell>
        </row>
        <row r="368">
          <cell r="A368">
            <v>1995</v>
          </cell>
          <cell r="B368">
            <v>34999</v>
          </cell>
          <cell r="C368" t="str">
            <v>美国</v>
          </cell>
          <cell r="D368" t="str">
            <v>糖果</v>
          </cell>
          <cell r="E368">
            <v>380</v>
          </cell>
        </row>
        <row r="369">
          <cell r="A369">
            <v>1995</v>
          </cell>
          <cell r="B369">
            <v>34999</v>
          </cell>
          <cell r="C369" t="str">
            <v>美国</v>
          </cell>
          <cell r="D369" t="str">
            <v>乳制品</v>
          </cell>
          <cell r="E369">
            <v>1020</v>
          </cell>
        </row>
        <row r="370">
          <cell r="A370">
            <v>1995</v>
          </cell>
          <cell r="B370">
            <v>35006</v>
          </cell>
          <cell r="C370" t="str">
            <v>美国</v>
          </cell>
          <cell r="D370" t="str">
            <v>饮料</v>
          </cell>
          <cell r="E370">
            <v>540</v>
          </cell>
        </row>
        <row r="371">
          <cell r="A371">
            <v>1995</v>
          </cell>
          <cell r="B371">
            <v>35006</v>
          </cell>
          <cell r="C371" t="str">
            <v>美国</v>
          </cell>
          <cell r="D371" t="str">
            <v>肉/家禽</v>
          </cell>
          <cell r="E371">
            <v>4951.6000000000004</v>
          </cell>
        </row>
        <row r="372">
          <cell r="A372">
            <v>1995</v>
          </cell>
          <cell r="B372">
            <v>35006</v>
          </cell>
          <cell r="C372" t="str">
            <v>美国</v>
          </cell>
          <cell r="D372" t="str">
            <v>饮料</v>
          </cell>
          <cell r="E372">
            <v>1840</v>
          </cell>
        </row>
        <row r="373">
          <cell r="A373">
            <v>1995</v>
          </cell>
          <cell r="B373">
            <v>35006</v>
          </cell>
          <cell r="C373" t="str">
            <v>美国</v>
          </cell>
          <cell r="D373" t="str">
            <v>香料</v>
          </cell>
          <cell r="E373">
            <v>466.8</v>
          </cell>
        </row>
        <row r="374">
          <cell r="A374">
            <v>1995</v>
          </cell>
          <cell r="B374">
            <v>35006</v>
          </cell>
          <cell r="C374" t="str">
            <v>美国</v>
          </cell>
          <cell r="D374" t="str">
            <v>糖果</v>
          </cell>
          <cell r="E374">
            <v>2366.4</v>
          </cell>
        </row>
        <row r="375">
          <cell r="A375">
            <v>1995</v>
          </cell>
          <cell r="B375">
            <v>35009</v>
          </cell>
          <cell r="C375" t="str">
            <v>加拿大</v>
          </cell>
          <cell r="D375" t="str">
            <v>肉/家禽</v>
          </cell>
          <cell r="E375">
            <v>582</v>
          </cell>
        </row>
        <row r="376">
          <cell r="A376">
            <v>1995</v>
          </cell>
          <cell r="B376">
            <v>35009</v>
          </cell>
          <cell r="C376" t="str">
            <v>加拿大</v>
          </cell>
          <cell r="D376" t="str">
            <v>肉/家禽</v>
          </cell>
          <cell r="E376">
            <v>379.94999733567238</v>
          </cell>
        </row>
        <row r="377">
          <cell r="A377">
            <v>1995</v>
          </cell>
          <cell r="B377">
            <v>35009</v>
          </cell>
          <cell r="C377" t="str">
            <v>加拿大</v>
          </cell>
          <cell r="D377" t="str">
            <v>乳制品</v>
          </cell>
          <cell r="E377">
            <v>917.99999356269836</v>
          </cell>
        </row>
        <row r="378">
          <cell r="A378">
            <v>1995</v>
          </cell>
          <cell r="B378">
            <v>35009</v>
          </cell>
          <cell r="C378" t="str">
            <v>加拿大</v>
          </cell>
          <cell r="D378" t="str">
            <v>海洋食品</v>
          </cell>
          <cell r="E378">
            <v>191.24999865889549</v>
          </cell>
        </row>
        <row r="379">
          <cell r="A379">
            <v>1995</v>
          </cell>
          <cell r="B379">
            <v>35009</v>
          </cell>
          <cell r="C379" t="str">
            <v>美国</v>
          </cell>
          <cell r="D379" t="str">
            <v>农产品</v>
          </cell>
          <cell r="E379">
            <v>2700</v>
          </cell>
        </row>
        <row r="380">
          <cell r="A380">
            <v>1995</v>
          </cell>
          <cell r="B380">
            <v>35009</v>
          </cell>
          <cell r="C380" t="str">
            <v>美国</v>
          </cell>
          <cell r="D380" t="str">
            <v>乳制品</v>
          </cell>
          <cell r="E380">
            <v>1375</v>
          </cell>
        </row>
        <row r="381">
          <cell r="A381">
            <v>1995</v>
          </cell>
          <cell r="B381">
            <v>35009</v>
          </cell>
          <cell r="C381" t="str">
            <v>美国</v>
          </cell>
          <cell r="D381" t="str">
            <v>饮料</v>
          </cell>
          <cell r="E381">
            <v>750</v>
          </cell>
        </row>
        <row r="382">
          <cell r="A382">
            <v>1995</v>
          </cell>
          <cell r="B382">
            <v>35011</v>
          </cell>
          <cell r="C382" t="str">
            <v>加拿大</v>
          </cell>
          <cell r="D382" t="str">
            <v>肉/家禽</v>
          </cell>
          <cell r="E382">
            <v>780</v>
          </cell>
        </row>
        <row r="383">
          <cell r="A383">
            <v>1995</v>
          </cell>
          <cell r="B383">
            <v>35011</v>
          </cell>
          <cell r="C383" t="str">
            <v>加拿大</v>
          </cell>
          <cell r="D383" t="str">
            <v>海洋食品</v>
          </cell>
          <cell r="E383">
            <v>216</v>
          </cell>
        </row>
        <row r="384">
          <cell r="A384">
            <v>1995</v>
          </cell>
          <cell r="B384">
            <v>35012</v>
          </cell>
          <cell r="C384" t="str">
            <v>美国</v>
          </cell>
          <cell r="D384" t="str">
            <v>糖果</v>
          </cell>
          <cell r="E384">
            <v>114</v>
          </cell>
        </row>
        <row r="385">
          <cell r="A385">
            <v>1995</v>
          </cell>
          <cell r="B385">
            <v>35013</v>
          </cell>
          <cell r="C385" t="str">
            <v>加拿大</v>
          </cell>
          <cell r="D385" t="str">
            <v>饮料</v>
          </cell>
          <cell r="E385">
            <v>71.999999731779099</v>
          </cell>
        </row>
        <row r="386">
          <cell r="A386">
            <v>1995</v>
          </cell>
          <cell r="B386">
            <v>35013</v>
          </cell>
          <cell r="C386" t="str">
            <v>加拿大</v>
          </cell>
          <cell r="D386" t="str">
            <v>饮料</v>
          </cell>
          <cell r="E386">
            <v>134.39999949932098</v>
          </cell>
        </row>
        <row r="387">
          <cell r="A387">
            <v>1995</v>
          </cell>
          <cell r="B387">
            <v>35013</v>
          </cell>
          <cell r="C387" t="str">
            <v>加拿大</v>
          </cell>
          <cell r="D387" t="str">
            <v>糖果</v>
          </cell>
          <cell r="E387">
            <v>399.99999850988388</v>
          </cell>
        </row>
        <row r="388">
          <cell r="A388">
            <v>1995</v>
          </cell>
          <cell r="B388">
            <v>35013</v>
          </cell>
          <cell r="C388" t="str">
            <v>加拿大</v>
          </cell>
          <cell r="D388" t="str">
            <v>乳制品</v>
          </cell>
          <cell r="E388">
            <v>1031.9999961555004</v>
          </cell>
        </row>
        <row r="389">
          <cell r="A389">
            <v>1995</v>
          </cell>
          <cell r="B389">
            <v>35019</v>
          </cell>
          <cell r="C389" t="str">
            <v>加拿大</v>
          </cell>
          <cell r="D389" t="str">
            <v>糖果</v>
          </cell>
          <cell r="E389">
            <v>349</v>
          </cell>
        </row>
        <row r="390">
          <cell r="A390">
            <v>1995</v>
          </cell>
          <cell r="B390">
            <v>35019</v>
          </cell>
          <cell r="C390" t="str">
            <v>加拿大</v>
          </cell>
          <cell r="D390" t="str">
            <v>饮料</v>
          </cell>
          <cell r="E390">
            <v>1104</v>
          </cell>
        </row>
        <row r="391">
          <cell r="A391">
            <v>1995</v>
          </cell>
          <cell r="B391">
            <v>35019</v>
          </cell>
          <cell r="C391" t="str">
            <v>加拿大</v>
          </cell>
          <cell r="D391" t="str">
            <v>乳制品</v>
          </cell>
          <cell r="E391">
            <v>440</v>
          </cell>
        </row>
        <row r="392">
          <cell r="A392">
            <v>1995</v>
          </cell>
          <cell r="B392">
            <v>35020</v>
          </cell>
          <cell r="C392" t="str">
            <v>加拿大</v>
          </cell>
          <cell r="D392" t="str">
            <v>香料</v>
          </cell>
          <cell r="E392">
            <v>85.4</v>
          </cell>
        </row>
        <row r="393">
          <cell r="A393">
            <v>1995</v>
          </cell>
          <cell r="B393">
            <v>35020</v>
          </cell>
          <cell r="C393" t="str">
            <v>加拿大</v>
          </cell>
          <cell r="D393" t="str">
            <v>海洋食品</v>
          </cell>
          <cell r="E393">
            <v>95</v>
          </cell>
        </row>
        <row r="394">
          <cell r="A394">
            <v>1995</v>
          </cell>
          <cell r="B394">
            <v>35024</v>
          </cell>
          <cell r="C394" t="str">
            <v>加拿大</v>
          </cell>
          <cell r="D394" t="str">
            <v>糖果</v>
          </cell>
          <cell r="E394">
            <v>110.4</v>
          </cell>
        </row>
        <row r="395">
          <cell r="A395">
            <v>1995</v>
          </cell>
          <cell r="B395">
            <v>35024</v>
          </cell>
          <cell r="C395" t="str">
            <v>加拿大</v>
          </cell>
          <cell r="D395" t="str">
            <v>海洋食品</v>
          </cell>
          <cell r="E395">
            <v>405.3</v>
          </cell>
        </row>
        <row r="396">
          <cell r="A396">
            <v>1995</v>
          </cell>
          <cell r="B396">
            <v>35024</v>
          </cell>
          <cell r="C396" t="str">
            <v>加拿大</v>
          </cell>
          <cell r="D396" t="str">
            <v>肉/家禽</v>
          </cell>
          <cell r="E396">
            <v>3936</v>
          </cell>
        </row>
        <row r="397">
          <cell r="A397">
            <v>1995</v>
          </cell>
          <cell r="B397">
            <v>35025</v>
          </cell>
          <cell r="C397" t="str">
            <v>加拿大</v>
          </cell>
          <cell r="D397" t="str">
            <v>海洋食品</v>
          </cell>
          <cell r="E397">
            <v>558</v>
          </cell>
        </row>
        <row r="398">
          <cell r="A398">
            <v>1995</v>
          </cell>
          <cell r="B398">
            <v>35025</v>
          </cell>
          <cell r="C398" t="str">
            <v>加拿大</v>
          </cell>
          <cell r="D398" t="str">
            <v>糖果</v>
          </cell>
          <cell r="E398">
            <v>936.9</v>
          </cell>
        </row>
        <row r="399">
          <cell r="A399">
            <v>1995</v>
          </cell>
          <cell r="B399">
            <v>35025</v>
          </cell>
          <cell r="C399" t="str">
            <v>加拿大</v>
          </cell>
          <cell r="D399" t="str">
            <v>海洋食品</v>
          </cell>
          <cell r="E399">
            <v>1045</v>
          </cell>
        </row>
        <row r="400">
          <cell r="A400">
            <v>1995</v>
          </cell>
          <cell r="B400">
            <v>35025</v>
          </cell>
          <cell r="C400" t="str">
            <v>加拿大</v>
          </cell>
          <cell r="D400" t="str">
            <v>海洋食品</v>
          </cell>
          <cell r="E400">
            <v>288</v>
          </cell>
        </row>
        <row r="401">
          <cell r="A401">
            <v>1995</v>
          </cell>
          <cell r="B401">
            <v>35025</v>
          </cell>
          <cell r="C401" t="str">
            <v>加拿大</v>
          </cell>
          <cell r="D401" t="str">
            <v>饮料</v>
          </cell>
          <cell r="E401">
            <v>427.5</v>
          </cell>
        </row>
        <row r="402">
          <cell r="A402">
            <v>1995</v>
          </cell>
          <cell r="B402">
            <v>35025</v>
          </cell>
          <cell r="C402" t="str">
            <v>加拿大</v>
          </cell>
          <cell r="D402" t="str">
            <v>肉/家禽</v>
          </cell>
          <cell r="E402">
            <v>789.75</v>
          </cell>
        </row>
        <row r="403">
          <cell r="A403">
            <v>1995</v>
          </cell>
          <cell r="B403">
            <v>35025</v>
          </cell>
          <cell r="C403" t="str">
            <v>加拿大</v>
          </cell>
          <cell r="D403" t="str">
            <v>糖果</v>
          </cell>
          <cell r="E403">
            <v>356.25</v>
          </cell>
        </row>
        <row r="404">
          <cell r="A404">
            <v>1995</v>
          </cell>
          <cell r="B404">
            <v>35025</v>
          </cell>
          <cell r="C404" t="str">
            <v>加拿大</v>
          </cell>
          <cell r="D404" t="str">
            <v>面食/谷类</v>
          </cell>
          <cell r="E404">
            <v>513</v>
          </cell>
        </row>
        <row r="405">
          <cell r="A405">
            <v>1995</v>
          </cell>
          <cell r="B405">
            <v>35025</v>
          </cell>
          <cell r="C405" t="str">
            <v>加拿大</v>
          </cell>
          <cell r="D405" t="str">
            <v>海洋食品</v>
          </cell>
          <cell r="E405">
            <v>119.25</v>
          </cell>
        </row>
        <row r="406">
          <cell r="A406">
            <v>1995</v>
          </cell>
          <cell r="B406">
            <v>35027</v>
          </cell>
          <cell r="C406" t="str">
            <v>美国</v>
          </cell>
          <cell r="D406" t="str">
            <v>糖果</v>
          </cell>
          <cell r="E406">
            <v>303.99999976158142</v>
          </cell>
        </row>
        <row r="407">
          <cell r="A407">
            <v>1995</v>
          </cell>
          <cell r="B407">
            <v>35027</v>
          </cell>
          <cell r="C407" t="str">
            <v>美国</v>
          </cell>
          <cell r="D407" t="str">
            <v>肉/家禽</v>
          </cell>
          <cell r="E407">
            <v>111.75</v>
          </cell>
        </row>
        <row r="408">
          <cell r="A408">
            <v>1995</v>
          </cell>
          <cell r="B408">
            <v>35027</v>
          </cell>
          <cell r="C408" t="str">
            <v>美国</v>
          </cell>
          <cell r="D408" t="str">
            <v>乳制品</v>
          </cell>
          <cell r="E408">
            <v>854.99999932944775</v>
          </cell>
        </row>
        <row r="409">
          <cell r="A409">
            <v>1995</v>
          </cell>
          <cell r="B409">
            <v>35030</v>
          </cell>
          <cell r="C409" t="str">
            <v>美国</v>
          </cell>
          <cell r="D409" t="str">
            <v>乳制品</v>
          </cell>
          <cell r="E409">
            <v>1368</v>
          </cell>
        </row>
        <row r="410">
          <cell r="A410">
            <v>1995</v>
          </cell>
          <cell r="B410">
            <v>35030</v>
          </cell>
          <cell r="C410" t="str">
            <v>美国</v>
          </cell>
          <cell r="D410" t="str">
            <v>糖果</v>
          </cell>
          <cell r="E410">
            <v>349</v>
          </cell>
        </row>
        <row r="411">
          <cell r="A411">
            <v>1995</v>
          </cell>
          <cell r="B411">
            <v>35030</v>
          </cell>
          <cell r="C411" t="str">
            <v>美国</v>
          </cell>
          <cell r="D411" t="str">
            <v>海洋食品</v>
          </cell>
          <cell r="E411">
            <v>760</v>
          </cell>
        </row>
        <row r="412">
          <cell r="A412">
            <v>1995</v>
          </cell>
          <cell r="B412">
            <v>35030</v>
          </cell>
          <cell r="C412" t="str">
            <v>美国</v>
          </cell>
          <cell r="D412" t="str">
            <v>糖果</v>
          </cell>
          <cell r="E412">
            <v>986</v>
          </cell>
        </row>
        <row r="413">
          <cell r="A413">
            <v>1995</v>
          </cell>
          <cell r="B413">
            <v>35030</v>
          </cell>
          <cell r="C413" t="str">
            <v>加拿大</v>
          </cell>
          <cell r="D413" t="str">
            <v>海洋食品</v>
          </cell>
          <cell r="E413">
            <v>562.5</v>
          </cell>
        </row>
        <row r="414">
          <cell r="A414">
            <v>1995</v>
          </cell>
          <cell r="B414">
            <v>35030</v>
          </cell>
          <cell r="C414" t="str">
            <v>加拿大</v>
          </cell>
          <cell r="D414" t="str">
            <v>海洋食品</v>
          </cell>
          <cell r="E414">
            <v>58.252499999999998</v>
          </cell>
        </row>
        <row r="415">
          <cell r="A415">
            <v>1995</v>
          </cell>
          <cell r="B415">
            <v>35030</v>
          </cell>
          <cell r="C415" t="str">
            <v>加拿大</v>
          </cell>
          <cell r="D415" t="str">
            <v>肉/家禽</v>
          </cell>
          <cell r="E415">
            <v>223.5</v>
          </cell>
        </row>
        <row r="416">
          <cell r="A416">
            <v>1995</v>
          </cell>
          <cell r="B416">
            <v>35032</v>
          </cell>
          <cell r="C416" t="str">
            <v>美国</v>
          </cell>
          <cell r="D416" t="str">
            <v>香料</v>
          </cell>
          <cell r="E416">
            <v>923.87499927543104</v>
          </cell>
        </row>
        <row r="417">
          <cell r="A417">
            <v>1995</v>
          </cell>
          <cell r="B417">
            <v>35032</v>
          </cell>
          <cell r="C417" t="str">
            <v>加拿大</v>
          </cell>
          <cell r="D417" t="str">
            <v>饮料</v>
          </cell>
          <cell r="E417">
            <v>57</v>
          </cell>
        </row>
        <row r="418">
          <cell r="A418">
            <v>1995</v>
          </cell>
          <cell r="B418">
            <v>35032</v>
          </cell>
          <cell r="C418" t="str">
            <v>加拿大</v>
          </cell>
          <cell r="D418" t="str">
            <v>乳制品</v>
          </cell>
          <cell r="E418">
            <v>625</v>
          </cell>
        </row>
        <row r="419">
          <cell r="A419">
            <v>1995</v>
          </cell>
          <cell r="B419">
            <v>35032</v>
          </cell>
          <cell r="C419" t="str">
            <v>加拿大</v>
          </cell>
          <cell r="D419" t="str">
            <v>糖果</v>
          </cell>
          <cell r="E419">
            <v>562.5</v>
          </cell>
        </row>
        <row r="420">
          <cell r="A420">
            <v>1995</v>
          </cell>
          <cell r="B420">
            <v>35032</v>
          </cell>
          <cell r="C420" t="str">
            <v>加拿大</v>
          </cell>
          <cell r="D420" t="str">
            <v>饮料</v>
          </cell>
          <cell r="E420">
            <v>325.5</v>
          </cell>
        </row>
        <row r="421">
          <cell r="A421">
            <v>1995</v>
          </cell>
          <cell r="B421">
            <v>35033</v>
          </cell>
          <cell r="C421" t="str">
            <v>加拿大</v>
          </cell>
          <cell r="D421" t="str">
            <v>糖果</v>
          </cell>
          <cell r="E421">
            <v>468.45</v>
          </cell>
        </row>
        <row r="422">
          <cell r="A422">
            <v>1995</v>
          </cell>
          <cell r="B422">
            <v>35044</v>
          </cell>
          <cell r="C422" t="str">
            <v>加拿大</v>
          </cell>
          <cell r="D422" t="str">
            <v>香料</v>
          </cell>
          <cell r="E422">
            <v>512.99999915063381</v>
          </cell>
        </row>
        <row r="423">
          <cell r="A423">
            <v>1995</v>
          </cell>
          <cell r="B423">
            <v>35044</v>
          </cell>
          <cell r="C423" t="str">
            <v>加拿大</v>
          </cell>
          <cell r="D423" t="str">
            <v>香料</v>
          </cell>
          <cell r="E423">
            <v>23.399999961256981</v>
          </cell>
        </row>
        <row r="424">
          <cell r="A424">
            <v>1995</v>
          </cell>
          <cell r="B424">
            <v>35047</v>
          </cell>
          <cell r="C424" t="str">
            <v>加拿大</v>
          </cell>
          <cell r="D424" t="str">
            <v>农产品</v>
          </cell>
          <cell r="E424">
            <v>182.39999932050705</v>
          </cell>
        </row>
        <row r="425">
          <cell r="A425">
            <v>1995</v>
          </cell>
          <cell r="B425">
            <v>35047</v>
          </cell>
          <cell r="C425" t="str">
            <v>加拿大</v>
          </cell>
          <cell r="D425" t="str">
            <v>饮料</v>
          </cell>
          <cell r="E425">
            <v>503.99999812245369</v>
          </cell>
        </row>
        <row r="426">
          <cell r="A426">
            <v>1995</v>
          </cell>
          <cell r="B426">
            <v>35047</v>
          </cell>
          <cell r="C426" t="str">
            <v>加拿大</v>
          </cell>
          <cell r="D426" t="str">
            <v>海洋食品</v>
          </cell>
          <cell r="E426">
            <v>303.99999886751175</v>
          </cell>
        </row>
        <row r="427">
          <cell r="A427">
            <v>1995</v>
          </cell>
          <cell r="B427">
            <v>35047</v>
          </cell>
          <cell r="C427" t="str">
            <v>加拿大</v>
          </cell>
          <cell r="D427" t="str">
            <v>面食/谷类</v>
          </cell>
          <cell r="E427">
            <v>425.59999841451645</v>
          </cell>
        </row>
        <row r="428">
          <cell r="A428">
            <v>1995</v>
          </cell>
          <cell r="B428">
            <v>35052</v>
          </cell>
          <cell r="C428" t="str">
            <v>美国</v>
          </cell>
          <cell r="D428" t="str">
            <v>海洋食品</v>
          </cell>
          <cell r="E428">
            <v>1500</v>
          </cell>
        </row>
        <row r="429">
          <cell r="A429">
            <v>1995</v>
          </cell>
          <cell r="B429">
            <v>35052</v>
          </cell>
          <cell r="C429" t="str">
            <v>美国</v>
          </cell>
          <cell r="D429" t="str">
            <v>香料</v>
          </cell>
          <cell r="E429">
            <v>311.2</v>
          </cell>
        </row>
        <row r="430">
          <cell r="A430">
            <v>1995</v>
          </cell>
          <cell r="B430">
            <v>35052</v>
          </cell>
          <cell r="C430" t="str">
            <v>美国</v>
          </cell>
          <cell r="D430" t="str">
            <v>乳制品</v>
          </cell>
          <cell r="E430">
            <v>2475</v>
          </cell>
        </row>
        <row r="431">
          <cell r="A431">
            <v>1995</v>
          </cell>
          <cell r="B431">
            <v>35052</v>
          </cell>
          <cell r="C431" t="str">
            <v>美国</v>
          </cell>
          <cell r="D431" t="str">
            <v>乳制品</v>
          </cell>
          <cell r="E431">
            <v>243.6</v>
          </cell>
        </row>
        <row r="432">
          <cell r="A432">
            <v>1995</v>
          </cell>
          <cell r="B432">
            <v>35054</v>
          </cell>
          <cell r="C432" t="str">
            <v>加拿大</v>
          </cell>
          <cell r="D432" t="str">
            <v>面食/谷类</v>
          </cell>
          <cell r="E432">
            <v>396</v>
          </cell>
        </row>
        <row r="433">
          <cell r="A433">
            <v>1995</v>
          </cell>
          <cell r="B433">
            <v>35054</v>
          </cell>
          <cell r="C433" t="str">
            <v>加拿大</v>
          </cell>
          <cell r="D433" t="str">
            <v>海洋食品</v>
          </cell>
          <cell r="E433">
            <v>736</v>
          </cell>
        </row>
        <row r="434">
          <cell r="A434">
            <v>1995</v>
          </cell>
          <cell r="B434">
            <v>35054</v>
          </cell>
          <cell r="C434" t="str">
            <v>加拿大</v>
          </cell>
          <cell r="D434" t="str">
            <v>面食/谷类</v>
          </cell>
          <cell r="E434">
            <v>1064</v>
          </cell>
        </row>
        <row r="435">
          <cell r="A435">
            <v>1995</v>
          </cell>
          <cell r="B435">
            <v>35061</v>
          </cell>
          <cell r="C435" t="str">
            <v>加拿大</v>
          </cell>
          <cell r="D435" t="str">
            <v>海洋食品</v>
          </cell>
          <cell r="E435">
            <v>1049.9999960884452</v>
          </cell>
        </row>
        <row r="436">
          <cell r="A436">
            <v>1995</v>
          </cell>
          <cell r="B436">
            <v>35061</v>
          </cell>
          <cell r="C436" t="str">
            <v>加拿大</v>
          </cell>
          <cell r="D436" t="str">
            <v>海洋食品</v>
          </cell>
          <cell r="E436">
            <v>303.99999886751175</v>
          </cell>
        </row>
        <row r="437">
          <cell r="A437">
            <v>1995</v>
          </cell>
          <cell r="B437">
            <v>35061</v>
          </cell>
          <cell r="C437" t="str">
            <v>加拿大</v>
          </cell>
          <cell r="D437" t="str">
            <v>糖果</v>
          </cell>
          <cell r="E437">
            <v>59.999999776482582</v>
          </cell>
        </row>
        <row r="438">
          <cell r="A438">
            <v>1995</v>
          </cell>
          <cell r="B438">
            <v>35061</v>
          </cell>
          <cell r="C438" t="str">
            <v>加拿大</v>
          </cell>
          <cell r="D438" t="str">
            <v>乳制品</v>
          </cell>
          <cell r="E438">
            <v>575.99999785423279</v>
          </cell>
        </row>
        <row r="439">
          <cell r="A439">
            <v>1995</v>
          </cell>
          <cell r="B439">
            <v>35061</v>
          </cell>
          <cell r="C439" t="str">
            <v>加拿大</v>
          </cell>
          <cell r="D439" t="str">
            <v>饮料</v>
          </cell>
          <cell r="E439">
            <v>420</v>
          </cell>
        </row>
        <row r="440">
          <cell r="A440">
            <v>1995</v>
          </cell>
          <cell r="B440">
            <v>35061</v>
          </cell>
          <cell r="C440" t="str">
            <v>加拿大</v>
          </cell>
          <cell r="D440" t="str">
            <v>乳制品</v>
          </cell>
          <cell r="E440">
            <v>385</v>
          </cell>
        </row>
        <row r="441">
          <cell r="A441">
            <v>1995</v>
          </cell>
          <cell r="B441">
            <v>35061</v>
          </cell>
          <cell r="C441" t="str">
            <v>加拿大</v>
          </cell>
          <cell r="D441" t="str">
            <v>糖果</v>
          </cell>
          <cell r="E441">
            <v>1479</v>
          </cell>
        </row>
        <row r="442">
          <cell r="A442">
            <v>1995</v>
          </cell>
          <cell r="B442">
            <v>35061</v>
          </cell>
          <cell r="C442" t="str">
            <v>加拿大</v>
          </cell>
          <cell r="D442" t="str">
            <v>面食/谷类</v>
          </cell>
          <cell r="E442">
            <v>798</v>
          </cell>
        </row>
        <row r="443">
          <cell r="A443">
            <v>1996</v>
          </cell>
          <cell r="B443">
            <v>35066</v>
          </cell>
          <cell r="C443" t="str">
            <v>加拿大</v>
          </cell>
          <cell r="D443" t="str">
            <v>糖果</v>
          </cell>
          <cell r="E443">
            <v>367.5</v>
          </cell>
        </row>
        <row r="444">
          <cell r="A444">
            <v>1996</v>
          </cell>
          <cell r="B444">
            <v>35066</v>
          </cell>
          <cell r="C444" t="str">
            <v>加拿大</v>
          </cell>
          <cell r="D444" t="str">
            <v>饮料</v>
          </cell>
          <cell r="E444">
            <v>139.5</v>
          </cell>
        </row>
        <row r="445">
          <cell r="A445">
            <v>1996</v>
          </cell>
          <cell r="B445">
            <v>35068</v>
          </cell>
          <cell r="C445" t="str">
            <v>美国</v>
          </cell>
          <cell r="D445" t="str">
            <v>香料</v>
          </cell>
          <cell r="E445">
            <v>1515.5999974906445</v>
          </cell>
        </row>
        <row r="446">
          <cell r="A446">
            <v>1996</v>
          </cell>
          <cell r="B446">
            <v>35069</v>
          </cell>
          <cell r="C446" t="str">
            <v>美国</v>
          </cell>
          <cell r="D446" t="str">
            <v>饮料</v>
          </cell>
          <cell r="E446">
            <v>760</v>
          </cell>
        </row>
        <row r="447">
          <cell r="A447">
            <v>1996</v>
          </cell>
          <cell r="B447">
            <v>35069</v>
          </cell>
          <cell r="C447" t="str">
            <v>美国</v>
          </cell>
          <cell r="D447" t="str">
            <v>农产品</v>
          </cell>
          <cell r="E447">
            <v>1050</v>
          </cell>
        </row>
        <row r="448">
          <cell r="A448">
            <v>1996</v>
          </cell>
          <cell r="B448">
            <v>35069</v>
          </cell>
          <cell r="C448" t="str">
            <v>美国</v>
          </cell>
          <cell r="D448" t="str">
            <v>糖果</v>
          </cell>
          <cell r="E448">
            <v>500</v>
          </cell>
        </row>
        <row r="449">
          <cell r="A449">
            <v>1996</v>
          </cell>
          <cell r="B449">
            <v>35074</v>
          </cell>
          <cell r="C449" t="str">
            <v>美国</v>
          </cell>
          <cell r="D449" t="str">
            <v>肉/家禽</v>
          </cell>
          <cell r="E449">
            <v>2228.2199999999998</v>
          </cell>
        </row>
        <row r="450">
          <cell r="A450">
            <v>1996</v>
          </cell>
          <cell r="B450">
            <v>35074</v>
          </cell>
          <cell r="C450" t="str">
            <v>美国</v>
          </cell>
          <cell r="D450" t="str">
            <v>乳制品</v>
          </cell>
          <cell r="E450">
            <v>1375</v>
          </cell>
        </row>
        <row r="451">
          <cell r="A451">
            <v>1996</v>
          </cell>
          <cell r="B451">
            <v>35076</v>
          </cell>
          <cell r="C451" t="str">
            <v>加拿大</v>
          </cell>
          <cell r="D451" t="str">
            <v>海洋食品</v>
          </cell>
          <cell r="E451">
            <v>186</v>
          </cell>
        </row>
        <row r="452">
          <cell r="A452">
            <v>1996</v>
          </cell>
          <cell r="B452">
            <v>35076</v>
          </cell>
          <cell r="C452" t="str">
            <v>加拿大</v>
          </cell>
          <cell r="D452" t="str">
            <v>饮料</v>
          </cell>
          <cell r="E452">
            <v>42</v>
          </cell>
        </row>
        <row r="453">
          <cell r="A453">
            <v>1996</v>
          </cell>
          <cell r="B453">
            <v>35080</v>
          </cell>
          <cell r="C453" t="str">
            <v>美国</v>
          </cell>
          <cell r="D453" t="str">
            <v>糖果</v>
          </cell>
          <cell r="E453">
            <v>349</v>
          </cell>
        </row>
        <row r="454">
          <cell r="A454">
            <v>1996</v>
          </cell>
          <cell r="B454">
            <v>35080</v>
          </cell>
          <cell r="C454" t="str">
            <v>美国</v>
          </cell>
          <cell r="D454" t="str">
            <v>糖果</v>
          </cell>
          <cell r="E454">
            <v>986</v>
          </cell>
        </row>
        <row r="455">
          <cell r="A455">
            <v>1996</v>
          </cell>
          <cell r="B455">
            <v>35086</v>
          </cell>
          <cell r="C455" t="str">
            <v>美国</v>
          </cell>
          <cell r="D455" t="str">
            <v>糖果</v>
          </cell>
          <cell r="E455">
            <v>436.99999965727329</v>
          </cell>
        </row>
        <row r="456">
          <cell r="A456">
            <v>1996</v>
          </cell>
          <cell r="B456">
            <v>35086</v>
          </cell>
          <cell r="C456" t="str">
            <v>美国</v>
          </cell>
          <cell r="D456" t="str">
            <v>饮料</v>
          </cell>
          <cell r="E456">
            <v>294.499999769032</v>
          </cell>
        </row>
        <row r="457">
          <cell r="A457">
            <v>1996</v>
          </cell>
          <cell r="B457">
            <v>35087</v>
          </cell>
          <cell r="C457" t="str">
            <v>美国</v>
          </cell>
          <cell r="D457" t="str">
            <v>肉/家禽</v>
          </cell>
          <cell r="E457">
            <v>1646.4069987087696</v>
          </cell>
        </row>
        <row r="458">
          <cell r="A458">
            <v>1996</v>
          </cell>
          <cell r="B458">
            <v>35087</v>
          </cell>
          <cell r="C458" t="str">
            <v>美国</v>
          </cell>
          <cell r="D458" t="str">
            <v>海洋食品</v>
          </cell>
          <cell r="E458">
            <v>183.34999985620379</v>
          </cell>
        </row>
        <row r="459">
          <cell r="A459">
            <v>1996</v>
          </cell>
          <cell r="B459">
            <v>35089</v>
          </cell>
          <cell r="C459" t="str">
            <v>美国</v>
          </cell>
          <cell r="D459" t="str">
            <v>乳制品</v>
          </cell>
          <cell r="E459">
            <v>420</v>
          </cell>
        </row>
        <row r="460">
          <cell r="A460">
            <v>1996</v>
          </cell>
          <cell r="B460">
            <v>35090</v>
          </cell>
          <cell r="C460" t="str">
            <v>美国</v>
          </cell>
          <cell r="D460" t="str">
            <v>海洋食品</v>
          </cell>
          <cell r="E460">
            <v>101.99999928474426</v>
          </cell>
        </row>
        <row r="461">
          <cell r="A461">
            <v>1996</v>
          </cell>
          <cell r="B461">
            <v>35090</v>
          </cell>
          <cell r="C461" t="str">
            <v>美国</v>
          </cell>
          <cell r="D461" t="str">
            <v>饮料</v>
          </cell>
          <cell r="E461">
            <v>76.499999463558197</v>
          </cell>
        </row>
        <row r="462">
          <cell r="A462">
            <v>1996</v>
          </cell>
          <cell r="B462">
            <v>35090</v>
          </cell>
          <cell r="C462" t="str">
            <v>美国</v>
          </cell>
          <cell r="D462" t="str">
            <v>乳制品</v>
          </cell>
          <cell r="E462">
            <v>1375</v>
          </cell>
        </row>
        <row r="463">
          <cell r="A463">
            <v>1996</v>
          </cell>
          <cell r="B463">
            <v>35094</v>
          </cell>
          <cell r="C463" t="str">
            <v>加拿大</v>
          </cell>
          <cell r="D463" t="str">
            <v>饮料</v>
          </cell>
          <cell r="E463">
            <v>140</v>
          </cell>
        </row>
        <row r="464">
          <cell r="A464">
            <v>1996</v>
          </cell>
          <cell r="B464">
            <v>35094</v>
          </cell>
          <cell r="C464" t="str">
            <v>加拿大</v>
          </cell>
          <cell r="D464" t="str">
            <v>饮料</v>
          </cell>
          <cell r="E464">
            <v>2635</v>
          </cell>
        </row>
        <row r="465">
          <cell r="A465">
            <v>1996</v>
          </cell>
          <cell r="B465">
            <v>35096</v>
          </cell>
          <cell r="C465" t="str">
            <v>加拿大</v>
          </cell>
          <cell r="D465" t="str">
            <v>面食/谷类</v>
          </cell>
          <cell r="E465">
            <v>645.999995470047</v>
          </cell>
        </row>
        <row r="466">
          <cell r="A466">
            <v>1996</v>
          </cell>
          <cell r="B466">
            <v>35096</v>
          </cell>
          <cell r="C466" t="str">
            <v>加拿大</v>
          </cell>
          <cell r="D466" t="str">
            <v>饮料</v>
          </cell>
          <cell r="E466">
            <v>764.99999463558197</v>
          </cell>
        </row>
        <row r="467">
          <cell r="A467">
            <v>1996</v>
          </cell>
          <cell r="B467">
            <v>35100</v>
          </cell>
          <cell r="C467" t="str">
            <v>加拿大</v>
          </cell>
          <cell r="D467" t="str">
            <v>乳制品</v>
          </cell>
          <cell r="E467">
            <v>40</v>
          </cell>
        </row>
        <row r="468">
          <cell r="A468">
            <v>1996</v>
          </cell>
          <cell r="B468">
            <v>35101</v>
          </cell>
          <cell r="C468" t="str">
            <v>加拿大</v>
          </cell>
          <cell r="D468" t="str">
            <v>饮料</v>
          </cell>
          <cell r="E468">
            <v>7509.749994110316</v>
          </cell>
        </row>
        <row r="469">
          <cell r="A469">
            <v>1996</v>
          </cell>
          <cell r="B469">
            <v>35101</v>
          </cell>
          <cell r="C469" t="str">
            <v>加拿大</v>
          </cell>
          <cell r="D469" t="str">
            <v>糖果</v>
          </cell>
          <cell r="E469">
            <v>936.69999926537275</v>
          </cell>
        </row>
        <row r="470">
          <cell r="A470">
            <v>1996</v>
          </cell>
          <cell r="B470">
            <v>35101</v>
          </cell>
          <cell r="C470" t="str">
            <v>美国</v>
          </cell>
          <cell r="D470" t="str">
            <v>糖果</v>
          </cell>
          <cell r="E470">
            <v>1061.8199925541878</v>
          </cell>
        </row>
        <row r="471">
          <cell r="A471">
            <v>1996</v>
          </cell>
          <cell r="B471">
            <v>35101</v>
          </cell>
          <cell r="C471" t="str">
            <v>美国</v>
          </cell>
          <cell r="D471" t="str">
            <v>饮料</v>
          </cell>
          <cell r="E471">
            <v>7905</v>
          </cell>
        </row>
        <row r="472">
          <cell r="A472">
            <v>1996</v>
          </cell>
          <cell r="B472">
            <v>35101</v>
          </cell>
          <cell r="C472" t="str">
            <v>美国</v>
          </cell>
          <cell r="D472" t="str">
            <v>海洋食品</v>
          </cell>
          <cell r="E472">
            <v>938.39999341964722</v>
          </cell>
        </row>
        <row r="473">
          <cell r="A473">
            <v>1996</v>
          </cell>
          <cell r="B473">
            <v>35101</v>
          </cell>
          <cell r="C473" t="str">
            <v>美国</v>
          </cell>
          <cell r="D473" t="str">
            <v>糖果</v>
          </cell>
          <cell r="E473">
            <v>1047.6249926537275</v>
          </cell>
        </row>
        <row r="474">
          <cell r="A474">
            <v>1996</v>
          </cell>
          <cell r="B474">
            <v>35102</v>
          </cell>
          <cell r="C474" t="str">
            <v>加拿大</v>
          </cell>
          <cell r="D474" t="str">
            <v>面食/谷类</v>
          </cell>
          <cell r="E474">
            <v>1140</v>
          </cell>
        </row>
        <row r="475">
          <cell r="A475">
            <v>1996</v>
          </cell>
          <cell r="B475">
            <v>35103</v>
          </cell>
          <cell r="C475" t="str">
            <v>加拿大</v>
          </cell>
          <cell r="D475" t="str">
            <v>饮料</v>
          </cell>
          <cell r="E475">
            <v>360</v>
          </cell>
        </row>
        <row r="476">
          <cell r="A476">
            <v>1996</v>
          </cell>
          <cell r="B476">
            <v>35103</v>
          </cell>
          <cell r="C476" t="str">
            <v>加拿大</v>
          </cell>
          <cell r="D476" t="str">
            <v>农产品</v>
          </cell>
          <cell r="E476">
            <v>318</v>
          </cell>
        </row>
        <row r="477">
          <cell r="A477">
            <v>1996</v>
          </cell>
          <cell r="B477">
            <v>35103</v>
          </cell>
          <cell r="C477" t="str">
            <v>加拿大</v>
          </cell>
          <cell r="D477" t="str">
            <v>糖果</v>
          </cell>
          <cell r="E477">
            <v>147.9</v>
          </cell>
        </row>
        <row r="478">
          <cell r="A478">
            <v>1996</v>
          </cell>
          <cell r="B478">
            <v>35103</v>
          </cell>
          <cell r="C478" t="str">
            <v>加拿大</v>
          </cell>
          <cell r="D478" t="str">
            <v>饮料</v>
          </cell>
          <cell r="E478">
            <v>90</v>
          </cell>
        </row>
        <row r="479">
          <cell r="A479">
            <v>1996</v>
          </cell>
          <cell r="B479">
            <v>35104</v>
          </cell>
          <cell r="C479" t="str">
            <v>美国</v>
          </cell>
          <cell r="D479" t="str">
            <v>糖果</v>
          </cell>
          <cell r="E479">
            <v>374.76</v>
          </cell>
        </row>
        <row r="480">
          <cell r="A480">
            <v>1996</v>
          </cell>
          <cell r="B480">
            <v>35104</v>
          </cell>
          <cell r="C480" t="str">
            <v>美国</v>
          </cell>
          <cell r="D480" t="str">
            <v>肉/家禽</v>
          </cell>
          <cell r="E480">
            <v>656</v>
          </cell>
        </row>
        <row r="481">
          <cell r="A481">
            <v>1996</v>
          </cell>
          <cell r="B481">
            <v>35110</v>
          </cell>
          <cell r="C481" t="str">
            <v>美国</v>
          </cell>
          <cell r="D481" t="str">
            <v>农产品</v>
          </cell>
          <cell r="E481">
            <v>539.99999910593033</v>
          </cell>
        </row>
        <row r="482">
          <cell r="A482">
            <v>1996</v>
          </cell>
          <cell r="B482">
            <v>35110</v>
          </cell>
          <cell r="C482" t="str">
            <v>美国</v>
          </cell>
          <cell r="D482" t="str">
            <v>乳制品</v>
          </cell>
          <cell r="E482">
            <v>101.24999983236194</v>
          </cell>
        </row>
        <row r="483">
          <cell r="A483">
            <v>1996</v>
          </cell>
          <cell r="B483">
            <v>35110</v>
          </cell>
          <cell r="C483" t="str">
            <v>美国</v>
          </cell>
          <cell r="D483" t="str">
            <v>肉/家禽</v>
          </cell>
          <cell r="E483">
            <v>265.67999956011772</v>
          </cell>
        </row>
        <row r="484">
          <cell r="A484">
            <v>1996</v>
          </cell>
          <cell r="B484">
            <v>35116</v>
          </cell>
          <cell r="C484" t="str">
            <v>美国</v>
          </cell>
          <cell r="D484" t="str">
            <v>面食/谷类</v>
          </cell>
          <cell r="E484">
            <v>566.99999906122684</v>
          </cell>
        </row>
        <row r="485">
          <cell r="A485">
            <v>1996</v>
          </cell>
          <cell r="B485">
            <v>35116</v>
          </cell>
          <cell r="C485" t="str">
            <v>美国</v>
          </cell>
          <cell r="D485" t="str">
            <v>饮料</v>
          </cell>
          <cell r="E485">
            <v>404.99999932944775</v>
          </cell>
        </row>
        <row r="486">
          <cell r="A486">
            <v>1996</v>
          </cell>
          <cell r="B486">
            <v>35116</v>
          </cell>
          <cell r="C486" t="str">
            <v>美国</v>
          </cell>
          <cell r="D486" t="str">
            <v>面食/谷类</v>
          </cell>
          <cell r="E486">
            <v>529.19999912381172</v>
          </cell>
        </row>
        <row r="487">
          <cell r="A487">
            <v>1996</v>
          </cell>
          <cell r="B487">
            <v>35116</v>
          </cell>
          <cell r="C487" t="str">
            <v>美国</v>
          </cell>
          <cell r="D487" t="str">
            <v>海洋食品</v>
          </cell>
          <cell r="E487">
            <v>715.49999881535769</v>
          </cell>
        </row>
        <row r="488">
          <cell r="A488">
            <v>1996</v>
          </cell>
          <cell r="B488">
            <v>35116</v>
          </cell>
          <cell r="C488" t="str">
            <v>美国</v>
          </cell>
          <cell r="D488" t="str">
            <v>面食/谷类</v>
          </cell>
          <cell r="E488">
            <v>1596</v>
          </cell>
        </row>
        <row r="489">
          <cell r="A489">
            <v>1996</v>
          </cell>
          <cell r="B489">
            <v>35117</v>
          </cell>
          <cell r="C489" t="str">
            <v>加拿大</v>
          </cell>
          <cell r="D489" t="str">
            <v>饮料</v>
          </cell>
          <cell r="E489">
            <v>1151.9999957084656</v>
          </cell>
        </row>
        <row r="490">
          <cell r="A490">
            <v>1996</v>
          </cell>
          <cell r="B490">
            <v>35117</v>
          </cell>
          <cell r="C490" t="str">
            <v>加拿大</v>
          </cell>
          <cell r="D490" t="str">
            <v>糖果</v>
          </cell>
          <cell r="E490">
            <v>88.319999670982369</v>
          </cell>
        </row>
        <row r="491">
          <cell r="A491">
            <v>1996</v>
          </cell>
          <cell r="B491">
            <v>35117</v>
          </cell>
          <cell r="C491" t="str">
            <v>加拿大</v>
          </cell>
          <cell r="D491" t="str">
            <v>海洋食品</v>
          </cell>
          <cell r="E491">
            <v>1247.9999953508377</v>
          </cell>
        </row>
        <row r="492">
          <cell r="A492">
            <v>1996</v>
          </cell>
          <cell r="B492">
            <v>35117</v>
          </cell>
          <cell r="C492" t="str">
            <v>加拿大</v>
          </cell>
          <cell r="D492" t="str">
            <v>海洋食品</v>
          </cell>
          <cell r="E492">
            <v>273.59999898076057</v>
          </cell>
        </row>
        <row r="493">
          <cell r="A493">
            <v>1996</v>
          </cell>
          <cell r="B493">
            <v>35117</v>
          </cell>
          <cell r="C493" t="str">
            <v>加拿大</v>
          </cell>
          <cell r="D493" t="str">
            <v>乳制品</v>
          </cell>
          <cell r="E493">
            <v>1223.9999954402447</v>
          </cell>
        </row>
        <row r="494">
          <cell r="A494">
            <v>1996</v>
          </cell>
          <cell r="B494">
            <v>35117</v>
          </cell>
          <cell r="C494" t="str">
            <v>加拿大</v>
          </cell>
          <cell r="D494" t="str">
            <v>乳制品</v>
          </cell>
          <cell r="E494">
            <v>945.99999647587538</v>
          </cell>
        </row>
        <row r="495">
          <cell r="A495">
            <v>1996</v>
          </cell>
          <cell r="B495">
            <v>35118</v>
          </cell>
          <cell r="C495" t="str">
            <v>美国</v>
          </cell>
          <cell r="D495" t="str">
            <v>香料</v>
          </cell>
          <cell r="E495">
            <v>490</v>
          </cell>
        </row>
        <row r="496">
          <cell r="A496">
            <v>1996</v>
          </cell>
          <cell r="B496">
            <v>35118</v>
          </cell>
          <cell r="C496" t="str">
            <v>美国</v>
          </cell>
          <cell r="D496" t="str">
            <v>糖果</v>
          </cell>
          <cell r="E496">
            <v>477.81899664938447</v>
          </cell>
        </row>
        <row r="497">
          <cell r="A497">
            <v>1996</v>
          </cell>
          <cell r="B497">
            <v>35121</v>
          </cell>
          <cell r="C497" t="str">
            <v>加拿大</v>
          </cell>
          <cell r="D497" t="str">
            <v>饮料</v>
          </cell>
          <cell r="E497">
            <v>285</v>
          </cell>
        </row>
        <row r="498">
          <cell r="A498">
            <v>1996</v>
          </cell>
          <cell r="B498">
            <v>35121</v>
          </cell>
          <cell r="C498" t="str">
            <v>加拿大</v>
          </cell>
          <cell r="D498" t="str">
            <v>肉/家禽</v>
          </cell>
          <cell r="E498">
            <v>234</v>
          </cell>
        </row>
        <row r="499">
          <cell r="A499">
            <v>1996</v>
          </cell>
          <cell r="B499">
            <v>35121</v>
          </cell>
          <cell r="C499" t="str">
            <v>加拿大</v>
          </cell>
          <cell r="D499" t="str">
            <v>糖果</v>
          </cell>
          <cell r="E499">
            <v>2465</v>
          </cell>
        </row>
        <row r="500">
          <cell r="A500">
            <v>1996</v>
          </cell>
          <cell r="B500">
            <v>35122</v>
          </cell>
          <cell r="C500" t="str">
            <v>美国</v>
          </cell>
          <cell r="D500" t="str">
            <v>海洋食品</v>
          </cell>
          <cell r="E500">
            <v>625</v>
          </cell>
        </row>
        <row r="501">
          <cell r="A501">
            <v>1996</v>
          </cell>
          <cell r="B501">
            <v>35122</v>
          </cell>
          <cell r="C501" t="str">
            <v>加拿大</v>
          </cell>
          <cell r="D501" t="str">
            <v>糖果</v>
          </cell>
          <cell r="E501">
            <v>872.5</v>
          </cell>
        </row>
        <row r="502">
          <cell r="A502">
            <v>1996</v>
          </cell>
          <cell r="B502">
            <v>35122</v>
          </cell>
          <cell r="C502" t="str">
            <v>加拿大</v>
          </cell>
          <cell r="D502" t="str">
            <v>乳制品</v>
          </cell>
          <cell r="E502">
            <v>175</v>
          </cell>
        </row>
        <row r="503">
          <cell r="A503">
            <v>1996</v>
          </cell>
          <cell r="B503">
            <v>35122</v>
          </cell>
          <cell r="C503" t="str">
            <v>加拿大</v>
          </cell>
          <cell r="D503" t="str">
            <v>面食/谷类</v>
          </cell>
          <cell r="E503">
            <v>912</v>
          </cell>
        </row>
        <row r="504">
          <cell r="A504">
            <v>1996</v>
          </cell>
          <cell r="B504">
            <v>35122</v>
          </cell>
          <cell r="C504" t="str">
            <v>加拿大</v>
          </cell>
          <cell r="D504" t="str">
            <v>香料</v>
          </cell>
          <cell r="E504">
            <v>268.38749811798334</v>
          </cell>
        </row>
        <row r="505">
          <cell r="A505">
            <v>1996</v>
          </cell>
          <cell r="B505">
            <v>35124</v>
          </cell>
          <cell r="C505" t="str">
            <v>美国</v>
          </cell>
          <cell r="D505" t="str">
            <v>饮料</v>
          </cell>
          <cell r="E505">
            <v>135</v>
          </cell>
        </row>
        <row r="506">
          <cell r="A506">
            <v>1996</v>
          </cell>
          <cell r="B506">
            <v>35124</v>
          </cell>
          <cell r="C506" t="str">
            <v>美国</v>
          </cell>
          <cell r="D506" t="str">
            <v>肉/家禽</v>
          </cell>
          <cell r="E506">
            <v>195.5625</v>
          </cell>
        </row>
        <row r="507">
          <cell r="A507">
            <v>1996</v>
          </cell>
          <cell r="B507">
            <v>35124</v>
          </cell>
          <cell r="C507" t="str">
            <v>美国</v>
          </cell>
          <cell r="D507" t="str">
            <v>面食/谷类</v>
          </cell>
          <cell r="E507">
            <v>748.125</v>
          </cell>
        </row>
        <row r="508">
          <cell r="A508">
            <v>1996</v>
          </cell>
          <cell r="B508">
            <v>35125</v>
          </cell>
          <cell r="C508" t="str">
            <v>加拿大</v>
          </cell>
          <cell r="D508" t="str">
            <v>肉/家禽</v>
          </cell>
          <cell r="E508">
            <v>1638</v>
          </cell>
        </row>
        <row r="509">
          <cell r="A509">
            <v>1996</v>
          </cell>
          <cell r="B509">
            <v>35125</v>
          </cell>
          <cell r="C509" t="str">
            <v>加拿大</v>
          </cell>
          <cell r="D509" t="str">
            <v>海洋食品</v>
          </cell>
          <cell r="E509">
            <v>1250</v>
          </cell>
        </row>
        <row r="510">
          <cell r="A510">
            <v>1996</v>
          </cell>
          <cell r="B510">
            <v>35125</v>
          </cell>
          <cell r="C510" t="str">
            <v>加拿大</v>
          </cell>
          <cell r="D510" t="str">
            <v>糖果</v>
          </cell>
          <cell r="E510">
            <v>400</v>
          </cell>
        </row>
        <row r="511">
          <cell r="A511">
            <v>1996</v>
          </cell>
          <cell r="B511">
            <v>35125</v>
          </cell>
          <cell r="C511" t="str">
            <v>加拿大</v>
          </cell>
          <cell r="D511" t="str">
            <v>乳制品</v>
          </cell>
          <cell r="E511">
            <v>87.5</v>
          </cell>
        </row>
        <row r="512">
          <cell r="A512">
            <v>1996</v>
          </cell>
          <cell r="B512">
            <v>35125</v>
          </cell>
          <cell r="C512" t="str">
            <v>加拿大</v>
          </cell>
          <cell r="D512" t="str">
            <v>糖果</v>
          </cell>
          <cell r="E512">
            <v>147.9</v>
          </cell>
        </row>
        <row r="513">
          <cell r="A513">
            <v>1996</v>
          </cell>
          <cell r="B513">
            <v>35125</v>
          </cell>
          <cell r="C513" t="str">
            <v>美国</v>
          </cell>
          <cell r="D513" t="str">
            <v>乳制品</v>
          </cell>
          <cell r="E513">
            <v>525</v>
          </cell>
        </row>
        <row r="514">
          <cell r="A514">
            <v>1996</v>
          </cell>
          <cell r="B514">
            <v>35125</v>
          </cell>
          <cell r="C514" t="str">
            <v>美国</v>
          </cell>
          <cell r="D514" t="str">
            <v>面食/谷类</v>
          </cell>
          <cell r="E514">
            <v>56</v>
          </cell>
        </row>
        <row r="515">
          <cell r="A515">
            <v>1996</v>
          </cell>
          <cell r="B515">
            <v>35128</v>
          </cell>
          <cell r="C515" t="str">
            <v>美国</v>
          </cell>
          <cell r="D515" t="str">
            <v>饮料</v>
          </cell>
          <cell r="E515">
            <v>15019.499988220632</v>
          </cell>
        </row>
        <row r="516">
          <cell r="A516">
            <v>1996</v>
          </cell>
          <cell r="B516">
            <v>35128</v>
          </cell>
          <cell r="C516" t="str">
            <v>美国</v>
          </cell>
          <cell r="D516" t="str">
            <v>饮料</v>
          </cell>
          <cell r="E516">
            <v>1367.9999989271164</v>
          </cell>
        </row>
        <row r="517">
          <cell r="A517">
            <v>1996</v>
          </cell>
          <cell r="B517">
            <v>35129</v>
          </cell>
          <cell r="C517" t="str">
            <v>加拿大</v>
          </cell>
          <cell r="D517" t="str">
            <v>肉/家禽</v>
          </cell>
          <cell r="E517">
            <v>98.4</v>
          </cell>
        </row>
        <row r="518">
          <cell r="A518">
            <v>1996</v>
          </cell>
          <cell r="B518">
            <v>35136</v>
          </cell>
          <cell r="C518" t="str">
            <v>美国</v>
          </cell>
          <cell r="D518" t="str">
            <v>糖果</v>
          </cell>
          <cell r="E518">
            <v>1538.9999987930059</v>
          </cell>
        </row>
        <row r="519">
          <cell r="A519">
            <v>1996</v>
          </cell>
          <cell r="B519">
            <v>35137</v>
          </cell>
          <cell r="C519" t="str">
            <v>加拿大</v>
          </cell>
          <cell r="D519" t="str">
            <v>面食/谷类</v>
          </cell>
          <cell r="E519">
            <v>350</v>
          </cell>
        </row>
        <row r="520">
          <cell r="A520">
            <v>1996</v>
          </cell>
          <cell r="B520">
            <v>35137</v>
          </cell>
          <cell r="C520" t="str">
            <v>加拿大</v>
          </cell>
          <cell r="D520" t="str">
            <v>糖果</v>
          </cell>
          <cell r="E520">
            <v>339.99999761581421</v>
          </cell>
        </row>
        <row r="521">
          <cell r="A521">
            <v>1996</v>
          </cell>
          <cell r="B521">
            <v>35137</v>
          </cell>
          <cell r="C521" t="str">
            <v>加拿大</v>
          </cell>
          <cell r="D521" t="str">
            <v>肉/家禽</v>
          </cell>
          <cell r="E521">
            <v>202.63999857902527</v>
          </cell>
        </row>
        <row r="522">
          <cell r="A522">
            <v>1996</v>
          </cell>
          <cell r="B522">
            <v>35138</v>
          </cell>
          <cell r="C522" t="str">
            <v>加拿大</v>
          </cell>
          <cell r="D522" t="str">
            <v>饮料</v>
          </cell>
          <cell r="E522">
            <v>36</v>
          </cell>
        </row>
        <row r="523">
          <cell r="A523">
            <v>1996</v>
          </cell>
          <cell r="B523">
            <v>35138</v>
          </cell>
          <cell r="C523" t="str">
            <v>加拿大</v>
          </cell>
          <cell r="D523" t="str">
            <v>糖果</v>
          </cell>
          <cell r="E523">
            <v>379.99999970197678</v>
          </cell>
        </row>
        <row r="524">
          <cell r="A524">
            <v>1996</v>
          </cell>
          <cell r="B524">
            <v>35138</v>
          </cell>
          <cell r="C524" t="str">
            <v>加拿大</v>
          </cell>
          <cell r="D524" t="str">
            <v>面食/谷类</v>
          </cell>
          <cell r="E524">
            <v>758.09999940544367</v>
          </cell>
        </row>
        <row r="525">
          <cell r="A525">
            <v>1996</v>
          </cell>
          <cell r="B525">
            <v>35138</v>
          </cell>
          <cell r="C525" t="str">
            <v>加拿大</v>
          </cell>
          <cell r="D525" t="str">
            <v>香料</v>
          </cell>
          <cell r="E525">
            <v>239.96999981179832</v>
          </cell>
        </row>
        <row r="526">
          <cell r="A526">
            <v>1996</v>
          </cell>
          <cell r="B526">
            <v>35142</v>
          </cell>
          <cell r="C526" t="str">
            <v>加拿大</v>
          </cell>
          <cell r="D526" t="str">
            <v>乳制品</v>
          </cell>
          <cell r="E526">
            <v>840</v>
          </cell>
        </row>
        <row r="527">
          <cell r="A527">
            <v>1996</v>
          </cell>
          <cell r="B527">
            <v>35142</v>
          </cell>
          <cell r="C527" t="str">
            <v>加拿大</v>
          </cell>
          <cell r="D527" t="str">
            <v>饮料</v>
          </cell>
          <cell r="E527">
            <v>10540</v>
          </cell>
        </row>
        <row r="528">
          <cell r="A528">
            <v>1996</v>
          </cell>
          <cell r="B528">
            <v>35143</v>
          </cell>
          <cell r="C528" t="str">
            <v>美国</v>
          </cell>
          <cell r="D528" t="str">
            <v>海洋食品</v>
          </cell>
          <cell r="E528">
            <v>368.93249971065671</v>
          </cell>
        </row>
        <row r="529">
          <cell r="A529">
            <v>1996</v>
          </cell>
          <cell r="B529">
            <v>35144</v>
          </cell>
          <cell r="C529" t="str">
            <v>美国</v>
          </cell>
          <cell r="D529" t="str">
            <v>香料</v>
          </cell>
          <cell r="E529">
            <v>1200</v>
          </cell>
        </row>
        <row r="530">
          <cell r="A530">
            <v>1996</v>
          </cell>
          <cell r="B530">
            <v>35144</v>
          </cell>
          <cell r="C530" t="str">
            <v>美国</v>
          </cell>
          <cell r="D530" t="str">
            <v>饮料</v>
          </cell>
          <cell r="E530">
            <v>45</v>
          </cell>
        </row>
        <row r="531">
          <cell r="A531">
            <v>1996</v>
          </cell>
          <cell r="B531">
            <v>35144</v>
          </cell>
          <cell r="C531" t="str">
            <v>美国</v>
          </cell>
          <cell r="D531" t="str">
            <v>肉/家禽</v>
          </cell>
          <cell r="E531">
            <v>2970.96</v>
          </cell>
        </row>
        <row r="532">
          <cell r="A532">
            <v>1996</v>
          </cell>
          <cell r="B532">
            <v>35144</v>
          </cell>
          <cell r="C532" t="str">
            <v>美国</v>
          </cell>
          <cell r="D532" t="str">
            <v>海洋食品</v>
          </cell>
          <cell r="E532">
            <v>906.15</v>
          </cell>
        </row>
        <row r="533">
          <cell r="A533">
            <v>1996</v>
          </cell>
          <cell r="B533">
            <v>35144</v>
          </cell>
          <cell r="C533" t="str">
            <v>美国</v>
          </cell>
          <cell r="D533" t="str">
            <v>海洋食品</v>
          </cell>
          <cell r="E533">
            <v>380</v>
          </cell>
        </row>
        <row r="534">
          <cell r="A534">
            <v>1996</v>
          </cell>
          <cell r="B534">
            <v>35144</v>
          </cell>
          <cell r="C534" t="str">
            <v>加拿大</v>
          </cell>
          <cell r="D534" t="str">
            <v>海洋食品</v>
          </cell>
          <cell r="E534">
            <v>159.59999987483025</v>
          </cell>
        </row>
        <row r="535">
          <cell r="A535">
            <v>1996</v>
          </cell>
          <cell r="B535">
            <v>35144</v>
          </cell>
          <cell r="C535" t="str">
            <v>加拿大</v>
          </cell>
          <cell r="D535" t="str">
            <v>乳制品</v>
          </cell>
          <cell r="E535">
            <v>1709.9999986588955</v>
          </cell>
        </row>
        <row r="536">
          <cell r="A536">
            <v>1996</v>
          </cell>
          <cell r="B536">
            <v>35144</v>
          </cell>
          <cell r="C536" t="str">
            <v>加拿大</v>
          </cell>
          <cell r="D536" t="str">
            <v>饮料</v>
          </cell>
          <cell r="E536">
            <v>883.499999307096</v>
          </cell>
        </row>
        <row r="537">
          <cell r="A537">
            <v>1996</v>
          </cell>
          <cell r="B537">
            <v>35150</v>
          </cell>
          <cell r="C537" t="str">
            <v>加拿大</v>
          </cell>
          <cell r="D537" t="str">
            <v>海洋食品</v>
          </cell>
          <cell r="E537">
            <v>198.75</v>
          </cell>
        </row>
        <row r="538">
          <cell r="A538">
            <v>1996</v>
          </cell>
          <cell r="B538">
            <v>35150</v>
          </cell>
          <cell r="C538" t="str">
            <v>加拿大</v>
          </cell>
          <cell r="D538" t="str">
            <v>糖果</v>
          </cell>
          <cell r="E538">
            <v>1725.5</v>
          </cell>
        </row>
        <row r="539">
          <cell r="A539">
            <v>1996</v>
          </cell>
          <cell r="B539">
            <v>35159</v>
          </cell>
          <cell r="C539" t="str">
            <v>美国</v>
          </cell>
          <cell r="D539" t="str">
            <v>糖果</v>
          </cell>
          <cell r="E539">
            <v>600</v>
          </cell>
        </row>
        <row r="540">
          <cell r="A540">
            <v>1996</v>
          </cell>
          <cell r="B540">
            <v>35159</v>
          </cell>
          <cell r="C540" t="str">
            <v>美国</v>
          </cell>
          <cell r="D540" t="str">
            <v>饮料</v>
          </cell>
          <cell r="E540">
            <v>379.75</v>
          </cell>
        </row>
        <row r="541">
          <cell r="A541">
            <v>1996</v>
          </cell>
          <cell r="B541">
            <v>35159</v>
          </cell>
          <cell r="C541" t="str">
            <v>美国</v>
          </cell>
          <cell r="D541" t="str">
            <v>香料</v>
          </cell>
          <cell r="E541">
            <v>195</v>
          </cell>
        </row>
        <row r="542">
          <cell r="A542">
            <v>1996</v>
          </cell>
          <cell r="B542">
            <v>35163</v>
          </cell>
          <cell r="C542" t="str">
            <v>美国</v>
          </cell>
          <cell r="D542" t="str">
            <v>香料</v>
          </cell>
          <cell r="E542">
            <v>500</v>
          </cell>
        </row>
        <row r="543">
          <cell r="A543">
            <v>1996</v>
          </cell>
          <cell r="B543">
            <v>35163</v>
          </cell>
          <cell r="C543" t="str">
            <v>加拿大</v>
          </cell>
          <cell r="D543" t="str">
            <v>海洋食品</v>
          </cell>
          <cell r="E543">
            <v>455.99999830126762</v>
          </cell>
        </row>
        <row r="544">
          <cell r="A544">
            <v>1996</v>
          </cell>
          <cell r="B544">
            <v>35164</v>
          </cell>
          <cell r="C544" t="str">
            <v>美国</v>
          </cell>
          <cell r="D544" t="str">
            <v>海洋食品</v>
          </cell>
          <cell r="E544">
            <v>90</v>
          </cell>
        </row>
        <row r="545">
          <cell r="A545">
            <v>1996</v>
          </cell>
          <cell r="B545">
            <v>35164</v>
          </cell>
          <cell r="C545" t="str">
            <v>美国</v>
          </cell>
          <cell r="D545" t="str">
            <v>饮料</v>
          </cell>
          <cell r="E545">
            <v>828</v>
          </cell>
        </row>
        <row r="546">
          <cell r="A546">
            <v>1996</v>
          </cell>
          <cell r="B546">
            <v>35164</v>
          </cell>
          <cell r="C546" t="str">
            <v>美国</v>
          </cell>
          <cell r="D546" t="str">
            <v>乳制品</v>
          </cell>
          <cell r="E546">
            <v>1249.5</v>
          </cell>
        </row>
        <row r="547">
          <cell r="A547">
            <v>1996</v>
          </cell>
          <cell r="B547">
            <v>35164</v>
          </cell>
          <cell r="C547" t="str">
            <v>美国</v>
          </cell>
          <cell r="D547" t="str">
            <v>乳制品</v>
          </cell>
          <cell r="E547">
            <v>564.375</v>
          </cell>
        </row>
        <row r="548">
          <cell r="A548">
            <v>1996</v>
          </cell>
          <cell r="B548">
            <v>35165</v>
          </cell>
          <cell r="C548" t="str">
            <v>加拿大</v>
          </cell>
          <cell r="D548" t="str">
            <v>乳制品</v>
          </cell>
          <cell r="E548">
            <v>412.5</v>
          </cell>
        </row>
        <row r="549">
          <cell r="A549">
            <v>1996</v>
          </cell>
          <cell r="B549">
            <v>35165</v>
          </cell>
          <cell r="C549" t="str">
            <v>加拿大</v>
          </cell>
          <cell r="D549" t="str">
            <v>糖果</v>
          </cell>
          <cell r="E549">
            <v>1109.25</v>
          </cell>
        </row>
        <row r="550">
          <cell r="A550">
            <v>1996</v>
          </cell>
          <cell r="B550">
            <v>35165</v>
          </cell>
          <cell r="C550" t="str">
            <v>加拿大</v>
          </cell>
          <cell r="D550" t="str">
            <v>糖果</v>
          </cell>
          <cell r="E550">
            <v>750</v>
          </cell>
        </row>
        <row r="551">
          <cell r="A551">
            <v>1996</v>
          </cell>
          <cell r="B551">
            <v>35165</v>
          </cell>
          <cell r="C551" t="str">
            <v>加拿大</v>
          </cell>
          <cell r="D551" t="str">
            <v>乳制品</v>
          </cell>
          <cell r="E551">
            <v>1740</v>
          </cell>
        </row>
        <row r="552">
          <cell r="A552">
            <v>1996</v>
          </cell>
          <cell r="B552">
            <v>35166</v>
          </cell>
          <cell r="C552" t="str">
            <v>美国</v>
          </cell>
          <cell r="D552" t="str">
            <v>海洋食品</v>
          </cell>
          <cell r="E552">
            <v>120</v>
          </cell>
        </row>
        <row r="553">
          <cell r="A553">
            <v>1996</v>
          </cell>
          <cell r="B553">
            <v>35166</v>
          </cell>
          <cell r="C553" t="str">
            <v>美国</v>
          </cell>
          <cell r="D553" t="str">
            <v>乳制品</v>
          </cell>
          <cell r="E553">
            <v>125</v>
          </cell>
        </row>
        <row r="554">
          <cell r="A554">
            <v>1996</v>
          </cell>
          <cell r="B554">
            <v>35170</v>
          </cell>
          <cell r="C554" t="str">
            <v>美国</v>
          </cell>
          <cell r="D554" t="str">
            <v>香料</v>
          </cell>
          <cell r="E554">
            <v>379.99999970197678</v>
          </cell>
        </row>
        <row r="555">
          <cell r="A555">
            <v>1996</v>
          </cell>
          <cell r="B555">
            <v>35170</v>
          </cell>
          <cell r="C555" t="str">
            <v>美国</v>
          </cell>
          <cell r="D555" t="str">
            <v>农产品</v>
          </cell>
          <cell r="E555">
            <v>91.2</v>
          </cell>
        </row>
        <row r="556">
          <cell r="A556">
            <v>1996</v>
          </cell>
          <cell r="B556">
            <v>35171</v>
          </cell>
          <cell r="C556" t="str">
            <v>美国</v>
          </cell>
          <cell r="D556" t="str">
            <v>糖果</v>
          </cell>
          <cell r="E556">
            <v>120</v>
          </cell>
        </row>
        <row r="557">
          <cell r="A557">
            <v>1996</v>
          </cell>
          <cell r="B557">
            <v>35171</v>
          </cell>
          <cell r="C557" t="str">
            <v>美国</v>
          </cell>
          <cell r="D557" t="str">
            <v>糖果</v>
          </cell>
          <cell r="E557">
            <v>133</v>
          </cell>
        </row>
        <row r="558">
          <cell r="A558">
            <v>1996</v>
          </cell>
          <cell r="B558">
            <v>35171</v>
          </cell>
          <cell r="C558" t="str">
            <v>美国</v>
          </cell>
          <cell r="D558" t="str">
            <v>农产品</v>
          </cell>
          <cell r="E558">
            <v>424</v>
          </cell>
        </row>
        <row r="559">
          <cell r="A559">
            <v>1996</v>
          </cell>
          <cell r="B559">
            <v>35173</v>
          </cell>
          <cell r="C559" t="str">
            <v>美国</v>
          </cell>
          <cell r="D559" t="str">
            <v>农产品</v>
          </cell>
          <cell r="E559">
            <v>1350</v>
          </cell>
        </row>
        <row r="560">
          <cell r="A560">
            <v>1996</v>
          </cell>
          <cell r="B560">
            <v>35173</v>
          </cell>
          <cell r="C560" t="str">
            <v>美国</v>
          </cell>
          <cell r="D560" t="str">
            <v>海洋食品</v>
          </cell>
          <cell r="E560">
            <v>462</v>
          </cell>
        </row>
        <row r="561">
          <cell r="A561">
            <v>1996</v>
          </cell>
          <cell r="B561">
            <v>35173</v>
          </cell>
          <cell r="C561" t="str">
            <v>美国</v>
          </cell>
          <cell r="D561" t="str">
            <v>肉/家禽</v>
          </cell>
          <cell r="E561">
            <v>656</v>
          </cell>
        </row>
        <row r="562">
          <cell r="A562">
            <v>1996</v>
          </cell>
          <cell r="B562">
            <v>35173</v>
          </cell>
          <cell r="C562" t="str">
            <v>美国</v>
          </cell>
          <cell r="D562" t="str">
            <v>乳制品</v>
          </cell>
          <cell r="E562">
            <v>324</v>
          </cell>
        </row>
        <row r="563">
          <cell r="A563">
            <v>1996</v>
          </cell>
          <cell r="B563">
            <v>35173</v>
          </cell>
          <cell r="C563" t="str">
            <v>美国</v>
          </cell>
          <cell r="D563" t="str">
            <v>饮料</v>
          </cell>
          <cell r="E563">
            <v>792</v>
          </cell>
        </row>
        <row r="564">
          <cell r="A564">
            <v>1996</v>
          </cell>
          <cell r="B564">
            <v>35174</v>
          </cell>
          <cell r="C564" t="str">
            <v>加拿大</v>
          </cell>
          <cell r="D564" t="str">
            <v>农产品</v>
          </cell>
          <cell r="E564">
            <v>848</v>
          </cell>
        </row>
        <row r="565">
          <cell r="A565">
            <v>1996</v>
          </cell>
          <cell r="B565">
            <v>35177</v>
          </cell>
          <cell r="C565" t="str">
            <v>美国</v>
          </cell>
          <cell r="D565" t="str">
            <v>糖果</v>
          </cell>
          <cell r="E565">
            <v>110.4</v>
          </cell>
        </row>
        <row r="566">
          <cell r="A566">
            <v>1996</v>
          </cell>
          <cell r="B566">
            <v>35177</v>
          </cell>
          <cell r="C566" t="str">
            <v>美国</v>
          </cell>
          <cell r="D566" t="str">
            <v>糖果</v>
          </cell>
          <cell r="E566">
            <v>800</v>
          </cell>
        </row>
        <row r="567">
          <cell r="A567">
            <v>1996</v>
          </cell>
          <cell r="B567">
            <v>35179</v>
          </cell>
          <cell r="C567" t="str">
            <v>加拿大</v>
          </cell>
          <cell r="D567" t="str">
            <v>香料</v>
          </cell>
          <cell r="E567">
            <v>439</v>
          </cell>
        </row>
        <row r="568">
          <cell r="A568">
            <v>1996</v>
          </cell>
          <cell r="B568">
            <v>35181</v>
          </cell>
          <cell r="C568" t="str">
            <v>加拿大</v>
          </cell>
          <cell r="D568" t="str">
            <v>海洋食品</v>
          </cell>
          <cell r="E568">
            <v>428.3999969959259</v>
          </cell>
        </row>
        <row r="569">
          <cell r="A569">
            <v>1996</v>
          </cell>
          <cell r="B569">
            <v>35181</v>
          </cell>
          <cell r="C569" t="str">
            <v>加拿大</v>
          </cell>
          <cell r="D569" t="str">
            <v>面食/谷类</v>
          </cell>
          <cell r="E569">
            <v>292.5</v>
          </cell>
        </row>
        <row r="570">
          <cell r="A570">
            <v>1996</v>
          </cell>
          <cell r="B570">
            <v>35184</v>
          </cell>
          <cell r="C570" t="str">
            <v>加拿大</v>
          </cell>
          <cell r="D570" t="str">
            <v>糖果</v>
          </cell>
          <cell r="E570">
            <v>959.75</v>
          </cell>
        </row>
        <row r="571">
          <cell r="A571">
            <v>1996</v>
          </cell>
          <cell r="B571">
            <v>35184</v>
          </cell>
          <cell r="C571" t="str">
            <v>加拿大</v>
          </cell>
          <cell r="D571" t="str">
            <v>饮料</v>
          </cell>
          <cell r="E571">
            <v>90</v>
          </cell>
        </row>
        <row r="572">
          <cell r="A572">
            <v>1996</v>
          </cell>
          <cell r="B572">
            <v>35184</v>
          </cell>
          <cell r="C572" t="str">
            <v>加拿大</v>
          </cell>
          <cell r="D572" t="str">
            <v>海洋食品</v>
          </cell>
          <cell r="E572">
            <v>760</v>
          </cell>
        </row>
        <row r="573">
          <cell r="A573">
            <v>1996</v>
          </cell>
          <cell r="B573">
            <v>35185</v>
          </cell>
          <cell r="C573" t="str">
            <v>加拿大</v>
          </cell>
          <cell r="D573" t="str">
            <v>农产品</v>
          </cell>
          <cell r="E573">
            <v>1800</v>
          </cell>
        </row>
        <row r="574">
          <cell r="A574">
            <v>1996</v>
          </cell>
          <cell r="B574">
            <v>35185</v>
          </cell>
          <cell r="C574" t="str">
            <v>加拿大</v>
          </cell>
          <cell r="D574" t="str">
            <v>糖果</v>
          </cell>
          <cell r="E574">
            <v>1774.799997061491</v>
          </cell>
        </row>
        <row r="575">
          <cell r="A575">
            <v>1996</v>
          </cell>
          <cell r="B575">
            <v>35186</v>
          </cell>
          <cell r="C575" t="str">
            <v>美国</v>
          </cell>
          <cell r="D575" t="str">
            <v>饮料</v>
          </cell>
          <cell r="E575">
            <v>759.99999716877937</v>
          </cell>
        </row>
        <row r="576">
          <cell r="A576">
            <v>1996</v>
          </cell>
          <cell r="B576">
            <v>35186</v>
          </cell>
          <cell r="C576" t="str">
            <v>美国</v>
          </cell>
          <cell r="D576" t="str">
            <v>饮料</v>
          </cell>
          <cell r="E576">
            <v>239.99999910593033</v>
          </cell>
        </row>
        <row r="577">
          <cell r="A577">
            <v>1996</v>
          </cell>
          <cell r="B577">
            <v>35186</v>
          </cell>
          <cell r="C577" t="str">
            <v>美国</v>
          </cell>
          <cell r="D577" t="str">
            <v>饮料</v>
          </cell>
          <cell r="E577">
            <v>1295.9999951720238</v>
          </cell>
        </row>
        <row r="578">
          <cell r="A578">
            <v>1996</v>
          </cell>
          <cell r="B578">
            <v>35186</v>
          </cell>
          <cell r="C578" t="str">
            <v>加拿大</v>
          </cell>
          <cell r="D578" t="str">
            <v>乳制品</v>
          </cell>
          <cell r="E578">
            <v>69.599999999999994</v>
          </cell>
        </row>
        <row r="579">
          <cell r="A579">
            <v>1996</v>
          </cell>
          <cell r="B579">
            <v>35187</v>
          </cell>
          <cell r="C579" t="str">
            <v>美国</v>
          </cell>
          <cell r="D579" t="str">
            <v>面食/谷类</v>
          </cell>
          <cell r="E579">
            <v>560</v>
          </cell>
        </row>
        <row r="580">
          <cell r="A580">
            <v>1996</v>
          </cell>
          <cell r="B580">
            <v>35188</v>
          </cell>
          <cell r="C580" t="str">
            <v>美国</v>
          </cell>
          <cell r="D580" t="str">
            <v>海洋食品</v>
          </cell>
          <cell r="E580">
            <v>183.34999985620379</v>
          </cell>
        </row>
        <row r="581">
          <cell r="A581">
            <v>1996</v>
          </cell>
          <cell r="B581">
            <v>35188</v>
          </cell>
          <cell r="C581" t="str">
            <v>美国</v>
          </cell>
          <cell r="D581" t="str">
            <v>农产品</v>
          </cell>
          <cell r="E581">
            <v>755.24999940767884</v>
          </cell>
        </row>
        <row r="582">
          <cell r="A582">
            <v>1996</v>
          </cell>
          <cell r="B582">
            <v>35188</v>
          </cell>
          <cell r="C582" t="str">
            <v>美国</v>
          </cell>
          <cell r="D582" t="str">
            <v>香料</v>
          </cell>
          <cell r="E582">
            <v>259.34999979659915</v>
          </cell>
        </row>
        <row r="583">
          <cell r="A583">
            <v>1996</v>
          </cell>
          <cell r="B583">
            <v>35191</v>
          </cell>
          <cell r="C583" t="str">
            <v>加拿大</v>
          </cell>
          <cell r="D583" t="str">
            <v>香料</v>
          </cell>
          <cell r="E583">
            <v>412.5</v>
          </cell>
        </row>
        <row r="584">
          <cell r="A584">
            <v>1996</v>
          </cell>
          <cell r="B584">
            <v>35191</v>
          </cell>
          <cell r="C584" t="str">
            <v>加拿大</v>
          </cell>
          <cell r="D584" t="str">
            <v>饮料</v>
          </cell>
          <cell r="E584">
            <v>101.25</v>
          </cell>
        </row>
        <row r="585">
          <cell r="A585">
            <v>1996</v>
          </cell>
          <cell r="B585">
            <v>35191</v>
          </cell>
          <cell r="C585" t="str">
            <v>加拿大</v>
          </cell>
          <cell r="D585" t="str">
            <v>香料</v>
          </cell>
          <cell r="E585">
            <v>390</v>
          </cell>
        </row>
        <row r="586">
          <cell r="A586">
            <v>1996</v>
          </cell>
          <cell r="B586">
            <v>35191</v>
          </cell>
          <cell r="C586" t="str">
            <v>加拿大</v>
          </cell>
          <cell r="D586" t="str">
            <v>海洋食品</v>
          </cell>
          <cell r="E586">
            <v>336</v>
          </cell>
        </row>
        <row r="587">
          <cell r="A587">
            <v>1996</v>
          </cell>
          <cell r="B587">
            <v>35191</v>
          </cell>
          <cell r="C587" t="str">
            <v>加拿大</v>
          </cell>
          <cell r="D587" t="str">
            <v>饮料</v>
          </cell>
          <cell r="E587">
            <v>229.49999839067459</v>
          </cell>
        </row>
        <row r="588">
          <cell r="A588">
            <v>1996</v>
          </cell>
          <cell r="B588">
            <v>35191</v>
          </cell>
          <cell r="C588" t="str">
            <v>加拿大</v>
          </cell>
          <cell r="D588" t="str">
            <v>面食/谷类</v>
          </cell>
          <cell r="E588">
            <v>285.59999799728394</v>
          </cell>
        </row>
        <row r="589">
          <cell r="A589">
            <v>1996</v>
          </cell>
          <cell r="B589">
            <v>35191</v>
          </cell>
          <cell r="C589" t="str">
            <v>加拿大</v>
          </cell>
          <cell r="D589" t="str">
            <v>肉/家禽</v>
          </cell>
          <cell r="E589">
            <v>960</v>
          </cell>
        </row>
        <row r="590">
          <cell r="A590">
            <v>1996</v>
          </cell>
          <cell r="B590">
            <v>35191</v>
          </cell>
          <cell r="C590" t="str">
            <v>加拿大</v>
          </cell>
          <cell r="D590" t="str">
            <v>饮料</v>
          </cell>
          <cell r="E590">
            <v>72</v>
          </cell>
        </row>
        <row r="591">
          <cell r="A591">
            <v>1996</v>
          </cell>
          <cell r="B591">
            <v>35191</v>
          </cell>
          <cell r="C591" t="str">
            <v>加拿大</v>
          </cell>
          <cell r="D591" t="str">
            <v>海洋食品</v>
          </cell>
          <cell r="E591">
            <v>184</v>
          </cell>
        </row>
        <row r="592">
          <cell r="A592">
            <v>1996</v>
          </cell>
          <cell r="B592">
            <v>35191</v>
          </cell>
          <cell r="C592" t="str">
            <v>加拿大</v>
          </cell>
          <cell r="D592" t="str">
            <v>面食/谷类</v>
          </cell>
          <cell r="E592">
            <v>70</v>
          </cell>
        </row>
        <row r="593">
          <cell r="A593">
            <v>1996</v>
          </cell>
          <cell r="B593">
            <v>35192</v>
          </cell>
          <cell r="C593" t="str">
            <v>加拿大</v>
          </cell>
          <cell r="D593" t="str">
            <v>饮料</v>
          </cell>
          <cell r="E593">
            <v>144</v>
          </cell>
        </row>
        <row r="594">
          <cell r="A594">
            <v>1996</v>
          </cell>
          <cell r="B594">
            <v>35192</v>
          </cell>
          <cell r="C594" t="str">
            <v>加拿大</v>
          </cell>
          <cell r="D594" t="str">
            <v>肉/家禽</v>
          </cell>
          <cell r="E594">
            <v>185.685</v>
          </cell>
        </row>
        <row r="595">
          <cell r="A595">
            <v>1996</v>
          </cell>
          <cell r="B595">
            <v>35194</v>
          </cell>
          <cell r="C595" t="str">
            <v>美国</v>
          </cell>
          <cell r="D595" t="str">
            <v>糖果</v>
          </cell>
          <cell r="E595">
            <v>436.99999965727329</v>
          </cell>
        </row>
        <row r="596">
          <cell r="A596">
            <v>1996</v>
          </cell>
          <cell r="B596">
            <v>35194</v>
          </cell>
          <cell r="C596" t="str">
            <v>美国</v>
          </cell>
          <cell r="D596" t="str">
            <v>乳制品</v>
          </cell>
          <cell r="E596">
            <v>1162.7999990880489</v>
          </cell>
        </row>
        <row r="597">
          <cell r="A597">
            <v>1996</v>
          </cell>
          <cell r="B597">
            <v>35194</v>
          </cell>
          <cell r="C597" t="str">
            <v>美国</v>
          </cell>
          <cell r="D597" t="str">
            <v>乳制品</v>
          </cell>
          <cell r="E597">
            <v>1225.4999990388751</v>
          </cell>
        </row>
        <row r="598">
          <cell r="A598">
            <v>1996</v>
          </cell>
          <cell r="B598">
            <v>35198</v>
          </cell>
          <cell r="C598" t="str">
            <v>加拿大</v>
          </cell>
          <cell r="D598" t="str">
            <v>乳制品</v>
          </cell>
          <cell r="E598">
            <v>760</v>
          </cell>
        </row>
        <row r="599">
          <cell r="A599">
            <v>1996</v>
          </cell>
          <cell r="B599">
            <v>35198</v>
          </cell>
          <cell r="C599" t="str">
            <v>加拿大</v>
          </cell>
          <cell r="D599" t="str">
            <v>海洋食品</v>
          </cell>
          <cell r="E599">
            <v>625</v>
          </cell>
        </row>
        <row r="600">
          <cell r="A600">
            <v>1996</v>
          </cell>
          <cell r="B600">
            <v>35198</v>
          </cell>
          <cell r="C600" t="str">
            <v>加拿大</v>
          </cell>
          <cell r="D600" t="str">
            <v>面食/谷类</v>
          </cell>
          <cell r="E600">
            <v>190</v>
          </cell>
        </row>
        <row r="601">
          <cell r="A601">
            <v>1996</v>
          </cell>
          <cell r="B601">
            <v>35199</v>
          </cell>
          <cell r="C601" t="str">
            <v>美国</v>
          </cell>
          <cell r="D601" t="str">
            <v>海洋食品</v>
          </cell>
          <cell r="E601">
            <v>632.39999556541443</v>
          </cell>
        </row>
        <row r="602">
          <cell r="A602">
            <v>1996</v>
          </cell>
          <cell r="B602">
            <v>35199</v>
          </cell>
          <cell r="C602" t="str">
            <v>美国</v>
          </cell>
          <cell r="D602" t="str">
            <v>饮料</v>
          </cell>
          <cell r="E602">
            <v>156.75</v>
          </cell>
        </row>
        <row r="603">
          <cell r="A603">
            <v>1996</v>
          </cell>
          <cell r="B603">
            <v>35199</v>
          </cell>
          <cell r="C603" t="str">
            <v>美国</v>
          </cell>
          <cell r="D603" t="str">
            <v>糖果</v>
          </cell>
          <cell r="E603">
            <v>1215</v>
          </cell>
        </row>
        <row r="604">
          <cell r="A604">
            <v>1996</v>
          </cell>
          <cell r="B604">
            <v>35199</v>
          </cell>
          <cell r="C604" t="str">
            <v>美国</v>
          </cell>
          <cell r="D604" t="str">
            <v>糖果</v>
          </cell>
          <cell r="E604">
            <v>1967.49</v>
          </cell>
        </row>
        <row r="605">
          <cell r="A605">
            <v>1996</v>
          </cell>
          <cell r="B605">
            <v>35199</v>
          </cell>
          <cell r="C605" t="str">
            <v>美国</v>
          </cell>
          <cell r="D605" t="str">
            <v>农产品</v>
          </cell>
          <cell r="E605">
            <v>1749</v>
          </cell>
        </row>
        <row r="606">
          <cell r="A606">
            <v>1996</v>
          </cell>
          <cell r="B606">
            <v>35199</v>
          </cell>
          <cell r="C606" t="str">
            <v>美国</v>
          </cell>
          <cell r="D606" t="str">
            <v>乳制品</v>
          </cell>
          <cell r="E606">
            <v>1218</v>
          </cell>
        </row>
        <row r="607">
          <cell r="A607">
            <v>1996</v>
          </cell>
          <cell r="B607">
            <v>35201</v>
          </cell>
          <cell r="C607" t="str">
            <v>美国</v>
          </cell>
          <cell r="D607" t="str">
            <v>肉/家禽</v>
          </cell>
          <cell r="E607">
            <v>840</v>
          </cell>
        </row>
        <row r="608">
          <cell r="A608">
            <v>1996</v>
          </cell>
          <cell r="B608">
            <v>35201</v>
          </cell>
          <cell r="C608" t="str">
            <v>美国</v>
          </cell>
          <cell r="D608" t="str">
            <v>乳制品</v>
          </cell>
          <cell r="E608">
            <v>1320</v>
          </cell>
        </row>
        <row r="609">
          <cell r="A609">
            <v>1996</v>
          </cell>
          <cell r="B609">
            <v>35202</v>
          </cell>
          <cell r="C609" t="str">
            <v>加拿大</v>
          </cell>
          <cell r="D609" t="str">
            <v>饮料</v>
          </cell>
          <cell r="E609">
            <v>1425</v>
          </cell>
        </row>
        <row r="610">
          <cell r="A610">
            <v>1996</v>
          </cell>
          <cell r="B610">
            <v>35202</v>
          </cell>
          <cell r="C610" t="str">
            <v>加拿大</v>
          </cell>
          <cell r="D610" t="str">
            <v>香料</v>
          </cell>
          <cell r="E610">
            <v>1494.5</v>
          </cell>
        </row>
        <row r="611">
          <cell r="A611">
            <v>1996</v>
          </cell>
          <cell r="B611">
            <v>35202</v>
          </cell>
          <cell r="C611" t="str">
            <v>加拿大</v>
          </cell>
          <cell r="D611" t="str">
            <v>肉/家禽</v>
          </cell>
          <cell r="E611">
            <v>5570.55</v>
          </cell>
        </row>
        <row r="612">
          <cell r="A612">
            <v>1996</v>
          </cell>
          <cell r="B612">
            <v>35202</v>
          </cell>
          <cell r="C612" t="str">
            <v>加拿大</v>
          </cell>
          <cell r="D612" t="str">
            <v>乳制品</v>
          </cell>
          <cell r="E612">
            <v>4125</v>
          </cell>
        </row>
        <row r="613">
          <cell r="A613">
            <v>1996</v>
          </cell>
          <cell r="B613">
            <v>35202</v>
          </cell>
          <cell r="C613" t="str">
            <v>加拿大</v>
          </cell>
          <cell r="D613" t="str">
            <v>饮料</v>
          </cell>
          <cell r="E613">
            <v>810</v>
          </cell>
        </row>
        <row r="614">
          <cell r="A614">
            <v>1996</v>
          </cell>
          <cell r="B614">
            <v>35202</v>
          </cell>
          <cell r="C614" t="str">
            <v>加拿大</v>
          </cell>
          <cell r="D614" t="str">
            <v>海洋食品</v>
          </cell>
          <cell r="E614">
            <v>480</v>
          </cell>
        </row>
        <row r="615">
          <cell r="A615">
            <v>1996</v>
          </cell>
          <cell r="B615">
            <v>35202</v>
          </cell>
          <cell r="C615" t="str">
            <v>加拿大</v>
          </cell>
          <cell r="D615" t="str">
            <v>饮料</v>
          </cell>
          <cell r="E615">
            <v>94.5</v>
          </cell>
        </row>
        <row r="616">
          <cell r="A616">
            <v>1996</v>
          </cell>
          <cell r="B616">
            <v>35202</v>
          </cell>
          <cell r="C616" t="str">
            <v>加拿大</v>
          </cell>
          <cell r="D616" t="str">
            <v>面食/谷类</v>
          </cell>
          <cell r="E616">
            <v>665</v>
          </cell>
        </row>
        <row r="617">
          <cell r="A617">
            <v>1996</v>
          </cell>
          <cell r="B617">
            <v>35202</v>
          </cell>
          <cell r="C617" t="str">
            <v>加拿大</v>
          </cell>
          <cell r="D617" t="str">
            <v>乳制品</v>
          </cell>
          <cell r="E617">
            <v>344</v>
          </cell>
        </row>
        <row r="618">
          <cell r="A618">
            <v>1996</v>
          </cell>
          <cell r="B618">
            <v>35202</v>
          </cell>
          <cell r="C618" t="str">
            <v>加拿大</v>
          </cell>
          <cell r="D618" t="str">
            <v>海洋食品</v>
          </cell>
          <cell r="E618">
            <v>665</v>
          </cell>
        </row>
        <row r="619">
          <cell r="A619">
            <v>1996</v>
          </cell>
          <cell r="B619">
            <v>35202</v>
          </cell>
          <cell r="C619" t="str">
            <v>加拿大</v>
          </cell>
          <cell r="D619" t="str">
            <v>饮料</v>
          </cell>
          <cell r="E619">
            <v>6587.5</v>
          </cell>
        </row>
        <row r="620">
          <cell r="A620">
            <v>1996</v>
          </cell>
          <cell r="B620">
            <v>35202</v>
          </cell>
          <cell r="C620" t="str">
            <v>加拿大</v>
          </cell>
          <cell r="D620" t="str">
            <v>乳制品</v>
          </cell>
          <cell r="E620">
            <v>1650</v>
          </cell>
        </row>
        <row r="621">
          <cell r="A621">
            <v>1996</v>
          </cell>
          <cell r="B621">
            <v>35205</v>
          </cell>
          <cell r="C621" t="str">
            <v>加拿大</v>
          </cell>
          <cell r="D621" t="str">
            <v>糖果</v>
          </cell>
          <cell r="E621">
            <v>134.99999977648258</v>
          </cell>
        </row>
        <row r="622">
          <cell r="A622">
            <v>1996</v>
          </cell>
          <cell r="B622">
            <v>35205</v>
          </cell>
          <cell r="C622" t="str">
            <v>加拿大</v>
          </cell>
          <cell r="D622" t="str">
            <v>香料</v>
          </cell>
          <cell r="E622">
            <v>233.4</v>
          </cell>
        </row>
        <row r="623">
          <cell r="A623">
            <v>1996</v>
          </cell>
          <cell r="B623">
            <v>35205</v>
          </cell>
          <cell r="C623" t="str">
            <v>加拿大</v>
          </cell>
          <cell r="D623" t="str">
            <v>香料</v>
          </cell>
          <cell r="E623">
            <v>171</v>
          </cell>
        </row>
        <row r="624">
          <cell r="A624">
            <v>1996</v>
          </cell>
          <cell r="B624">
            <v>35205</v>
          </cell>
          <cell r="C624" t="str">
            <v>美国</v>
          </cell>
          <cell r="D624" t="str">
            <v>海洋食品</v>
          </cell>
          <cell r="E624">
            <v>42</v>
          </cell>
        </row>
        <row r="625">
          <cell r="A625">
            <v>1996</v>
          </cell>
          <cell r="B625">
            <v>35205</v>
          </cell>
          <cell r="C625" t="str">
            <v>美国</v>
          </cell>
          <cell r="D625" t="str">
            <v>乳制品</v>
          </cell>
          <cell r="E625">
            <v>1650</v>
          </cell>
        </row>
        <row r="626">
          <cell r="A626">
            <v>1996</v>
          </cell>
          <cell r="B626">
            <v>35207</v>
          </cell>
          <cell r="C626" t="str">
            <v>加拿大</v>
          </cell>
          <cell r="D626" t="str">
            <v>糖果</v>
          </cell>
          <cell r="E626">
            <v>200</v>
          </cell>
        </row>
        <row r="627">
          <cell r="A627">
            <v>1996</v>
          </cell>
          <cell r="B627">
            <v>35208</v>
          </cell>
          <cell r="C627" t="str">
            <v>美国</v>
          </cell>
          <cell r="D627" t="str">
            <v>乳制品</v>
          </cell>
          <cell r="E627">
            <v>721.99999943375587</v>
          </cell>
        </row>
        <row r="628">
          <cell r="A628">
            <v>1996</v>
          </cell>
          <cell r="B628">
            <v>35208</v>
          </cell>
          <cell r="C628" t="str">
            <v>美国</v>
          </cell>
          <cell r="D628" t="str">
            <v>乳制品</v>
          </cell>
          <cell r="E628">
            <v>455.99999964237213</v>
          </cell>
        </row>
        <row r="629">
          <cell r="A629">
            <v>1996</v>
          </cell>
          <cell r="B629">
            <v>35208</v>
          </cell>
          <cell r="C629" t="str">
            <v>美国</v>
          </cell>
          <cell r="D629" t="str">
            <v>饮料</v>
          </cell>
          <cell r="E629">
            <v>307.79999975860119</v>
          </cell>
        </row>
        <row r="630">
          <cell r="A630">
            <v>1996</v>
          </cell>
          <cell r="B630">
            <v>35214</v>
          </cell>
          <cell r="C630" t="str">
            <v>美国</v>
          </cell>
          <cell r="D630" t="str">
            <v>糖果</v>
          </cell>
          <cell r="E630">
            <v>30</v>
          </cell>
        </row>
        <row r="631">
          <cell r="A631">
            <v>1996</v>
          </cell>
          <cell r="B631">
            <v>35214</v>
          </cell>
          <cell r="C631" t="str">
            <v>美国</v>
          </cell>
          <cell r="D631" t="str">
            <v>乳制品</v>
          </cell>
          <cell r="E631">
            <v>714</v>
          </cell>
        </row>
        <row r="632">
          <cell r="A632">
            <v>1996</v>
          </cell>
          <cell r="B632">
            <v>35214</v>
          </cell>
          <cell r="C632" t="str">
            <v>美国</v>
          </cell>
          <cell r="D632" t="str">
            <v>香料</v>
          </cell>
          <cell r="E632">
            <v>114</v>
          </cell>
        </row>
        <row r="633">
          <cell r="A633">
            <v>1996</v>
          </cell>
          <cell r="B633">
            <v>35215</v>
          </cell>
          <cell r="C633" t="str">
            <v>加拿大</v>
          </cell>
          <cell r="D633" t="str">
            <v>乳制品</v>
          </cell>
          <cell r="E633">
            <v>510</v>
          </cell>
        </row>
        <row r="634">
          <cell r="A634">
            <v>1996</v>
          </cell>
          <cell r="B634">
            <v>35216</v>
          </cell>
          <cell r="C634" t="str">
            <v>加拿大</v>
          </cell>
          <cell r="D634" t="str">
            <v>肉/家禽</v>
          </cell>
          <cell r="E634">
            <v>2702.6999955251813</v>
          </cell>
        </row>
        <row r="635">
          <cell r="A635">
            <v>1996</v>
          </cell>
          <cell r="B635">
            <v>35216</v>
          </cell>
          <cell r="C635" t="str">
            <v>加拿大</v>
          </cell>
          <cell r="D635" t="str">
            <v>海洋食品</v>
          </cell>
          <cell r="E635">
            <v>115.8</v>
          </cell>
        </row>
        <row r="636">
          <cell r="A636">
            <v>1996</v>
          </cell>
          <cell r="B636">
            <v>35216</v>
          </cell>
          <cell r="C636" t="str">
            <v>加拿大</v>
          </cell>
          <cell r="D636" t="str">
            <v>肉/家禽</v>
          </cell>
          <cell r="E636">
            <v>737.99999877810478</v>
          </cell>
        </row>
        <row r="637">
          <cell r="A637">
            <v>1996</v>
          </cell>
          <cell r="B637">
            <v>35216</v>
          </cell>
          <cell r="C637" t="str">
            <v>加拿大</v>
          </cell>
          <cell r="D637" t="str">
            <v>肉/家禽</v>
          </cell>
          <cell r="E637">
            <v>86.399999856948853</v>
          </cell>
        </row>
        <row r="638">
          <cell r="A638">
            <v>1996</v>
          </cell>
          <cell r="B638">
            <v>35216</v>
          </cell>
          <cell r="C638" t="str">
            <v>加拿大</v>
          </cell>
          <cell r="D638" t="str">
            <v>糖果</v>
          </cell>
          <cell r="E638">
            <v>687.5</v>
          </cell>
        </row>
        <row r="639">
          <cell r="A639">
            <v>1996</v>
          </cell>
          <cell r="B639">
            <v>35216</v>
          </cell>
          <cell r="C639" t="str">
            <v>加拿大</v>
          </cell>
          <cell r="D639" t="str">
            <v>糖果</v>
          </cell>
          <cell r="E639">
            <v>52.35</v>
          </cell>
        </row>
        <row r="640">
          <cell r="A640">
            <v>1996</v>
          </cell>
          <cell r="B640">
            <v>35216</v>
          </cell>
          <cell r="C640" t="str">
            <v>加拿大</v>
          </cell>
          <cell r="D640" t="str">
            <v>糖果</v>
          </cell>
          <cell r="E640">
            <v>386.4</v>
          </cell>
        </row>
        <row r="641">
          <cell r="A641">
            <v>1996</v>
          </cell>
          <cell r="B641">
            <v>35216</v>
          </cell>
          <cell r="C641" t="str">
            <v>加拿大</v>
          </cell>
          <cell r="D641" t="str">
            <v>饮料</v>
          </cell>
          <cell r="E641">
            <v>490</v>
          </cell>
        </row>
        <row r="642">
          <cell r="A642">
            <v>1996</v>
          </cell>
          <cell r="B642">
            <v>35219</v>
          </cell>
          <cell r="C642" t="str">
            <v>美国</v>
          </cell>
          <cell r="D642" t="str">
            <v>海洋食品</v>
          </cell>
          <cell r="E642">
            <v>86.85</v>
          </cell>
        </row>
        <row r="643">
          <cell r="A643">
            <v>1996</v>
          </cell>
          <cell r="B643">
            <v>35220</v>
          </cell>
          <cell r="C643" t="str">
            <v>美国</v>
          </cell>
          <cell r="D643" t="str">
            <v>饮料</v>
          </cell>
          <cell r="E643">
            <v>611.99999570846558</v>
          </cell>
        </row>
        <row r="644">
          <cell r="A644">
            <v>1996</v>
          </cell>
          <cell r="B644">
            <v>35220</v>
          </cell>
          <cell r="C644" t="str">
            <v>美国</v>
          </cell>
          <cell r="D644" t="str">
            <v>饮料</v>
          </cell>
          <cell r="E644">
            <v>322.9999977350235</v>
          </cell>
        </row>
        <row r="645">
          <cell r="A645">
            <v>1996</v>
          </cell>
          <cell r="B645">
            <v>35220</v>
          </cell>
          <cell r="C645" t="str">
            <v>美国</v>
          </cell>
          <cell r="D645" t="str">
            <v>糖果</v>
          </cell>
          <cell r="E645">
            <v>444.97499687969685</v>
          </cell>
        </row>
        <row r="646">
          <cell r="A646">
            <v>1996</v>
          </cell>
          <cell r="B646">
            <v>35220</v>
          </cell>
          <cell r="C646" t="str">
            <v>美国</v>
          </cell>
          <cell r="D646" t="str">
            <v>乳制品</v>
          </cell>
          <cell r="E646">
            <v>250</v>
          </cell>
        </row>
        <row r="647">
          <cell r="A647">
            <v>1996</v>
          </cell>
          <cell r="B647">
            <v>35221</v>
          </cell>
          <cell r="C647" t="str">
            <v>加拿大</v>
          </cell>
          <cell r="D647" t="str">
            <v>饮料</v>
          </cell>
          <cell r="E647">
            <v>364.7999986410141</v>
          </cell>
        </row>
        <row r="648">
          <cell r="A648">
            <v>1996</v>
          </cell>
          <cell r="B648">
            <v>35221</v>
          </cell>
          <cell r="C648" t="str">
            <v>加拿大</v>
          </cell>
          <cell r="D648" t="str">
            <v>香料</v>
          </cell>
          <cell r="E648">
            <v>40</v>
          </cell>
        </row>
        <row r="649">
          <cell r="A649">
            <v>1996</v>
          </cell>
          <cell r="B649">
            <v>35221</v>
          </cell>
          <cell r="C649" t="str">
            <v>加拿大</v>
          </cell>
          <cell r="D649" t="str">
            <v>香料</v>
          </cell>
          <cell r="E649">
            <v>22</v>
          </cell>
        </row>
        <row r="650">
          <cell r="A650">
            <v>1996</v>
          </cell>
          <cell r="B650">
            <v>35221</v>
          </cell>
          <cell r="C650" t="str">
            <v>加拿大</v>
          </cell>
          <cell r="D650" t="str">
            <v>香料</v>
          </cell>
          <cell r="E650">
            <v>24.500000011175871</v>
          </cell>
        </row>
        <row r="651">
          <cell r="A651">
            <v>1996</v>
          </cell>
          <cell r="B651">
            <v>35221</v>
          </cell>
          <cell r="C651" t="str">
            <v>加拿大</v>
          </cell>
          <cell r="D651" t="str">
            <v>农产品</v>
          </cell>
          <cell r="E651">
            <v>28.499999977648258</v>
          </cell>
        </row>
        <row r="652">
          <cell r="A652">
            <v>1996</v>
          </cell>
          <cell r="B652">
            <v>35221</v>
          </cell>
          <cell r="C652" t="str">
            <v>加拿大</v>
          </cell>
          <cell r="D652" t="str">
            <v>香料</v>
          </cell>
          <cell r="E652">
            <v>71.99999988079071</v>
          </cell>
        </row>
        <row r="653">
          <cell r="A653">
            <v>1996</v>
          </cell>
          <cell r="B653">
            <v>35221</v>
          </cell>
          <cell r="C653" t="str">
            <v>加拿大</v>
          </cell>
          <cell r="D653" t="str">
            <v>海洋食品</v>
          </cell>
          <cell r="E653">
            <v>31</v>
          </cell>
        </row>
        <row r="654">
          <cell r="A654">
            <v>1996</v>
          </cell>
          <cell r="B654">
            <v>35221</v>
          </cell>
          <cell r="C654" t="str">
            <v>加拿大</v>
          </cell>
          <cell r="D654" t="str">
            <v>乳制品</v>
          </cell>
          <cell r="E654">
            <v>72.199999943375587</v>
          </cell>
        </row>
        <row r="655">
          <cell r="A655">
            <v>1996</v>
          </cell>
          <cell r="B655">
            <v>35221</v>
          </cell>
          <cell r="C655" t="str">
            <v>加拿大</v>
          </cell>
          <cell r="D655" t="str">
            <v>海洋食品</v>
          </cell>
          <cell r="E655">
            <v>24</v>
          </cell>
        </row>
        <row r="656">
          <cell r="A656">
            <v>1996</v>
          </cell>
          <cell r="B656">
            <v>35221</v>
          </cell>
          <cell r="C656" t="str">
            <v>加拿大</v>
          </cell>
          <cell r="D656" t="str">
            <v>农产品</v>
          </cell>
          <cell r="E656">
            <v>22.55250001559034</v>
          </cell>
        </row>
        <row r="657">
          <cell r="A657">
            <v>1996</v>
          </cell>
          <cell r="B657">
            <v>35221</v>
          </cell>
          <cell r="C657" t="str">
            <v>加拿大</v>
          </cell>
          <cell r="D657" t="str">
            <v>糖果</v>
          </cell>
          <cell r="E657">
            <v>33.853000023402274</v>
          </cell>
        </row>
        <row r="658">
          <cell r="A658">
            <v>1996</v>
          </cell>
          <cell r="B658">
            <v>35221</v>
          </cell>
          <cell r="C658" t="str">
            <v>加拿大</v>
          </cell>
          <cell r="D658" t="str">
            <v>糖果</v>
          </cell>
          <cell r="E658">
            <v>77.760000072419643</v>
          </cell>
        </row>
        <row r="659">
          <cell r="A659">
            <v>1996</v>
          </cell>
          <cell r="B659">
            <v>35221</v>
          </cell>
          <cell r="C659" t="str">
            <v>加拿大</v>
          </cell>
          <cell r="D659" t="str">
            <v>面食/谷类</v>
          </cell>
          <cell r="E659">
            <v>18</v>
          </cell>
        </row>
        <row r="660">
          <cell r="A660">
            <v>1996</v>
          </cell>
          <cell r="B660">
            <v>35221</v>
          </cell>
          <cell r="C660" t="str">
            <v>加拿大</v>
          </cell>
          <cell r="D660" t="str">
            <v>乳制品</v>
          </cell>
          <cell r="E660">
            <v>32</v>
          </cell>
        </row>
        <row r="661">
          <cell r="A661">
            <v>1996</v>
          </cell>
          <cell r="B661">
            <v>35221</v>
          </cell>
          <cell r="C661" t="str">
            <v>加拿大</v>
          </cell>
          <cell r="D661" t="str">
            <v>饮料</v>
          </cell>
          <cell r="E661">
            <v>34.19999997317791</v>
          </cell>
        </row>
        <row r="662">
          <cell r="A662">
            <v>1996</v>
          </cell>
          <cell r="B662">
            <v>35221</v>
          </cell>
          <cell r="C662" t="str">
            <v>加拿大</v>
          </cell>
          <cell r="D662" t="str">
            <v>海洋食品</v>
          </cell>
          <cell r="E662">
            <v>28.95</v>
          </cell>
        </row>
        <row r="663">
          <cell r="A663">
            <v>1996</v>
          </cell>
          <cell r="B663">
            <v>35221</v>
          </cell>
          <cell r="C663" t="str">
            <v>加拿大</v>
          </cell>
          <cell r="D663" t="str">
            <v>海洋食品</v>
          </cell>
          <cell r="E663">
            <v>35.280000016093254</v>
          </cell>
        </row>
        <row r="664">
          <cell r="A664">
            <v>1996</v>
          </cell>
          <cell r="B664">
            <v>35221</v>
          </cell>
          <cell r="C664" t="str">
            <v>加拿大</v>
          </cell>
          <cell r="D664" t="str">
            <v>面食/谷类</v>
          </cell>
          <cell r="E664">
            <v>14</v>
          </cell>
        </row>
        <row r="665">
          <cell r="A665">
            <v>1996</v>
          </cell>
          <cell r="B665">
            <v>35221</v>
          </cell>
          <cell r="C665" t="str">
            <v>加拿大</v>
          </cell>
          <cell r="D665" t="str">
            <v>肉/家禽</v>
          </cell>
          <cell r="E665">
            <v>48</v>
          </cell>
        </row>
        <row r="666">
          <cell r="A666">
            <v>1996</v>
          </cell>
          <cell r="B666">
            <v>35221</v>
          </cell>
          <cell r="C666" t="str">
            <v>加拿大</v>
          </cell>
          <cell r="D666" t="str">
            <v>乳制品</v>
          </cell>
          <cell r="E666">
            <v>63.920000091195107</v>
          </cell>
        </row>
        <row r="667">
          <cell r="A667">
            <v>1996</v>
          </cell>
          <cell r="B667">
            <v>35221</v>
          </cell>
          <cell r="C667" t="str">
            <v>加拿大</v>
          </cell>
          <cell r="D667" t="str">
            <v>面食/谷类</v>
          </cell>
          <cell r="E667">
            <v>64.505000044591725</v>
          </cell>
        </row>
        <row r="668">
          <cell r="A668">
            <v>1996</v>
          </cell>
          <cell r="B668">
            <v>35221</v>
          </cell>
          <cell r="C668" t="str">
            <v>加拿大</v>
          </cell>
          <cell r="D668" t="str">
            <v>香料</v>
          </cell>
          <cell r="E668">
            <v>17</v>
          </cell>
        </row>
        <row r="669">
          <cell r="A669">
            <v>1996</v>
          </cell>
          <cell r="B669">
            <v>35221</v>
          </cell>
          <cell r="C669" t="str">
            <v>加拿大</v>
          </cell>
          <cell r="D669" t="str">
            <v>海洋食品</v>
          </cell>
          <cell r="E669">
            <v>29.700000006705523</v>
          </cell>
        </row>
        <row r="670">
          <cell r="A670">
            <v>1996</v>
          </cell>
          <cell r="B670">
            <v>35221</v>
          </cell>
          <cell r="C670" t="str">
            <v>加拿大</v>
          </cell>
          <cell r="D670" t="str">
            <v>饮料</v>
          </cell>
          <cell r="E670">
            <v>31</v>
          </cell>
        </row>
        <row r="671">
          <cell r="A671">
            <v>1996</v>
          </cell>
          <cell r="B671">
            <v>35221</v>
          </cell>
          <cell r="C671" t="str">
            <v>加拿大</v>
          </cell>
          <cell r="D671" t="str">
            <v>香料</v>
          </cell>
          <cell r="E671">
            <v>26</v>
          </cell>
        </row>
      </sheetData>
      <sheetData sheetId="7">
        <row r="3">
          <cell r="K3">
            <v>100</v>
          </cell>
          <cell r="L3">
            <v>283500</v>
          </cell>
        </row>
        <row r="4">
          <cell r="K4">
            <v>120</v>
          </cell>
          <cell r="L4">
            <v>279200</v>
          </cell>
        </row>
        <row r="5">
          <cell r="K5">
            <v>140</v>
          </cell>
          <cell r="L5">
            <v>276328.57142857142</v>
          </cell>
        </row>
        <row r="6">
          <cell r="K6">
            <v>160</v>
          </cell>
          <cell r="L6">
            <v>274350</v>
          </cell>
        </row>
        <row r="7">
          <cell r="K7">
            <v>180</v>
          </cell>
          <cell r="L7">
            <v>272966.66666666669</v>
          </cell>
        </row>
        <row r="8">
          <cell r="K8">
            <v>200</v>
          </cell>
          <cell r="L8">
            <v>272000</v>
          </cell>
        </row>
        <row r="9">
          <cell r="K9">
            <v>220</v>
          </cell>
          <cell r="L9">
            <v>271336.36363636365</v>
          </cell>
        </row>
        <row r="10">
          <cell r="K10">
            <v>240</v>
          </cell>
          <cell r="L10">
            <v>270900</v>
          </cell>
        </row>
        <row r="11">
          <cell r="K11">
            <v>260</v>
          </cell>
          <cell r="L11">
            <v>270638.4615384615</v>
          </cell>
        </row>
        <row r="12">
          <cell r="K12">
            <v>280</v>
          </cell>
          <cell r="L12">
            <v>270514.28571428568</v>
          </cell>
        </row>
        <row r="13">
          <cell r="K13">
            <v>300</v>
          </cell>
          <cell r="L13">
            <v>270500</v>
          </cell>
        </row>
        <row r="14">
          <cell r="K14">
            <v>320</v>
          </cell>
          <cell r="L14">
            <v>270575</v>
          </cell>
        </row>
        <row r="15">
          <cell r="K15">
            <v>340</v>
          </cell>
          <cell r="L15">
            <v>270723.5294117647</v>
          </cell>
        </row>
        <row r="16">
          <cell r="K16">
            <v>360</v>
          </cell>
          <cell r="L16">
            <v>270933.33333333337</v>
          </cell>
        </row>
        <row r="17">
          <cell r="K17">
            <v>380</v>
          </cell>
          <cell r="L17">
            <v>271194.73684210528</v>
          </cell>
        </row>
        <row r="18">
          <cell r="K18">
            <v>400</v>
          </cell>
          <cell r="L18">
            <v>271500</v>
          </cell>
        </row>
        <row r="19">
          <cell r="K19">
            <v>599.99990000000003</v>
          </cell>
          <cell r="L19">
            <v>275999.99733333348</v>
          </cell>
        </row>
        <row r="20">
          <cell r="K20">
            <v>600</v>
          </cell>
          <cell r="L20">
            <v>271000</v>
          </cell>
        </row>
        <row r="21">
          <cell r="K21">
            <v>999.99</v>
          </cell>
          <cell r="L21">
            <v>282999.6800003</v>
          </cell>
        </row>
      </sheetData>
      <sheetData sheetId="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透视表题1"/>
      <sheetName val="透视表题2"/>
      <sheetName val="D函数2"/>
      <sheetName val="D函数第2题透视表"/>
      <sheetName val="D函数2答案"/>
      <sheetName val="D函数1"/>
      <sheetName val="D函数1答案"/>
    </sheetNames>
    <sheetDataSet>
      <sheetData sheetId="0"/>
      <sheetData sheetId="1"/>
      <sheetData sheetId="2">
        <row r="1">
          <cell r="A1" t="str">
            <v>订购日期</v>
          </cell>
          <cell r="B1" t="str">
            <v>货主国家</v>
          </cell>
          <cell r="C1" t="str">
            <v>类别名称</v>
          </cell>
          <cell r="D1" t="str">
            <v>销售额</v>
          </cell>
        </row>
        <row r="2">
          <cell r="A2">
            <v>34551</v>
          </cell>
          <cell r="B2" t="str">
            <v>英国</v>
          </cell>
          <cell r="C2" t="str">
            <v>农产品</v>
          </cell>
          <cell r="D2">
            <v>167.4</v>
          </cell>
        </row>
        <row r="3">
          <cell r="A3">
            <v>34551</v>
          </cell>
          <cell r="B3" t="str">
            <v>英国</v>
          </cell>
          <cell r="C3" t="str">
            <v>农产品</v>
          </cell>
          <cell r="D3">
            <v>1696</v>
          </cell>
        </row>
        <row r="4">
          <cell r="A4">
            <v>34565</v>
          </cell>
          <cell r="B4" t="str">
            <v>英国</v>
          </cell>
          <cell r="C4" t="str">
            <v>海洋食品</v>
          </cell>
          <cell r="D4">
            <v>92.4</v>
          </cell>
        </row>
        <row r="5">
          <cell r="A5">
            <v>34565</v>
          </cell>
          <cell r="B5" t="str">
            <v>英国</v>
          </cell>
          <cell r="C5" t="str">
            <v>面食/谷类</v>
          </cell>
          <cell r="D5">
            <v>780</v>
          </cell>
        </row>
        <row r="6">
          <cell r="A6">
            <v>34565</v>
          </cell>
          <cell r="B6" t="str">
            <v>英国</v>
          </cell>
          <cell r="C6" t="str">
            <v>糖果</v>
          </cell>
          <cell r="D6">
            <v>443.25</v>
          </cell>
        </row>
        <row r="7">
          <cell r="A7">
            <v>34565</v>
          </cell>
          <cell r="B7" t="str">
            <v>英国</v>
          </cell>
          <cell r="C7" t="str">
            <v>饮料</v>
          </cell>
          <cell r="D7">
            <v>189</v>
          </cell>
        </row>
        <row r="8">
          <cell r="A8">
            <v>34568</v>
          </cell>
          <cell r="B8" t="str">
            <v>法国</v>
          </cell>
          <cell r="C8" t="str">
            <v>香料</v>
          </cell>
          <cell r="D8">
            <v>163.19999939203262</v>
          </cell>
        </row>
        <row r="9">
          <cell r="A9">
            <v>34568</v>
          </cell>
          <cell r="B9" t="str">
            <v>法国</v>
          </cell>
          <cell r="C9" t="str">
            <v>农产品</v>
          </cell>
          <cell r="D9">
            <v>360</v>
          </cell>
        </row>
        <row r="10">
          <cell r="A10">
            <v>34568</v>
          </cell>
          <cell r="B10" t="str">
            <v>法国</v>
          </cell>
          <cell r="C10" t="str">
            <v>面食/谷类</v>
          </cell>
          <cell r="D10">
            <v>60.8</v>
          </cell>
        </row>
        <row r="11">
          <cell r="A11">
            <v>34575</v>
          </cell>
          <cell r="B11" t="str">
            <v>英国</v>
          </cell>
          <cell r="C11" t="str">
            <v>海洋食品</v>
          </cell>
          <cell r="D11">
            <v>735</v>
          </cell>
        </row>
        <row r="12">
          <cell r="A12">
            <v>34575</v>
          </cell>
          <cell r="B12" t="str">
            <v>英国</v>
          </cell>
          <cell r="C12" t="str">
            <v>乳制品</v>
          </cell>
          <cell r="D12">
            <v>2617.9999816417694</v>
          </cell>
        </row>
        <row r="13">
          <cell r="A13">
            <v>34575</v>
          </cell>
          <cell r="B13" t="str">
            <v>英国</v>
          </cell>
          <cell r="C13" t="str">
            <v>饮料</v>
          </cell>
          <cell r="D13">
            <v>183.59999871253967</v>
          </cell>
        </row>
        <row r="14">
          <cell r="A14">
            <v>34577</v>
          </cell>
          <cell r="B14" t="str">
            <v>法国</v>
          </cell>
          <cell r="C14" t="str">
            <v>乳制品</v>
          </cell>
          <cell r="D14">
            <v>113.99999991059303</v>
          </cell>
        </row>
        <row r="15">
          <cell r="A15">
            <v>34577</v>
          </cell>
          <cell r="B15" t="str">
            <v>法国</v>
          </cell>
          <cell r="C15" t="str">
            <v>乳制品</v>
          </cell>
          <cell r="D15">
            <v>528.19999958574772</v>
          </cell>
        </row>
        <row r="16">
          <cell r="A16">
            <v>34578</v>
          </cell>
          <cell r="B16" t="str">
            <v>法国</v>
          </cell>
          <cell r="C16" t="str">
            <v>乳制品</v>
          </cell>
          <cell r="D16">
            <v>48</v>
          </cell>
        </row>
        <row r="17">
          <cell r="A17">
            <v>34579</v>
          </cell>
          <cell r="B17" t="str">
            <v>法国</v>
          </cell>
          <cell r="C17" t="str">
            <v>糖果</v>
          </cell>
          <cell r="D17">
            <v>388.8</v>
          </cell>
        </row>
        <row r="18">
          <cell r="A18">
            <v>34579</v>
          </cell>
          <cell r="B18" t="str">
            <v>法国</v>
          </cell>
          <cell r="C18" t="str">
            <v>乳制品</v>
          </cell>
          <cell r="D18">
            <v>400</v>
          </cell>
        </row>
        <row r="19">
          <cell r="A19">
            <v>34579</v>
          </cell>
          <cell r="B19" t="str">
            <v>法国</v>
          </cell>
          <cell r="C19" t="str">
            <v>乳制品</v>
          </cell>
          <cell r="D19">
            <v>667.2</v>
          </cell>
        </row>
        <row r="20">
          <cell r="A20">
            <v>34582</v>
          </cell>
          <cell r="B20" t="str">
            <v>英国</v>
          </cell>
          <cell r="C20" t="str">
            <v>海洋食品</v>
          </cell>
          <cell r="D20">
            <v>565.43999955654147</v>
          </cell>
        </row>
        <row r="21">
          <cell r="A21">
            <v>34582</v>
          </cell>
          <cell r="B21" t="str">
            <v>英国</v>
          </cell>
          <cell r="C21" t="str">
            <v>乳制品</v>
          </cell>
          <cell r="D21">
            <v>142.49999988824129</v>
          </cell>
        </row>
        <row r="22">
          <cell r="A22">
            <v>34582</v>
          </cell>
          <cell r="B22" t="str">
            <v>英国</v>
          </cell>
          <cell r="C22" t="str">
            <v>乳制品</v>
          </cell>
          <cell r="D22">
            <v>40</v>
          </cell>
        </row>
        <row r="23">
          <cell r="A23">
            <v>34582</v>
          </cell>
          <cell r="B23" t="str">
            <v>英国</v>
          </cell>
          <cell r="C23" t="str">
            <v>海洋食品</v>
          </cell>
          <cell r="D23">
            <v>837.89999934285879</v>
          </cell>
        </row>
        <row r="24">
          <cell r="A24">
            <v>34582</v>
          </cell>
          <cell r="B24" t="str">
            <v>英国</v>
          </cell>
          <cell r="C24" t="str">
            <v>饮料</v>
          </cell>
          <cell r="D24">
            <v>451.43999964594838</v>
          </cell>
        </row>
        <row r="25">
          <cell r="A25">
            <v>34586</v>
          </cell>
          <cell r="B25" t="str">
            <v>英国</v>
          </cell>
          <cell r="C25" t="str">
            <v>农产品</v>
          </cell>
          <cell r="D25">
            <v>728</v>
          </cell>
        </row>
        <row r="26">
          <cell r="A26">
            <v>34586</v>
          </cell>
          <cell r="B26" t="str">
            <v>英国</v>
          </cell>
          <cell r="C26" t="str">
            <v>糖果</v>
          </cell>
          <cell r="D26">
            <v>472.8</v>
          </cell>
        </row>
        <row r="27">
          <cell r="A27">
            <v>34590</v>
          </cell>
          <cell r="B27" t="str">
            <v>英国</v>
          </cell>
          <cell r="C27" t="str">
            <v>肉/家禽</v>
          </cell>
          <cell r="D27">
            <v>351</v>
          </cell>
        </row>
        <row r="28">
          <cell r="A28">
            <v>34596</v>
          </cell>
          <cell r="B28" t="str">
            <v>英国</v>
          </cell>
          <cell r="C28" t="str">
            <v>糖果</v>
          </cell>
          <cell r="D28">
            <v>394.875</v>
          </cell>
        </row>
        <row r="29">
          <cell r="A29">
            <v>34596</v>
          </cell>
          <cell r="B29" t="str">
            <v>英国</v>
          </cell>
          <cell r="C29" t="str">
            <v>香料</v>
          </cell>
          <cell r="D29">
            <v>325.5</v>
          </cell>
        </row>
        <row r="30">
          <cell r="A30">
            <v>34596</v>
          </cell>
          <cell r="B30" t="str">
            <v>英国</v>
          </cell>
          <cell r="C30" t="str">
            <v>乳制品</v>
          </cell>
          <cell r="D30">
            <v>408</v>
          </cell>
        </row>
        <row r="31">
          <cell r="A31">
            <v>34596</v>
          </cell>
          <cell r="B31" t="str">
            <v>英国</v>
          </cell>
          <cell r="C31" t="str">
            <v>饮料</v>
          </cell>
          <cell r="D31">
            <v>42</v>
          </cell>
        </row>
        <row r="32">
          <cell r="A32">
            <v>34597</v>
          </cell>
          <cell r="B32" t="str">
            <v>英国</v>
          </cell>
          <cell r="C32" t="str">
            <v>饮料</v>
          </cell>
          <cell r="D32">
            <v>518.39999806880951</v>
          </cell>
        </row>
        <row r="33">
          <cell r="A33">
            <v>34597</v>
          </cell>
          <cell r="B33" t="str">
            <v>英国</v>
          </cell>
          <cell r="C33" t="str">
            <v>海洋食品</v>
          </cell>
          <cell r="D33">
            <v>470.39999824762344</v>
          </cell>
        </row>
        <row r="34">
          <cell r="A34">
            <v>34597</v>
          </cell>
          <cell r="B34" t="str">
            <v>英国</v>
          </cell>
          <cell r="C34" t="str">
            <v>肉/家禽</v>
          </cell>
          <cell r="D34">
            <v>754.55999718904502</v>
          </cell>
        </row>
        <row r="35">
          <cell r="A35">
            <v>34598</v>
          </cell>
          <cell r="B35" t="str">
            <v>英国</v>
          </cell>
          <cell r="C35" t="str">
            <v>饮料</v>
          </cell>
          <cell r="D35">
            <v>1440</v>
          </cell>
        </row>
        <row r="36">
          <cell r="A36">
            <v>34598</v>
          </cell>
          <cell r="B36" t="str">
            <v>英国</v>
          </cell>
          <cell r="C36" t="str">
            <v>糖果</v>
          </cell>
          <cell r="D36">
            <v>1576</v>
          </cell>
        </row>
        <row r="37">
          <cell r="A37">
            <v>34607</v>
          </cell>
          <cell r="B37" t="str">
            <v>法国</v>
          </cell>
          <cell r="C37" t="str">
            <v>饮料</v>
          </cell>
          <cell r="D37">
            <v>259.2</v>
          </cell>
        </row>
        <row r="38">
          <cell r="A38">
            <v>34607</v>
          </cell>
          <cell r="B38" t="str">
            <v>法国</v>
          </cell>
          <cell r="C38" t="str">
            <v>肉/家禽</v>
          </cell>
          <cell r="D38">
            <v>468</v>
          </cell>
        </row>
        <row r="39">
          <cell r="A39">
            <v>34607</v>
          </cell>
          <cell r="B39" t="str">
            <v>法国</v>
          </cell>
          <cell r="C39" t="str">
            <v>饮料</v>
          </cell>
          <cell r="D39">
            <v>552</v>
          </cell>
        </row>
        <row r="40">
          <cell r="A40">
            <v>34607</v>
          </cell>
          <cell r="B40" t="str">
            <v>法国</v>
          </cell>
          <cell r="C40" t="str">
            <v>乳制品</v>
          </cell>
          <cell r="D40">
            <v>571.20000000000005</v>
          </cell>
        </row>
        <row r="41">
          <cell r="A41">
            <v>34607</v>
          </cell>
          <cell r="B41" t="str">
            <v>法国</v>
          </cell>
          <cell r="C41" t="str">
            <v>饮料</v>
          </cell>
          <cell r="D41">
            <v>37.200000000000003</v>
          </cell>
        </row>
        <row r="42">
          <cell r="A42">
            <v>34617</v>
          </cell>
          <cell r="B42" t="str">
            <v>英国</v>
          </cell>
          <cell r="C42" t="str">
            <v>海洋食品</v>
          </cell>
          <cell r="D42">
            <v>147</v>
          </cell>
        </row>
        <row r="43">
          <cell r="A43">
            <v>34617</v>
          </cell>
          <cell r="B43" t="str">
            <v>英国</v>
          </cell>
          <cell r="C43" t="str">
            <v>面食/谷类</v>
          </cell>
          <cell r="D43">
            <v>608</v>
          </cell>
        </row>
        <row r="44">
          <cell r="A44">
            <v>34621</v>
          </cell>
          <cell r="B44" t="str">
            <v>法国</v>
          </cell>
          <cell r="C44" t="str">
            <v>海洋食品</v>
          </cell>
          <cell r="D44">
            <v>1124.9999981373549</v>
          </cell>
        </row>
        <row r="45">
          <cell r="A45">
            <v>34621</v>
          </cell>
          <cell r="B45" t="str">
            <v>法国</v>
          </cell>
          <cell r="C45" t="str">
            <v>肉/家禽</v>
          </cell>
          <cell r="D45">
            <v>2227.4999963119626</v>
          </cell>
        </row>
        <row r="46">
          <cell r="A46">
            <v>34621</v>
          </cell>
          <cell r="B46" t="str">
            <v>法国</v>
          </cell>
          <cell r="C46" t="str">
            <v>饮料</v>
          </cell>
          <cell r="D46">
            <v>388.79999935626984</v>
          </cell>
        </row>
        <row r="47">
          <cell r="A47">
            <v>34625</v>
          </cell>
          <cell r="B47" t="str">
            <v>法国</v>
          </cell>
          <cell r="C47" t="str">
            <v>糖果</v>
          </cell>
          <cell r="D47">
            <v>394</v>
          </cell>
        </row>
        <row r="48">
          <cell r="A48">
            <v>34625</v>
          </cell>
          <cell r="B48" t="str">
            <v>法国</v>
          </cell>
          <cell r="C48" t="str">
            <v>糖果</v>
          </cell>
          <cell r="D48">
            <v>30</v>
          </cell>
        </row>
        <row r="49">
          <cell r="A49">
            <v>34628</v>
          </cell>
          <cell r="B49" t="str">
            <v>法国</v>
          </cell>
          <cell r="C49" t="str">
            <v>糖果</v>
          </cell>
          <cell r="D49">
            <v>139</v>
          </cell>
        </row>
        <row r="50">
          <cell r="A50">
            <v>34628</v>
          </cell>
          <cell r="B50" t="str">
            <v>法国</v>
          </cell>
          <cell r="C50" t="str">
            <v>糖果</v>
          </cell>
          <cell r="D50">
            <v>197</v>
          </cell>
        </row>
        <row r="51">
          <cell r="A51">
            <v>34631</v>
          </cell>
          <cell r="B51" t="str">
            <v>英国</v>
          </cell>
          <cell r="C51" t="str">
            <v>农产品</v>
          </cell>
          <cell r="D51">
            <v>145.6</v>
          </cell>
        </row>
        <row r="52">
          <cell r="A52">
            <v>34631</v>
          </cell>
          <cell r="B52" t="str">
            <v>英国</v>
          </cell>
          <cell r="C52" t="str">
            <v>饮料</v>
          </cell>
          <cell r="D52">
            <v>883.2</v>
          </cell>
        </row>
        <row r="53">
          <cell r="A53">
            <v>34631</v>
          </cell>
          <cell r="B53" t="str">
            <v>英国</v>
          </cell>
          <cell r="C53" t="str">
            <v>肉/家禽</v>
          </cell>
          <cell r="D53">
            <v>524</v>
          </cell>
        </row>
        <row r="54">
          <cell r="A54">
            <v>34631</v>
          </cell>
          <cell r="B54" t="str">
            <v>英国</v>
          </cell>
          <cell r="C54" t="str">
            <v>饮料</v>
          </cell>
          <cell r="D54">
            <v>62</v>
          </cell>
        </row>
        <row r="55">
          <cell r="A55">
            <v>34632</v>
          </cell>
          <cell r="B55" t="str">
            <v>英国</v>
          </cell>
          <cell r="C55" t="str">
            <v>海洋食品</v>
          </cell>
          <cell r="D55">
            <v>182.4</v>
          </cell>
        </row>
        <row r="56">
          <cell r="A56">
            <v>34633</v>
          </cell>
          <cell r="B56" t="str">
            <v>法国</v>
          </cell>
          <cell r="C56" t="str">
            <v>乳制品</v>
          </cell>
          <cell r="D56">
            <v>921.59999847412109</v>
          </cell>
        </row>
        <row r="57">
          <cell r="A57">
            <v>34633</v>
          </cell>
          <cell r="B57" t="str">
            <v>法国</v>
          </cell>
          <cell r="C57" t="str">
            <v>海洋食品</v>
          </cell>
          <cell r="D57">
            <v>286.19999952614307</v>
          </cell>
        </row>
        <row r="58">
          <cell r="A58">
            <v>34633</v>
          </cell>
          <cell r="B58" t="str">
            <v>法国</v>
          </cell>
          <cell r="C58" t="str">
            <v>糖果</v>
          </cell>
          <cell r="D58">
            <v>886.49999853223562</v>
          </cell>
        </row>
        <row r="59">
          <cell r="A59">
            <v>34635</v>
          </cell>
          <cell r="B59" t="str">
            <v>法国</v>
          </cell>
          <cell r="C59" t="str">
            <v>海洋食品</v>
          </cell>
          <cell r="D59">
            <v>77</v>
          </cell>
        </row>
        <row r="60">
          <cell r="A60">
            <v>34635</v>
          </cell>
          <cell r="B60" t="str">
            <v>法国</v>
          </cell>
          <cell r="C60" t="str">
            <v>糖果</v>
          </cell>
          <cell r="D60">
            <v>2758</v>
          </cell>
        </row>
        <row r="61">
          <cell r="A61">
            <v>34638</v>
          </cell>
          <cell r="B61" t="str">
            <v>法国</v>
          </cell>
          <cell r="C61" t="str">
            <v>饮料</v>
          </cell>
          <cell r="D61">
            <v>288</v>
          </cell>
        </row>
        <row r="62">
          <cell r="A62">
            <v>34645</v>
          </cell>
          <cell r="B62" t="str">
            <v>英国</v>
          </cell>
          <cell r="C62" t="str">
            <v>香料</v>
          </cell>
          <cell r="D62">
            <v>62</v>
          </cell>
        </row>
        <row r="63">
          <cell r="A63">
            <v>34645</v>
          </cell>
          <cell r="B63" t="str">
            <v>英国</v>
          </cell>
          <cell r="C63" t="str">
            <v>糖果</v>
          </cell>
          <cell r="D63">
            <v>44.8</v>
          </cell>
        </row>
        <row r="64">
          <cell r="A64">
            <v>34645</v>
          </cell>
          <cell r="B64" t="str">
            <v>英国</v>
          </cell>
          <cell r="C64" t="str">
            <v>饮料</v>
          </cell>
          <cell r="D64">
            <v>57.6</v>
          </cell>
        </row>
        <row r="65">
          <cell r="A65">
            <v>34646</v>
          </cell>
          <cell r="B65" t="str">
            <v>法国</v>
          </cell>
          <cell r="C65" t="str">
            <v>糖果</v>
          </cell>
          <cell r="D65">
            <v>248.1149982601404</v>
          </cell>
        </row>
        <row r="66">
          <cell r="A66">
            <v>34646</v>
          </cell>
          <cell r="B66" t="str">
            <v>法国</v>
          </cell>
          <cell r="C66" t="str">
            <v>饮料</v>
          </cell>
          <cell r="D66">
            <v>856.79999399185181</v>
          </cell>
        </row>
        <row r="67">
          <cell r="A67">
            <v>34646</v>
          </cell>
          <cell r="B67" t="str">
            <v>法国</v>
          </cell>
          <cell r="C67" t="str">
            <v>海洋食品</v>
          </cell>
          <cell r="D67">
            <v>288</v>
          </cell>
        </row>
        <row r="68">
          <cell r="A68">
            <v>34646</v>
          </cell>
          <cell r="B68" t="str">
            <v>法国</v>
          </cell>
          <cell r="C68" t="str">
            <v>乳制品</v>
          </cell>
          <cell r="D68">
            <v>1495.9999895095825</v>
          </cell>
        </row>
        <row r="69">
          <cell r="A69">
            <v>34646</v>
          </cell>
          <cell r="B69" t="str">
            <v>法国</v>
          </cell>
          <cell r="C69" t="str">
            <v>香料</v>
          </cell>
          <cell r="D69">
            <v>2386.7999832630157</v>
          </cell>
        </row>
        <row r="70">
          <cell r="A70">
            <v>34647</v>
          </cell>
          <cell r="B70" t="str">
            <v>英国</v>
          </cell>
          <cell r="C70" t="str">
            <v>香料</v>
          </cell>
          <cell r="D70">
            <v>120</v>
          </cell>
        </row>
        <row r="71">
          <cell r="A71">
            <v>34647</v>
          </cell>
          <cell r="B71" t="str">
            <v>英国</v>
          </cell>
          <cell r="C71" t="str">
            <v>海洋食品</v>
          </cell>
          <cell r="D71">
            <v>57.6</v>
          </cell>
        </row>
        <row r="72">
          <cell r="A72">
            <v>34647</v>
          </cell>
          <cell r="B72" t="str">
            <v>英国</v>
          </cell>
          <cell r="C72" t="str">
            <v>农产品</v>
          </cell>
          <cell r="D72">
            <v>167.4</v>
          </cell>
        </row>
        <row r="73">
          <cell r="A73">
            <v>34647</v>
          </cell>
          <cell r="B73" t="str">
            <v>英国</v>
          </cell>
          <cell r="C73" t="str">
            <v>乳制品</v>
          </cell>
          <cell r="D73">
            <v>40</v>
          </cell>
        </row>
        <row r="74">
          <cell r="A74">
            <v>34647</v>
          </cell>
          <cell r="B74" t="str">
            <v>英国</v>
          </cell>
          <cell r="C74" t="str">
            <v>乳制品</v>
          </cell>
          <cell r="D74">
            <v>1112</v>
          </cell>
        </row>
        <row r="75">
          <cell r="A75">
            <v>34653</v>
          </cell>
          <cell r="B75" t="str">
            <v>法国</v>
          </cell>
          <cell r="C75" t="str">
            <v>糖果</v>
          </cell>
          <cell r="D75">
            <v>69.349999945610762</v>
          </cell>
        </row>
        <row r="76">
          <cell r="A76">
            <v>34653</v>
          </cell>
          <cell r="B76" t="str">
            <v>法国</v>
          </cell>
          <cell r="C76" t="str">
            <v>海洋食品</v>
          </cell>
          <cell r="D76">
            <v>157.31999987661837</v>
          </cell>
        </row>
        <row r="77">
          <cell r="A77">
            <v>34653</v>
          </cell>
          <cell r="B77" t="str">
            <v>法国</v>
          </cell>
          <cell r="C77" t="str">
            <v>饮料</v>
          </cell>
          <cell r="D77">
            <v>4005.1999968588352</v>
          </cell>
        </row>
        <row r="78">
          <cell r="A78">
            <v>34653</v>
          </cell>
          <cell r="B78" t="str">
            <v>法国</v>
          </cell>
          <cell r="C78" t="str">
            <v>面食/谷类</v>
          </cell>
          <cell r="D78">
            <v>346.55999972820285</v>
          </cell>
        </row>
        <row r="79">
          <cell r="A79">
            <v>34662</v>
          </cell>
          <cell r="B79" t="str">
            <v>英国</v>
          </cell>
          <cell r="C79" t="str">
            <v>面食/谷类</v>
          </cell>
          <cell r="D79">
            <v>288</v>
          </cell>
        </row>
        <row r="80">
          <cell r="A80">
            <v>34662</v>
          </cell>
          <cell r="B80" t="str">
            <v>英国</v>
          </cell>
          <cell r="C80" t="str">
            <v>糖果</v>
          </cell>
          <cell r="D80">
            <v>597.6</v>
          </cell>
        </row>
        <row r="81">
          <cell r="A81">
            <v>34662</v>
          </cell>
          <cell r="B81" t="str">
            <v>英国</v>
          </cell>
          <cell r="C81" t="str">
            <v>海洋食品</v>
          </cell>
          <cell r="D81">
            <v>304</v>
          </cell>
        </row>
        <row r="82">
          <cell r="A82">
            <v>34662</v>
          </cell>
          <cell r="B82" t="str">
            <v>英国</v>
          </cell>
          <cell r="C82" t="str">
            <v>海洋食品</v>
          </cell>
          <cell r="D82">
            <v>582.4</v>
          </cell>
        </row>
        <row r="83">
          <cell r="A83">
            <v>34662</v>
          </cell>
          <cell r="B83" t="str">
            <v>英国</v>
          </cell>
          <cell r="C83" t="str">
            <v>乳制品</v>
          </cell>
          <cell r="D83">
            <v>695</v>
          </cell>
        </row>
        <row r="84">
          <cell r="A84">
            <v>34663</v>
          </cell>
          <cell r="B84" t="str">
            <v>法国</v>
          </cell>
          <cell r="C84" t="str">
            <v>肉/家禽</v>
          </cell>
          <cell r="D84">
            <v>624</v>
          </cell>
        </row>
        <row r="85">
          <cell r="A85">
            <v>34663</v>
          </cell>
          <cell r="B85" t="str">
            <v>法国</v>
          </cell>
          <cell r="C85" t="str">
            <v>海洋食品</v>
          </cell>
          <cell r="D85">
            <v>310.5</v>
          </cell>
        </row>
        <row r="86">
          <cell r="A86">
            <v>34668</v>
          </cell>
          <cell r="B86" t="str">
            <v>英国</v>
          </cell>
          <cell r="C86" t="str">
            <v>饮料</v>
          </cell>
          <cell r="D86">
            <v>291.83999891281127</v>
          </cell>
        </row>
        <row r="87">
          <cell r="A87">
            <v>34668</v>
          </cell>
          <cell r="B87" t="str">
            <v>英国</v>
          </cell>
          <cell r="C87" t="str">
            <v>乳制品</v>
          </cell>
          <cell r="D87">
            <v>447.99999833106995</v>
          </cell>
        </row>
        <row r="88">
          <cell r="A88">
            <v>34668</v>
          </cell>
          <cell r="B88" t="str">
            <v>英国</v>
          </cell>
          <cell r="C88" t="str">
            <v>海洋食品</v>
          </cell>
          <cell r="D88">
            <v>486.3999981880188</v>
          </cell>
        </row>
        <row r="89">
          <cell r="A89">
            <v>34668</v>
          </cell>
          <cell r="B89" t="str">
            <v>英国</v>
          </cell>
          <cell r="C89" t="str">
            <v>肉/家禽</v>
          </cell>
          <cell r="D89">
            <v>614.39999771118164</v>
          </cell>
        </row>
        <row r="90">
          <cell r="A90">
            <v>34669</v>
          </cell>
          <cell r="B90" t="str">
            <v>英国</v>
          </cell>
          <cell r="C90" t="str">
            <v>面食/谷类</v>
          </cell>
          <cell r="D90">
            <v>1330</v>
          </cell>
        </row>
        <row r="91">
          <cell r="A91">
            <v>34669</v>
          </cell>
          <cell r="B91" t="str">
            <v>英国</v>
          </cell>
          <cell r="C91" t="str">
            <v>糖果</v>
          </cell>
          <cell r="D91">
            <v>37.999999970197678</v>
          </cell>
        </row>
        <row r="92">
          <cell r="A92">
            <v>34669</v>
          </cell>
          <cell r="B92" t="str">
            <v>英国</v>
          </cell>
          <cell r="C92" t="str">
            <v>饮料</v>
          </cell>
          <cell r="D92">
            <v>216</v>
          </cell>
        </row>
        <row r="93">
          <cell r="A93">
            <v>34670</v>
          </cell>
          <cell r="B93" t="str">
            <v>法国</v>
          </cell>
          <cell r="C93" t="str">
            <v>香料</v>
          </cell>
          <cell r="D93">
            <v>616</v>
          </cell>
        </row>
        <row r="94">
          <cell r="A94">
            <v>34670</v>
          </cell>
          <cell r="B94" t="str">
            <v>法国</v>
          </cell>
          <cell r="C94" t="str">
            <v>香料</v>
          </cell>
          <cell r="D94">
            <v>1680</v>
          </cell>
        </row>
        <row r="95">
          <cell r="A95">
            <v>34673</v>
          </cell>
          <cell r="B95" t="str">
            <v>英国</v>
          </cell>
          <cell r="C95" t="str">
            <v>香料</v>
          </cell>
          <cell r="D95">
            <v>2240</v>
          </cell>
        </row>
        <row r="96">
          <cell r="A96">
            <v>34673</v>
          </cell>
          <cell r="B96" t="str">
            <v>英国</v>
          </cell>
          <cell r="C96" t="str">
            <v>糖果</v>
          </cell>
          <cell r="D96">
            <v>584</v>
          </cell>
        </row>
        <row r="97">
          <cell r="A97">
            <v>34673</v>
          </cell>
          <cell r="B97" t="str">
            <v>英国</v>
          </cell>
          <cell r="C97" t="str">
            <v>面食/谷类</v>
          </cell>
          <cell r="D97">
            <v>100.8</v>
          </cell>
        </row>
        <row r="98">
          <cell r="A98">
            <v>34674</v>
          </cell>
          <cell r="B98" t="str">
            <v>法国</v>
          </cell>
          <cell r="C98" t="str">
            <v>肉/家禽</v>
          </cell>
          <cell r="D98">
            <v>1010.8799983263016</v>
          </cell>
        </row>
        <row r="99">
          <cell r="A99">
            <v>34674</v>
          </cell>
          <cell r="B99" t="str">
            <v>法国</v>
          </cell>
          <cell r="C99" t="str">
            <v>面食/谷类</v>
          </cell>
          <cell r="D99">
            <v>608</v>
          </cell>
        </row>
        <row r="100">
          <cell r="A100">
            <v>34676</v>
          </cell>
          <cell r="B100" t="str">
            <v>英国</v>
          </cell>
          <cell r="C100" t="str">
            <v>饮料</v>
          </cell>
          <cell r="D100">
            <v>183.59999871253967</v>
          </cell>
        </row>
        <row r="101">
          <cell r="A101">
            <v>34676</v>
          </cell>
          <cell r="B101" t="str">
            <v>英国</v>
          </cell>
          <cell r="C101" t="str">
            <v>面食/谷类</v>
          </cell>
          <cell r="D101">
            <v>180</v>
          </cell>
        </row>
        <row r="102">
          <cell r="A102">
            <v>34677</v>
          </cell>
          <cell r="B102" t="str">
            <v>法国</v>
          </cell>
          <cell r="C102" t="str">
            <v>肉/家禽</v>
          </cell>
          <cell r="D102">
            <v>141.6</v>
          </cell>
        </row>
        <row r="103">
          <cell r="A103">
            <v>34687</v>
          </cell>
          <cell r="B103" t="str">
            <v>英国</v>
          </cell>
          <cell r="C103" t="str">
            <v>乳制品</v>
          </cell>
          <cell r="D103">
            <v>300</v>
          </cell>
        </row>
        <row r="104">
          <cell r="A104">
            <v>34687</v>
          </cell>
          <cell r="B104" t="str">
            <v>英国</v>
          </cell>
          <cell r="C104" t="str">
            <v>肉/家禽</v>
          </cell>
          <cell r="D104">
            <v>230.4</v>
          </cell>
        </row>
        <row r="105">
          <cell r="A105">
            <v>34687</v>
          </cell>
          <cell r="B105" t="str">
            <v>英国</v>
          </cell>
          <cell r="C105" t="str">
            <v>乳制品</v>
          </cell>
          <cell r="D105">
            <v>576</v>
          </cell>
        </row>
        <row r="106">
          <cell r="A106">
            <v>34691</v>
          </cell>
          <cell r="B106" t="str">
            <v>英国</v>
          </cell>
          <cell r="C106" t="str">
            <v>饮料</v>
          </cell>
          <cell r="D106">
            <v>699.83999884128571</v>
          </cell>
        </row>
        <row r="107">
          <cell r="A107">
            <v>34691</v>
          </cell>
          <cell r="B107" t="str">
            <v>英国</v>
          </cell>
          <cell r="C107" t="str">
            <v>乳制品</v>
          </cell>
          <cell r="D107">
            <v>1346.3999977707863</v>
          </cell>
        </row>
        <row r="108">
          <cell r="A108">
            <v>34695</v>
          </cell>
          <cell r="B108" t="str">
            <v>英国</v>
          </cell>
          <cell r="C108" t="str">
            <v>乳制品</v>
          </cell>
          <cell r="D108">
            <v>200</v>
          </cell>
        </row>
        <row r="109">
          <cell r="A109">
            <v>34695</v>
          </cell>
          <cell r="B109" t="str">
            <v>英国</v>
          </cell>
          <cell r="C109" t="str">
            <v>饮料</v>
          </cell>
          <cell r="D109">
            <v>74.400000000000006</v>
          </cell>
        </row>
        <row r="110">
          <cell r="A110">
            <v>34695</v>
          </cell>
          <cell r="B110" t="str">
            <v>英国</v>
          </cell>
          <cell r="C110" t="str">
            <v>饮料</v>
          </cell>
          <cell r="D110">
            <v>172.8</v>
          </cell>
        </row>
        <row r="111">
          <cell r="A111">
            <v>34701</v>
          </cell>
          <cell r="B111" t="str">
            <v>法国</v>
          </cell>
          <cell r="C111" t="str">
            <v>肉/家禽</v>
          </cell>
          <cell r="D111">
            <v>1980</v>
          </cell>
        </row>
        <row r="112">
          <cell r="A112">
            <v>34701</v>
          </cell>
          <cell r="B112" t="str">
            <v>法国</v>
          </cell>
          <cell r="C112" t="str">
            <v>面食/谷类</v>
          </cell>
          <cell r="D112">
            <v>410.4</v>
          </cell>
        </row>
        <row r="113">
          <cell r="A113">
            <v>34705</v>
          </cell>
          <cell r="B113" t="str">
            <v>法国</v>
          </cell>
          <cell r="C113" t="str">
            <v>农产品</v>
          </cell>
          <cell r="D113">
            <v>279</v>
          </cell>
        </row>
        <row r="114">
          <cell r="A114">
            <v>34705</v>
          </cell>
          <cell r="B114" t="str">
            <v>法国</v>
          </cell>
          <cell r="C114" t="str">
            <v>肉/家禽</v>
          </cell>
          <cell r="D114">
            <v>59</v>
          </cell>
        </row>
        <row r="115">
          <cell r="A115">
            <v>34716</v>
          </cell>
          <cell r="B115" t="str">
            <v>法国</v>
          </cell>
          <cell r="C115" t="str">
            <v>农产品</v>
          </cell>
          <cell r="D115">
            <v>191.99999928474426</v>
          </cell>
        </row>
        <row r="116">
          <cell r="A116">
            <v>34716</v>
          </cell>
          <cell r="B116" t="str">
            <v>法国</v>
          </cell>
          <cell r="C116" t="str">
            <v>乳制品</v>
          </cell>
          <cell r="D116">
            <v>435.19999837875366</v>
          </cell>
        </row>
        <row r="117">
          <cell r="A117">
            <v>34716</v>
          </cell>
          <cell r="B117" t="str">
            <v>法国</v>
          </cell>
          <cell r="C117" t="str">
            <v>糖果</v>
          </cell>
          <cell r="D117">
            <v>63.999999761581421</v>
          </cell>
        </row>
        <row r="118">
          <cell r="A118">
            <v>34722</v>
          </cell>
          <cell r="B118" t="str">
            <v>英国</v>
          </cell>
          <cell r="C118" t="str">
            <v>海洋食品</v>
          </cell>
          <cell r="D118">
            <v>86.4</v>
          </cell>
        </row>
        <row r="119">
          <cell r="A119">
            <v>34724</v>
          </cell>
          <cell r="B119" t="str">
            <v>法国</v>
          </cell>
          <cell r="C119" t="str">
            <v>饮料</v>
          </cell>
          <cell r="D119">
            <v>285</v>
          </cell>
        </row>
        <row r="120">
          <cell r="A120">
            <v>34724</v>
          </cell>
          <cell r="B120" t="str">
            <v>法国</v>
          </cell>
          <cell r="C120" t="str">
            <v>农产品</v>
          </cell>
          <cell r="D120">
            <v>585.9</v>
          </cell>
        </row>
        <row r="121">
          <cell r="A121">
            <v>34724</v>
          </cell>
          <cell r="B121" t="str">
            <v>法国</v>
          </cell>
          <cell r="C121" t="str">
            <v>糖果</v>
          </cell>
          <cell r="D121">
            <v>58.8</v>
          </cell>
        </row>
        <row r="122">
          <cell r="A122">
            <v>34724</v>
          </cell>
          <cell r="B122" t="str">
            <v>法国</v>
          </cell>
          <cell r="C122" t="str">
            <v>糖果</v>
          </cell>
          <cell r="D122">
            <v>1307.25</v>
          </cell>
        </row>
        <row r="123">
          <cell r="A123">
            <v>34724</v>
          </cell>
          <cell r="B123" t="str">
            <v>法国</v>
          </cell>
          <cell r="C123" t="str">
            <v>乳制品</v>
          </cell>
          <cell r="D123">
            <v>320</v>
          </cell>
        </row>
        <row r="124">
          <cell r="A124">
            <v>34724</v>
          </cell>
          <cell r="B124" t="str">
            <v>法国</v>
          </cell>
          <cell r="C124" t="str">
            <v>海洋食品</v>
          </cell>
          <cell r="D124">
            <v>48</v>
          </cell>
        </row>
        <row r="125">
          <cell r="A125">
            <v>34724</v>
          </cell>
          <cell r="B125" t="str">
            <v>法国</v>
          </cell>
          <cell r="C125" t="str">
            <v>糖果</v>
          </cell>
          <cell r="D125">
            <v>394</v>
          </cell>
        </row>
        <row r="126">
          <cell r="A126">
            <v>34726</v>
          </cell>
          <cell r="B126" t="str">
            <v>英国</v>
          </cell>
          <cell r="C126" t="str">
            <v>面食/谷类</v>
          </cell>
          <cell r="D126">
            <v>288</v>
          </cell>
        </row>
        <row r="127">
          <cell r="A127">
            <v>34726</v>
          </cell>
          <cell r="B127" t="str">
            <v>英国</v>
          </cell>
          <cell r="C127" t="str">
            <v>乳制品</v>
          </cell>
          <cell r="D127">
            <v>1032</v>
          </cell>
        </row>
        <row r="128">
          <cell r="A128">
            <v>34726</v>
          </cell>
          <cell r="B128" t="str">
            <v>英国</v>
          </cell>
          <cell r="C128" t="str">
            <v>乳制品</v>
          </cell>
          <cell r="D128">
            <v>583.79999999999995</v>
          </cell>
        </row>
        <row r="129">
          <cell r="A129">
            <v>34729</v>
          </cell>
          <cell r="B129" t="str">
            <v>法国</v>
          </cell>
          <cell r="C129" t="str">
            <v>饮料</v>
          </cell>
          <cell r="D129">
            <v>432</v>
          </cell>
        </row>
        <row r="130">
          <cell r="A130">
            <v>34729</v>
          </cell>
          <cell r="B130" t="str">
            <v>法国</v>
          </cell>
          <cell r="C130" t="str">
            <v>肉/家禽</v>
          </cell>
          <cell r="D130">
            <v>2073.5999965667725</v>
          </cell>
        </row>
        <row r="131">
          <cell r="A131">
            <v>34731</v>
          </cell>
          <cell r="B131" t="str">
            <v>法国</v>
          </cell>
          <cell r="C131" t="str">
            <v>海洋食品</v>
          </cell>
          <cell r="D131">
            <v>372.6</v>
          </cell>
        </row>
        <row r="132">
          <cell r="A132">
            <v>34731</v>
          </cell>
          <cell r="B132" t="str">
            <v>法国</v>
          </cell>
          <cell r="C132" t="str">
            <v>面食/谷类</v>
          </cell>
          <cell r="D132">
            <v>2128</v>
          </cell>
        </row>
        <row r="133">
          <cell r="A133">
            <v>34731</v>
          </cell>
          <cell r="B133" t="str">
            <v>法国</v>
          </cell>
          <cell r="C133" t="str">
            <v>香料</v>
          </cell>
          <cell r="D133">
            <v>336</v>
          </cell>
        </row>
        <row r="134">
          <cell r="A134">
            <v>34731</v>
          </cell>
          <cell r="B134" t="str">
            <v>法国</v>
          </cell>
          <cell r="C134" t="str">
            <v>乳制品</v>
          </cell>
          <cell r="D134">
            <v>1032</v>
          </cell>
        </row>
        <row r="135">
          <cell r="A135">
            <v>34737</v>
          </cell>
          <cell r="B135" t="str">
            <v>英国</v>
          </cell>
          <cell r="C135" t="str">
            <v>乳制品</v>
          </cell>
          <cell r="D135">
            <v>504</v>
          </cell>
        </row>
        <row r="136">
          <cell r="A136">
            <v>34737</v>
          </cell>
          <cell r="B136" t="str">
            <v>英国</v>
          </cell>
          <cell r="C136" t="str">
            <v>乳制品</v>
          </cell>
          <cell r="D136">
            <v>432</v>
          </cell>
        </row>
        <row r="137">
          <cell r="A137">
            <v>34737</v>
          </cell>
          <cell r="B137" t="str">
            <v>英国</v>
          </cell>
          <cell r="C137" t="str">
            <v>乳制品</v>
          </cell>
          <cell r="D137">
            <v>258</v>
          </cell>
        </row>
        <row r="138">
          <cell r="A138">
            <v>34745</v>
          </cell>
          <cell r="B138" t="str">
            <v>法国</v>
          </cell>
          <cell r="C138" t="str">
            <v>肉/家禽</v>
          </cell>
          <cell r="D138">
            <v>62.4</v>
          </cell>
        </row>
        <row r="139">
          <cell r="A139">
            <v>34745</v>
          </cell>
          <cell r="B139" t="str">
            <v>法国</v>
          </cell>
          <cell r="C139" t="str">
            <v>乳制品</v>
          </cell>
          <cell r="D139">
            <v>40</v>
          </cell>
        </row>
        <row r="140">
          <cell r="A140">
            <v>34747</v>
          </cell>
          <cell r="B140" t="str">
            <v>英国</v>
          </cell>
          <cell r="C140" t="str">
            <v>饮料</v>
          </cell>
          <cell r="D140">
            <v>912</v>
          </cell>
        </row>
        <row r="141">
          <cell r="A141">
            <v>34747</v>
          </cell>
          <cell r="B141" t="str">
            <v>英国</v>
          </cell>
          <cell r="C141" t="str">
            <v>糖果</v>
          </cell>
          <cell r="D141">
            <v>418</v>
          </cell>
        </row>
        <row r="142">
          <cell r="A142">
            <v>34747</v>
          </cell>
          <cell r="B142" t="str">
            <v>英国</v>
          </cell>
          <cell r="C142" t="str">
            <v>香料</v>
          </cell>
          <cell r="D142">
            <v>364.8</v>
          </cell>
        </row>
        <row r="143">
          <cell r="A143">
            <v>34747</v>
          </cell>
          <cell r="B143" t="str">
            <v>英国</v>
          </cell>
          <cell r="C143" t="str">
            <v>农产品</v>
          </cell>
          <cell r="D143">
            <v>120</v>
          </cell>
        </row>
        <row r="144">
          <cell r="A144">
            <v>34761</v>
          </cell>
          <cell r="B144" t="str">
            <v>法国</v>
          </cell>
          <cell r="C144" t="str">
            <v>糖果</v>
          </cell>
          <cell r="D144">
            <v>249</v>
          </cell>
        </row>
        <row r="145">
          <cell r="A145">
            <v>34761</v>
          </cell>
          <cell r="B145" t="str">
            <v>法国</v>
          </cell>
          <cell r="C145" t="str">
            <v>肉/家禽</v>
          </cell>
          <cell r="D145">
            <v>236</v>
          </cell>
        </row>
        <row r="146">
          <cell r="A146">
            <v>34767</v>
          </cell>
          <cell r="B146" t="str">
            <v>英国</v>
          </cell>
          <cell r="C146" t="str">
            <v>糖果</v>
          </cell>
          <cell r="D146">
            <v>87.59999967366457</v>
          </cell>
        </row>
        <row r="147">
          <cell r="A147">
            <v>34767</v>
          </cell>
          <cell r="B147" t="str">
            <v>英国</v>
          </cell>
          <cell r="C147" t="str">
            <v>饮料</v>
          </cell>
          <cell r="D147">
            <v>179.19999933242798</v>
          </cell>
        </row>
        <row r="148">
          <cell r="A148">
            <v>34767</v>
          </cell>
          <cell r="B148" t="str">
            <v>英国</v>
          </cell>
          <cell r="C148" t="str">
            <v>面食/谷类</v>
          </cell>
          <cell r="D148">
            <v>187.19999930262566</v>
          </cell>
        </row>
        <row r="149">
          <cell r="A149">
            <v>34771</v>
          </cell>
          <cell r="B149" t="str">
            <v>法国</v>
          </cell>
          <cell r="C149" t="str">
            <v>饮料</v>
          </cell>
          <cell r="D149">
            <v>581.3999959230423</v>
          </cell>
        </row>
        <row r="150">
          <cell r="A150">
            <v>34771</v>
          </cell>
          <cell r="B150" t="str">
            <v>法国</v>
          </cell>
          <cell r="C150" t="str">
            <v>糖果</v>
          </cell>
          <cell r="D150">
            <v>578.93499594032767</v>
          </cell>
        </row>
        <row r="151">
          <cell r="A151">
            <v>34771</v>
          </cell>
          <cell r="B151" t="str">
            <v>法国</v>
          </cell>
          <cell r="C151" t="str">
            <v>肉/家禽</v>
          </cell>
          <cell r="D151">
            <v>2019.5999858379364</v>
          </cell>
        </row>
        <row r="152">
          <cell r="A152">
            <v>34771</v>
          </cell>
          <cell r="B152" t="str">
            <v>法国</v>
          </cell>
          <cell r="C152" t="str">
            <v>香料</v>
          </cell>
          <cell r="D152">
            <v>1744.1999877691269</v>
          </cell>
        </row>
        <row r="153">
          <cell r="A153">
            <v>34771</v>
          </cell>
          <cell r="B153" t="str">
            <v>法国</v>
          </cell>
          <cell r="C153" t="str">
            <v>糖果</v>
          </cell>
          <cell r="D153">
            <v>1755</v>
          </cell>
        </row>
        <row r="154">
          <cell r="A154">
            <v>34775</v>
          </cell>
          <cell r="B154" t="str">
            <v>英国</v>
          </cell>
          <cell r="C154" t="str">
            <v>糖果</v>
          </cell>
          <cell r="D154">
            <v>78.839999869465828</v>
          </cell>
        </row>
        <row r="155">
          <cell r="A155">
            <v>34775</v>
          </cell>
          <cell r="B155" t="str">
            <v>英国</v>
          </cell>
          <cell r="C155" t="str">
            <v>饮料</v>
          </cell>
          <cell r="D155">
            <v>64.799999892711639</v>
          </cell>
        </row>
        <row r="156">
          <cell r="A156">
            <v>34775</v>
          </cell>
          <cell r="B156" t="str">
            <v>英国</v>
          </cell>
          <cell r="C156" t="str">
            <v>乳制品</v>
          </cell>
          <cell r="D156">
            <v>26.999999955296516</v>
          </cell>
        </row>
        <row r="157">
          <cell r="A157">
            <v>34775</v>
          </cell>
          <cell r="B157" t="str">
            <v>英国</v>
          </cell>
          <cell r="C157" t="str">
            <v>面食/谷类</v>
          </cell>
          <cell r="D157">
            <v>75.599999874830246</v>
          </cell>
        </row>
        <row r="158">
          <cell r="A158">
            <v>34780</v>
          </cell>
          <cell r="B158" t="str">
            <v>英国</v>
          </cell>
          <cell r="C158" t="str">
            <v>肉/家禽</v>
          </cell>
          <cell r="D158">
            <v>2073.5999965667725</v>
          </cell>
        </row>
        <row r="159">
          <cell r="A159">
            <v>34780</v>
          </cell>
          <cell r="B159" t="str">
            <v>英国</v>
          </cell>
          <cell r="C159" t="str">
            <v>面食/谷类</v>
          </cell>
          <cell r="D159">
            <v>837.89999861270189</v>
          </cell>
        </row>
        <row r="160">
          <cell r="A160">
            <v>34780</v>
          </cell>
          <cell r="B160" t="str">
            <v>英国</v>
          </cell>
          <cell r="C160" t="str">
            <v>香料</v>
          </cell>
          <cell r="D160">
            <v>423.35999929904938</v>
          </cell>
        </row>
        <row r="161">
          <cell r="A161">
            <v>34780</v>
          </cell>
          <cell r="B161" t="str">
            <v>英国</v>
          </cell>
          <cell r="C161" t="str">
            <v>香料</v>
          </cell>
          <cell r="D161">
            <v>514.79999914765358</v>
          </cell>
        </row>
        <row r="162">
          <cell r="A162">
            <v>34781</v>
          </cell>
          <cell r="B162" t="str">
            <v>法国</v>
          </cell>
          <cell r="C162" t="str">
            <v>农产品</v>
          </cell>
          <cell r="D162">
            <v>546</v>
          </cell>
        </row>
        <row r="163">
          <cell r="A163">
            <v>34781</v>
          </cell>
          <cell r="B163" t="str">
            <v>法国</v>
          </cell>
          <cell r="C163" t="str">
            <v>香料</v>
          </cell>
          <cell r="D163">
            <v>1472.49999884516</v>
          </cell>
        </row>
        <row r="164">
          <cell r="A164">
            <v>34786</v>
          </cell>
          <cell r="B164" t="str">
            <v>英国</v>
          </cell>
          <cell r="C164" t="str">
            <v>糖果</v>
          </cell>
          <cell r="D164">
            <v>271.99999809265137</v>
          </cell>
        </row>
        <row r="165">
          <cell r="A165">
            <v>34786</v>
          </cell>
          <cell r="B165" t="str">
            <v>英国</v>
          </cell>
          <cell r="C165" t="str">
            <v>糖果</v>
          </cell>
          <cell r="D165">
            <v>285.59999799728394</v>
          </cell>
        </row>
        <row r="166">
          <cell r="A166">
            <v>34786</v>
          </cell>
          <cell r="B166" t="str">
            <v>英国</v>
          </cell>
          <cell r="C166" t="str">
            <v>乳制品</v>
          </cell>
          <cell r="D166">
            <v>1584</v>
          </cell>
        </row>
        <row r="167">
          <cell r="A167">
            <v>34796</v>
          </cell>
          <cell r="B167" t="str">
            <v>英国</v>
          </cell>
          <cell r="C167" t="str">
            <v>海洋食品</v>
          </cell>
          <cell r="D167">
            <v>165.6</v>
          </cell>
        </row>
        <row r="168">
          <cell r="A168">
            <v>34796</v>
          </cell>
          <cell r="B168" t="str">
            <v>英国</v>
          </cell>
          <cell r="C168" t="str">
            <v>饮料</v>
          </cell>
          <cell r="D168">
            <v>552</v>
          </cell>
        </row>
        <row r="169">
          <cell r="A169">
            <v>34799</v>
          </cell>
          <cell r="B169" t="str">
            <v>法国</v>
          </cell>
          <cell r="C169" t="str">
            <v>饮料</v>
          </cell>
          <cell r="D169">
            <v>516.7999963760376</v>
          </cell>
        </row>
        <row r="170">
          <cell r="A170">
            <v>34799</v>
          </cell>
          <cell r="B170" t="str">
            <v>法国</v>
          </cell>
          <cell r="C170" t="str">
            <v>糖果</v>
          </cell>
          <cell r="D170">
            <v>413.52499710023403</v>
          </cell>
        </row>
        <row r="171">
          <cell r="A171">
            <v>34799</v>
          </cell>
          <cell r="B171" t="str">
            <v>法国</v>
          </cell>
          <cell r="C171" t="str">
            <v>香料</v>
          </cell>
          <cell r="D171">
            <v>26.349999815225601</v>
          </cell>
        </row>
        <row r="172">
          <cell r="A172">
            <v>34808</v>
          </cell>
          <cell r="B172" t="str">
            <v>法国</v>
          </cell>
          <cell r="C172" t="str">
            <v>饮料</v>
          </cell>
          <cell r="D172">
            <v>6324</v>
          </cell>
        </row>
        <row r="173">
          <cell r="A173">
            <v>34808</v>
          </cell>
          <cell r="B173" t="str">
            <v>法国</v>
          </cell>
          <cell r="C173" t="str">
            <v>肉/家禽</v>
          </cell>
          <cell r="D173">
            <v>733.6</v>
          </cell>
        </row>
        <row r="174">
          <cell r="A174">
            <v>34808</v>
          </cell>
          <cell r="B174" t="str">
            <v>法国</v>
          </cell>
          <cell r="C174" t="str">
            <v>乳制品</v>
          </cell>
          <cell r="D174">
            <v>2640</v>
          </cell>
        </row>
        <row r="175">
          <cell r="A175">
            <v>34808</v>
          </cell>
          <cell r="B175" t="str">
            <v>法国</v>
          </cell>
          <cell r="C175" t="str">
            <v>面食/谷类</v>
          </cell>
          <cell r="D175">
            <v>798</v>
          </cell>
        </row>
        <row r="176">
          <cell r="A176">
            <v>34810</v>
          </cell>
          <cell r="B176" t="str">
            <v>法国</v>
          </cell>
          <cell r="C176" t="str">
            <v>海洋食品</v>
          </cell>
          <cell r="D176">
            <v>147</v>
          </cell>
        </row>
        <row r="177">
          <cell r="A177">
            <v>34813</v>
          </cell>
          <cell r="B177" t="str">
            <v>法国</v>
          </cell>
          <cell r="C177" t="str">
            <v>饮料</v>
          </cell>
          <cell r="D177">
            <v>372.39999970793724</v>
          </cell>
        </row>
        <row r="178">
          <cell r="A178">
            <v>34813</v>
          </cell>
          <cell r="B178" t="str">
            <v>法国</v>
          </cell>
          <cell r="C178" t="str">
            <v>香料</v>
          </cell>
          <cell r="D178">
            <v>296.39999976754189</v>
          </cell>
        </row>
        <row r="179">
          <cell r="A179">
            <v>34816</v>
          </cell>
          <cell r="B179" t="str">
            <v>英国</v>
          </cell>
          <cell r="C179" t="str">
            <v>乳制品</v>
          </cell>
          <cell r="D179">
            <v>1320</v>
          </cell>
        </row>
        <row r="180">
          <cell r="A180">
            <v>34816</v>
          </cell>
          <cell r="B180" t="str">
            <v>英国</v>
          </cell>
          <cell r="C180" t="str">
            <v>海洋食品</v>
          </cell>
          <cell r="D180">
            <v>191.99999928474426</v>
          </cell>
        </row>
        <row r="181">
          <cell r="A181">
            <v>34824</v>
          </cell>
          <cell r="B181" t="str">
            <v>英国</v>
          </cell>
          <cell r="C181" t="str">
            <v>面食/谷类</v>
          </cell>
          <cell r="D181">
            <v>425.6</v>
          </cell>
        </row>
        <row r="182">
          <cell r="A182">
            <v>34824</v>
          </cell>
          <cell r="B182" t="str">
            <v>英国</v>
          </cell>
          <cell r="C182" t="str">
            <v>乳制品</v>
          </cell>
          <cell r="D182">
            <v>695</v>
          </cell>
        </row>
        <row r="183">
          <cell r="A183">
            <v>34824</v>
          </cell>
          <cell r="B183" t="str">
            <v>英国</v>
          </cell>
          <cell r="C183" t="str">
            <v>香料</v>
          </cell>
          <cell r="D183">
            <v>260</v>
          </cell>
        </row>
        <row r="184">
          <cell r="A184">
            <v>34829</v>
          </cell>
          <cell r="B184" t="str">
            <v>英国</v>
          </cell>
          <cell r="C184" t="str">
            <v>肉/家禽</v>
          </cell>
          <cell r="D184">
            <v>149</v>
          </cell>
        </row>
        <row r="185">
          <cell r="A185">
            <v>34831</v>
          </cell>
          <cell r="B185" t="str">
            <v>法国</v>
          </cell>
          <cell r="C185" t="str">
            <v>饮料</v>
          </cell>
          <cell r="D185">
            <v>228</v>
          </cell>
        </row>
        <row r="186">
          <cell r="A186">
            <v>34831</v>
          </cell>
          <cell r="B186" t="str">
            <v>法国</v>
          </cell>
          <cell r="C186" t="str">
            <v>糖果</v>
          </cell>
          <cell r="D186">
            <v>120</v>
          </cell>
        </row>
        <row r="187">
          <cell r="A187">
            <v>34831</v>
          </cell>
          <cell r="B187" t="str">
            <v>法国</v>
          </cell>
          <cell r="C187" t="str">
            <v>肉/家禽</v>
          </cell>
          <cell r="D187">
            <v>328</v>
          </cell>
        </row>
        <row r="188">
          <cell r="A188">
            <v>34831</v>
          </cell>
          <cell r="B188" t="str">
            <v>法国</v>
          </cell>
          <cell r="C188" t="str">
            <v>香料</v>
          </cell>
          <cell r="D188">
            <v>712.5</v>
          </cell>
        </row>
        <row r="189">
          <cell r="A189">
            <v>34835</v>
          </cell>
          <cell r="B189" t="str">
            <v>英国</v>
          </cell>
          <cell r="C189" t="str">
            <v>糖果</v>
          </cell>
          <cell r="D189">
            <v>226.79999962449074</v>
          </cell>
        </row>
        <row r="190">
          <cell r="A190">
            <v>34835</v>
          </cell>
          <cell r="B190" t="str">
            <v>英国</v>
          </cell>
          <cell r="C190" t="str">
            <v>饮料</v>
          </cell>
          <cell r="D190">
            <v>188.99999968707561</v>
          </cell>
        </row>
        <row r="191">
          <cell r="A191">
            <v>34836</v>
          </cell>
          <cell r="B191" t="str">
            <v>英国</v>
          </cell>
          <cell r="C191" t="str">
            <v>海洋食品</v>
          </cell>
          <cell r="D191">
            <v>60</v>
          </cell>
        </row>
        <row r="192">
          <cell r="A192">
            <v>34836</v>
          </cell>
          <cell r="B192" t="str">
            <v>英国</v>
          </cell>
          <cell r="C192" t="str">
            <v>饮料</v>
          </cell>
          <cell r="D192">
            <v>180</v>
          </cell>
        </row>
        <row r="193">
          <cell r="A193">
            <v>34837</v>
          </cell>
          <cell r="B193" t="str">
            <v>英国</v>
          </cell>
          <cell r="C193" t="str">
            <v>农产品</v>
          </cell>
          <cell r="D193">
            <v>136.80000000000001</v>
          </cell>
        </row>
        <row r="194">
          <cell r="A194">
            <v>34838</v>
          </cell>
          <cell r="B194" t="str">
            <v>法国</v>
          </cell>
          <cell r="C194" t="str">
            <v>肉/家禽</v>
          </cell>
          <cell r="D194">
            <v>4456.4399999999996</v>
          </cell>
        </row>
        <row r="195">
          <cell r="A195">
            <v>34838</v>
          </cell>
          <cell r="B195" t="str">
            <v>法国</v>
          </cell>
          <cell r="C195" t="str">
            <v>饮料</v>
          </cell>
          <cell r="D195">
            <v>251.0999995842576</v>
          </cell>
        </row>
        <row r="196">
          <cell r="A196">
            <v>34842</v>
          </cell>
          <cell r="B196" t="str">
            <v>英国</v>
          </cell>
          <cell r="C196" t="str">
            <v>糖果</v>
          </cell>
          <cell r="D196">
            <v>319.9999988079071</v>
          </cell>
        </row>
        <row r="197">
          <cell r="A197">
            <v>34842</v>
          </cell>
          <cell r="B197" t="str">
            <v>英国</v>
          </cell>
          <cell r="C197" t="str">
            <v>乳制品</v>
          </cell>
          <cell r="D197">
            <v>1279.9999952316284</v>
          </cell>
        </row>
        <row r="198">
          <cell r="A198">
            <v>34842</v>
          </cell>
          <cell r="B198" t="str">
            <v>英国</v>
          </cell>
          <cell r="C198" t="str">
            <v>香料</v>
          </cell>
          <cell r="D198">
            <v>341.99999872595072</v>
          </cell>
        </row>
        <row r="199">
          <cell r="A199">
            <v>34843</v>
          </cell>
          <cell r="B199" t="str">
            <v>英国</v>
          </cell>
          <cell r="C199" t="str">
            <v>肉/家禽</v>
          </cell>
          <cell r="D199">
            <v>1319.1999907493591</v>
          </cell>
        </row>
        <row r="200">
          <cell r="A200">
            <v>34843</v>
          </cell>
          <cell r="B200" t="str">
            <v>英国</v>
          </cell>
          <cell r="C200" t="str">
            <v>糖果</v>
          </cell>
          <cell r="D200">
            <v>872.5</v>
          </cell>
        </row>
        <row r="201">
          <cell r="A201">
            <v>34843</v>
          </cell>
          <cell r="B201" t="str">
            <v>英国</v>
          </cell>
          <cell r="C201" t="str">
            <v>糖果</v>
          </cell>
          <cell r="D201">
            <v>5268</v>
          </cell>
        </row>
        <row r="202">
          <cell r="A202">
            <v>34843</v>
          </cell>
          <cell r="B202" t="str">
            <v>英国</v>
          </cell>
          <cell r="C202" t="str">
            <v>乳制品</v>
          </cell>
          <cell r="D202">
            <v>33.999999761581421</v>
          </cell>
        </row>
        <row r="203">
          <cell r="A203">
            <v>34843</v>
          </cell>
          <cell r="B203" t="str">
            <v>英国</v>
          </cell>
          <cell r="C203" t="str">
            <v>乳制品</v>
          </cell>
          <cell r="D203">
            <v>2427.5999829769135</v>
          </cell>
        </row>
        <row r="204">
          <cell r="A204">
            <v>34850</v>
          </cell>
          <cell r="B204" t="str">
            <v>英国</v>
          </cell>
          <cell r="C204" t="str">
            <v>饮料</v>
          </cell>
          <cell r="D204">
            <v>575.99999785423279</v>
          </cell>
        </row>
        <row r="205">
          <cell r="A205">
            <v>34850</v>
          </cell>
          <cell r="B205" t="str">
            <v>英国</v>
          </cell>
          <cell r="C205" t="str">
            <v>香料</v>
          </cell>
          <cell r="D205">
            <v>960</v>
          </cell>
        </row>
        <row r="206">
          <cell r="A206">
            <v>34850</v>
          </cell>
          <cell r="B206" t="str">
            <v>英国</v>
          </cell>
          <cell r="C206" t="str">
            <v>海洋食品</v>
          </cell>
          <cell r="D206">
            <v>414.23999845683574</v>
          </cell>
        </row>
        <row r="207">
          <cell r="A207">
            <v>34850</v>
          </cell>
          <cell r="B207" t="str">
            <v>英国</v>
          </cell>
          <cell r="C207" t="str">
            <v>海洋食品</v>
          </cell>
          <cell r="D207">
            <v>367.99999862909317</v>
          </cell>
        </row>
        <row r="208">
          <cell r="A208">
            <v>34855</v>
          </cell>
          <cell r="B208" t="str">
            <v>英国</v>
          </cell>
          <cell r="C208" t="str">
            <v>香料</v>
          </cell>
          <cell r="D208">
            <v>989.99999836087227</v>
          </cell>
        </row>
        <row r="209">
          <cell r="A209">
            <v>34855</v>
          </cell>
          <cell r="B209" t="str">
            <v>英国</v>
          </cell>
          <cell r="C209" t="str">
            <v>海洋食品</v>
          </cell>
          <cell r="D209">
            <v>512.99999915063381</v>
          </cell>
        </row>
        <row r="210">
          <cell r="A210">
            <v>34856</v>
          </cell>
          <cell r="B210" t="str">
            <v>法国</v>
          </cell>
          <cell r="C210" t="str">
            <v>乳制品</v>
          </cell>
          <cell r="D210">
            <v>63</v>
          </cell>
        </row>
        <row r="211">
          <cell r="A211">
            <v>34856</v>
          </cell>
          <cell r="B211" t="str">
            <v>法国</v>
          </cell>
          <cell r="C211" t="str">
            <v>乳制品</v>
          </cell>
          <cell r="D211">
            <v>15.999999940395355</v>
          </cell>
        </row>
        <row r="212">
          <cell r="A212">
            <v>34856</v>
          </cell>
          <cell r="B212" t="str">
            <v>法国</v>
          </cell>
          <cell r="C212" t="str">
            <v>乳制品</v>
          </cell>
          <cell r="D212">
            <v>313.2</v>
          </cell>
        </row>
        <row r="213">
          <cell r="A213">
            <v>34862</v>
          </cell>
          <cell r="B213" t="str">
            <v>英国</v>
          </cell>
          <cell r="C213" t="str">
            <v>海洋食品</v>
          </cell>
          <cell r="D213">
            <v>258.89999999999998</v>
          </cell>
        </row>
        <row r="214">
          <cell r="A214">
            <v>34862</v>
          </cell>
          <cell r="B214" t="str">
            <v>英国</v>
          </cell>
          <cell r="C214" t="str">
            <v>海洋食品</v>
          </cell>
          <cell r="D214">
            <v>147.19999945163727</v>
          </cell>
        </row>
        <row r="215">
          <cell r="A215">
            <v>34862</v>
          </cell>
          <cell r="B215" t="str">
            <v>英国</v>
          </cell>
          <cell r="C215" t="str">
            <v>肉/家禽</v>
          </cell>
          <cell r="D215">
            <v>59.599999777972698</v>
          </cell>
        </row>
        <row r="216">
          <cell r="A216">
            <v>34864</v>
          </cell>
          <cell r="B216" t="str">
            <v>英国</v>
          </cell>
          <cell r="C216" t="str">
            <v>乳制品</v>
          </cell>
          <cell r="D216">
            <v>427.5</v>
          </cell>
        </row>
        <row r="217">
          <cell r="A217">
            <v>34864</v>
          </cell>
          <cell r="B217" t="str">
            <v>英国</v>
          </cell>
          <cell r="C217" t="str">
            <v>乳制品</v>
          </cell>
          <cell r="D217">
            <v>250</v>
          </cell>
        </row>
        <row r="218">
          <cell r="A218">
            <v>34864</v>
          </cell>
          <cell r="B218" t="str">
            <v>英国</v>
          </cell>
          <cell r="C218" t="str">
            <v>乳制品</v>
          </cell>
          <cell r="D218">
            <v>75</v>
          </cell>
        </row>
        <row r="219">
          <cell r="A219">
            <v>34864</v>
          </cell>
          <cell r="B219" t="str">
            <v>英国</v>
          </cell>
          <cell r="C219" t="str">
            <v>乳制品</v>
          </cell>
          <cell r="D219">
            <v>892.5</v>
          </cell>
        </row>
        <row r="220">
          <cell r="A220">
            <v>34869</v>
          </cell>
          <cell r="B220" t="str">
            <v>英国</v>
          </cell>
          <cell r="C220" t="str">
            <v>香料</v>
          </cell>
          <cell r="D220">
            <v>600</v>
          </cell>
        </row>
        <row r="221">
          <cell r="A221">
            <v>34869</v>
          </cell>
          <cell r="B221" t="str">
            <v>英国</v>
          </cell>
          <cell r="C221" t="str">
            <v>糖果</v>
          </cell>
          <cell r="D221">
            <v>1249.2</v>
          </cell>
        </row>
        <row r="222">
          <cell r="A222">
            <v>34869</v>
          </cell>
          <cell r="B222" t="str">
            <v>英国</v>
          </cell>
          <cell r="C222" t="str">
            <v>饮料</v>
          </cell>
          <cell r="D222">
            <v>7905</v>
          </cell>
        </row>
        <row r="223">
          <cell r="A223">
            <v>34869</v>
          </cell>
          <cell r="B223" t="str">
            <v>英国</v>
          </cell>
          <cell r="C223" t="str">
            <v>糖果</v>
          </cell>
          <cell r="D223">
            <v>437.5</v>
          </cell>
        </row>
        <row r="224">
          <cell r="A224">
            <v>34870</v>
          </cell>
          <cell r="B224" t="str">
            <v>英国</v>
          </cell>
          <cell r="C224" t="str">
            <v>乳制品</v>
          </cell>
          <cell r="D224">
            <v>299.24999976530671</v>
          </cell>
        </row>
        <row r="225">
          <cell r="A225">
            <v>34870</v>
          </cell>
          <cell r="B225" t="str">
            <v>英国</v>
          </cell>
          <cell r="C225" t="str">
            <v>肉/家禽</v>
          </cell>
          <cell r="D225">
            <v>169.85999986678362</v>
          </cell>
        </row>
        <row r="226">
          <cell r="A226">
            <v>34871</v>
          </cell>
          <cell r="B226" t="str">
            <v>法国</v>
          </cell>
          <cell r="C226" t="str">
            <v>农产品</v>
          </cell>
          <cell r="D226">
            <v>319.2</v>
          </cell>
        </row>
        <row r="227">
          <cell r="A227">
            <v>34871</v>
          </cell>
          <cell r="B227" t="str">
            <v>法国</v>
          </cell>
          <cell r="C227" t="str">
            <v>饮料</v>
          </cell>
          <cell r="D227">
            <v>98</v>
          </cell>
        </row>
        <row r="228">
          <cell r="A228">
            <v>34872</v>
          </cell>
          <cell r="B228" t="str">
            <v>法国</v>
          </cell>
          <cell r="C228" t="str">
            <v>乳制品</v>
          </cell>
          <cell r="D228">
            <v>210</v>
          </cell>
        </row>
        <row r="229">
          <cell r="A229">
            <v>34876</v>
          </cell>
          <cell r="B229" t="str">
            <v>英国</v>
          </cell>
          <cell r="C229" t="str">
            <v>饮料</v>
          </cell>
          <cell r="D229">
            <v>105</v>
          </cell>
        </row>
        <row r="230">
          <cell r="A230">
            <v>34876</v>
          </cell>
          <cell r="B230" t="str">
            <v>英国</v>
          </cell>
          <cell r="C230" t="str">
            <v>海洋食品</v>
          </cell>
          <cell r="D230">
            <v>135.1</v>
          </cell>
        </row>
        <row r="231">
          <cell r="A231">
            <v>34877</v>
          </cell>
          <cell r="B231" t="str">
            <v>英国</v>
          </cell>
          <cell r="C231" t="str">
            <v>乳制品</v>
          </cell>
          <cell r="D231">
            <v>584.37499590218067</v>
          </cell>
        </row>
        <row r="232">
          <cell r="A232">
            <v>34877</v>
          </cell>
          <cell r="B232" t="str">
            <v>英国</v>
          </cell>
          <cell r="C232" t="str">
            <v>海洋食品</v>
          </cell>
          <cell r="D232">
            <v>807.49999433755875</v>
          </cell>
        </row>
        <row r="233">
          <cell r="A233">
            <v>34877</v>
          </cell>
          <cell r="B233" t="str">
            <v>英国</v>
          </cell>
          <cell r="C233" t="str">
            <v>农产品</v>
          </cell>
          <cell r="D233">
            <v>2162.3999848365784</v>
          </cell>
        </row>
        <row r="234">
          <cell r="A234">
            <v>34880</v>
          </cell>
          <cell r="B234" t="str">
            <v>英国</v>
          </cell>
          <cell r="C234" t="str">
            <v>糖果</v>
          </cell>
          <cell r="D234">
            <v>497.32499960996211</v>
          </cell>
        </row>
        <row r="235">
          <cell r="A235">
            <v>34880</v>
          </cell>
          <cell r="B235" t="str">
            <v>英国</v>
          </cell>
          <cell r="C235" t="str">
            <v>面食/谷类</v>
          </cell>
          <cell r="D235">
            <v>170.99999986588955</v>
          </cell>
        </row>
        <row r="236">
          <cell r="A236">
            <v>34880</v>
          </cell>
          <cell r="B236" t="str">
            <v>英国</v>
          </cell>
          <cell r="C236" t="str">
            <v>糖果</v>
          </cell>
          <cell r="D236">
            <v>936.69999926537275</v>
          </cell>
        </row>
        <row r="237">
          <cell r="A237">
            <v>34880</v>
          </cell>
          <cell r="B237" t="str">
            <v>英国</v>
          </cell>
          <cell r="C237" t="str">
            <v>香料</v>
          </cell>
          <cell r="D237">
            <v>123.49999990314245</v>
          </cell>
        </row>
        <row r="238">
          <cell r="A238">
            <v>34883</v>
          </cell>
          <cell r="B238" t="str">
            <v>法国</v>
          </cell>
          <cell r="C238" t="str">
            <v>农产品</v>
          </cell>
          <cell r="D238">
            <v>557.99999792128801</v>
          </cell>
        </row>
        <row r="239">
          <cell r="A239">
            <v>34883</v>
          </cell>
          <cell r="B239" t="str">
            <v>法国</v>
          </cell>
          <cell r="C239" t="str">
            <v>糖果</v>
          </cell>
          <cell r="D239">
            <v>257.59999904036522</v>
          </cell>
        </row>
        <row r="240">
          <cell r="A240">
            <v>34883</v>
          </cell>
          <cell r="B240" t="str">
            <v>法国</v>
          </cell>
          <cell r="C240" t="str">
            <v>饮料</v>
          </cell>
          <cell r="D240">
            <v>64.799999758601189</v>
          </cell>
        </row>
        <row r="241">
          <cell r="A241">
            <v>34883</v>
          </cell>
          <cell r="B241" t="str">
            <v>法国</v>
          </cell>
          <cell r="C241" t="str">
            <v>农产品</v>
          </cell>
          <cell r="D241">
            <v>847.99999684095383</v>
          </cell>
        </row>
        <row r="242">
          <cell r="A242">
            <v>34883</v>
          </cell>
          <cell r="B242" t="str">
            <v>法国</v>
          </cell>
          <cell r="C242" t="str">
            <v>面食/谷类</v>
          </cell>
          <cell r="D242">
            <v>1215.999995470047</v>
          </cell>
        </row>
        <row r="243">
          <cell r="A243">
            <v>34884</v>
          </cell>
          <cell r="B243" t="str">
            <v>英国</v>
          </cell>
          <cell r="C243" t="str">
            <v>面食/谷类</v>
          </cell>
          <cell r="D243">
            <v>997.5</v>
          </cell>
        </row>
        <row r="244">
          <cell r="A244">
            <v>34884</v>
          </cell>
          <cell r="B244" t="str">
            <v>英国</v>
          </cell>
          <cell r="C244" t="str">
            <v>饮料</v>
          </cell>
          <cell r="D244">
            <v>155</v>
          </cell>
        </row>
        <row r="245">
          <cell r="A245">
            <v>34887</v>
          </cell>
          <cell r="B245" t="str">
            <v>英国</v>
          </cell>
          <cell r="C245" t="str">
            <v>海洋食品</v>
          </cell>
          <cell r="D245">
            <v>517.79999999999995</v>
          </cell>
        </row>
        <row r="246">
          <cell r="A246">
            <v>34887</v>
          </cell>
          <cell r="B246" t="str">
            <v>英国</v>
          </cell>
          <cell r="C246" t="str">
            <v>糖果</v>
          </cell>
          <cell r="D246">
            <v>554.625</v>
          </cell>
        </row>
        <row r="247">
          <cell r="A247">
            <v>34891</v>
          </cell>
          <cell r="B247" t="str">
            <v>法国</v>
          </cell>
          <cell r="C247" t="str">
            <v>肉/家禽</v>
          </cell>
          <cell r="D247">
            <v>592.79999953508377</v>
          </cell>
        </row>
        <row r="248">
          <cell r="A248">
            <v>34891</v>
          </cell>
          <cell r="B248" t="str">
            <v>法国</v>
          </cell>
          <cell r="C248" t="str">
            <v>乳制品</v>
          </cell>
          <cell r="D248">
            <v>71.249999944120646</v>
          </cell>
        </row>
        <row r="249">
          <cell r="A249">
            <v>34891</v>
          </cell>
          <cell r="B249" t="str">
            <v>法国</v>
          </cell>
          <cell r="C249" t="str">
            <v>肉/家禽</v>
          </cell>
          <cell r="D249">
            <v>569.99999955296516</v>
          </cell>
        </row>
        <row r="250">
          <cell r="A250">
            <v>34897</v>
          </cell>
          <cell r="B250" t="str">
            <v>法国</v>
          </cell>
          <cell r="C250" t="str">
            <v>乳制品</v>
          </cell>
          <cell r="D250">
            <v>349.9999986961484</v>
          </cell>
        </row>
        <row r="251">
          <cell r="A251">
            <v>34897</v>
          </cell>
          <cell r="B251" t="str">
            <v>法国</v>
          </cell>
          <cell r="C251" t="str">
            <v>饮料</v>
          </cell>
          <cell r="D251">
            <v>540</v>
          </cell>
        </row>
        <row r="252">
          <cell r="A252">
            <v>34900</v>
          </cell>
          <cell r="B252" t="str">
            <v>法国</v>
          </cell>
          <cell r="C252" t="str">
            <v>乳制品</v>
          </cell>
          <cell r="D252">
            <v>35</v>
          </cell>
        </row>
        <row r="253">
          <cell r="A253">
            <v>34900</v>
          </cell>
          <cell r="B253" t="str">
            <v>法国</v>
          </cell>
          <cell r="C253" t="str">
            <v>海洋食品</v>
          </cell>
          <cell r="D253">
            <v>36.799999999999997</v>
          </cell>
        </row>
        <row r="254">
          <cell r="A254">
            <v>34900</v>
          </cell>
          <cell r="B254" t="str">
            <v>法国</v>
          </cell>
          <cell r="C254" t="str">
            <v>糖果</v>
          </cell>
          <cell r="D254">
            <v>493</v>
          </cell>
        </row>
        <row r="255">
          <cell r="A255">
            <v>34900</v>
          </cell>
          <cell r="B255" t="str">
            <v>法国</v>
          </cell>
          <cell r="C255" t="str">
            <v>面食/谷类</v>
          </cell>
          <cell r="D255">
            <v>199.5</v>
          </cell>
        </row>
        <row r="256">
          <cell r="A256">
            <v>34901</v>
          </cell>
          <cell r="B256" t="str">
            <v>英国</v>
          </cell>
          <cell r="C256" t="str">
            <v>乳制品</v>
          </cell>
          <cell r="D256">
            <v>660</v>
          </cell>
        </row>
        <row r="257">
          <cell r="A257">
            <v>34901</v>
          </cell>
          <cell r="B257" t="str">
            <v>英国</v>
          </cell>
          <cell r="C257" t="str">
            <v>香料</v>
          </cell>
          <cell r="D257">
            <v>263.39999999999998</v>
          </cell>
        </row>
        <row r="258">
          <cell r="A258">
            <v>34901</v>
          </cell>
          <cell r="B258" t="str">
            <v>英国</v>
          </cell>
          <cell r="C258" t="str">
            <v>乳制品</v>
          </cell>
          <cell r="D258">
            <v>1044</v>
          </cell>
        </row>
        <row r="259">
          <cell r="A259">
            <v>34901</v>
          </cell>
          <cell r="B259" t="str">
            <v>英国</v>
          </cell>
          <cell r="C259" t="str">
            <v>饮料</v>
          </cell>
          <cell r="D259">
            <v>180</v>
          </cell>
        </row>
        <row r="260">
          <cell r="A260">
            <v>34904</v>
          </cell>
          <cell r="B260" t="str">
            <v>法国</v>
          </cell>
          <cell r="C260" t="str">
            <v>饮料</v>
          </cell>
          <cell r="D260">
            <v>180</v>
          </cell>
        </row>
        <row r="261">
          <cell r="A261">
            <v>34904</v>
          </cell>
          <cell r="B261" t="str">
            <v>法国</v>
          </cell>
          <cell r="C261" t="str">
            <v>饮料</v>
          </cell>
          <cell r="D261">
            <v>155</v>
          </cell>
        </row>
        <row r="262">
          <cell r="A262">
            <v>34904</v>
          </cell>
          <cell r="B262" t="str">
            <v>法国</v>
          </cell>
          <cell r="C262" t="str">
            <v>香料</v>
          </cell>
          <cell r="D262">
            <v>234</v>
          </cell>
        </row>
        <row r="263">
          <cell r="A263">
            <v>34906</v>
          </cell>
          <cell r="B263" t="str">
            <v>法国</v>
          </cell>
          <cell r="C263" t="str">
            <v>香料</v>
          </cell>
          <cell r="D263">
            <v>155</v>
          </cell>
        </row>
        <row r="264">
          <cell r="A264">
            <v>34906</v>
          </cell>
          <cell r="B264" t="str">
            <v>法国</v>
          </cell>
          <cell r="C264" t="str">
            <v>饮料</v>
          </cell>
          <cell r="D264">
            <v>162.75</v>
          </cell>
        </row>
        <row r="265">
          <cell r="A265">
            <v>34907</v>
          </cell>
          <cell r="B265" t="str">
            <v>英国</v>
          </cell>
          <cell r="C265" t="str">
            <v>农产品</v>
          </cell>
          <cell r="D265">
            <v>331.312499740161</v>
          </cell>
        </row>
        <row r="266">
          <cell r="A266">
            <v>34907</v>
          </cell>
          <cell r="B266" t="str">
            <v>英国</v>
          </cell>
          <cell r="C266" t="str">
            <v>海洋食品</v>
          </cell>
          <cell r="D266">
            <v>82.507499935291705</v>
          </cell>
        </row>
        <row r="267">
          <cell r="A267">
            <v>34907</v>
          </cell>
          <cell r="B267" t="str">
            <v>英国</v>
          </cell>
          <cell r="C267" t="str">
            <v>香料</v>
          </cell>
          <cell r="D267">
            <v>599.92499952949584</v>
          </cell>
        </row>
        <row r="268">
          <cell r="A268">
            <v>34908</v>
          </cell>
          <cell r="B268" t="str">
            <v>英国</v>
          </cell>
          <cell r="C268" t="str">
            <v>面食/谷类</v>
          </cell>
          <cell r="D268">
            <v>78</v>
          </cell>
        </row>
        <row r="269">
          <cell r="A269">
            <v>34908</v>
          </cell>
          <cell r="B269" t="str">
            <v>英国</v>
          </cell>
          <cell r="C269" t="str">
            <v>饮料</v>
          </cell>
          <cell r="D269">
            <v>252</v>
          </cell>
        </row>
        <row r="270">
          <cell r="A270">
            <v>34914</v>
          </cell>
          <cell r="B270" t="str">
            <v>英国</v>
          </cell>
          <cell r="C270" t="str">
            <v>海洋食品</v>
          </cell>
          <cell r="D270">
            <v>1999.9999925494194</v>
          </cell>
        </row>
        <row r="271">
          <cell r="A271">
            <v>34914</v>
          </cell>
          <cell r="B271" t="str">
            <v>英国</v>
          </cell>
          <cell r="C271" t="str">
            <v>面食/谷类</v>
          </cell>
          <cell r="D271">
            <v>1119.9999958276749</v>
          </cell>
        </row>
        <row r="272">
          <cell r="A272">
            <v>34915</v>
          </cell>
          <cell r="B272" t="str">
            <v>法国</v>
          </cell>
          <cell r="C272" t="str">
            <v>饮料</v>
          </cell>
          <cell r="D272">
            <v>72</v>
          </cell>
        </row>
        <row r="273">
          <cell r="A273">
            <v>34919</v>
          </cell>
          <cell r="B273" t="str">
            <v>英国</v>
          </cell>
          <cell r="C273" t="str">
            <v>香料</v>
          </cell>
          <cell r="D273">
            <v>368.12499971129</v>
          </cell>
        </row>
        <row r="274">
          <cell r="A274">
            <v>34919</v>
          </cell>
          <cell r="B274" t="str">
            <v>英国</v>
          </cell>
          <cell r="C274" t="str">
            <v>糖果</v>
          </cell>
          <cell r="D274">
            <v>148.3424998836592</v>
          </cell>
        </row>
        <row r="275">
          <cell r="A275">
            <v>34920</v>
          </cell>
          <cell r="B275" t="str">
            <v>英国</v>
          </cell>
          <cell r="C275" t="str">
            <v>糖果</v>
          </cell>
          <cell r="D275">
            <v>1360.799994930625</v>
          </cell>
        </row>
        <row r="276">
          <cell r="A276">
            <v>34920</v>
          </cell>
          <cell r="B276" t="str">
            <v>英国</v>
          </cell>
          <cell r="C276" t="str">
            <v>乳制品</v>
          </cell>
          <cell r="D276">
            <v>575.99999785423279</v>
          </cell>
        </row>
        <row r="277">
          <cell r="A277">
            <v>34920</v>
          </cell>
          <cell r="B277" t="str">
            <v>英国</v>
          </cell>
          <cell r="C277" t="str">
            <v>饮料</v>
          </cell>
          <cell r="D277">
            <v>57.599999785423279</v>
          </cell>
        </row>
        <row r="278">
          <cell r="A278">
            <v>34920</v>
          </cell>
          <cell r="B278" t="str">
            <v>法国</v>
          </cell>
          <cell r="C278" t="str">
            <v>面食/谷类</v>
          </cell>
          <cell r="D278">
            <v>168</v>
          </cell>
        </row>
        <row r="279">
          <cell r="A279">
            <v>34920</v>
          </cell>
          <cell r="B279" t="str">
            <v>法国</v>
          </cell>
          <cell r="C279" t="str">
            <v>海洋食品</v>
          </cell>
          <cell r="D279">
            <v>397.5</v>
          </cell>
        </row>
        <row r="280">
          <cell r="A280">
            <v>34922</v>
          </cell>
          <cell r="B280" t="str">
            <v>法国</v>
          </cell>
          <cell r="C280" t="str">
            <v>面食/谷类</v>
          </cell>
          <cell r="D280">
            <v>151.99999943375587</v>
          </cell>
        </row>
        <row r="281">
          <cell r="A281">
            <v>34922</v>
          </cell>
          <cell r="B281" t="str">
            <v>法国</v>
          </cell>
          <cell r="C281" t="str">
            <v>香料</v>
          </cell>
          <cell r="D281">
            <v>842.87999686002729</v>
          </cell>
        </row>
        <row r="282">
          <cell r="A282">
            <v>34922</v>
          </cell>
          <cell r="B282" t="str">
            <v>法国</v>
          </cell>
          <cell r="C282" t="str">
            <v>饮料</v>
          </cell>
          <cell r="D282">
            <v>185.999999307096</v>
          </cell>
        </row>
        <row r="283">
          <cell r="A283">
            <v>34925</v>
          </cell>
          <cell r="B283" t="str">
            <v>法国</v>
          </cell>
          <cell r="C283" t="str">
            <v>糖果</v>
          </cell>
          <cell r="D283">
            <v>2195</v>
          </cell>
        </row>
        <row r="284">
          <cell r="A284">
            <v>34925</v>
          </cell>
          <cell r="B284" t="str">
            <v>法国</v>
          </cell>
          <cell r="C284" t="str">
            <v>乳制品</v>
          </cell>
          <cell r="D284">
            <v>193.5</v>
          </cell>
        </row>
        <row r="285">
          <cell r="A285">
            <v>34927</v>
          </cell>
          <cell r="B285" t="str">
            <v>法国</v>
          </cell>
          <cell r="C285" t="str">
            <v>肉/家禽</v>
          </cell>
          <cell r="D285">
            <v>29.8</v>
          </cell>
        </row>
        <row r="286">
          <cell r="A286">
            <v>34927</v>
          </cell>
          <cell r="B286" t="str">
            <v>法国</v>
          </cell>
          <cell r="C286" t="str">
            <v>海洋食品</v>
          </cell>
          <cell r="D286">
            <v>450</v>
          </cell>
        </row>
        <row r="287">
          <cell r="A287">
            <v>34929</v>
          </cell>
          <cell r="B287" t="str">
            <v>法国</v>
          </cell>
          <cell r="C287" t="str">
            <v>面食/谷类</v>
          </cell>
          <cell r="D287">
            <v>1008</v>
          </cell>
        </row>
        <row r="288">
          <cell r="A288">
            <v>34929</v>
          </cell>
          <cell r="B288" t="str">
            <v>法国</v>
          </cell>
          <cell r="C288" t="str">
            <v>糖果</v>
          </cell>
          <cell r="D288">
            <v>474.99999962747097</v>
          </cell>
        </row>
        <row r="289">
          <cell r="A289">
            <v>34933</v>
          </cell>
          <cell r="B289" t="str">
            <v>法国</v>
          </cell>
          <cell r="C289" t="str">
            <v>农产品</v>
          </cell>
          <cell r="D289">
            <v>1350</v>
          </cell>
        </row>
        <row r="290">
          <cell r="A290">
            <v>34933</v>
          </cell>
          <cell r="B290" t="str">
            <v>法国</v>
          </cell>
          <cell r="C290" t="str">
            <v>肉/家禽</v>
          </cell>
          <cell r="D290">
            <v>3900</v>
          </cell>
        </row>
        <row r="291">
          <cell r="A291">
            <v>34933</v>
          </cell>
          <cell r="B291" t="str">
            <v>法国</v>
          </cell>
          <cell r="C291" t="str">
            <v>乳制品</v>
          </cell>
          <cell r="D291">
            <v>35</v>
          </cell>
        </row>
        <row r="292">
          <cell r="A292">
            <v>34933</v>
          </cell>
          <cell r="B292" t="str">
            <v>法国</v>
          </cell>
          <cell r="C292" t="str">
            <v>海洋食品</v>
          </cell>
          <cell r="D292">
            <v>772.8</v>
          </cell>
        </row>
        <row r="293">
          <cell r="A293">
            <v>34933</v>
          </cell>
          <cell r="B293" t="str">
            <v>法国</v>
          </cell>
          <cell r="C293" t="str">
            <v>乳制品</v>
          </cell>
          <cell r="D293">
            <v>417.6</v>
          </cell>
        </row>
        <row r="294">
          <cell r="A294">
            <v>34934</v>
          </cell>
          <cell r="B294" t="str">
            <v>英国</v>
          </cell>
          <cell r="C294" t="str">
            <v>面食/谷类</v>
          </cell>
          <cell r="D294">
            <v>1064</v>
          </cell>
        </row>
        <row r="295">
          <cell r="A295">
            <v>34939</v>
          </cell>
          <cell r="B295" t="str">
            <v>法国</v>
          </cell>
          <cell r="C295" t="str">
            <v>海洋食品</v>
          </cell>
          <cell r="D295">
            <v>2170</v>
          </cell>
        </row>
        <row r="296">
          <cell r="A296">
            <v>34939</v>
          </cell>
          <cell r="B296" t="str">
            <v>法国</v>
          </cell>
          <cell r="C296" t="str">
            <v>海洋食品</v>
          </cell>
          <cell r="D296">
            <v>1045</v>
          </cell>
        </row>
        <row r="297">
          <cell r="A297">
            <v>34939</v>
          </cell>
          <cell r="B297" t="str">
            <v>法国</v>
          </cell>
          <cell r="C297" t="str">
            <v>糖果</v>
          </cell>
          <cell r="D297">
            <v>360</v>
          </cell>
        </row>
        <row r="298">
          <cell r="A298">
            <v>34939</v>
          </cell>
          <cell r="B298" t="str">
            <v>法国</v>
          </cell>
          <cell r="C298" t="str">
            <v>乳制品</v>
          </cell>
          <cell r="D298">
            <v>1360</v>
          </cell>
        </row>
        <row r="299">
          <cell r="A299">
            <v>34939</v>
          </cell>
          <cell r="B299" t="str">
            <v>法国</v>
          </cell>
          <cell r="C299" t="str">
            <v>饮料</v>
          </cell>
          <cell r="D299">
            <v>1440</v>
          </cell>
        </row>
        <row r="300">
          <cell r="A300">
            <v>34940</v>
          </cell>
          <cell r="B300" t="str">
            <v>英国</v>
          </cell>
          <cell r="C300" t="str">
            <v>乳制品</v>
          </cell>
          <cell r="D300">
            <v>294</v>
          </cell>
        </row>
        <row r="301">
          <cell r="A301">
            <v>34940</v>
          </cell>
          <cell r="B301" t="str">
            <v>英国</v>
          </cell>
          <cell r="C301" t="str">
            <v>糖果</v>
          </cell>
          <cell r="D301">
            <v>80</v>
          </cell>
        </row>
        <row r="302">
          <cell r="A302">
            <v>34940</v>
          </cell>
          <cell r="B302" t="str">
            <v>英国</v>
          </cell>
          <cell r="C302" t="str">
            <v>饮料</v>
          </cell>
          <cell r="D302">
            <v>90</v>
          </cell>
        </row>
        <row r="303">
          <cell r="A303">
            <v>34942</v>
          </cell>
          <cell r="B303" t="str">
            <v>法国</v>
          </cell>
          <cell r="C303" t="str">
            <v>饮料</v>
          </cell>
          <cell r="D303">
            <v>3754.874997055158</v>
          </cell>
        </row>
        <row r="304">
          <cell r="A304">
            <v>34942</v>
          </cell>
          <cell r="B304" t="str">
            <v>法国</v>
          </cell>
          <cell r="C304" t="str">
            <v>面食/谷类</v>
          </cell>
          <cell r="D304">
            <v>532</v>
          </cell>
        </row>
        <row r="305">
          <cell r="A305">
            <v>34942</v>
          </cell>
          <cell r="B305" t="str">
            <v>法国</v>
          </cell>
          <cell r="C305" t="str">
            <v>饮料</v>
          </cell>
          <cell r="D305">
            <v>213.74999983236194</v>
          </cell>
        </row>
        <row r="306">
          <cell r="A306">
            <v>34942</v>
          </cell>
          <cell r="B306" t="str">
            <v>法国</v>
          </cell>
          <cell r="C306" t="str">
            <v>乳制品</v>
          </cell>
          <cell r="D306">
            <v>306.37499975971878</v>
          </cell>
        </row>
        <row r="307">
          <cell r="A307">
            <v>34942</v>
          </cell>
          <cell r="B307" t="str">
            <v>法国</v>
          </cell>
          <cell r="C307" t="str">
            <v>乳制品</v>
          </cell>
          <cell r="D307">
            <v>1402.4999901652336</v>
          </cell>
        </row>
        <row r="308">
          <cell r="A308">
            <v>34949</v>
          </cell>
          <cell r="B308" t="str">
            <v>英国</v>
          </cell>
          <cell r="C308" t="str">
            <v>农产品</v>
          </cell>
          <cell r="D308">
            <v>488.25</v>
          </cell>
        </row>
        <row r="309">
          <cell r="A309">
            <v>34949</v>
          </cell>
          <cell r="B309" t="str">
            <v>英国</v>
          </cell>
          <cell r="C309" t="str">
            <v>糖果</v>
          </cell>
          <cell r="D309">
            <v>124.19999979436398</v>
          </cell>
        </row>
        <row r="310">
          <cell r="A310">
            <v>34949</v>
          </cell>
          <cell r="B310" t="str">
            <v>英国</v>
          </cell>
          <cell r="C310" t="str">
            <v>糖果</v>
          </cell>
          <cell r="D310">
            <v>224.99999962747097</v>
          </cell>
        </row>
        <row r="311">
          <cell r="A311">
            <v>34949</v>
          </cell>
          <cell r="B311" t="str">
            <v>英国</v>
          </cell>
          <cell r="C311" t="str">
            <v>饮料</v>
          </cell>
          <cell r="D311">
            <v>13.5</v>
          </cell>
        </row>
        <row r="312">
          <cell r="A312">
            <v>34949</v>
          </cell>
          <cell r="B312" t="str">
            <v>英国</v>
          </cell>
          <cell r="C312" t="str">
            <v>饮料</v>
          </cell>
          <cell r="D312">
            <v>485.9999991953373</v>
          </cell>
        </row>
        <row r="313">
          <cell r="A313">
            <v>34949</v>
          </cell>
          <cell r="B313" t="str">
            <v>法国</v>
          </cell>
          <cell r="C313" t="str">
            <v>农产品</v>
          </cell>
          <cell r="D313">
            <v>456</v>
          </cell>
        </row>
        <row r="314">
          <cell r="A314">
            <v>34949</v>
          </cell>
          <cell r="B314" t="str">
            <v>法国</v>
          </cell>
          <cell r="C314" t="str">
            <v>肉/家禽</v>
          </cell>
          <cell r="D314">
            <v>742.74</v>
          </cell>
        </row>
        <row r="315">
          <cell r="A315">
            <v>34949</v>
          </cell>
          <cell r="B315" t="str">
            <v>法国</v>
          </cell>
          <cell r="C315" t="str">
            <v>香料</v>
          </cell>
          <cell r="D315">
            <v>194.5</v>
          </cell>
        </row>
        <row r="316">
          <cell r="A316">
            <v>34953</v>
          </cell>
          <cell r="B316" t="str">
            <v>法国</v>
          </cell>
          <cell r="C316" t="str">
            <v>糖果</v>
          </cell>
          <cell r="D316">
            <v>739.5</v>
          </cell>
        </row>
        <row r="317">
          <cell r="A317">
            <v>34953</v>
          </cell>
          <cell r="B317" t="str">
            <v>法国</v>
          </cell>
          <cell r="C317" t="str">
            <v>海洋食品</v>
          </cell>
          <cell r="D317">
            <v>446.24999687075615</v>
          </cell>
        </row>
        <row r="318">
          <cell r="A318">
            <v>34955</v>
          </cell>
          <cell r="B318" t="str">
            <v>英国</v>
          </cell>
          <cell r="C318" t="str">
            <v>肉/家禽</v>
          </cell>
          <cell r="D318">
            <v>273.59999978542328</v>
          </cell>
        </row>
        <row r="319">
          <cell r="A319">
            <v>34955</v>
          </cell>
          <cell r="B319" t="str">
            <v>英国</v>
          </cell>
          <cell r="C319" t="str">
            <v>饮料</v>
          </cell>
          <cell r="D319">
            <v>630</v>
          </cell>
        </row>
        <row r="320">
          <cell r="A320">
            <v>34956</v>
          </cell>
          <cell r="B320" t="str">
            <v>英国</v>
          </cell>
          <cell r="C320" t="str">
            <v>饮料</v>
          </cell>
          <cell r="D320">
            <v>541.49999957531691</v>
          </cell>
        </row>
        <row r="321">
          <cell r="A321">
            <v>34956</v>
          </cell>
          <cell r="B321" t="str">
            <v>英国</v>
          </cell>
          <cell r="C321" t="str">
            <v>乳制品</v>
          </cell>
          <cell r="D321">
            <v>47.499999962747097</v>
          </cell>
        </row>
        <row r="322">
          <cell r="A322">
            <v>34963</v>
          </cell>
          <cell r="B322" t="str">
            <v>英国</v>
          </cell>
          <cell r="C322" t="str">
            <v>乳制品</v>
          </cell>
          <cell r="D322">
            <v>540</v>
          </cell>
        </row>
        <row r="323">
          <cell r="A323">
            <v>34963</v>
          </cell>
          <cell r="B323" t="str">
            <v>英国</v>
          </cell>
          <cell r="C323" t="str">
            <v>饮料</v>
          </cell>
          <cell r="D323">
            <v>168.75</v>
          </cell>
        </row>
        <row r="324">
          <cell r="A324">
            <v>34974</v>
          </cell>
          <cell r="B324" t="str">
            <v>英国</v>
          </cell>
          <cell r="C324" t="str">
            <v>糖果</v>
          </cell>
          <cell r="D324">
            <v>82.8</v>
          </cell>
        </row>
        <row r="325">
          <cell r="A325">
            <v>34974</v>
          </cell>
          <cell r="B325" t="str">
            <v>英国</v>
          </cell>
          <cell r="C325" t="str">
            <v>面食/谷类</v>
          </cell>
          <cell r="D325">
            <v>315</v>
          </cell>
        </row>
        <row r="326">
          <cell r="A326">
            <v>34975</v>
          </cell>
          <cell r="B326" t="str">
            <v>英国</v>
          </cell>
          <cell r="C326" t="str">
            <v>糖果</v>
          </cell>
          <cell r="D326">
            <v>471.14999921992421</v>
          </cell>
        </row>
        <row r="327">
          <cell r="A327">
            <v>34975</v>
          </cell>
          <cell r="B327" t="str">
            <v>英国</v>
          </cell>
          <cell r="C327" t="str">
            <v>乳制品</v>
          </cell>
          <cell r="D327">
            <v>611.99999898672104</v>
          </cell>
        </row>
        <row r="328">
          <cell r="A328">
            <v>34977</v>
          </cell>
          <cell r="B328" t="str">
            <v>法国</v>
          </cell>
          <cell r="C328" t="str">
            <v>农产品</v>
          </cell>
          <cell r="D328">
            <v>62.774999896064401</v>
          </cell>
        </row>
        <row r="329">
          <cell r="A329">
            <v>34977</v>
          </cell>
          <cell r="B329" t="str">
            <v>法国</v>
          </cell>
          <cell r="C329" t="str">
            <v>香料</v>
          </cell>
          <cell r="D329">
            <v>490.13999918848276</v>
          </cell>
        </row>
        <row r="330">
          <cell r="A330">
            <v>34977</v>
          </cell>
          <cell r="B330" t="str">
            <v>法国</v>
          </cell>
          <cell r="C330" t="str">
            <v>糖果</v>
          </cell>
          <cell r="D330">
            <v>51.299999915063381</v>
          </cell>
        </row>
        <row r="331">
          <cell r="A331">
            <v>34977</v>
          </cell>
          <cell r="B331" t="str">
            <v>法国</v>
          </cell>
          <cell r="C331" t="str">
            <v>香料</v>
          </cell>
          <cell r="D331">
            <v>775</v>
          </cell>
        </row>
        <row r="332">
          <cell r="A332">
            <v>34977</v>
          </cell>
          <cell r="B332" t="str">
            <v>法国</v>
          </cell>
          <cell r="C332" t="str">
            <v>海洋食品</v>
          </cell>
          <cell r="D332">
            <v>231.6</v>
          </cell>
        </row>
        <row r="333">
          <cell r="A333">
            <v>34977</v>
          </cell>
          <cell r="B333" t="str">
            <v>法国</v>
          </cell>
          <cell r="C333" t="str">
            <v>海洋食品</v>
          </cell>
          <cell r="D333">
            <v>540</v>
          </cell>
        </row>
        <row r="334">
          <cell r="A334">
            <v>34977</v>
          </cell>
          <cell r="B334" t="str">
            <v>法国</v>
          </cell>
          <cell r="C334" t="str">
            <v>糖果</v>
          </cell>
          <cell r="D334">
            <v>95</v>
          </cell>
        </row>
        <row r="335">
          <cell r="A335">
            <v>34977</v>
          </cell>
          <cell r="B335" t="str">
            <v>法国</v>
          </cell>
          <cell r="C335" t="str">
            <v>面食/谷类</v>
          </cell>
          <cell r="D335">
            <v>1710</v>
          </cell>
        </row>
        <row r="336">
          <cell r="A336">
            <v>34977</v>
          </cell>
          <cell r="B336" t="str">
            <v>法国</v>
          </cell>
          <cell r="C336" t="str">
            <v>乳制品</v>
          </cell>
          <cell r="D336">
            <v>1020</v>
          </cell>
        </row>
        <row r="337">
          <cell r="A337">
            <v>34978</v>
          </cell>
          <cell r="B337" t="str">
            <v>英国</v>
          </cell>
          <cell r="C337" t="str">
            <v>糖果</v>
          </cell>
          <cell r="D337">
            <v>600</v>
          </cell>
        </row>
        <row r="338">
          <cell r="A338">
            <v>34978</v>
          </cell>
          <cell r="B338" t="str">
            <v>英国</v>
          </cell>
          <cell r="C338" t="str">
            <v>海洋食品</v>
          </cell>
          <cell r="D338">
            <v>1223.5999990403652</v>
          </cell>
        </row>
        <row r="339">
          <cell r="A339">
            <v>34978</v>
          </cell>
          <cell r="B339" t="str">
            <v>英国</v>
          </cell>
          <cell r="C339" t="str">
            <v>乳制品</v>
          </cell>
          <cell r="D339">
            <v>1776.4999986067414</v>
          </cell>
        </row>
        <row r="340">
          <cell r="A340">
            <v>34978</v>
          </cell>
          <cell r="B340" t="str">
            <v>英国</v>
          </cell>
          <cell r="C340" t="str">
            <v>香料</v>
          </cell>
          <cell r="D340">
            <v>864.49999932199717</v>
          </cell>
        </row>
        <row r="341">
          <cell r="A341">
            <v>34981</v>
          </cell>
          <cell r="B341" t="str">
            <v>法国</v>
          </cell>
          <cell r="C341" t="str">
            <v>糖果</v>
          </cell>
          <cell r="D341">
            <v>1701</v>
          </cell>
        </row>
        <row r="342">
          <cell r="A342">
            <v>34982</v>
          </cell>
          <cell r="B342" t="str">
            <v>法国</v>
          </cell>
          <cell r="C342" t="str">
            <v>糖果</v>
          </cell>
          <cell r="D342">
            <v>125</v>
          </cell>
        </row>
        <row r="343">
          <cell r="A343">
            <v>34984</v>
          </cell>
          <cell r="B343" t="str">
            <v>法国</v>
          </cell>
          <cell r="C343" t="str">
            <v>农产品</v>
          </cell>
          <cell r="D343">
            <v>1060</v>
          </cell>
        </row>
        <row r="344">
          <cell r="A344">
            <v>34984</v>
          </cell>
          <cell r="B344" t="str">
            <v>法国</v>
          </cell>
          <cell r="C344" t="str">
            <v>乳制品</v>
          </cell>
          <cell r="D344">
            <v>55</v>
          </cell>
        </row>
        <row r="345">
          <cell r="A345">
            <v>34984</v>
          </cell>
          <cell r="B345" t="str">
            <v>法国</v>
          </cell>
          <cell r="C345" t="str">
            <v>饮料</v>
          </cell>
          <cell r="D345">
            <v>180</v>
          </cell>
        </row>
        <row r="346">
          <cell r="A346">
            <v>34988</v>
          </cell>
          <cell r="B346" t="str">
            <v>英国</v>
          </cell>
          <cell r="C346" t="str">
            <v>乳制品</v>
          </cell>
          <cell r="D346">
            <v>89.999999850988388</v>
          </cell>
        </row>
        <row r="347">
          <cell r="A347">
            <v>34988</v>
          </cell>
          <cell r="B347" t="str">
            <v>英国</v>
          </cell>
          <cell r="C347" t="str">
            <v>肉/家禽</v>
          </cell>
          <cell r="D347">
            <v>86.399999856948853</v>
          </cell>
        </row>
        <row r="348">
          <cell r="A348">
            <v>34988</v>
          </cell>
          <cell r="B348" t="str">
            <v>英国</v>
          </cell>
          <cell r="C348" t="str">
            <v>面食/谷类</v>
          </cell>
          <cell r="D348">
            <v>448.87499925680459</v>
          </cell>
        </row>
        <row r="349">
          <cell r="A349">
            <v>34989</v>
          </cell>
          <cell r="B349" t="str">
            <v>英国</v>
          </cell>
          <cell r="C349" t="str">
            <v>面食/谷类</v>
          </cell>
          <cell r="D349">
            <v>288</v>
          </cell>
        </row>
        <row r="350">
          <cell r="A350">
            <v>34989</v>
          </cell>
          <cell r="B350" t="str">
            <v>英国</v>
          </cell>
          <cell r="C350" t="str">
            <v>海洋食品</v>
          </cell>
          <cell r="D350">
            <v>720</v>
          </cell>
        </row>
        <row r="351">
          <cell r="A351">
            <v>34989</v>
          </cell>
          <cell r="B351" t="str">
            <v>英国</v>
          </cell>
          <cell r="C351" t="str">
            <v>饮料</v>
          </cell>
          <cell r="D351">
            <v>350</v>
          </cell>
        </row>
        <row r="352">
          <cell r="A352">
            <v>34989</v>
          </cell>
          <cell r="B352" t="str">
            <v>英国</v>
          </cell>
          <cell r="C352" t="str">
            <v>海洋食品</v>
          </cell>
          <cell r="D352">
            <v>750</v>
          </cell>
        </row>
        <row r="353">
          <cell r="A353">
            <v>34989</v>
          </cell>
          <cell r="B353" t="str">
            <v>英国</v>
          </cell>
          <cell r="C353" t="str">
            <v>饮料</v>
          </cell>
          <cell r="D353">
            <v>193.75</v>
          </cell>
        </row>
        <row r="354">
          <cell r="A354">
            <v>34992</v>
          </cell>
          <cell r="B354" t="str">
            <v>英国</v>
          </cell>
          <cell r="C354" t="str">
            <v>农产品</v>
          </cell>
          <cell r="D354">
            <v>697.5</v>
          </cell>
        </row>
        <row r="355">
          <cell r="A355">
            <v>34992</v>
          </cell>
          <cell r="B355" t="str">
            <v>英国</v>
          </cell>
          <cell r="C355" t="str">
            <v>肉/家禽</v>
          </cell>
          <cell r="D355">
            <v>328</v>
          </cell>
        </row>
        <row r="356">
          <cell r="A356">
            <v>34992</v>
          </cell>
          <cell r="B356" t="str">
            <v>英国</v>
          </cell>
          <cell r="C356" t="str">
            <v>海洋食品</v>
          </cell>
          <cell r="D356">
            <v>397.5</v>
          </cell>
        </row>
        <row r="357">
          <cell r="A357">
            <v>34996</v>
          </cell>
          <cell r="B357" t="str">
            <v>法国</v>
          </cell>
          <cell r="C357" t="str">
            <v>乳制品</v>
          </cell>
          <cell r="D357">
            <v>3800</v>
          </cell>
        </row>
        <row r="358">
          <cell r="A358">
            <v>34996</v>
          </cell>
          <cell r="B358" t="str">
            <v>法国</v>
          </cell>
          <cell r="C358" t="str">
            <v>乳制品</v>
          </cell>
          <cell r="D358">
            <v>75</v>
          </cell>
        </row>
        <row r="359">
          <cell r="A359">
            <v>34996</v>
          </cell>
          <cell r="B359" t="str">
            <v>法国</v>
          </cell>
          <cell r="C359" t="str">
            <v>海洋食品</v>
          </cell>
          <cell r="D359">
            <v>1158</v>
          </cell>
        </row>
        <row r="360">
          <cell r="A360">
            <v>34996</v>
          </cell>
          <cell r="B360" t="str">
            <v>法国</v>
          </cell>
          <cell r="C360" t="str">
            <v>肉/家禽</v>
          </cell>
          <cell r="D360">
            <v>223.5</v>
          </cell>
        </row>
        <row r="361">
          <cell r="A361">
            <v>34997</v>
          </cell>
          <cell r="B361" t="str">
            <v>法国</v>
          </cell>
          <cell r="C361" t="str">
            <v>糖果</v>
          </cell>
          <cell r="D361">
            <v>654.375</v>
          </cell>
        </row>
        <row r="362">
          <cell r="A362">
            <v>34997</v>
          </cell>
          <cell r="B362" t="str">
            <v>法国</v>
          </cell>
          <cell r="C362" t="str">
            <v>乳制品</v>
          </cell>
          <cell r="D362">
            <v>187.5</v>
          </cell>
        </row>
        <row r="363">
          <cell r="A363">
            <v>34997</v>
          </cell>
          <cell r="B363" t="str">
            <v>法国</v>
          </cell>
          <cell r="C363" t="str">
            <v>面食/谷类</v>
          </cell>
          <cell r="D363">
            <v>420</v>
          </cell>
        </row>
        <row r="364">
          <cell r="A364">
            <v>34998</v>
          </cell>
          <cell r="B364" t="str">
            <v>法国</v>
          </cell>
          <cell r="C364" t="str">
            <v>糖果</v>
          </cell>
          <cell r="D364">
            <v>248.39999958872795</v>
          </cell>
        </row>
        <row r="365">
          <cell r="A365">
            <v>34998</v>
          </cell>
          <cell r="B365" t="str">
            <v>法国</v>
          </cell>
          <cell r="C365" t="str">
            <v>糖果</v>
          </cell>
          <cell r="D365">
            <v>107.99999982118607</v>
          </cell>
        </row>
        <row r="366">
          <cell r="A366">
            <v>34998</v>
          </cell>
          <cell r="B366" t="str">
            <v>法国</v>
          </cell>
          <cell r="C366" t="str">
            <v>面食/谷类</v>
          </cell>
          <cell r="D366">
            <v>931</v>
          </cell>
        </row>
        <row r="367">
          <cell r="A367">
            <v>34999</v>
          </cell>
          <cell r="B367" t="str">
            <v>英国</v>
          </cell>
          <cell r="C367" t="str">
            <v>海洋食品</v>
          </cell>
          <cell r="D367">
            <v>368</v>
          </cell>
        </row>
        <row r="368">
          <cell r="A368">
            <v>34999</v>
          </cell>
          <cell r="B368" t="str">
            <v>英国</v>
          </cell>
          <cell r="C368" t="str">
            <v>糖果</v>
          </cell>
          <cell r="D368">
            <v>380</v>
          </cell>
        </row>
        <row r="369">
          <cell r="A369">
            <v>34999</v>
          </cell>
          <cell r="B369" t="str">
            <v>英国</v>
          </cell>
          <cell r="C369" t="str">
            <v>乳制品</v>
          </cell>
          <cell r="D369">
            <v>1020</v>
          </cell>
        </row>
        <row r="370">
          <cell r="A370">
            <v>35006</v>
          </cell>
          <cell r="B370" t="str">
            <v>英国</v>
          </cell>
          <cell r="C370" t="str">
            <v>饮料</v>
          </cell>
          <cell r="D370">
            <v>540</v>
          </cell>
        </row>
        <row r="371">
          <cell r="A371">
            <v>35006</v>
          </cell>
          <cell r="B371" t="str">
            <v>英国</v>
          </cell>
          <cell r="C371" t="str">
            <v>肉/家禽</v>
          </cell>
          <cell r="D371">
            <v>4951.6000000000004</v>
          </cell>
        </row>
        <row r="372">
          <cell r="A372">
            <v>35006</v>
          </cell>
          <cell r="B372" t="str">
            <v>英国</v>
          </cell>
          <cell r="C372" t="str">
            <v>饮料</v>
          </cell>
          <cell r="D372">
            <v>1840</v>
          </cell>
        </row>
        <row r="373">
          <cell r="A373">
            <v>35006</v>
          </cell>
          <cell r="B373" t="str">
            <v>英国</v>
          </cell>
          <cell r="C373" t="str">
            <v>香料</v>
          </cell>
          <cell r="D373">
            <v>466.8</v>
          </cell>
        </row>
        <row r="374">
          <cell r="A374">
            <v>35006</v>
          </cell>
          <cell r="B374" t="str">
            <v>英国</v>
          </cell>
          <cell r="C374" t="str">
            <v>糖果</v>
          </cell>
          <cell r="D374">
            <v>2366.4</v>
          </cell>
        </row>
        <row r="375">
          <cell r="A375">
            <v>35009</v>
          </cell>
          <cell r="B375" t="str">
            <v>法国</v>
          </cell>
          <cell r="C375" t="str">
            <v>肉/家禽</v>
          </cell>
          <cell r="D375">
            <v>582</v>
          </cell>
        </row>
        <row r="376">
          <cell r="A376">
            <v>35009</v>
          </cell>
          <cell r="B376" t="str">
            <v>法国</v>
          </cell>
          <cell r="C376" t="str">
            <v>肉/家禽</v>
          </cell>
          <cell r="D376">
            <v>379.94999733567238</v>
          </cell>
        </row>
        <row r="377">
          <cell r="A377">
            <v>35009</v>
          </cell>
          <cell r="B377" t="str">
            <v>法国</v>
          </cell>
          <cell r="C377" t="str">
            <v>乳制品</v>
          </cell>
          <cell r="D377">
            <v>917.99999356269836</v>
          </cell>
        </row>
        <row r="378">
          <cell r="A378">
            <v>35009</v>
          </cell>
          <cell r="B378" t="str">
            <v>法国</v>
          </cell>
          <cell r="C378" t="str">
            <v>海洋食品</v>
          </cell>
          <cell r="D378">
            <v>191.24999865889549</v>
          </cell>
        </row>
        <row r="379">
          <cell r="A379">
            <v>35009</v>
          </cell>
          <cell r="B379" t="str">
            <v>英国</v>
          </cell>
          <cell r="C379" t="str">
            <v>农产品</v>
          </cell>
          <cell r="D379">
            <v>2700</v>
          </cell>
        </row>
        <row r="380">
          <cell r="A380">
            <v>35009</v>
          </cell>
          <cell r="B380" t="str">
            <v>英国</v>
          </cell>
          <cell r="C380" t="str">
            <v>乳制品</v>
          </cell>
          <cell r="D380">
            <v>1375</v>
          </cell>
        </row>
        <row r="381">
          <cell r="A381">
            <v>35009</v>
          </cell>
          <cell r="B381" t="str">
            <v>英国</v>
          </cell>
          <cell r="C381" t="str">
            <v>饮料</v>
          </cell>
          <cell r="D381">
            <v>750</v>
          </cell>
        </row>
        <row r="382">
          <cell r="A382">
            <v>35011</v>
          </cell>
          <cell r="B382" t="str">
            <v>法国</v>
          </cell>
          <cell r="C382" t="str">
            <v>肉/家禽</v>
          </cell>
          <cell r="D382">
            <v>780</v>
          </cell>
        </row>
        <row r="383">
          <cell r="A383">
            <v>35011</v>
          </cell>
          <cell r="B383" t="str">
            <v>法国</v>
          </cell>
          <cell r="C383" t="str">
            <v>海洋食品</v>
          </cell>
          <cell r="D383">
            <v>216</v>
          </cell>
        </row>
        <row r="384">
          <cell r="A384">
            <v>35012</v>
          </cell>
          <cell r="B384" t="str">
            <v>英国</v>
          </cell>
          <cell r="C384" t="str">
            <v>糖果</v>
          </cell>
          <cell r="D384">
            <v>114</v>
          </cell>
        </row>
        <row r="385">
          <cell r="A385">
            <v>35013</v>
          </cell>
          <cell r="B385" t="str">
            <v>法国</v>
          </cell>
          <cell r="C385" t="str">
            <v>饮料</v>
          </cell>
          <cell r="D385">
            <v>71.999999731779099</v>
          </cell>
        </row>
        <row r="386">
          <cell r="A386">
            <v>35013</v>
          </cell>
          <cell r="B386" t="str">
            <v>法国</v>
          </cell>
          <cell r="C386" t="str">
            <v>饮料</v>
          </cell>
          <cell r="D386">
            <v>134.39999949932098</v>
          </cell>
        </row>
        <row r="387">
          <cell r="A387">
            <v>35013</v>
          </cell>
          <cell r="B387" t="str">
            <v>法国</v>
          </cell>
          <cell r="C387" t="str">
            <v>糖果</v>
          </cell>
          <cell r="D387">
            <v>399.99999850988388</v>
          </cell>
        </row>
        <row r="388">
          <cell r="A388">
            <v>35013</v>
          </cell>
          <cell r="B388" t="str">
            <v>法国</v>
          </cell>
          <cell r="C388" t="str">
            <v>乳制品</v>
          </cell>
          <cell r="D388">
            <v>1031.9999961555004</v>
          </cell>
        </row>
        <row r="389">
          <cell r="A389">
            <v>35019</v>
          </cell>
          <cell r="B389" t="str">
            <v>法国</v>
          </cell>
          <cell r="C389" t="str">
            <v>糖果</v>
          </cell>
          <cell r="D389">
            <v>349</v>
          </cell>
        </row>
        <row r="390">
          <cell r="A390">
            <v>35019</v>
          </cell>
          <cell r="B390" t="str">
            <v>法国</v>
          </cell>
          <cell r="C390" t="str">
            <v>饮料</v>
          </cell>
          <cell r="D390">
            <v>1104</v>
          </cell>
        </row>
        <row r="391">
          <cell r="A391">
            <v>35019</v>
          </cell>
          <cell r="B391" t="str">
            <v>法国</v>
          </cell>
          <cell r="C391" t="str">
            <v>乳制品</v>
          </cell>
          <cell r="D391">
            <v>440</v>
          </cell>
        </row>
        <row r="392">
          <cell r="A392">
            <v>35020</v>
          </cell>
          <cell r="B392" t="str">
            <v>法国</v>
          </cell>
          <cell r="C392" t="str">
            <v>香料</v>
          </cell>
          <cell r="D392">
            <v>85.4</v>
          </cell>
        </row>
        <row r="393">
          <cell r="A393">
            <v>35020</v>
          </cell>
          <cell r="B393" t="str">
            <v>法国</v>
          </cell>
          <cell r="C393" t="str">
            <v>海洋食品</v>
          </cell>
          <cell r="D393">
            <v>95</v>
          </cell>
        </row>
        <row r="394">
          <cell r="A394">
            <v>35024</v>
          </cell>
          <cell r="B394" t="str">
            <v>法国</v>
          </cell>
          <cell r="C394" t="str">
            <v>糖果</v>
          </cell>
          <cell r="D394">
            <v>110.4</v>
          </cell>
        </row>
        <row r="395">
          <cell r="A395">
            <v>35024</v>
          </cell>
          <cell r="B395" t="str">
            <v>法国</v>
          </cell>
          <cell r="C395" t="str">
            <v>海洋食品</v>
          </cell>
          <cell r="D395">
            <v>405.3</v>
          </cell>
        </row>
        <row r="396">
          <cell r="A396">
            <v>35024</v>
          </cell>
          <cell r="B396" t="str">
            <v>法国</v>
          </cell>
          <cell r="C396" t="str">
            <v>肉/家禽</v>
          </cell>
          <cell r="D396">
            <v>3936</v>
          </cell>
        </row>
        <row r="397">
          <cell r="A397">
            <v>35025</v>
          </cell>
          <cell r="B397" t="str">
            <v>法国</v>
          </cell>
          <cell r="C397" t="str">
            <v>海洋食品</v>
          </cell>
          <cell r="D397">
            <v>558</v>
          </cell>
        </row>
        <row r="398">
          <cell r="A398">
            <v>35025</v>
          </cell>
          <cell r="B398" t="str">
            <v>法国</v>
          </cell>
          <cell r="C398" t="str">
            <v>糖果</v>
          </cell>
          <cell r="D398">
            <v>936.9</v>
          </cell>
        </row>
        <row r="399">
          <cell r="A399">
            <v>35025</v>
          </cell>
          <cell r="B399" t="str">
            <v>法国</v>
          </cell>
          <cell r="C399" t="str">
            <v>海洋食品</v>
          </cell>
          <cell r="D399">
            <v>1045</v>
          </cell>
        </row>
        <row r="400">
          <cell r="A400">
            <v>35025</v>
          </cell>
          <cell r="B400" t="str">
            <v>法国</v>
          </cell>
          <cell r="C400" t="str">
            <v>海洋食品</v>
          </cell>
          <cell r="D400">
            <v>288</v>
          </cell>
        </row>
        <row r="401">
          <cell r="A401">
            <v>35025</v>
          </cell>
          <cell r="B401" t="str">
            <v>法国</v>
          </cell>
          <cell r="C401" t="str">
            <v>饮料</v>
          </cell>
          <cell r="D401">
            <v>427.5</v>
          </cell>
        </row>
        <row r="402">
          <cell r="A402">
            <v>35025</v>
          </cell>
          <cell r="B402" t="str">
            <v>法国</v>
          </cell>
          <cell r="C402" t="str">
            <v>肉/家禽</v>
          </cell>
          <cell r="D402">
            <v>789.75</v>
          </cell>
        </row>
        <row r="403">
          <cell r="A403">
            <v>35025</v>
          </cell>
          <cell r="B403" t="str">
            <v>法国</v>
          </cell>
          <cell r="C403" t="str">
            <v>糖果</v>
          </cell>
          <cell r="D403">
            <v>356.25</v>
          </cell>
        </row>
        <row r="404">
          <cell r="A404">
            <v>35025</v>
          </cell>
          <cell r="B404" t="str">
            <v>法国</v>
          </cell>
          <cell r="C404" t="str">
            <v>面食/谷类</v>
          </cell>
          <cell r="D404">
            <v>513</v>
          </cell>
        </row>
        <row r="405">
          <cell r="A405">
            <v>35025</v>
          </cell>
          <cell r="B405" t="str">
            <v>法国</v>
          </cell>
          <cell r="C405" t="str">
            <v>海洋食品</v>
          </cell>
          <cell r="D405">
            <v>119.25</v>
          </cell>
        </row>
        <row r="406">
          <cell r="A406">
            <v>35027</v>
          </cell>
          <cell r="B406" t="str">
            <v>英国</v>
          </cell>
          <cell r="C406" t="str">
            <v>糖果</v>
          </cell>
          <cell r="D406">
            <v>303.99999976158142</v>
          </cell>
        </row>
        <row r="407">
          <cell r="A407">
            <v>35027</v>
          </cell>
          <cell r="B407" t="str">
            <v>英国</v>
          </cell>
          <cell r="C407" t="str">
            <v>肉/家禽</v>
          </cell>
          <cell r="D407">
            <v>111.75</v>
          </cell>
        </row>
        <row r="408">
          <cell r="A408">
            <v>35027</v>
          </cell>
          <cell r="B408" t="str">
            <v>英国</v>
          </cell>
          <cell r="C408" t="str">
            <v>乳制品</v>
          </cell>
          <cell r="D408">
            <v>854.99999932944775</v>
          </cell>
        </row>
        <row r="409">
          <cell r="A409">
            <v>35030</v>
          </cell>
          <cell r="B409" t="str">
            <v>英国</v>
          </cell>
          <cell r="C409" t="str">
            <v>乳制品</v>
          </cell>
          <cell r="D409">
            <v>1368</v>
          </cell>
        </row>
        <row r="410">
          <cell r="A410">
            <v>35030</v>
          </cell>
          <cell r="B410" t="str">
            <v>英国</v>
          </cell>
          <cell r="C410" t="str">
            <v>糖果</v>
          </cell>
          <cell r="D410">
            <v>349</v>
          </cell>
        </row>
        <row r="411">
          <cell r="A411">
            <v>35030</v>
          </cell>
          <cell r="B411" t="str">
            <v>英国</v>
          </cell>
          <cell r="C411" t="str">
            <v>海洋食品</v>
          </cell>
          <cell r="D411">
            <v>760</v>
          </cell>
        </row>
        <row r="412">
          <cell r="A412">
            <v>35030</v>
          </cell>
          <cell r="B412" t="str">
            <v>英国</v>
          </cell>
          <cell r="C412" t="str">
            <v>糖果</v>
          </cell>
          <cell r="D412">
            <v>986</v>
          </cell>
        </row>
        <row r="413">
          <cell r="A413">
            <v>35030</v>
          </cell>
          <cell r="B413" t="str">
            <v>法国</v>
          </cell>
          <cell r="C413" t="str">
            <v>海洋食品</v>
          </cell>
          <cell r="D413">
            <v>562.5</v>
          </cell>
        </row>
        <row r="414">
          <cell r="A414">
            <v>35030</v>
          </cell>
          <cell r="B414" t="str">
            <v>法国</v>
          </cell>
          <cell r="C414" t="str">
            <v>海洋食品</v>
          </cell>
          <cell r="D414">
            <v>58.252499999999998</v>
          </cell>
        </row>
        <row r="415">
          <cell r="A415">
            <v>35030</v>
          </cell>
          <cell r="B415" t="str">
            <v>法国</v>
          </cell>
          <cell r="C415" t="str">
            <v>肉/家禽</v>
          </cell>
          <cell r="D415">
            <v>223.5</v>
          </cell>
        </row>
        <row r="416">
          <cell r="A416">
            <v>35032</v>
          </cell>
          <cell r="B416" t="str">
            <v>英国</v>
          </cell>
          <cell r="C416" t="str">
            <v>香料</v>
          </cell>
          <cell r="D416">
            <v>923.87499927543104</v>
          </cell>
        </row>
        <row r="417">
          <cell r="A417">
            <v>35032</v>
          </cell>
          <cell r="B417" t="str">
            <v>法国</v>
          </cell>
          <cell r="C417" t="str">
            <v>饮料</v>
          </cell>
          <cell r="D417">
            <v>57</v>
          </cell>
        </row>
        <row r="418">
          <cell r="A418">
            <v>35032</v>
          </cell>
          <cell r="B418" t="str">
            <v>法国</v>
          </cell>
          <cell r="C418" t="str">
            <v>乳制品</v>
          </cell>
          <cell r="D418">
            <v>625</v>
          </cell>
        </row>
        <row r="419">
          <cell r="A419">
            <v>35032</v>
          </cell>
          <cell r="B419" t="str">
            <v>法国</v>
          </cell>
          <cell r="C419" t="str">
            <v>糖果</v>
          </cell>
          <cell r="D419">
            <v>562.5</v>
          </cell>
        </row>
        <row r="420">
          <cell r="A420">
            <v>35032</v>
          </cell>
          <cell r="B420" t="str">
            <v>法国</v>
          </cell>
          <cell r="C420" t="str">
            <v>饮料</v>
          </cell>
          <cell r="D420">
            <v>325.5</v>
          </cell>
        </row>
        <row r="421">
          <cell r="A421">
            <v>35033</v>
          </cell>
          <cell r="B421" t="str">
            <v>法国</v>
          </cell>
          <cell r="C421" t="str">
            <v>糖果</v>
          </cell>
          <cell r="D421">
            <v>468.45</v>
          </cell>
        </row>
        <row r="422">
          <cell r="A422">
            <v>35044</v>
          </cell>
          <cell r="B422" t="str">
            <v>法国</v>
          </cell>
          <cell r="C422" t="str">
            <v>香料</v>
          </cell>
          <cell r="D422">
            <v>512.99999915063381</v>
          </cell>
        </row>
        <row r="423">
          <cell r="A423">
            <v>35044</v>
          </cell>
          <cell r="B423" t="str">
            <v>法国</v>
          </cell>
          <cell r="C423" t="str">
            <v>香料</v>
          </cell>
          <cell r="D423">
            <v>23.399999961256981</v>
          </cell>
        </row>
        <row r="424">
          <cell r="A424">
            <v>35047</v>
          </cell>
          <cell r="B424" t="str">
            <v>法国</v>
          </cell>
          <cell r="C424" t="str">
            <v>农产品</v>
          </cell>
          <cell r="D424">
            <v>182.39999932050705</v>
          </cell>
        </row>
        <row r="425">
          <cell r="A425">
            <v>35047</v>
          </cell>
          <cell r="B425" t="str">
            <v>法国</v>
          </cell>
          <cell r="C425" t="str">
            <v>饮料</v>
          </cell>
          <cell r="D425">
            <v>503.99999812245369</v>
          </cell>
        </row>
        <row r="426">
          <cell r="A426">
            <v>35047</v>
          </cell>
          <cell r="B426" t="str">
            <v>法国</v>
          </cell>
          <cell r="C426" t="str">
            <v>海洋食品</v>
          </cell>
          <cell r="D426">
            <v>303.99999886751175</v>
          </cell>
        </row>
        <row r="427">
          <cell r="A427">
            <v>35047</v>
          </cell>
          <cell r="B427" t="str">
            <v>法国</v>
          </cell>
          <cell r="C427" t="str">
            <v>面食/谷类</v>
          </cell>
          <cell r="D427">
            <v>425.59999841451645</v>
          </cell>
        </row>
        <row r="428">
          <cell r="A428">
            <v>35052</v>
          </cell>
          <cell r="B428" t="str">
            <v>英国</v>
          </cell>
          <cell r="C428" t="str">
            <v>海洋食品</v>
          </cell>
          <cell r="D428">
            <v>1500</v>
          </cell>
        </row>
        <row r="429">
          <cell r="A429">
            <v>35052</v>
          </cell>
          <cell r="B429" t="str">
            <v>英国</v>
          </cell>
          <cell r="C429" t="str">
            <v>香料</v>
          </cell>
          <cell r="D429">
            <v>311.2</v>
          </cell>
        </row>
        <row r="430">
          <cell r="A430">
            <v>35052</v>
          </cell>
          <cell r="B430" t="str">
            <v>英国</v>
          </cell>
          <cell r="C430" t="str">
            <v>乳制品</v>
          </cell>
          <cell r="D430">
            <v>2475</v>
          </cell>
        </row>
        <row r="431">
          <cell r="A431">
            <v>35052</v>
          </cell>
          <cell r="B431" t="str">
            <v>英国</v>
          </cell>
          <cell r="C431" t="str">
            <v>乳制品</v>
          </cell>
          <cell r="D431">
            <v>243.6</v>
          </cell>
        </row>
        <row r="432">
          <cell r="A432">
            <v>35054</v>
          </cell>
          <cell r="B432" t="str">
            <v>法国</v>
          </cell>
          <cell r="C432" t="str">
            <v>面食/谷类</v>
          </cell>
          <cell r="D432">
            <v>396</v>
          </cell>
        </row>
        <row r="433">
          <cell r="A433">
            <v>35054</v>
          </cell>
          <cell r="B433" t="str">
            <v>法国</v>
          </cell>
          <cell r="C433" t="str">
            <v>海洋食品</v>
          </cell>
          <cell r="D433">
            <v>736</v>
          </cell>
        </row>
        <row r="434">
          <cell r="A434">
            <v>35054</v>
          </cell>
          <cell r="B434" t="str">
            <v>法国</v>
          </cell>
          <cell r="C434" t="str">
            <v>面食/谷类</v>
          </cell>
          <cell r="D434">
            <v>1064</v>
          </cell>
        </row>
        <row r="435">
          <cell r="A435">
            <v>35061</v>
          </cell>
          <cell r="B435" t="str">
            <v>法国</v>
          </cell>
          <cell r="C435" t="str">
            <v>海洋食品</v>
          </cell>
          <cell r="D435">
            <v>1049.9999960884452</v>
          </cell>
        </row>
        <row r="436">
          <cell r="A436">
            <v>35061</v>
          </cell>
          <cell r="B436" t="str">
            <v>法国</v>
          </cell>
          <cell r="C436" t="str">
            <v>海洋食品</v>
          </cell>
          <cell r="D436">
            <v>303.99999886751175</v>
          </cell>
        </row>
        <row r="437">
          <cell r="A437">
            <v>35061</v>
          </cell>
          <cell r="B437" t="str">
            <v>法国</v>
          </cell>
          <cell r="C437" t="str">
            <v>糖果</v>
          </cell>
          <cell r="D437">
            <v>59.999999776482582</v>
          </cell>
        </row>
        <row r="438">
          <cell r="A438">
            <v>35061</v>
          </cell>
          <cell r="B438" t="str">
            <v>法国</v>
          </cell>
          <cell r="C438" t="str">
            <v>乳制品</v>
          </cell>
          <cell r="D438">
            <v>575.99999785423279</v>
          </cell>
        </row>
        <row r="439">
          <cell r="A439">
            <v>35061</v>
          </cell>
          <cell r="B439" t="str">
            <v>法国</v>
          </cell>
          <cell r="C439" t="str">
            <v>饮料</v>
          </cell>
          <cell r="D439">
            <v>420</v>
          </cell>
        </row>
        <row r="440">
          <cell r="A440">
            <v>35061</v>
          </cell>
          <cell r="B440" t="str">
            <v>法国</v>
          </cell>
          <cell r="C440" t="str">
            <v>乳制品</v>
          </cell>
          <cell r="D440">
            <v>385</v>
          </cell>
        </row>
        <row r="441">
          <cell r="A441">
            <v>35061</v>
          </cell>
          <cell r="B441" t="str">
            <v>法国</v>
          </cell>
          <cell r="C441" t="str">
            <v>糖果</v>
          </cell>
          <cell r="D441">
            <v>1479</v>
          </cell>
        </row>
        <row r="442">
          <cell r="A442">
            <v>35061</v>
          </cell>
          <cell r="B442" t="str">
            <v>法国</v>
          </cell>
          <cell r="C442" t="str">
            <v>面食/谷类</v>
          </cell>
          <cell r="D442">
            <v>798</v>
          </cell>
        </row>
        <row r="443">
          <cell r="A443">
            <v>35066</v>
          </cell>
          <cell r="B443" t="str">
            <v>法国</v>
          </cell>
          <cell r="C443" t="str">
            <v>糖果</v>
          </cell>
          <cell r="D443">
            <v>367.5</v>
          </cell>
        </row>
        <row r="444">
          <cell r="A444">
            <v>35066</v>
          </cell>
          <cell r="B444" t="str">
            <v>法国</v>
          </cell>
          <cell r="C444" t="str">
            <v>饮料</v>
          </cell>
          <cell r="D444">
            <v>139.5</v>
          </cell>
        </row>
        <row r="445">
          <cell r="A445">
            <v>35068</v>
          </cell>
          <cell r="B445" t="str">
            <v>英国</v>
          </cell>
          <cell r="C445" t="str">
            <v>香料</v>
          </cell>
          <cell r="D445">
            <v>1515.5999974906445</v>
          </cell>
        </row>
        <row r="446">
          <cell r="A446">
            <v>35069</v>
          </cell>
          <cell r="B446" t="str">
            <v>英国</v>
          </cell>
          <cell r="C446" t="str">
            <v>饮料</v>
          </cell>
          <cell r="D446">
            <v>760</v>
          </cell>
        </row>
        <row r="447">
          <cell r="A447">
            <v>35069</v>
          </cell>
          <cell r="B447" t="str">
            <v>英国</v>
          </cell>
          <cell r="C447" t="str">
            <v>农产品</v>
          </cell>
          <cell r="D447">
            <v>1050</v>
          </cell>
        </row>
        <row r="448">
          <cell r="A448">
            <v>35069</v>
          </cell>
          <cell r="B448" t="str">
            <v>英国</v>
          </cell>
          <cell r="C448" t="str">
            <v>糖果</v>
          </cell>
          <cell r="D448">
            <v>500</v>
          </cell>
        </row>
        <row r="449">
          <cell r="A449">
            <v>35074</v>
          </cell>
          <cell r="B449" t="str">
            <v>英国</v>
          </cell>
          <cell r="C449" t="str">
            <v>肉/家禽</v>
          </cell>
          <cell r="D449">
            <v>2228.2199999999998</v>
          </cell>
        </row>
        <row r="450">
          <cell r="A450">
            <v>35074</v>
          </cell>
          <cell r="B450" t="str">
            <v>英国</v>
          </cell>
          <cell r="C450" t="str">
            <v>乳制品</v>
          </cell>
          <cell r="D450">
            <v>1375</v>
          </cell>
        </row>
        <row r="451">
          <cell r="A451">
            <v>35076</v>
          </cell>
          <cell r="B451" t="str">
            <v>法国</v>
          </cell>
          <cell r="C451" t="str">
            <v>海洋食品</v>
          </cell>
          <cell r="D451">
            <v>186</v>
          </cell>
        </row>
        <row r="452">
          <cell r="A452">
            <v>35076</v>
          </cell>
          <cell r="B452" t="str">
            <v>法国</v>
          </cell>
          <cell r="C452" t="str">
            <v>饮料</v>
          </cell>
          <cell r="D452">
            <v>42</v>
          </cell>
        </row>
        <row r="453">
          <cell r="A453">
            <v>35080</v>
          </cell>
          <cell r="B453" t="str">
            <v>英国</v>
          </cell>
          <cell r="C453" t="str">
            <v>糖果</v>
          </cell>
          <cell r="D453">
            <v>349</v>
          </cell>
        </row>
        <row r="454">
          <cell r="A454">
            <v>35080</v>
          </cell>
          <cell r="B454" t="str">
            <v>英国</v>
          </cell>
          <cell r="C454" t="str">
            <v>糖果</v>
          </cell>
          <cell r="D454">
            <v>986</v>
          </cell>
        </row>
        <row r="455">
          <cell r="A455">
            <v>35086</v>
          </cell>
          <cell r="B455" t="str">
            <v>英国</v>
          </cell>
          <cell r="C455" t="str">
            <v>糖果</v>
          </cell>
          <cell r="D455">
            <v>436.99999965727329</v>
          </cell>
        </row>
        <row r="456">
          <cell r="A456">
            <v>35086</v>
          </cell>
          <cell r="B456" t="str">
            <v>英国</v>
          </cell>
          <cell r="C456" t="str">
            <v>饮料</v>
          </cell>
          <cell r="D456">
            <v>294.499999769032</v>
          </cell>
        </row>
        <row r="457">
          <cell r="A457">
            <v>35087</v>
          </cell>
          <cell r="B457" t="str">
            <v>英国</v>
          </cell>
          <cell r="C457" t="str">
            <v>肉/家禽</v>
          </cell>
          <cell r="D457">
            <v>1646.4069987087696</v>
          </cell>
        </row>
        <row r="458">
          <cell r="A458">
            <v>35087</v>
          </cell>
          <cell r="B458" t="str">
            <v>英国</v>
          </cell>
          <cell r="C458" t="str">
            <v>海洋食品</v>
          </cell>
          <cell r="D458">
            <v>183.34999985620379</v>
          </cell>
        </row>
        <row r="459">
          <cell r="A459">
            <v>35089</v>
          </cell>
          <cell r="B459" t="str">
            <v>英国</v>
          </cell>
          <cell r="C459" t="str">
            <v>乳制品</v>
          </cell>
          <cell r="D459">
            <v>420</v>
          </cell>
        </row>
        <row r="460">
          <cell r="A460">
            <v>35090</v>
          </cell>
          <cell r="B460" t="str">
            <v>英国</v>
          </cell>
          <cell r="C460" t="str">
            <v>海洋食品</v>
          </cell>
          <cell r="D460">
            <v>101.99999928474426</v>
          </cell>
        </row>
        <row r="461">
          <cell r="A461">
            <v>35090</v>
          </cell>
          <cell r="B461" t="str">
            <v>英国</v>
          </cell>
          <cell r="C461" t="str">
            <v>饮料</v>
          </cell>
          <cell r="D461">
            <v>76.499999463558197</v>
          </cell>
        </row>
        <row r="462">
          <cell r="A462">
            <v>35090</v>
          </cell>
          <cell r="B462" t="str">
            <v>英国</v>
          </cell>
          <cell r="C462" t="str">
            <v>乳制品</v>
          </cell>
          <cell r="D462">
            <v>1375</v>
          </cell>
        </row>
        <row r="463">
          <cell r="A463">
            <v>35094</v>
          </cell>
          <cell r="B463" t="str">
            <v>法国</v>
          </cell>
          <cell r="C463" t="str">
            <v>饮料</v>
          </cell>
          <cell r="D463">
            <v>140</v>
          </cell>
        </row>
        <row r="464">
          <cell r="A464">
            <v>35094</v>
          </cell>
          <cell r="B464" t="str">
            <v>法国</v>
          </cell>
          <cell r="C464" t="str">
            <v>饮料</v>
          </cell>
          <cell r="D464">
            <v>2635</v>
          </cell>
        </row>
        <row r="465">
          <cell r="A465">
            <v>35096</v>
          </cell>
          <cell r="B465" t="str">
            <v>法国</v>
          </cell>
          <cell r="C465" t="str">
            <v>面食/谷类</v>
          </cell>
          <cell r="D465">
            <v>645.999995470047</v>
          </cell>
        </row>
        <row r="466">
          <cell r="A466">
            <v>35096</v>
          </cell>
          <cell r="B466" t="str">
            <v>法国</v>
          </cell>
          <cell r="C466" t="str">
            <v>饮料</v>
          </cell>
          <cell r="D466">
            <v>764.99999463558197</v>
          </cell>
        </row>
        <row r="467">
          <cell r="A467">
            <v>35100</v>
          </cell>
          <cell r="B467" t="str">
            <v>法国</v>
          </cell>
          <cell r="C467" t="str">
            <v>乳制品</v>
          </cell>
          <cell r="D467">
            <v>40</v>
          </cell>
        </row>
        <row r="468">
          <cell r="A468">
            <v>35101</v>
          </cell>
          <cell r="B468" t="str">
            <v>法国</v>
          </cell>
          <cell r="C468" t="str">
            <v>饮料</v>
          </cell>
          <cell r="D468">
            <v>7509.749994110316</v>
          </cell>
        </row>
        <row r="469">
          <cell r="A469">
            <v>35101</v>
          </cell>
          <cell r="B469" t="str">
            <v>法国</v>
          </cell>
          <cell r="C469" t="str">
            <v>糖果</v>
          </cell>
          <cell r="D469">
            <v>936.69999926537275</v>
          </cell>
        </row>
        <row r="470">
          <cell r="A470">
            <v>35101</v>
          </cell>
          <cell r="B470" t="str">
            <v>英国</v>
          </cell>
          <cell r="C470" t="str">
            <v>糖果</v>
          </cell>
          <cell r="D470">
            <v>1061.8199925541878</v>
          </cell>
        </row>
        <row r="471">
          <cell r="A471">
            <v>35101</v>
          </cell>
          <cell r="B471" t="str">
            <v>英国</v>
          </cell>
          <cell r="C471" t="str">
            <v>饮料</v>
          </cell>
          <cell r="D471">
            <v>7905</v>
          </cell>
        </row>
        <row r="472">
          <cell r="A472">
            <v>35101</v>
          </cell>
          <cell r="B472" t="str">
            <v>英国</v>
          </cell>
          <cell r="C472" t="str">
            <v>海洋食品</v>
          </cell>
          <cell r="D472">
            <v>938.39999341964722</v>
          </cell>
        </row>
        <row r="473">
          <cell r="A473">
            <v>35101</v>
          </cell>
          <cell r="B473" t="str">
            <v>英国</v>
          </cell>
          <cell r="C473" t="str">
            <v>糖果</v>
          </cell>
          <cell r="D473">
            <v>1047.6249926537275</v>
          </cell>
        </row>
        <row r="474">
          <cell r="A474">
            <v>35102</v>
          </cell>
          <cell r="B474" t="str">
            <v>法国</v>
          </cell>
          <cell r="C474" t="str">
            <v>面食/谷类</v>
          </cell>
          <cell r="D474">
            <v>1140</v>
          </cell>
        </row>
        <row r="475">
          <cell r="A475">
            <v>35103</v>
          </cell>
          <cell r="B475" t="str">
            <v>法国</v>
          </cell>
          <cell r="C475" t="str">
            <v>饮料</v>
          </cell>
          <cell r="D475">
            <v>360</v>
          </cell>
        </row>
        <row r="476">
          <cell r="A476">
            <v>35103</v>
          </cell>
          <cell r="B476" t="str">
            <v>法国</v>
          </cell>
          <cell r="C476" t="str">
            <v>农产品</v>
          </cell>
          <cell r="D476">
            <v>318</v>
          </cell>
        </row>
        <row r="477">
          <cell r="A477">
            <v>35103</v>
          </cell>
          <cell r="B477" t="str">
            <v>法国</v>
          </cell>
          <cell r="C477" t="str">
            <v>糖果</v>
          </cell>
          <cell r="D477">
            <v>147.9</v>
          </cell>
        </row>
        <row r="478">
          <cell r="A478">
            <v>35103</v>
          </cell>
          <cell r="B478" t="str">
            <v>法国</v>
          </cell>
          <cell r="C478" t="str">
            <v>饮料</v>
          </cell>
          <cell r="D478">
            <v>90</v>
          </cell>
        </row>
        <row r="479">
          <cell r="A479">
            <v>35104</v>
          </cell>
          <cell r="B479" t="str">
            <v>英国</v>
          </cell>
          <cell r="C479" t="str">
            <v>糖果</v>
          </cell>
          <cell r="D479">
            <v>374.76</v>
          </cell>
        </row>
        <row r="480">
          <cell r="A480">
            <v>35104</v>
          </cell>
          <cell r="B480" t="str">
            <v>英国</v>
          </cell>
          <cell r="C480" t="str">
            <v>肉/家禽</v>
          </cell>
          <cell r="D480">
            <v>656</v>
          </cell>
        </row>
        <row r="481">
          <cell r="A481">
            <v>35110</v>
          </cell>
          <cell r="B481" t="str">
            <v>英国</v>
          </cell>
          <cell r="C481" t="str">
            <v>农产品</v>
          </cell>
          <cell r="D481">
            <v>539.99999910593033</v>
          </cell>
        </row>
        <row r="482">
          <cell r="A482">
            <v>35110</v>
          </cell>
          <cell r="B482" t="str">
            <v>英国</v>
          </cell>
          <cell r="C482" t="str">
            <v>乳制品</v>
          </cell>
          <cell r="D482">
            <v>101.24999983236194</v>
          </cell>
        </row>
        <row r="483">
          <cell r="A483">
            <v>35110</v>
          </cell>
          <cell r="B483" t="str">
            <v>英国</v>
          </cell>
          <cell r="C483" t="str">
            <v>肉/家禽</v>
          </cell>
          <cell r="D483">
            <v>265.67999956011772</v>
          </cell>
        </row>
        <row r="484">
          <cell r="A484">
            <v>35116</v>
          </cell>
          <cell r="B484" t="str">
            <v>英国</v>
          </cell>
          <cell r="C484" t="str">
            <v>面食/谷类</v>
          </cell>
          <cell r="D484">
            <v>566.99999906122684</v>
          </cell>
        </row>
        <row r="485">
          <cell r="A485">
            <v>35116</v>
          </cell>
          <cell r="B485" t="str">
            <v>英国</v>
          </cell>
          <cell r="C485" t="str">
            <v>饮料</v>
          </cell>
          <cell r="D485">
            <v>404.99999932944775</v>
          </cell>
        </row>
        <row r="486">
          <cell r="A486">
            <v>35116</v>
          </cell>
          <cell r="B486" t="str">
            <v>英国</v>
          </cell>
          <cell r="C486" t="str">
            <v>面食/谷类</v>
          </cell>
          <cell r="D486">
            <v>529.19999912381172</v>
          </cell>
        </row>
        <row r="487">
          <cell r="A487">
            <v>35116</v>
          </cell>
          <cell r="B487" t="str">
            <v>英国</v>
          </cell>
          <cell r="C487" t="str">
            <v>海洋食品</v>
          </cell>
          <cell r="D487">
            <v>715.49999881535769</v>
          </cell>
        </row>
        <row r="488">
          <cell r="A488">
            <v>35116</v>
          </cell>
          <cell r="B488" t="str">
            <v>英国</v>
          </cell>
          <cell r="C488" t="str">
            <v>面食/谷类</v>
          </cell>
          <cell r="D488">
            <v>1596</v>
          </cell>
        </row>
        <row r="489">
          <cell r="A489">
            <v>35117</v>
          </cell>
          <cell r="B489" t="str">
            <v>法国</v>
          </cell>
          <cell r="C489" t="str">
            <v>饮料</v>
          </cell>
          <cell r="D489">
            <v>1151.9999957084656</v>
          </cell>
        </row>
        <row r="490">
          <cell r="A490">
            <v>35117</v>
          </cell>
          <cell r="B490" t="str">
            <v>法国</v>
          </cell>
          <cell r="C490" t="str">
            <v>糖果</v>
          </cell>
          <cell r="D490">
            <v>88.319999670982369</v>
          </cell>
        </row>
        <row r="491">
          <cell r="A491">
            <v>35117</v>
          </cell>
          <cell r="B491" t="str">
            <v>法国</v>
          </cell>
          <cell r="C491" t="str">
            <v>海洋食品</v>
          </cell>
          <cell r="D491">
            <v>1247.9999953508377</v>
          </cell>
        </row>
        <row r="492">
          <cell r="A492">
            <v>35117</v>
          </cell>
          <cell r="B492" t="str">
            <v>法国</v>
          </cell>
          <cell r="C492" t="str">
            <v>海洋食品</v>
          </cell>
          <cell r="D492">
            <v>273.59999898076057</v>
          </cell>
        </row>
        <row r="493">
          <cell r="A493">
            <v>35117</v>
          </cell>
          <cell r="B493" t="str">
            <v>法国</v>
          </cell>
          <cell r="C493" t="str">
            <v>乳制品</v>
          </cell>
          <cell r="D493">
            <v>1223.9999954402447</v>
          </cell>
        </row>
        <row r="494">
          <cell r="A494">
            <v>35117</v>
          </cell>
          <cell r="B494" t="str">
            <v>法国</v>
          </cell>
          <cell r="C494" t="str">
            <v>乳制品</v>
          </cell>
          <cell r="D494">
            <v>945.99999647587538</v>
          </cell>
        </row>
        <row r="495">
          <cell r="A495">
            <v>35118</v>
          </cell>
          <cell r="B495" t="str">
            <v>英国</v>
          </cell>
          <cell r="C495" t="str">
            <v>香料</v>
          </cell>
          <cell r="D495">
            <v>490</v>
          </cell>
        </row>
        <row r="496">
          <cell r="A496">
            <v>35118</v>
          </cell>
          <cell r="B496" t="str">
            <v>英国</v>
          </cell>
          <cell r="C496" t="str">
            <v>糖果</v>
          </cell>
          <cell r="D496">
            <v>477.81899664938447</v>
          </cell>
        </row>
        <row r="497">
          <cell r="A497">
            <v>35121</v>
          </cell>
          <cell r="B497" t="str">
            <v>法国</v>
          </cell>
          <cell r="C497" t="str">
            <v>饮料</v>
          </cell>
          <cell r="D497">
            <v>285</v>
          </cell>
        </row>
        <row r="498">
          <cell r="A498">
            <v>35121</v>
          </cell>
          <cell r="B498" t="str">
            <v>法国</v>
          </cell>
          <cell r="C498" t="str">
            <v>肉/家禽</v>
          </cell>
          <cell r="D498">
            <v>234</v>
          </cell>
        </row>
        <row r="499">
          <cell r="A499">
            <v>35121</v>
          </cell>
          <cell r="B499" t="str">
            <v>法国</v>
          </cell>
          <cell r="C499" t="str">
            <v>糖果</v>
          </cell>
          <cell r="D499">
            <v>2465</v>
          </cell>
        </row>
        <row r="500">
          <cell r="A500">
            <v>35122</v>
          </cell>
          <cell r="B500" t="str">
            <v>英国</v>
          </cell>
          <cell r="C500" t="str">
            <v>海洋食品</v>
          </cell>
          <cell r="D500">
            <v>625</v>
          </cell>
        </row>
        <row r="501">
          <cell r="A501">
            <v>35122</v>
          </cell>
          <cell r="B501" t="str">
            <v>法国</v>
          </cell>
          <cell r="C501" t="str">
            <v>糖果</v>
          </cell>
          <cell r="D501">
            <v>872.5</v>
          </cell>
        </row>
        <row r="502">
          <cell r="A502">
            <v>35122</v>
          </cell>
          <cell r="B502" t="str">
            <v>法国</v>
          </cell>
          <cell r="C502" t="str">
            <v>乳制品</v>
          </cell>
          <cell r="D502">
            <v>175</v>
          </cell>
        </row>
        <row r="503">
          <cell r="A503">
            <v>35122</v>
          </cell>
          <cell r="B503" t="str">
            <v>法国</v>
          </cell>
          <cell r="C503" t="str">
            <v>面食/谷类</v>
          </cell>
          <cell r="D503">
            <v>912</v>
          </cell>
        </row>
        <row r="504">
          <cell r="A504">
            <v>35122</v>
          </cell>
          <cell r="B504" t="str">
            <v>法国</v>
          </cell>
          <cell r="C504" t="str">
            <v>香料</v>
          </cell>
          <cell r="D504">
            <v>268.38749811798334</v>
          </cell>
        </row>
        <row r="505">
          <cell r="A505">
            <v>35124</v>
          </cell>
          <cell r="B505" t="str">
            <v>英国</v>
          </cell>
          <cell r="C505" t="str">
            <v>饮料</v>
          </cell>
          <cell r="D505">
            <v>135</v>
          </cell>
        </row>
        <row r="506">
          <cell r="A506">
            <v>35124</v>
          </cell>
          <cell r="B506" t="str">
            <v>英国</v>
          </cell>
          <cell r="C506" t="str">
            <v>肉/家禽</v>
          </cell>
          <cell r="D506">
            <v>195.5625</v>
          </cell>
        </row>
        <row r="507">
          <cell r="A507">
            <v>35124</v>
          </cell>
          <cell r="B507" t="str">
            <v>英国</v>
          </cell>
          <cell r="C507" t="str">
            <v>面食/谷类</v>
          </cell>
          <cell r="D507">
            <v>748.125</v>
          </cell>
        </row>
        <row r="508">
          <cell r="A508">
            <v>35125</v>
          </cell>
          <cell r="B508" t="str">
            <v>法国</v>
          </cell>
          <cell r="C508" t="str">
            <v>肉/家禽</v>
          </cell>
          <cell r="D508">
            <v>1638</v>
          </cell>
        </row>
        <row r="509">
          <cell r="A509">
            <v>35125</v>
          </cell>
          <cell r="B509" t="str">
            <v>法国</v>
          </cell>
          <cell r="C509" t="str">
            <v>海洋食品</v>
          </cell>
          <cell r="D509">
            <v>1250</v>
          </cell>
        </row>
        <row r="510">
          <cell r="A510">
            <v>35125</v>
          </cell>
          <cell r="B510" t="str">
            <v>法国</v>
          </cell>
          <cell r="C510" t="str">
            <v>糖果</v>
          </cell>
          <cell r="D510">
            <v>400</v>
          </cell>
        </row>
        <row r="511">
          <cell r="A511">
            <v>35125</v>
          </cell>
          <cell r="B511" t="str">
            <v>法国</v>
          </cell>
          <cell r="C511" t="str">
            <v>乳制品</v>
          </cell>
          <cell r="D511">
            <v>87.5</v>
          </cell>
        </row>
        <row r="512">
          <cell r="A512">
            <v>35125</v>
          </cell>
          <cell r="B512" t="str">
            <v>法国</v>
          </cell>
          <cell r="C512" t="str">
            <v>糖果</v>
          </cell>
          <cell r="D512">
            <v>147.9</v>
          </cell>
        </row>
        <row r="513">
          <cell r="A513">
            <v>35125</v>
          </cell>
          <cell r="B513" t="str">
            <v>英国</v>
          </cell>
          <cell r="C513" t="str">
            <v>乳制品</v>
          </cell>
          <cell r="D513">
            <v>525</v>
          </cell>
        </row>
        <row r="514">
          <cell r="A514">
            <v>35125</v>
          </cell>
          <cell r="B514" t="str">
            <v>英国</v>
          </cell>
          <cell r="C514" t="str">
            <v>面食/谷类</v>
          </cell>
          <cell r="D514">
            <v>56</v>
          </cell>
        </row>
        <row r="515">
          <cell r="A515">
            <v>35128</v>
          </cell>
          <cell r="B515" t="str">
            <v>英国</v>
          </cell>
          <cell r="C515" t="str">
            <v>饮料</v>
          </cell>
          <cell r="D515">
            <v>15019.499988220632</v>
          </cell>
        </row>
        <row r="516">
          <cell r="A516">
            <v>35128</v>
          </cell>
          <cell r="B516" t="str">
            <v>英国</v>
          </cell>
          <cell r="C516" t="str">
            <v>饮料</v>
          </cell>
          <cell r="D516">
            <v>1367.9999989271164</v>
          </cell>
        </row>
        <row r="517">
          <cell r="A517">
            <v>35129</v>
          </cell>
          <cell r="B517" t="str">
            <v>法国</v>
          </cell>
          <cell r="C517" t="str">
            <v>肉/家禽</v>
          </cell>
          <cell r="D517">
            <v>98.4</v>
          </cell>
        </row>
        <row r="518">
          <cell r="A518">
            <v>35136</v>
          </cell>
          <cell r="B518" t="str">
            <v>英国</v>
          </cell>
          <cell r="C518" t="str">
            <v>糖果</v>
          </cell>
          <cell r="D518">
            <v>1538.9999987930059</v>
          </cell>
        </row>
        <row r="519">
          <cell r="A519">
            <v>35137</v>
          </cell>
          <cell r="B519" t="str">
            <v>法国</v>
          </cell>
          <cell r="C519" t="str">
            <v>面食/谷类</v>
          </cell>
          <cell r="D519">
            <v>350</v>
          </cell>
        </row>
        <row r="520">
          <cell r="A520">
            <v>35137</v>
          </cell>
          <cell r="B520" t="str">
            <v>法国</v>
          </cell>
          <cell r="C520" t="str">
            <v>糖果</v>
          </cell>
          <cell r="D520">
            <v>339.99999761581421</v>
          </cell>
        </row>
        <row r="521">
          <cell r="A521">
            <v>35137</v>
          </cell>
          <cell r="B521" t="str">
            <v>法国</v>
          </cell>
          <cell r="C521" t="str">
            <v>肉/家禽</v>
          </cell>
          <cell r="D521">
            <v>202.63999857902527</v>
          </cell>
        </row>
        <row r="522">
          <cell r="A522">
            <v>35138</v>
          </cell>
          <cell r="B522" t="str">
            <v>法国</v>
          </cell>
          <cell r="C522" t="str">
            <v>饮料</v>
          </cell>
          <cell r="D522">
            <v>36</v>
          </cell>
        </row>
        <row r="523">
          <cell r="A523">
            <v>35138</v>
          </cell>
          <cell r="B523" t="str">
            <v>法国</v>
          </cell>
          <cell r="C523" t="str">
            <v>糖果</v>
          </cell>
          <cell r="D523">
            <v>379.99999970197678</v>
          </cell>
        </row>
        <row r="524">
          <cell r="A524">
            <v>35138</v>
          </cell>
          <cell r="B524" t="str">
            <v>法国</v>
          </cell>
          <cell r="C524" t="str">
            <v>面食/谷类</v>
          </cell>
          <cell r="D524">
            <v>758.09999940544367</v>
          </cell>
        </row>
        <row r="525">
          <cell r="A525">
            <v>35138</v>
          </cell>
          <cell r="B525" t="str">
            <v>法国</v>
          </cell>
          <cell r="C525" t="str">
            <v>香料</v>
          </cell>
          <cell r="D525">
            <v>239.96999981179832</v>
          </cell>
        </row>
        <row r="526">
          <cell r="A526">
            <v>35142</v>
          </cell>
          <cell r="B526" t="str">
            <v>法国</v>
          </cell>
          <cell r="C526" t="str">
            <v>乳制品</v>
          </cell>
          <cell r="D526">
            <v>840</v>
          </cell>
        </row>
        <row r="527">
          <cell r="A527">
            <v>35142</v>
          </cell>
          <cell r="B527" t="str">
            <v>法国</v>
          </cell>
          <cell r="C527" t="str">
            <v>饮料</v>
          </cell>
          <cell r="D527">
            <v>10540</v>
          </cell>
        </row>
        <row r="528">
          <cell r="A528">
            <v>35143</v>
          </cell>
          <cell r="B528" t="str">
            <v>英国</v>
          </cell>
          <cell r="C528" t="str">
            <v>海洋食品</v>
          </cell>
          <cell r="D528">
            <v>368.93249971065671</v>
          </cell>
        </row>
        <row r="529">
          <cell r="A529">
            <v>35144</v>
          </cell>
          <cell r="B529" t="str">
            <v>英国</v>
          </cell>
          <cell r="C529" t="str">
            <v>香料</v>
          </cell>
          <cell r="D529">
            <v>1200</v>
          </cell>
        </row>
        <row r="530">
          <cell r="A530">
            <v>35144</v>
          </cell>
          <cell r="B530" t="str">
            <v>英国</v>
          </cell>
          <cell r="C530" t="str">
            <v>饮料</v>
          </cell>
          <cell r="D530">
            <v>45</v>
          </cell>
        </row>
        <row r="531">
          <cell r="A531">
            <v>35144</v>
          </cell>
          <cell r="B531" t="str">
            <v>英国</v>
          </cell>
          <cell r="C531" t="str">
            <v>肉/家禽</v>
          </cell>
          <cell r="D531">
            <v>2970.96</v>
          </cell>
        </row>
        <row r="532">
          <cell r="A532">
            <v>35144</v>
          </cell>
          <cell r="B532" t="str">
            <v>英国</v>
          </cell>
          <cell r="C532" t="str">
            <v>海洋食品</v>
          </cell>
          <cell r="D532">
            <v>906.15</v>
          </cell>
        </row>
        <row r="533">
          <cell r="A533">
            <v>35144</v>
          </cell>
          <cell r="B533" t="str">
            <v>英国</v>
          </cell>
          <cell r="C533" t="str">
            <v>海洋食品</v>
          </cell>
          <cell r="D533">
            <v>380</v>
          </cell>
        </row>
        <row r="534">
          <cell r="A534">
            <v>35144</v>
          </cell>
          <cell r="B534" t="str">
            <v>法国</v>
          </cell>
          <cell r="C534" t="str">
            <v>海洋食品</v>
          </cell>
          <cell r="D534">
            <v>159.59999987483025</v>
          </cell>
        </row>
        <row r="535">
          <cell r="A535">
            <v>35144</v>
          </cell>
          <cell r="B535" t="str">
            <v>法国</v>
          </cell>
          <cell r="C535" t="str">
            <v>乳制品</v>
          </cell>
          <cell r="D535">
            <v>1709.9999986588955</v>
          </cell>
        </row>
        <row r="536">
          <cell r="A536">
            <v>35144</v>
          </cell>
          <cell r="B536" t="str">
            <v>法国</v>
          </cell>
          <cell r="C536" t="str">
            <v>饮料</v>
          </cell>
          <cell r="D536">
            <v>883.499999307096</v>
          </cell>
        </row>
        <row r="537">
          <cell r="A537">
            <v>35150</v>
          </cell>
          <cell r="B537" t="str">
            <v>法国</v>
          </cell>
          <cell r="C537" t="str">
            <v>海洋食品</v>
          </cell>
          <cell r="D537">
            <v>198.75</v>
          </cell>
        </row>
        <row r="538">
          <cell r="A538">
            <v>35150</v>
          </cell>
          <cell r="B538" t="str">
            <v>法国</v>
          </cell>
          <cell r="C538" t="str">
            <v>糖果</v>
          </cell>
          <cell r="D538">
            <v>1725.5</v>
          </cell>
        </row>
        <row r="539">
          <cell r="A539">
            <v>35159</v>
          </cell>
          <cell r="B539" t="str">
            <v>英国</v>
          </cell>
          <cell r="C539" t="str">
            <v>糖果</v>
          </cell>
          <cell r="D539">
            <v>600</v>
          </cell>
        </row>
        <row r="540">
          <cell r="A540">
            <v>35159</v>
          </cell>
          <cell r="B540" t="str">
            <v>英国</v>
          </cell>
          <cell r="C540" t="str">
            <v>饮料</v>
          </cell>
          <cell r="D540">
            <v>379.75</v>
          </cell>
        </row>
        <row r="541">
          <cell r="A541">
            <v>35159</v>
          </cell>
          <cell r="B541" t="str">
            <v>英国</v>
          </cell>
          <cell r="C541" t="str">
            <v>香料</v>
          </cell>
          <cell r="D541">
            <v>195</v>
          </cell>
        </row>
        <row r="542">
          <cell r="A542">
            <v>35163</v>
          </cell>
          <cell r="B542" t="str">
            <v>英国</v>
          </cell>
          <cell r="C542" t="str">
            <v>香料</v>
          </cell>
          <cell r="D542">
            <v>500</v>
          </cell>
        </row>
        <row r="543">
          <cell r="A543">
            <v>35163</v>
          </cell>
          <cell r="B543" t="str">
            <v>法国</v>
          </cell>
          <cell r="C543" t="str">
            <v>海洋食品</v>
          </cell>
          <cell r="D543">
            <v>455.99999830126762</v>
          </cell>
        </row>
        <row r="544">
          <cell r="A544">
            <v>35164</v>
          </cell>
          <cell r="B544" t="str">
            <v>英国</v>
          </cell>
          <cell r="C544" t="str">
            <v>海洋食品</v>
          </cell>
          <cell r="D544">
            <v>90</v>
          </cell>
        </row>
        <row r="545">
          <cell r="A545">
            <v>35164</v>
          </cell>
          <cell r="B545" t="str">
            <v>英国</v>
          </cell>
          <cell r="C545" t="str">
            <v>饮料</v>
          </cell>
          <cell r="D545">
            <v>828</v>
          </cell>
        </row>
        <row r="546">
          <cell r="A546">
            <v>35164</v>
          </cell>
          <cell r="B546" t="str">
            <v>英国</v>
          </cell>
          <cell r="C546" t="str">
            <v>乳制品</v>
          </cell>
          <cell r="D546">
            <v>1249.5</v>
          </cell>
        </row>
        <row r="547">
          <cell r="A547">
            <v>35164</v>
          </cell>
          <cell r="B547" t="str">
            <v>英国</v>
          </cell>
          <cell r="C547" t="str">
            <v>乳制品</v>
          </cell>
          <cell r="D547">
            <v>564.375</v>
          </cell>
        </row>
        <row r="548">
          <cell r="A548">
            <v>35165</v>
          </cell>
          <cell r="B548" t="str">
            <v>法国</v>
          </cell>
          <cell r="C548" t="str">
            <v>乳制品</v>
          </cell>
          <cell r="D548">
            <v>412.5</v>
          </cell>
        </row>
        <row r="549">
          <cell r="A549">
            <v>35165</v>
          </cell>
          <cell r="B549" t="str">
            <v>法国</v>
          </cell>
          <cell r="C549" t="str">
            <v>糖果</v>
          </cell>
          <cell r="D549">
            <v>1109.25</v>
          </cell>
        </row>
        <row r="550">
          <cell r="A550">
            <v>35165</v>
          </cell>
          <cell r="B550" t="str">
            <v>法国</v>
          </cell>
          <cell r="C550" t="str">
            <v>糖果</v>
          </cell>
          <cell r="D550">
            <v>750</v>
          </cell>
        </row>
        <row r="551">
          <cell r="A551">
            <v>35165</v>
          </cell>
          <cell r="B551" t="str">
            <v>法国</v>
          </cell>
          <cell r="C551" t="str">
            <v>乳制品</v>
          </cell>
          <cell r="D551">
            <v>1740</v>
          </cell>
        </row>
        <row r="552">
          <cell r="A552">
            <v>35166</v>
          </cell>
          <cell r="B552" t="str">
            <v>英国</v>
          </cell>
          <cell r="C552" t="str">
            <v>海洋食品</v>
          </cell>
          <cell r="D552">
            <v>120</v>
          </cell>
        </row>
        <row r="553">
          <cell r="A553">
            <v>35166</v>
          </cell>
          <cell r="B553" t="str">
            <v>英国</v>
          </cell>
          <cell r="C553" t="str">
            <v>乳制品</v>
          </cell>
          <cell r="D553">
            <v>125</v>
          </cell>
        </row>
        <row r="554">
          <cell r="A554">
            <v>35170</v>
          </cell>
          <cell r="B554" t="str">
            <v>英国</v>
          </cell>
          <cell r="C554" t="str">
            <v>香料</v>
          </cell>
          <cell r="D554">
            <v>379.99999970197678</v>
          </cell>
        </row>
        <row r="555">
          <cell r="A555">
            <v>35170</v>
          </cell>
          <cell r="B555" t="str">
            <v>英国</v>
          </cell>
          <cell r="C555" t="str">
            <v>农产品</v>
          </cell>
          <cell r="D555">
            <v>91.2</v>
          </cell>
        </row>
        <row r="556">
          <cell r="A556">
            <v>35171</v>
          </cell>
          <cell r="B556" t="str">
            <v>英国</v>
          </cell>
          <cell r="C556" t="str">
            <v>糖果</v>
          </cell>
          <cell r="D556">
            <v>120</v>
          </cell>
        </row>
        <row r="557">
          <cell r="A557">
            <v>35171</v>
          </cell>
          <cell r="B557" t="str">
            <v>英国</v>
          </cell>
          <cell r="C557" t="str">
            <v>糖果</v>
          </cell>
          <cell r="D557">
            <v>133</v>
          </cell>
        </row>
        <row r="558">
          <cell r="A558">
            <v>35171</v>
          </cell>
          <cell r="B558" t="str">
            <v>英国</v>
          </cell>
          <cell r="C558" t="str">
            <v>农产品</v>
          </cell>
          <cell r="D558">
            <v>424</v>
          </cell>
        </row>
        <row r="559">
          <cell r="A559">
            <v>35173</v>
          </cell>
          <cell r="B559" t="str">
            <v>英国</v>
          </cell>
          <cell r="C559" t="str">
            <v>农产品</v>
          </cell>
          <cell r="D559">
            <v>1350</v>
          </cell>
        </row>
        <row r="560">
          <cell r="A560">
            <v>35173</v>
          </cell>
          <cell r="B560" t="str">
            <v>英国</v>
          </cell>
          <cell r="C560" t="str">
            <v>海洋食品</v>
          </cell>
          <cell r="D560">
            <v>462</v>
          </cell>
        </row>
        <row r="561">
          <cell r="A561">
            <v>35173</v>
          </cell>
          <cell r="B561" t="str">
            <v>英国</v>
          </cell>
          <cell r="C561" t="str">
            <v>肉/家禽</v>
          </cell>
          <cell r="D561">
            <v>656</v>
          </cell>
        </row>
        <row r="562">
          <cell r="A562">
            <v>35173</v>
          </cell>
          <cell r="B562" t="str">
            <v>英国</v>
          </cell>
          <cell r="C562" t="str">
            <v>乳制品</v>
          </cell>
          <cell r="D562">
            <v>324</v>
          </cell>
        </row>
        <row r="563">
          <cell r="A563">
            <v>35173</v>
          </cell>
          <cell r="B563" t="str">
            <v>英国</v>
          </cell>
          <cell r="C563" t="str">
            <v>饮料</v>
          </cell>
          <cell r="D563">
            <v>792</v>
          </cell>
        </row>
        <row r="564">
          <cell r="A564">
            <v>35174</v>
          </cell>
          <cell r="B564" t="str">
            <v>法国</v>
          </cell>
          <cell r="C564" t="str">
            <v>农产品</v>
          </cell>
          <cell r="D564">
            <v>848</v>
          </cell>
        </row>
        <row r="565">
          <cell r="A565">
            <v>35177</v>
          </cell>
          <cell r="B565" t="str">
            <v>英国</v>
          </cell>
          <cell r="C565" t="str">
            <v>糖果</v>
          </cell>
          <cell r="D565">
            <v>110.4</v>
          </cell>
        </row>
        <row r="566">
          <cell r="A566">
            <v>35177</v>
          </cell>
          <cell r="B566" t="str">
            <v>英国</v>
          </cell>
          <cell r="C566" t="str">
            <v>糖果</v>
          </cell>
          <cell r="D566">
            <v>800</v>
          </cell>
        </row>
        <row r="567">
          <cell r="A567">
            <v>35179</v>
          </cell>
          <cell r="B567" t="str">
            <v>法国</v>
          </cell>
          <cell r="C567" t="str">
            <v>香料</v>
          </cell>
          <cell r="D567">
            <v>439</v>
          </cell>
        </row>
        <row r="568">
          <cell r="A568">
            <v>35181</v>
          </cell>
          <cell r="B568" t="str">
            <v>法国</v>
          </cell>
          <cell r="C568" t="str">
            <v>海洋食品</v>
          </cell>
          <cell r="D568">
            <v>428.3999969959259</v>
          </cell>
        </row>
        <row r="569">
          <cell r="A569">
            <v>35181</v>
          </cell>
          <cell r="B569" t="str">
            <v>法国</v>
          </cell>
          <cell r="C569" t="str">
            <v>面食/谷类</v>
          </cell>
          <cell r="D569">
            <v>292.5</v>
          </cell>
        </row>
        <row r="570">
          <cell r="A570">
            <v>35184</v>
          </cell>
          <cell r="B570" t="str">
            <v>法国</v>
          </cell>
          <cell r="C570" t="str">
            <v>糖果</v>
          </cell>
          <cell r="D570">
            <v>959.75</v>
          </cell>
        </row>
        <row r="571">
          <cell r="A571">
            <v>35184</v>
          </cell>
          <cell r="B571" t="str">
            <v>法国</v>
          </cell>
          <cell r="C571" t="str">
            <v>饮料</v>
          </cell>
          <cell r="D571">
            <v>90</v>
          </cell>
        </row>
        <row r="572">
          <cell r="A572">
            <v>35184</v>
          </cell>
          <cell r="B572" t="str">
            <v>法国</v>
          </cell>
          <cell r="C572" t="str">
            <v>海洋食品</v>
          </cell>
          <cell r="D572">
            <v>760</v>
          </cell>
        </row>
        <row r="573">
          <cell r="A573">
            <v>35185</v>
          </cell>
          <cell r="B573" t="str">
            <v>法国</v>
          </cell>
          <cell r="C573" t="str">
            <v>农产品</v>
          </cell>
          <cell r="D573">
            <v>1800</v>
          </cell>
        </row>
        <row r="574">
          <cell r="A574">
            <v>35185</v>
          </cell>
          <cell r="B574" t="str">
            <v>法国</v>
          </cell>
          <cell r="C574" t="str">
            <v>糖果</v>
          </cell>
          <cell r="D574">
            <v>1774.799997061491</v>
          </cell>
        </row>
        <row r="575">
          <cell r="A575">
            <v>35186</v>
          </cell>
          <cell r="B575" t="str">
            <v>英国</v>
          </cell>
          <cell r="C575" t="str">
            <v>饮料</v>
          </cell>
          <cell r="D575">
            <v>759.99999716877937</v>
          </cell>
        </row>
        <row r="576">
          <cell r="A576">
            <v>35186</v>
          </cell>
          <cell r="B576" t="str">
            <v>英国</v>
          </cell>
          <cell r="C576" t="str">
            <v>饮料</v>
          </cell>
          <cell r="D576">
            <v>239.99999910593033</v>
          </cell>
        </row>
        <row r="577">
          <cell r="A577">
            <v>35186</v>
          </cell>
          <cell r="B577" t="str">
            <v>英国</v>
          </cell>
          <cell r="C577" t="str">
            <v>饮料</v>
          </cell>
          <cell r="D577">
            <v>1295.9999951720238</v>
          </cell>
        </row>
        <row r="578">
          <cell r="A578">
            <v>35186</v>
          </cell>
          <cell r="B578" t="str">
            <v>法国</v>
          </cell>
          <cell r="C578" t="str">
            <v>乳制品</v>
          </cell>
          <cell r="D578">
            <v>69.599999999999994</v>
          </cell>
        </row>
        <row r="579">
          <cell r="A579">
            <v>35187</v>
          </cell>
          <cell r="B579" t="str">
            <v>英国</v>
          </cell>
          <cell r="C579" t="str">
            <v>面食/谷类</v>
          </cell>
          <cell r="D579">
            <v>560</v>
          </cell>
        </row>
        <row r="580">
          <cell r="A580">
            <v>35188</v>
          </cell>
          <cell r="B580" t="str">
            <v>英国</v>
          </cell>
          <cell r="C580" t="str">
            <v>海洋食品</v>
          </cell>
          <cell r="D580">
            <v>183.34999985620379</v>
          </cell>
        </row>
        <row r="581">
          <cell r="A581">
            <v>35188</v>
          </cell>
          <cell r="B581" t="str">
            <v>英国</v>
          </cell>
          <cell r="C581" t="str">
            <v>农产品</v>
          </cell>
          <cell r="D581">
            <v>755.24999940767884</v>
          </cell>
        </row>
        <row r="582">
          <cell r="A582">
            <v>35188</v>
          </cell>
          <cell r="B582" t="str">
            <v>英国</v>
          </cell>
          <cell r="C582" t="str">
            <v>香料</v>
          </cell>
          <cell r="D582">
            <v>259.34999979659915</v>
          </cell>
        </row>
        <row r="583">
          <cell r="A583">
            <v>35191</v>
          </cell>
          <cell r="B583" t="str">
            <v>法国</v>
          </cell>
          <cell r="C583" t="str">
            <v>香料</v>
          </cell>
          <cell r="D583">
            <v>412.5</v>
          </cell>
        </row>
        <row r="584">
          <cell r="A584">
            <v>35191</v>
          </cell>
          <cell r="B584" t="str">
            <v>法国</v>
          </cell>
          <cell r="C584" t="str">
            <v>饮料</v>
          </cell>
          <cell r="D584">
            <v>101.25</v>
          </cell>
        </row>
        <row r="585">
          <cell r="A585">
            <v>35191</v>
          </cell>
          <cell r="B585" t="str">
            <v>法国</v>
          </cell>
          <cell r="C585" t="str">
            <v>香料</v>
          </cell>
          <cell r="D585">
            <v>390</v>
          </cell>
        </row>
        <row r="586">
          <cell r="A586">
            <v>35191</v>
          </cell>
          <cell r="B586" t="str">
            <v>法国</v>
          </cell>
          <cell r="C586" t="str">
            <v>海洋食品</v>
          </cell>
          <cell r="D586">
            <v>336</v>
          </cell>
        </row>
        <row r="587">
          <cell r="A587">
            <v>35191</v>
          </cell>
          <cell r="B587" t="str">
            <v>法国</v>
          </cell>
          <cell r="C587" t="str">
            <v>饮料</v>
          </cell>
          <cell r="D587">
            <v>229.49999839067459</v>
          </cell>
        </row>
        <row r="588">
          <cell r="A588">
            <v>35191</v>
          </cell>
          <cell r="B588" t="str">
            <v>法国</v>
          </cell>
          <cell r="C588" t="str">
            <v>面食/谷类</v>
          </cell>
          <cell r="D588">
            <v>285.59999799728394</v>
          </cell>
        </row>
        <row r="589">
          <cell r="A589">
            <v>35191</v>
          </cell>
          <cell r="B589" t="str">
            <v>法国</v>
          </cell>
          <cell r="C589" t="str">
            <v>肉/家禽</v>
          </cell>
          <cell r="D589">
            <v>960</v>
          </cell>
        </row>
        <row r="590">
          <cell r="A590">
            <v>35191</v>
          </cell>
          <cell r="B590" t="str">
            <v>法国</v>
          </cell>
          <cell r="C590" t="str">
            <v>饮料</v>
          </cell>
          <cell r="D590">
            <v>72</v>
          </cell>
        </row>
        <row r="591">
          <cell r="A591">
            <v>35191</v>
          </cell>
          <cell r="B591" t="str">
            <v>法国</v>
          </cell>
          <cell r="C591" t="str">
            <v>海洋食品</v>
          </cell>
          <cell r="D591">
            <v>184</v>
          </cell>
        </row>
        <row r="592">
          <cell r="A592">
            <v>35191</v>
          </cell>
          <cell r="B592" t="str">
            <v>法国</v>
          </cell>
          <cell r="C592" t="str">
            <v>面食/谷类</v>
          </cell>
          <cell r="D592">
            <v>70</v>
          </cell>
        </row>
        <row r="593">
          <cell r="A593">
            <v>35192</v>
          </cell>
          <cell r="B593" t="str">
            <v>法国</v>
          </cell>
          <cell r="C593" t="str">
            <v>饮料</v>
          </cell>
          <cell r="D593">
            <v>144</v>
          </cell>
        </row>
        <row r="594">
          <cell r="A594">
            <v>35192</v>
          </cell>
          <cell r="B594" t="str">
            <v>法国</v>
          </cell>
          <cell r="C594" t="str">
            <v>肉/家禽</v>
          </cell>
          <cell r="D594">
            <v>185.685</v>
          </cell>
        </row>
        <row r="595">
          <cell r="A595">
            <v>35194</v>
          </cell>
          <cell r="B595" t="str">
            <v>英国</v>
          </cell>
          <cell r="C595" t="str">
            <v>糖果</v>
          </cell>
          <cell r="D595">
            <v>436.99999965727329</v>
          </cell>
        </row>
        <row r="596">
          <cell r="A596">
            <v>35194</v>
          </cell>
          <cell r="B596" t="str">
            <v>英国</v>
          </cell>
          <cell r="C596" t="str">
            <v>乳制品</v>
          </cell>
          <cell r="D596">
            <v>1162.7999990880489</v>
          </cell>
        </row>
        <row r="597">
          <cell r="A597">
            <v>35194</v>
          </cell>
          <cell r="B597" t="str">
            <v>英国</v>
          </cell>
          <cell r="C597" t="str">
            <v>乳制品</v>
          </cell>
          <cell r="D597">
            <v>1225.4999990388751</v>
          </cell>
        </row>
        <row r="598">
          <cell r="A598">
            <v>35198</v>
          </cell>
          <cell r="B598" t="str">
            <v>法国</v>
          </cell>
          <cell r="C598" t="str">
            <v>乳制品</v>
          </cell>
          <cell r="D598">
            <v>760</v>
          </cell>
        </row>
        <row r="599">
          <cell r="A599">
            <v>35198</v>
          </cell>
          <cell r="B599" t="str">
            <v>法国</v>
          </cell>
          <cell r="C599" t="str">
            <v>海洋食品</v>
          </cell>
          <cell r="D599">
            <v>625</v>
          </cell>
        </row>
        <row r="600">
          <cell r="A600">
            <v>35198</v>
          </cell>
          <cell r="B600" t="str">
            <v>法国</v>
          </cell>
          <cell r="C600" t="str">
            <v>面食/谷类</v>
          </cell>
          <cell r="D600">
            <v>190</v>
          </cell>
        </row>
        <row r="601">
          <cell r="A601">
            <v>35199</v>
          </cell>
          <cell r="B601" t="str">
            <v>英国</v>
          </cell>
          <cell r="C601" t="str">
            <v>海洋食品</v>
          </cell>
          <cell r="D601">
            <v>632.39999556541443</v>
          </cell>
        </row>
        <row r="602">
          <cell r="A602">
            <v>35199</v>
          </cell>
          <cell r="B602" t="str">
            <v>英国</v>
          </cell>
          <cell r="C602" t="str">
            <v>饮料</v>
          </cell>
          <cell r="D602">
            <v>156.75</v>
          </cell>
        </row>
        <row r="603">
          <cell r="A603">
            <v>35199</v>
          </cell>
          <cell r="B603" t="str">
            <v>英国</v>
          </cell>
          <cell r="C603" t="str">
            <v>糖果</v>
          </cell>
          <cell r="D603">
            <v>1215</v>
          </cell>
        </row>
        <row r="604">
          <cell r="A604">
            <v>35199</v>
          </cell>
          <cell r="B604" t="str">
            <v>英国</v>
          </cell>
          <cell r="C604" t="str">
            <v>糖果</v>
          </cell>
          <cell r="D604">
            <v>1967.49</v>
          </cell>
        </row>
        <row r="605">
          <cell r="A605">
            <v>35199</v>
          </cell>
          <cell r="B605" t="str">
            <v>英国</v>
          </cell>
          <cell r="C605" t="str">
            <v>农产品</v>
          </cell>
          <cell r="D605">
            <v>1749</v>
          </cell>
        </row>
        <row r="606">
          <cell r="A606">
            <v>35199</v>
          </cell>
          <cell r="B606" t="str">
            <v>英国</v>
          </cell>
          <cell r="C606" t="str">
            <v>乳制品</v>
          </cell>
          <cell r="D606">
            <v>1218</v>
          </cell>
        </row>
        <row r="607">
          <cell r="A607">
            <v>35201</v>
          </cell>
          <cell r="B607" t="str">
            <v>英国</v>
          </cell>
          <cell r="C607" t="str">
            <v>肉/家禽</v>
          </cell>
          <cell r="D607">
            <v>840</v>
          </cell>
        </row>
        <row r="608">
          <cell r="A608">
            <v>35201</v>
          </cell>
          <cell r="B608" t="str">
            <v>英国</v>
          </cell>
          <cell r="C608" t="str">
            <v>乳制品</v>
          </cell>
          <cell r="D608">
            <v>1320</v>
          </cell>
        </row>
        <row r="609">
          <cell r="A609">
            <v>35202</v>
          </cell>
          <cell r="B609" t="str">
            <v>法国</v>
          </cell>
          <cell r="C609" t="str">
            <v>饮料</v>
          </cell>
          <cell r="D609">
            <v>1425</v>
          </cell>
        </row>
        <row r="610">
          <cell r="A610">
            <v>35202</v>
          </cell>
          <cell r="B610" t="str">
            <v>法国</v>
          </cell>
          <cell r="C610" t="str">
            <v>香料</v>
          </cell>
          <cell r="D610">
            <v>1494.5</v>
          </cell>
        </row>
        <row r="611">
          <cell r="A611">
            <v>35202</v>
          </cell>
          <cell r="B611" t="str">
            <v>法国</v>
          </cell>
          <cell r="C611" t="str">
            <v>肉/家禽</v>
          </cell>
          <cell r="D611">
            <v>5570.55</v>
          </cell>
        </row>
        <row r="612">
          <cell r="A612">
            <v>35202</v>
          </cell>
          <cell r="B612" t="str">
            <v>法国</v>
          </cell>
          <cell r="C612" t="str">
            <v>乳制品</v>
          </cell>
          <cell r="D612">
            <v>4125</v>
          </cell>
        </row>
        <row r="613">
          <cell r="A613">
            <v>35202</v>
          </cell>
          <cell r="B613" t="str">
            <v>法国</v>
          </cell>
          <cell r="C613" t="str">
            <v>饮料</v>
          </cell>
          <cell r="D613">
            <v>810</v>
          </cell>
        </row>
        <row r="614">
          <cell r="A614">
            <v>35202</v>
          </cell>
          <cell r="B614" t="str">
            <v>法国</v>
          </cell>
          <cell r="C614" t="str">
            <v>海洋食品</v>
          </cell>
          <cell r="D614">
            <v>480</v>
          </cell>
        </row>
        <row r="615">
          <cell r="A615">
            <v>35202</v>
          </cell>
          <cell r="B615" t="str">
            <v>法国</v>
          </cell>
          <cell r="C615" t="str">
            <v>饮料</v>
          </cell>
          <cell r="D615">
            <v>94.5</v>
          </cell>
        </row>
        <row r="616">
          <cell r="A616">
            <v>35202</v>
          </cell>
          <cell r="B616" t="str">
            <v>法国</v>
          </cell>
          <cell r="C616" t="str">
            <v>面食/谷类</v>
          </cell>
          <cell r="D616">
            <v>665</v>
          </cell>
        </row>
        <row r="617">
          <cell r="A617">
            <v>35202</v>
          </cell>
          <cell r="B617" t="str">
            <v>法国</v>
          </cell>
          <cell r="C617" t="str">
            <v>乳制品</v>
          </cell>
          <cell r="D617">
            <v>344</v>
          </cell>
        </row>
        <row r="618">
          <cell r="A618">
            <v>35202</v>
          </cell>
          <cell r="B618" t="str">
            <v>法国</v>
          </cell>
          <cell r="C618" t="str">
            <v>海洋食品</v>
          </cell>
          <cell r="D618">
            <v>665</v>
          </cell>
        </row>
        <row r="619">
          <cell r="A619">
            <v>35202</v>
          </cell>
          <cell r="B619" t="str">
            <v>法国</v>
          </cell>
          <cell r="C619" t="str">
            <v>饮料</v>
          </cell>
          <cell r="D619">
            <v>6587.5</v>
          </cell>
        </row>
        <row r="620">
          <cell r="A620">
            <v>35202</v>
          </cell>
          <cell r="B620" t="str">
            <v>法国</v>
          </cell>
          <cell r="C620" t="str">
            <v>乳制品</v>
          </cell>
          <cell r="D620">
            <v>1650</v>
          </cell>
        </row>
        <row r="621">
          <cell r="A621">
            <v>35205</v>
          </cell>
          <cell r="B621" t="str">
            <v>法国</v>
          </cell>
          <cell r="C621" t="str">
            <v>糖果</v>
          </cell>
          <cell r="D621">
            <v>134.99999977648258</v>
          </cell>
        </row>
        <row r="622">
          <cell r="A622">
            <v>35205</v>
          </cell>
          <cell r="B622" t="str">
            <v>法国</v>
          </cell>
          <cell r="C622" t="str">
            <v>香料</v>
          </cell>
          <cell r="D622">
            <v>233.4</v>
          </cell>
        </row>
        <row r="623">
          <cell r="A623">
            <v>35205</v>
          </cell>
          <cell r="B623" t="str">
            <v>法国</v>
          </cell>
          <cell r="C623" t="str">
            <v>香料</v>
          </cell>
          <cell r="D623">
            <v>171</v>
          </cell>
        </row>
        <row r="624">
          <cell r="A624">
            <v>35205</v>
          </cell>
          <cell r="B624" t="str">
            <v>英国</v>
          </cell>
          <cell r="C624" t="str">
            <v>海洋食品</v>
          </cell>
          <cell r="D624">
            <v>42</v>
          </cell>
        </row>
        <row r="625">
          <cell r="A625">
            <v>35205</v>
          </cell>
          <cell r="B625" t="str">
            <v>英国</v>
          </cell>
          <cell r="C625" t="str">
            <v>乳制品</v>
          </cell>
          <cell r="D625">
            <v>1650</v>
          </cell>
        </row>
        <row r="626">
          <cell r="A626">
            <v>35207</v>
          </cell>
          <cell r="B626" t="str">
            <v>法国</v>
          </cell>
          <cell r="C626" t="str">
            <v>糖果</v>
          </cell>
          <cell r="D626">
            <v>200</v>
          </cell>
        </row>
        <row r="627">
          <cell r="A627">
            <v>35208</v>
          </cell>
          <cell r="B627" t="str">
            <v>英国</v>
          </cell>
          <cell r="C627" t="str">
            <v>乳制品</v>
          </cell>
          <cell r="D627">
            <v>721.99999943375587</v>
          </cell>
        </row>
        <row r="628">
          <cell r="A628">
            <v>35208</v>
          </cell>
          <cell r="B628" t="str">
            <v>英国</v>
          </cell>
          <cell r="C628" t="str">
            <v>乳制品</v>
          </cell>
          <cell r="D628">
            <v>455.99999964237213</v>
          </cell>
        </row>
        <row r="629">
          <cell r="A629">
            <v>35208</v>
          </cell>
          <cell r="B629" t="str">
            <v>英国</v>
          </cell>
          <cell r="C629" t="str">
            <v>饮料</v>
          </cell>
          <cell r="D629">
            <v>307.79999975860119</v>
          </cell>
        </row>
        <row r="630">
          <cell r="A630">
            <v>35214</v>
          </cell>
          <cell r="B630" t="str">
            <v>英国</v>
          </cell>
          <cell r="C630" t="str">
            <v>糖果</v>
          </cell>
          <cell r="D630">
            <v>30</v>
          </cell>
        </row>
        <row r="631">
          <cell r="A631">
            <v>35214</v>
          </cell>
          <cell r="B631" t="str">
            <v>英国</v>
          </cell>
          <cell r="C631" t="str">
            <v>乳制品</v>
          </cell>
          <cell r="D631">
            <v>714</v>
          </cell>
        </row>
        <row r="632">
          <cell r="A632">
            <v>35214</v>
          </cell>
          <cell r="B632" t="str">
            <v>英国</v>
          </cell>
          <cell r="C632" t="str">
            <v>香料</v>
          </cell>
          <cell r="D632">
            <v>114</v>
          </cell>
        </row>
        <row r="633">
          <cell r="A633">
            <v>35215</v>
          </cell>
          <cell r="B633" t="str">
            <v>法国</v>
          </cell>
          <cell r="C633" t="str">
            <v>乳制品</v>
          </cell>
          <cell r="D633">
            <v>510</v>
          </cell>
        </row>
        <row r="634">
          <cell r="A634">
            <v>35216</v>
          </cell>
          <cell r="B634" t="str">
            <v>法国</v>
          </cell>
          <cell r="C634" t="str">
            <v>肉/家禽</v>
          </cell>
          <cell r="D634">
            <v>2702.6999955251813</v>
          </cell>
        </row>
        <row r="635">
          <cell r="A635">
            <v>35216</v>
          </cell>
          <cell r="B635" t="str">
            <v>法国</v>
          </cell>
          <cell r="C635" t="str">
            <v>海洋食品</v>
          </cell>
          <cell r="D635">
            <v>115.8</v>
          </cell>
        </row>
        <row r="636">
          <cell r="A636">
            <v>35216</v>
          </cell>
          <cell r="B636" t="str">
            <v>法国</v>
          </cell>
          <cell r="C636" t="str">
            <v>肉/家禽</v>
          </cell>
          <cell r="D636">
            <v>737.99999877810478</v>
          </cell>
        </row>
        <row r="637">
          <cell r="A637">
            <v>35216</v>
          </cell>
          <cell r="B637" t="str">
            <v>法国</v>
          </cell>
          <cell r="C637" t="str">
            <v>肉/家禽</v>
          </cell>
          <cell r="D637">
            <v>86.399999856948853</v>
          </cell>
        </row>
        <row r="638">
          <cell r="A638">
            <v>35216</v>
          </cell>
          <cell r="B638" t="str">
            <v>法国</v>
          </cell>
          <cell r="C638" t="str">
            <v>糖果</v>
          </cell>
          <cell r="D638">
            <v>687.5</v>
          </cell>
        </row>
        <row r="639">
          <cell r="A639">
            <v>35216</v>
          </cell>
          <cell r="B639" t="str">
            <v>法国</v>
          </cell>
          <cell r="C639" t="str">
            <v>糖果</v>
          </cell>
          <cell r="D639">
            <v>52.35</v>
          </cell>
        </row>
        <row r="640">
          <cell r="A640">
            <v>35216</v>
          </cell>
          <cell r="B640" t="str">
            <v>法国</v>
          </cell>
          <cell r="C640" t="str">
            <v>糖果</v>
          </cell>
          <cell r="D640">
            <v>386.4</v>
          </cell>
        </row>
        <row r="641">
          <cell r="A641">
            <v>35216</v>
          </cell>
          <cell r="B641" t="str">
            <v>法国</v>
          </cell>
          <cell r="C641" t="str">
            <v>饮料</v>
          </cell>
          <cell r="D641">
            <v>490</v>
          </cell>
        </row>
        <row r="642">
          <cell r="A642">
            <v>35219</v>
          </cell>
          <cell r="B642" t="str">
            <v>英国</v>
          </cell>
          <cell r="C642" t="str">
            <v>海洋食品</v>
          </cell>
          <cell r="D642">
            <v>86.85</v>
          </cell>
        </row>
        <row r="643">
          <cell r="A643">
            <v>35220</v>
          </cell>
          <cell r="B643" t="str">
            <v>英国</v>
          </cell>
          <cell r="C643" t="str">
            <v>饮料</v>
          </cell>
          <cell r="D643">
            <v>611.99999570846558</v>
          </cell>
        </row>
        <row r="644">
          <cell r="A644">
            <v>35220</v>
          </cell>
          <cell r="B644" t="str">
            <v>英国</v>
          </cell>
          <cell r="C644" t="str">
            <v>饮料</v>
          </cell>
          <cell r="D644">
            <v>322.9999977350235</v>
          </cell>
        </row>
        <row r="645">
          <cell r="A645">
            <v>35220</v>
          </cell>
          <cell r="B645" t="str">
            <v>英国</v>
          </cell>
          <cell r="C645" t="str">
            <v>糖果</v>
          </cell>
          <cell r="D645">
            <v>444.97499687969685</v>
          </cell>
        </row>
        <row r="646">
          <cell r="A646">
            <v>35220</v>
          </cell>
          <cell r="B646" t="str">
            <v>英国</v>
          </cell>
          <cell r="C646" t="str">
            <v>乳制品</v>
          </cell>
          <cell r="D646">
            <v>250</v>
          </cell>
        </row>
        <row r="647">
          <cell r="A647">
            <v>35221</v>
          </cell>
          <cell r="B647" t="str">
            <v>法国</v>
          </cell>
          <cell r="C647" t="str">
            <v>饮料</v>
          </cell>
          <cell r="D647">
            <v>364.7999986410141</v>
          </cell>
        </row>
        <row r="648">
          <cell r="A648">
            <v>35221</v>
          </cell>
          <cell r="B648" t="str">
            <v>法国</v>
          </cell>
          <cell r="C648" t="str">
            <v>香料</v>
          </cell>
          <cell r="D648">
            <v>40</v>
          </cell>
        </row>
        <row r="649">
          <cell r="A649">
            <v>35221</v>
          </cell>
          <cell r="B649" t="str">
            <v>法国</v>
          </cell>
          <cell r="C649" t="str">
            <v>香料</v>
          </cell>
          <cell r="D649">
            <v>22</v>
          </cell>
        </row>
        <row r="650">
          <cell r="A650">
            <v>35221</v>
          </cell>
          <cell r="B650" t="str">
            <v>法国</v>
          </cell>
          <cell r="C650" t="str">
            <v>香料</v>
          </cell>
          <cell r="D650">
            <v>24.500000011175871</v>
          </cell>
        </row>
        <row r="651">
          <cell r="A651">
            <v>35221</v>
          </cell>
          <cell r="B651" t="str">
            <v>法国</v>
          </cell>
          <cell r="C651" t="str">
            <v>农产品</v>
          </cell>
          <cell r="D651">
            <v>28.499999977648258</v>
          </cell>
        </row>
        <row r="652">
          <cell r="A652">
            <v>35221</v>
          </cell>
          <cell r="B652" t="str">
            <v>法国</v>
          </cell>
          <cell r="C652" t="str">
            <v>香料</v>
          </cell>
          <cell r="D652">
            <v>71.99999988079071</v>
          </cell>
        </row>
        <row r="653">
          <cell r="A653">
            <v>35221</v>
          </cell>
          <cell r="B653" t="str">
            <v>法国</v>
          </cell>
          <cell r="C653" t="str">
            <v>海洋食品</v>
          </cell>
          <cell r="D653">
            <v>31</v>
          </cell>
        </row>
        <row r="654">
          <cell r="A654">
            <v>35221</v>
          </cell>
          <cell r="B654" t="str">
            <v>法国</v>
          </cell>
          <cell r="C654" t="str">
            <v>乳制品</v>
          </cell>
          <cell r="D654">
            <v>72.199999943375587</v>
          </cell>
        </row>
        <row r="655">
          <cell r="A655">
            <v>35221</v>
          </cell>
          <cell r="B655" t="str">
            <v>法国</v>
          </cell>
          <cell r="C655" t="str">
            <v>海洋食品</v>
          </cell>
          <cell r="D655">
            <v>24</v>
          </cell>
        </row>
        <row r="656">
          <cell r="A656">
            <v>35221</v>
          </cell>
          <cell r="B656" t="str">
            <v>法国</v>
          </cell>
          <cell r="C656" t="str">
            <v>农产品</v>
          </cell>
          <cell r="D656">
            <v>22.55250001559034</v>
          </cell>
        </row>
        <row r="657">
          <cell r="A657">
            <v>35221</v>
          </cell>
          <cell r="B657" t="str">
            <v>法国</v>
          </cell>
          <cell r="C657" t="str">
            <v>糖果</v>
          </cell>
          <cell r="D657">
            <v>33.853000023402274</v>
          </cell>
        </row>
        <row r="658">
          <cell r="A658">
            <v>35221</v>
          </cell>
          <cell r="B658" t="str">
            <v>法国</v>
          </cell>
          <cell r="C658" t="str">
            <v>糖果</v>
          </cell>
          <cell r="D658">
            <v>77.760000072419643</v>
          </cell>
        </row>
        <row r="659">
          <cell r="A659">
            <v>35221</v>
          </cell>
          <cell r="B659" t="str">
            <v>法国</v>
          </cell>
          <cell r="C659" t="str">
            <v>面食/谷类</v>
          </cell>
          <cell r="D659">
            <v>18</v>
          </cell>
        </row>
        <row r="660">
          <cell r="A660">
            <v>35221</v>
          </cell>
          <cell r="B660" t="str">
            <v>法国</v>
          </cell>
          <cell r="C660" t="str">
            <v>乳制品</v>
          </cell>
          <cell r="D660">
            <v>32</v>
          </cell>
        </row>
        <row r="661">
          <cell r="A661">
            <v>35221</v>
          </cell>
          <cell r="B661" t="str">
            <v>法国</v>
          </cell>
          <cell r="C661" t="str">
            <v>饮料</v>
          </cell>
          <cell r="D661">
            <v>34.19999997317791</v>
          </cell>
        </row>
        <row r="662">
          <cell r="A662">
            <v>35221</v>
          </cell>
          <cell r="B662" t="str">
            <v>法国</v>
          </cell>
          <cell r="C662" t="str">
            <v>海洋食品</v>
          </cell>
          <cell r="D662">
            <v>28.95</v>
          </cell>
        </row>
        <row r="663">
          <cell r="A663">
            <v>35221</v>
          </cell>
          <cell r="B663" t="str">
            <v>法国</v>
          </cell>
          <cell r="C663" t="str">
            <v>海洋食品</v>
          </cell>
          <cell r="D663">
            <v>35.280000016093254</v>
          </cell>
        </row>
        <row r="664">
          <cell r="A664">
            <v>35221</v>
          </cell>
          <cell r="B664" t="str">
            <v>法国</v>
          </cell>
          <cell r="C664" t="str">
            <v>面食/谷类</v>
          </cell>
          <cell r="D664">
            <v>14</v>
          </cell>
        </row>
        <row r="665">
          <cell r="A665">
            <v>35221</v>
          </cell>
          <cell r="B665" t="str">
            <v>法国</v>
          </cell>
          <cell r="C665" t="str">
            <v>肉/家禽</v>
          </cell>
          <cell r="D665">
            <v>48</v>
          </cell>
        </row>
        <row r="666">
          <cell r="A666">
            <v>35221</v>
          </cell>
          <cell r="B666" t="str">
            <v>法国</v>
          </cell>
          <cell r="C666" t="str">
            <v>乳制品</v>
          </cell>
          <cell r="D666">
            <v>63.920000091195107</v>
          </cell>
        </row>
        <row r="667">
          <cell r="A667">
            <v>35221</v>
          </cell>
          <cell r="B667" t="str">
            <v>法国</v>
          </cell>
          <cell r="C667" t="str">
            <v>面食/谷类</v>
          </cell>
          <cell r="D667">
            <v>64.505000044591725</v>
          </cell>
        </row>
        <row r="668">
          <cell r="A668">
            <v>35221</v>
          </cell>
          <cell r="B668" t="str">
            <v>法国</v>
          </cell>
          <cell r="C668" t="str">
            <v>香料</v>
          </cell>
          <cell r="D668">
            <v>17</v>
          </cell>
        </row>
        <row r="669">
          <cell r="A669">
            <v>35221</v>
          </cell>
          <cell r="B669" t="str">
            <v>法国</v>
          </cell>
          <cell r="C669" t="str">
            <v>海洋食品</v>
          </cell>
          <cell r="D669">
            <v>29.700000006705523</v>
          </cell>
        </row>
        <row r="670">
          <cell r="A670">
            <v>35221</v>
          </cell>
          <cell r="B670" t="str">
            <v>法国</v>
          </cell>
          <cell r="C670" t="str">
            <v>饮料</v>
          </cell>
          <cell r="D670">
            <v>31</v>
          </cell>
        </row>
        <row r="671">
          <cell r="A671">
            <v>35221</v>
          </cell>
          <cell r="B671" t="str">
            <v>法国</v>
          </cell>
          <cell r="C671" t="str">
            <v>香料</v>
          </cell>
          <cell r="D671">
            <v>26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透视表题1"/>
      <sheetName val="透视表题2"/>
      <sheetName val="D函数2"/>
      <sheetName val="D函数第2题透视表"/>
      <sheetName val="D函数2答案"/>
      <sheetName val="D函数1"/>
      <sheetName val="D函数1答案"/>
    </sheetNames>
    <sheetDataSet>
      <sheetData sheetId="0"/>
      <sheetData sheetId="1"/>
      <sheetData sheetId="2">
        <row r="1">
          <cell r="A1" t="str">
            <v>订购日期</v>
          </cell>
          <cell r="B1" t="str">
            <v>货主国家</v>
          </cell>
          <cell r="C1" t="str">
            <v>类别名称</v>
          </cell>
          <cell r="D1" t="str">
            <v>销售额</v>
          </cell>
        </row>
        <row r="2">
          <cell r="A2">
            <v>34551</v>
          </cell>
          <cell r="B2" t="str">
            <v>英国</v>
          </cell>
          <cell r="C2" t="str">
            <v>农产品</v>
          </cell>
          <cell r="D2">
            <v>167.4</v>
          </cell>
        </row>
        <row r="3">
          <cell r="A3">
            <v>34551</v>
          </cell>
          <cell r="B3" t="str">
            <v>英国</v>
          </cell>
          <cell r="C3" t="str">
            <v>农产品</v>
          </cell>
          <cell r="D3">
            <v>1696</v>
          </cell>
        </row>
        <row r="4">
          <cell r="A4">
            <v>34565</v>
          </cell>
          <cell r="B4" t="str">
            <v>英国</v>
          </cell>
          <cell r="C4" t="str">
            <v>海洋食品</v>
          </cell>
          <cell r="D4">
            <v>92.4</v>
          </cell>
        </row>
        <row r="5">
          <cell r="A5">
            <v>34565</v>
          </cell>
          <cell r="B5" t="str">
            <v>英国</v>
          </cell>
          <cell r="C5" t="str">
            <v>面食/谷类</v>
          </cell>
          <cell r="D5">
            <v>780</v>
          </cell>
        </row>
        <row r="6">
          <cell r="A6">
            <v>34565</v>
          </cell>
          <cell r="B6" t="str">
            <v>英国</v>
          </cell>
          <cell r="C6" t="str">
            <v>糖果</v>
          </cell>
          <cell r="D6">
            <v>443.25</v>
          </cell>
        </row>
        <row r="7">
          <cell r="A7">
            <v>34565</v>
          </cell>
          <cell r="B7" t="str">
            <v>英国</v>
          </cell>
          <cell r="C7" t="str">
            <v>饮料</v>
          </cell>
          <cell r="D7">
            <v>189</v>
          </cell>
        </row>
        <row r="8">
          <cell r="A8">
            <v>34568</v>
          </cell>
          <cell r="B8" t="str">
            <v>法国</v>
          </cell>
          <cell r="C8" t="str">
            <v>香料</v>
          </cell>
          <cell r="D8">
            <v>163.19999939203262</v>
          </cell>
        </row>
        <row r="9">
          <cell r="A9">
            <v>34568</v>
          </cell>
          <cell r="B9" t="str">
            <v>法国</v>
          </cell>
          <cell r="C9" t="str">
            <v>农产品</v>
          </cell>
          <cell r="D9">
            <v>360</v>
          </cell>
        </row>
        <row r="10">
          <cell r="A10">
            <v>34568</v>
          </cell>
          <cell r="B10" t="str">
            <v>法国</v>
          </cell>
          <cell r="C10" t="str">
            <v>面食/谷类</v>
          </cell>
          <cell r="D10">
            <v>60.8</v>
          </cell>
        </row>
        <row r="11">
          <cell r="A11">
            <v>34575</v>
          </cell>
          <cell r="B11" t="str">
            <v>英国</v>
          </cell>
          <cell r="C11" t="str">
            <v>海洋食品</v>
          </cell>
          <cell r="D11">
            <v>735</v>
          </cell>
        </row>
        <row r="12">
          <cell r="A12">
            <v>34575</v>
          </cell>
          <cell r="B12" t="str">
            <v>英国</v>
          </cell>
          <cell r="C12" t="str">
            <v>乳制品</v>
          </cell>
          <cell r="D12">
            <v>2617.9999816417694</v>
          </cell>
        </row>
        <row r="13">
          <cell r="A13">
            <v>34575</v>
          </cell>
          <cell r="B13" t="str">
            <v>英国</v>
          </cell>
          <cell r="C13" t="str">
            <v>饮料</v>
          </cell>
          <cell r="D13">
            <v>183.59999871253967</v>
          </cell>
        </row>
        <row r="14">
          <cell r="A14">
            <v>34577</v>
          </cell>
          <cell r="B14" t="str">
            <v>法国</v>
          </cell>
          <cell r="C14" t="str">
            <v>乳制品</v>
          </cell>
          <cell r="D14">
            <v>113.99999991059303</v>
          </cell>
        </row>
        <row r="15">
          <cell r="A15">
            <v>34577</v>
          </cell>
          <cell r="B15" t="str">
            <v>法国</v>
          </cell>
          <cell r="C15" t="str">
            <v>乳制品</v>
          </cell>
          <cell r="D15">
            <v>528.19999958574772</v>
          </cell>
        </row>
        <row r="16">
          <cell r="A16">
            <v>34578</v>
          </cell>
          <cell r="B16" t="str">
            <v>法国</v>
          </cell>
          <cell r="C16" t="str">
            <v>乳制品</v>
          </cell>
          <cell r="D16">
            <v>48</v>
          </cell>
        </row>
        <row r="17">
          <cell r="A17">
            <v>34579</v>
          </cell>
          <cell r="B17" t="str">
            <v>法国</v>
          </cell>
          <cell r="C17" t="str">
            <v>糖果</v>
          </cell>
          <cell r="D17">
            <v>388.8</v>
          </cell>
        </row>
        <row r="18">
          <cell r="A18">
            <v>34579</v>
          </cell>
          <cell r="B18" t="str">
            <v>法国</v>
          </cell>
          <cell r="C18" t="str">
            <v>乳制品</v>
          </cell>
          <cell r="D18">
            <v>400</v>
          </cell>
        </row>
        <row r="19">
          <cell r="A19">
            <v>34579</v>
          </cell>
          <cell r="B19" t="str">
            <v>法国</v>
          </cell>
          <cell r="C19" t="str">
            <v>乳制品</v>
          </cell>
          <cell r="D19">
            <v>667.2</v>
          </cell>
        </row>
        <row r="20">
          <cell r="A20">
            <v>34582</v>
          </cell>
          <cell r="B20" t="str">
            <v>英国</v>
          </cell>
          <cell r="C20" t="str">
            <v>海洋食品</v>
          </cell>
          <cell r="D20">
            <v>565.43999955654147</v>
          </cell>
        </row>
        <row r="21">
          <cell r="A21">
            <v>34582</v>
          </cell>
          <cell r="B21" t="str">
            <v>英国</v>
          </cell>
          <cell r="C21" t="str">
            <v>乳制品</v>
          </cell>
          <cell r="D21">
            <v>142.49999988824129</v>
          </cell>
        </row>
        <row r="22">
          <cell r="A22">
            <v>34582</v>
          </cell>
          <cell r="B22" t="str">
            <v>英国</v>
          </cell>
          <cell r="C22" t="str">
            <v>乳制品</v>
          </cell>
          <cell r="D22">
            <v>40</v>
          </cell>
        </row>
        <row r="23">
          <cell r="A23">
            <v>34582</v>
          </cell>
          <cell r="B23" t="str">
            <v>英国</v>
          </cell>
          <cell r="C23" t="str">
            <v>海洋食品</v>
          </cell>
          <cell r="D23">
            <v>837.89999934285879</v>
          </cell>
        </row>
        <row r="24">
          <cell r="A24">
            <v>34582</v>
          </cell>
          <cell r="B24" t="str">
            <v>英国</v>
          </cell>
          <cell r="C24" t="str">
            <v>饮料</v>
          </cell>
          <cell r="D24">
            <v>451.43999964594838</v>
          </cell>
        </row>
        <row r="25">
          <cell r="A25">
            <v>34586</v>
          </cell>
          <cell r="B25" t="str">
            <v>英国</v>
          </cell>
          <cell r="C25" t="str">
            <v>农产品</v>
          </cell>
          <cell r="D25">
            <v>728</v>
          </cell>
        </row>
        <row r="26">
          <cell r="A26">
            <v>34586</v>
          </cell>
          <cell r="B26" t="str">
            <v>英国</v>
          </cell>
          <cell r="C26" t="str">
            <v>糖果</v>
          </cell>
          <cell r="D26">
            <v>472.8</v>
          </cell>
        </row>
        <row r="27">
          <cell r="A27">
            <v>34590</v>
          </cell>
          <cell r="B27" t="str">
            <v>英国</v>
          </cell>
          <cell r="C27" t="str">
            <v>肉/家禽</v>
          </cell>
          <cell r="D27">
            <v>351</v>
          </cell>
        </row>
        <row r="28">
          <cell r="A28">
            <v>34596</v>
          </cell>
          <cell r="B28" t="str">
            <v>英国</v>
          </cell>
          <cell r="C28" t="str">
            <v>糖果</v>
          </cell>
          <cell r="D28">
            <v>394.875</v>
          </cell>
        </row>
        <row r="29">
          <cell r="A29">
            <v>34596</v>
          </cell>
          <cell r="B29" t="str">
            <v>英国</v>
          </cell>
          <cell r="C29" t="str">
            <v>香料</v>
          </cell>
          <cell r="D29">
            <v>325.5</v>
          </cell>
        </row>
        <row r="30">
          <cell r="A30">
            <v>34596</v>
          </cell>
          <cell r="B30" t="str">
            <v>英国</v>
          </cell>
          <cell r="C30" t="str">
            <v>乳制品</v>
          </cell>
          <cell r="D30">
            <v>408</v>
          </cell>
        </row>
        <row r="31">
          <cell r="A31">
            <v>34596</v>
          </cell>
          <cell r="B31" t="str">
            <v>英国</v>
          </cell>
          <cell r="C31" t="str">
            <v>饮料</v>
          </cell>
          <cell r="D31">
            <v>42</v>
          </cell>
        </row>
        <row r="32">
          <cell r="A32">
            <v>34597</v>
          </cell>
          <cell r="B32" t="str">
            <v>英国</v>
          </cell>
          <cell r="C32" t="str">
            <v>饮料</v>
          </cell>
          <cell r="D32">
            <v>518.39999806880951</v>
          </cell>
        </row>
        <row r="33">
          <cell r="A33">
            <v>34597</v>
          </cell>
          <cell r="B33" t="str">
            <v>英国</v>
          </cell>
          <cell r="C33" t="str">
            <v>海洋食品</v>
          </cell>
          <cell r="D33">
            <v>470.39999824762344</v>
          </cell>
        </row>
        <row r="34">
          <cell r="A34">
            <v>34597</v>
          </cell>
          <cell r="B34" t="str">
            <v>英国</v>
          </cell>
          <cell r="C34" t="str">
            <v>肉/家禽</v>
          </cell>
          <cell r="D34">
            <v>754.55999718904502</v>
          </cell>
        </row>
        <row r="35">
          <cell r="A35">
            <v>34598</v>
          </cell>
          <cell r="B35" t="str">
            <v>英国</v>
          </cell>
          <cell r="C35" t="str">
            <v>饮料</v>
          </cell>
          <cell r="D35">
            <v>1440</v>
          </cell>
        </row>
        <row r="36">
          <cell r="A36">
            <v>34598</v>
          </cell>
          <cell r="B36" t="str">
            <v>英国</v>
          </cell>
          <cell r="C36" t="str">
            <v>糖果</v>
          </cell>
          <cell r="D36">
            <v>1576</v>
          </cell>
        </row>
        <row r="37">
          <cell r="A37">
            <v>34607</v>
          </cell>
          <cell r="B37" t="str">
            <v>法国</v>
          </cell>
          <cell r="C37" t="str">
            <v>饮料</v>
          </cell>
          <cell r="D37">
            <v>259.2</v>
          </cell>
        </row>
        <row r="38">
          <cell r="A38">
            <v>34607</v>
          </cell>
          <cell r="B38" t="str">
            <v>法国</v>
          </cell>
          <cell r="C38" t="str">
            <v>肉/家禽</v>
          </cell>
          <cell r="D38">
            <v>468</v>
          </cell>
        </row>
        <row r="39">
          <cell r="A39">
            <v>34607</v>
          </cell>
          <cell r="B39" t="str">
            <v>法国</v>
          </cell>
          <cell r="C39" t="str">
            <v>饮料</v>
          </cell>
          <cell r="D39">
            <v>552</v>
          </cell>
        </row>
        <row r="40">
          <cell r="A40">
            <v>34607</v>
          </cell>
          <cell r="B40" t="str">
            <v>法国</v>
          </cell>
          <cell r="C40" t="str">
            <v>乳制品</v>
          </cell>
          <cell r="D40">
            <v>571.20000000000005</v>
          </cell>
        </row>
        <row r="41">
          <cell r="A41">
            <v>34607</v>
          </cell>
          <cell r="B41" t="str">
            <v>法国</v>
          </cell>
          <cell r="C41" t="str">
            <v>饮料</v>
          </cell>
          <cell r="D41">
            <v>37.200000000000003</v>
          </cell>
        </row>
        <row r="42">
          <cell r="A42">
            <v>34617</v>
          </cell>
          <cell r="B42" t="str">
            <v>英国</v>
          </cell>
          <cell r="C42" t="str">
            <v>海洋食品</v>
          </cell>
          <cell r="D42">
            <v>147</v>
          </cell>
        </row>
        <row r="43">
          <cell r="A43">
            <v>34617</v>
          </cell>
          <cell r="B43" t="str">
            <v>英国</v>
          </cell>
          <cell r="C43" t="str">
            <v>面食/谷类</v>
          </cell>
          <cell r="D43">
            <v>608</v>
          </cell>
        </row>
        <row r="44">
          <cell r="A44">
            <v>34621</v>
          </cell>
          <cell r="B44" t="str">
            <v>法国</v>
          </cell>
          <cell r="C44" t="str">
            <v>海洋食品</v>
          </cell>
          <cell r="D44">
            <v>1124.9999981373549</v>
          </cell>
        </row>
        <row r="45">
          <cell r="A45">
            <v>34621</v>
          </cell>
          <cell r="B45" t="str">
            <v>法国</v>
          </cell>
          <cell r="C45" t="str">
            <v>肉/家禽</v>
          </cell>
          <cell r="D45">
            <v>2227.4999963119626</v>
          </cell>
        </row>
        <row r="46">
          <cell r="A46">
            <v>34621</v>
          </cell>
          <cell r="B46" t="str">
            <v>法国</v>
          </cell>
          <cell r="C46" t="str">
            <v>饮料</v>
          </cell>
          <cell r="D46">
            <v>388.79999935626984</v>
          </cell>
        </row>
        <row r="47">
          <cell r="A47">
            <v>34625</v>
          </cell>
          <cell r="B47" t="str">
            <v>法国</v>
          </cell>
          <cell r="C47" t="str">
            <v>糖果</v>
          </cell>
          <cell r="D47">
            <v>394</v>
          </cell>
        </row>
        <row r="48">
          <cell r="A48">
            <v>34625</v>
          </cell>
          <cell r="B48" t="str">
            <v>法国</v>
          </cell>
          <cell r="C48" t="str">
            <v>糖果</v>
          </cell>
          <cell r="D48">
            <v>30</v>
          </cell>
        </row>
        <row r="49">
          <cell r="A49">
            <v>34628</v>
          </cell>
          <cell r="B49" t="str">
            <v>法国</v>
          </cell>
          <cell r="C49" t="str">
            <v>糖果</v>
          </cell>
          <cell r="D49">
            <v>139</v>
          </cell>
        </row>
        <row r="50">
          <cell r="A50">
            <v>34628</v>
          </cell>
          <cell r="B50" t="str">
            <v>法国</v>
          </cell>
          <cell r="C50" t="str">
            <v>糖果</v>
          </cell>
          <cell r="D50">
            <v>197</v>
          </cell>
        </row>
        <row r="51">
          <cell r="A51">
            <v>34631</v>
          </cell>
          <cell r="B51" t="str">
            <v>英国</v>
          </cell>
          <cell r="C51" t="str">
            <v>农产品</v>
          </cell>
          <cell r="D51">
            <v>145.6</v>
          </cell>
        </row>
        <row r="52">
          <cell r="A52">
            <v>34631</v>
          </cell>
          <cell r="B52" t="str">
            <v>英国</v>
          </cell>
          <cell r="C52" t="str">
            <v>饮料</v>
          </cell>
          <cell r="D52">
            <v>883.2</v>
          </cell>
        </row>
        <row r="53">
          <cell r="A53">
            <v>34631</v>
          </cell>
          <cell r="B53" t="str">
            <v>英国</v>
          </cell>
          <cell r="C53" t="str">
            <v>肉/家禽</v>
          </cell>
          <cell r="D53">
            <v>524</v>
          </cell>
        </row>
        <row r="54">
          <cell r="A54">
            <v>34631</v>
          </cell>
          <cell r="B54" t="str">
            <v>英国</v>
          </cell>
          <cell r="C54" t="str">
            <v>饮料</v>
          </cell>
          <cell r="D54">
            <v>62</v>
          </cell>
        </row>
        <row r="55">
          <cell r="A55">
            <v>34632</v>
          </cell>
          <cell r="B55" t="str">
            <v>英国</v>
          </cell>
          <cell r="C55" t="str">
            <v>海洋食品</v>
          </cell>
          <cell r="D55">
            <v>182.4</v>
          </cell>
        </row>
        <row r="56">
          <cell r="A56">
            <v>34633</v>
          </cell>
          <cell r="B56" t="str">
            <v>法国</v>
          </cell>
          <cell r="C56" t="str">
            <v>乳制品</v>
          </cell>
          <cell r="D56">
            <v>921.59999847412109</v>
          </cell>
        </row>
        <row r="57">
          <cell r="A57">
            <v>34633</v>
          </cell>
          <cell r="B57" t="str">
            <v>法国</v>
          </cell>
          <cell r="C57" t="str">
            <v>海洋食品</v>
          </cell>
          <cell r="D57">
            <v>286.19999952614307</v>
          </cell>
        </row>
        <row r="58">
          <cell r="A58">
            <v>34633</v>
          </cell>
          <cell r="B58" t="str">
            <v>法国</v>
          </cell>
          <cell r="C58" t="str">
            <v>糖果</v>
          </cell>
          <cell r="D58">
            <v>886.49999853223562</v>
          </cell>
        </row>
        <row r="59">
          <cell r="A59">
            <v>34635</v>
          </cell>
          <cell r="B59" t="str">
            <v>法国</v>
          </cell>
          <cell r="C59" t="str">
            <v>海洋食品</v>
          </cell>
          <cell r="D59">
            <v>77</v>
          </cell>
        </row>
        <row r="60">
          <cell r="A60">
            <v>34635</v>
          </cell>
          <cell r="B60" t="str">
            <v>法国</v>
          </cell>
          <cell r="C60" t="str">
            <v>糖果</v>
          </cell>
          <cell r="D60">
            <v>2758</v>
          </cell>
        </row>
        <row r="61">
          <cell r="A61">
            <v>34638</v>
          </cell>
          <cell r="B61" t="str">
            <v>法国</v>
          </cell>
          <cell r="C61" t="str">
            <v>饮料</v>
          </cell>
          <cell r="D61">
            <v>288</v>
          </cell>
        </row>
        <row r="62">
          <cell r="A62">
            <v>34645</v>
          </cell>
          <cell r="B62" t="str">
            <v>英国</v>
          </cell>
          <cell r="C62" t="str">
            <v>香料</v>
          </cell>
          <cell r="D62">
            <v>62</v>
          </cell>
        </row>
        <row r="63">
          <cell r="A63">
            <v>34645</v>
          </cell>
          <cell r="B63" t="str">
            <v>英国</v>
          </cell>
          <cell r="C63" t="str">
            <v>糖果</v>
          </cell>
          <cell r="D63">
            <v>44.8</v>
          </cell>
        </row>
        <row r="64">
          <cell r="A64">
            <v>34645</v>
          </cell>
          <cell r="B64" t="str">
            <v>英国</v>
          </cell>
          <cell r="C64" t="str">
            <v>饮料</v>
          </cell>
          <cell r="D64">
            <v>57.6</v>
          </cell>
        </row>
        <row r="65">
          <cell r="A65">
            <v>34646</v>
          </cell>
          <cell r="B65" t="str">
            <v>法国</v>
          </cell>
          <cell r="C65" t="str">
            <v>糖果</v>
          </cell>
          <cell r="D65">
            <v>248.1149982601404</v>
          </cell>
        </row>
        <row r="66">
          <cell r="A66">
            <v>34646</v>
          </cell>
          <cell r="B66" t="str">
            <v>法国</v>
          </cell>
          <cell r="C66" t="str">
            <v>饮料</v>
          </cell>
          <cell r="D66">
            <v>856.79999399185181</v>
          </cell>
        </row>
        <row r="67">
          <cell r="A67">
            <v>34646</v>
          </cell>
          <cell r="B67" t="str">
            <v>法国</v>
          </cell>
          <cell r="C67" t="str">
            <v>海洋食品</v>
          </cell>
          <cell r="D67">
            <v>288</v>
          </cell>
        </row>
        <row r="68">
          <cell r="A68">
            <v>34646</v>
          </cell>
          <cell r="B68" t="str">
            <v>法国</v>
          </cell>
          <cell r="C68" t="str">
            <v>乳制品</v>
          </cell>
          <cell r="D68">
            <v>1495.9999895095825</v>
          </cell>
        </row>
        <row r="69">
          <cell r="A69">
            <v>34646</v>
          </cell>
          <cell r="B69" t="str">
            <v>法国</v>
          </cell>
          <cell r="C69" t="str">
            <v>香料</v>
          </cell>
          <cell r="D69">
            <v>2386.7999832630157</v>
          </cell>
        </row>
        <row r="70">
          <cell r="A70">
            <v>34647</v>
          </cell>
          <cell r="B70" t="str">
            <v>英国</v>
          </cell>
          <cell r="C70" t="str">
            <v>香料</v>
          </cell>
          <cell r="D70">
            <v>120</v>
          </cell>
        </row>
        <row r="71">
          <cell r="A71">
            <v>34647</v>
          </cell>
          <cell r="B71" t="str">
            <v>英国</v>
          </cell>
          <cell r="C71" t="str">
            <v>海洋食品</v>
          </cell>
          <cell r="D71">
            <v>57.6</v>
          </cell>
        </row>
        <row r="72">
          <cell r="A72">
            <v>34647</v>
          </cell>
          <cell r="B72" t="str">
            <v>英国</v>
          </cell>
          <cell r="C72" t="str">
            <v>农产品</v>
          </cell>
          <cell r="D72">
            <v>167.4</v>
          </cell>
        </row>
        <row r="73">
          <cell r="A73">
            <v>34647</v>
          </cell>
          <cell r="B73" t="str">
            <v>英国</v>
          </cell>
          <cell r="C73" t="str">
            <v>乳制品</v>
          </cell>
          <cell r="D73">
            <v>40</v>
          </cell>
        </row>
        <row r="74">
          <cell r="A74">
            <v>34647</v>
          </cell>
          <cell r="B74" t="str">
            <v>英国</v>
          </cell>
          <cell r="C74" t="str">
            <v>乳制品</v>
          </cell>
          <cell r="D74">
            <v>1112</v>
          </cell>
        </row>
        <row r="75">
          <cell r="A75">
            <v>34653</v>
          </cell>
          <cell r="B75" t="str">
            <v>法国</v>
          </cell>
          <cell r="C75" t="str">
            <v>糖果</v>
          </cell>
          <cell r="D75">
            <v>69.349999945610762</v>
          </cell>
        </row>
        <row r="76">
          <cell r="A76">
            <v>34653</v>
          </cell>
          <cell r="B76" t="str">
            <v>法国</v>
          </cell>
          <cell r="C76" t="str">
            <v>海洋食品</v>
          </cell>
          <cell r="D76">
            <v>157.31999987661837</v>
          </cell>
        </row>
        <row r="77">
          <cell r="A77">
            <v>34653</v>
          </cell>
          <cell r="B77" t="str">
            <v>法国</v>
          </cell>
          <cell r="C77" t="str">
            <v>饮料</v>
          </cell>
          <cell r="D77">
            <v>4005.1999968588352</v>
          </cell>
        </row>
        <row r="78">
          <cell r="A78">
            <v>34653</v>
          </cell>
          <cell r="B78" t="str">
            <v>法国</v>
          </cell>
          <cell r="C78" t="str">
            <v>面食/谷类</v>
          </cell>
          <cell r="D78">
            <v>346.55999972820285</v>
          </cell>
        </row>
        <row r="79">
          <cell r="A79">
            <v>34662</v>
          </cell>
          <cell r="B79" t="str">
            <v>英国</v>
          </cell>
          <cell r="C79" t="str">
            <v>面食/谷类</v>
          </cell>
          <cell r="D79">
            <v>288</v>
          </cell>
        </row>
        <row r="80">
          <cell r="A80">
            <v>34662</v>
          </cell>
          <cell r="B80" t="str">
            <v>英国</v>
          </cell>
          <cell r="C80" t="str">
            <v>糖果</v>
          </cell>
          <cell r="D80">
            <v>597.6</v>
          </cell>
        </row>
        <row r="81">
          <cell r="A81">
            <v>34662</v>
          </cell>
          <cell r="B81" t="str">
            <v>英国</v>
          </cell>
          <cell r="C81" t="str">
            <v>海洋食品</v>
          </cell>
          <cell r="D81">
            <v>304</v>
          </cell>
        </row>
        <row r="82">
          <cell r="A82">
            <v>34662</v>
          </cell>
          <cell r="B82" t="str">
            <v>英国</v>
          </cell>
          <cell r="C82" t="str">
            <v>海洋食品</v>
          </cell>
          <cell r="D82">
            <v>582.4</v>
          </cell>
        </row>
        <row r="83">
          <cell r="A83">
            <v>34662</v>
          </cell>
          <cell r="B83" t="str">
            <v>英国</v>
          </cell>
          <cell r="C83" t="str">
            <v>乳制品</v>
          </cell>
          <cell r="D83">
            <v>695</v>
          </cell>
        </row>
        <row r="84">
          <cell r="A84">
            <v>34663</v>
          </cell>
          <cell r="B84" t="str">
            <v>法国</v>
          </cell>
          <cell r="C84" t="str">
            <v>肉/家禽</v>
          </cell>
          <cell r="D84">
            <v>624</v>
          </cell>
        </row>
        <row r="85">
          <cell r="A85">
            <v>34663</v>
          </cell>
          <cell r="B85" t="str">
            <v>法国</v>
          </cell>
          <cell r="C85" t="str">
            <v>海洋食品</v>
          </cell>
          <cell r="D85">
            <v>310.5</v>
          </cell>
        </row>
        <row r="86">
          <cell r="A86">
            <v>34668</v>
          </cell>
          <cell r="B86" t="str">
            <v>英国</v>
          </cell>
          <cell r="C86" t="str">
            <v>饮料</v>
          </cell>
          <cell r="D86">
            <v>291.83999891281127</v>
          </cell>
        </row>
        <row r="87">
          <cell r="A87">
            <v>34668</v>
          </cell>
          <cell r="B87" t="str">
            <v>英国</v>
          </cell>
          <cell r="C87" t="str">
            <v>乳制品</v>
          </cell>
          <cell r="D87">
            <v>447.99999833106995</v>
          </cell>
        </row>
        <row r="88">
          <cell r="A88">
            <v>34668</v>
          </cell>
          <cell r="B88" t="str">
            <v>英国</v>
          </cell>
          <cell r="C88" t="str">
            <v>海洋食品</v>
          </cell>
          <cell r="D88">
            <v>486.3999981880188</v>
          </cell>
        </row>
        <row r="89">
          <cell r="A89">
            <v>34668</v>
          </cell>
          <cell r="B89" t="str">
            <v>英国</v>
          </cell>
          <cell r="C89" t="str">
            <v>肉/家禽</v>
          </cell>
          <cell r="D89">
            <v>614.39999771118164</v>
          </cell>
        </row>
        <row r="90">
          <cell r="A90">
            <v>34669</v>
          </cell>
          <cell r="B90" t="str">
            <v>英国</v>
          </cell>
          <cell r="C90" t="str">
            <v>面食/谷类</v>
          </cell>
          <cell r="D90">
            <v>1330</v>
          </cell>
        </row>
        <row r="91">
          <cell r="A91">
            <v>34669</v>
          </cell>
          <cell r="B91" t="str">
            <v>英国</v>
          </cell>
          <cell r="C91" t="str">
            <v>糖果</v>
          </cell>
          <cell r="D91">
            <v>37.999999970197678</v>
          </cell>
        </row>
        <row r="92">
          <cell r="A92">
            <v>34669</v>
          </cell>
          <cell r="B92" t="str">
            <v>英国</v>
          </cell>
          <cell r="C92" t="str">
            <v>饮料</v>
          </cell>
          <cell r="D92">
            <v>216</v>
          </cell>
        </row>
        <row r="93">
          <cell r="A93">
            <v>34670</v>
          </cell>
          <cell r="B93" t="str">
            <v>法国</v>
          </cell>
          <cell r="C93" t="str">
            <v>香料</v>
          </cell>
          <cell r="D93">
            <v>616</v>
          </cell>
        </row>
        <row r="94">
          <cell r="A94">
            <v>34670</v>
          </cell>
          <cell r="B94" t="str">
            <v>法国</v>
          </cell>
          <cell r="C94" t="str">
            <v>香料</v>
          </cell>
          <cell r="D94">
            <v>1680</v>
          </cell>
        </row>
        <row r="95">
          <cell r="A95">
            <v>34673</v>
          </cell>
          <cell r="B95" t="str">
            <v>英国</v>
          </cell>
          <cell r="C95" t="str">
            <v>香料</v>
          </cell>
          <cell r="D95">
            <v>2240</v>
          </cell>
        </row>
        <row r="96">
          <cell r="A96">
            <v>34673</v>
          </cell>
          <cell r="B96" t="str">
            <v>英国</v>
          </cell>
          <cell r="C96" t="str">
            <v>糖果</v>
          </cell>
          <cell r="D96">
            <v>584</v>
          </cell>
        </row>
        <row r="97">
          <cell r="A97">
            <v>34673</v>
          </cell>
          <cell r="B97" t="str">
            <v>英国</v>
          </cell>
          <cell r="C97" t="str">
            <v>面食/谷类</v>
          </cell>
          <cell r="D97">
            <v>100.8</v>
          </cell>
        </row>
        <row r="98">
          <cell r="A98">
            <v>34674</v>
          </cell>
          <cell r="B98" t="str">
            <v>法国</v>
          </cell>
          <cell r="C98" t="str">
            <v>肉/家禽</v>
          </cell>
          <cell r="D98">
            <v>1010.8799983263016</v>
          </cell>
        </row>
        <row r="99">
          <cell r="A99">
            <v>34674</v>
          </cell>
          <cell r="B99" t="str">
            <v>法国</v>
          </cell>
          <cell r="C99" t="str">
            <v>面食/谷类</v>
          </cell>
          <cell r="D99">
            <v>608</v>
          </cell>
        </row>
        <row r="100">
          <cell r="A100">
            <v>34676</v>
          </cell>
          <cell r="B100" t="str">
            <v>英国</v>
          </cell>
          <cell r="C100" t="str">
            <v>饮料</v>
          </cell>
          <cell r="D100">
            <v>183.59999871253967</v>
          </cell>
        </row>
        <row r="101">
          <cell r="A101">
            <v>34676</v>
          </cell>
          <cell r="B101" t="str">
            <v>英国</v>
          </cell>
          <cell r="C101" t="str">
            <v>面食/谷类</v>
          </cell>
          <cell r="D101">
            <v>180</v>
          </cell>
        </row>
        <row r="102">
          <cell r="A102">
            <v>34677</v>
          </cell>
          <cell r="B102" t="str">
            <v>法国</v>
          </cell>
          <cell r="C102" t="str">
            <v>肉/家禽</v>
          </cell>
          <cell r="D102">
            <v>141.6</v>
          </cell>
        </row>
        <row r="103">
          <cell r="A103">
            <v>34687</v>
          </cell>
          <cell r="B103" t="str">
            <v>英国</v>
          </cell>
          <cell r="C103" t="str">
            <v>乳制品</v>
          </cell>
          <cell r="D103">
            <v>300</v>
          </cell>
        </row>
        <row r="104">
          <cell r="A104">
            <v>34687</v>
          </cell>
          <cell r="B104" t="str">
            <v>英国</v>
          </cell>
          <cell r="C104" t="str">
            <v>肉/家禽</v>
          </cell>
          <cell r="D104">
            <v>230.4</v>
          </cell>
        </row>
        <row r="105">
          <cell r="A105">
            <v>34687</v>
          </cell>
          <cell r="B105" t="str">
            <v>英国</v>
          </cell>
          <cell r="C105" t="str">
            <v>乳制品</v>
          </cell>
          <cell r="D105">
            <v>576</v>
          </cell>
        </row>
        <row r="106">
          <cell r="A106">
            <v>34691</v>
          </cell>
          <cell r="B106" t="str">
            <v>英国</v>
          </cell>
          <cell r="C106" t="str">
            <v>饮料</v>
          </cell>
          <cell r="D106">
            <v>699.83999884128571</v>
          </cell>
        </row>
        <row r="107">
          <cell r="A107">
            <v>34691</v>
          </cell>
          <cell r="B107" t="str">
            <v>英国</v>
          </cell>
          <cell r="C107" t="str">
            <v>乳制品</v>
          </cell>
          <cell r="D107">
            <v>1346.3999977707863</v>
          </cell>
        </row>
        <row r="108">
          <cell r="A108">
            <v>34695</v>
          </cell>
          <cell r="B108" t="str">
            <v>英国</v>
          </cell>
          <cell r="C108" t="str">
            <v>乳制品</v>
          </cell>
          <cell r="D108">
            <v>200</v>
          </cell>
        </row>
        <row r="109">
          <cell r="A109">
            <v>34695</v>
          </cell>
          <cell r="B109" t="str">
            <v>英国</v>
          </cell>
          <cell r="C109" t="str">
            <v>饮料</v>
          </cell>
          <cell r="D109">
            <v>74.400000000000006</v>
          </cell>
        </row>
        <row r="110">
          <cell r="A110">
            <v>34695</v>
          </cell>
          <cell r="B110" t="str">
            <v>英国</v>
          </cell>
          <cell r="C110" t="str">
            <v>饮料</v>
          </cell>
          <cell r="D110">
            <v>172.8</v>
          </cell>
        </row>
        <row r="111">
          <cell r="A111">
            <v>34701</v>
          </cell>
          <cell r="B111" t="str">
            <v>法国</v>
          </cell>
          <cell r="C111" t="str">
            <v>肉/家禽</v>
          </cell>
          <cell r="D111">
            <v>1980</v>
          </cell>
        </row>
        <row r="112">
          <cell r="A112">
            <v>34701</v>
          </cell>
          <cell r="B112" t="str">
            <v>法国</v>
          </cell>
          <cell r="C112" t="str">
            <v>面食/谷类</v>
          </cell>
          <cell r="D112">
            <v>410.4</v>
          </cell>
        </row>
        <row r="113">
          <cell r="A113">
            <v>34705</v>
          </cell>
          <cell r="B113" t="str">
            <v>法国</v>
          </cell>
          <cell r="C113" t="str">
            <v>农产品</v>
          </cell>
          <cell r="D113">
            <v>279</v>
          </cell>
        </row>
        <row r="114">
          <cell r="A114">
            <v>34705</v>
          </cell>
          <cell r="B114" t="str">
            <v>法国</v>
          </cell>
          <cell r="C114" t="str">
            <v>肉/家禽</v>
          </cell>
          <cell r="D114">
            <v>59</v>
          </cell>
        </row>
        <row r="115">
          <cell r="A115">
            <v>34716</v>
          </cell>
          <cell r="B115" t="str">
            <v>法国</v>
          </cell>
          <cell r="C115" t="str">
            <v>农产品</v>
          </cell>
          <cell r="D115">
            <v>191.99999928474426</v>
          </cell>
        </row>
        <row r="116">
          <cell r="A116">
            <v>34716</v>
          </cell>
          <cell r="B116" t="str">
            <v>法国</v>
          </cell>
          <cell r="C116" t="str">
            <v>乳制品</v>
          </cell>
          <cell r="D116">
            <v>435.19999837875366</v>
          </cell>
        </row>
        <row r="117">
          <cell r="A117">
            <v>34716</v>
          </cell>
          <cell r="B117" t="str">
            <v>法国</v>
          </cell>
          <cell r="C117" t="str">
            <v>糖果</v>
          </cell>
          <cell r="D117">
            <v>63.999999761581421</v>
          </cell>
        </row>
        <row r="118">
          <cell r="A118">
            <v>34722</v>
          </cell>
          <cell r="B118" t="str">
            <v>英国</v>
          </cell>
          <cell r="C118" t="str">
            <v>海洋食品</v>
          </cell>
          <cell r="D118">
            <v>86.4</v>
          </cell>
        </row>
        <row r="119">
          <cell r="A119">
            <v>34724</v>
          </cell>
          <cell r="B119" t="str">
            <v>法国</v>
          </cell>
          <cell r="C119" t="str">
            <v>饮料</v>
          </cell>
          <cell r="D119">
            <v>285</v>
          </cell>
        </row>
        <row r="120">
          <cell r="A120">
            <v>34724</v>
          </cell>
          <cell r="B120" t="str">
            <v>法国</v>
          </cell>
          <cell r="C120" t="str">
            <v>农产品</v>
          </cell>
          <cell r="D120">
            <v>585.9</v>
          </cell>
        </row>
        <row r="121">
          <cell r="A121">
            <v>34724</v>
          </cell>
          <cell r="B121" t="str">
            <v>法国</v>
          </cell>
          <cell r="C121" t="str">
            <v>糖果</v>
          </cell>
          <cell r="D121">
            <v>58.8</v>
          </cell>
        </row>
        <row r="122">
          <cell r="A122">
            <v>34724</v>
          </cell>
          <cell r="B122" t="str">
            <v>法国</v>
          </cell>
          <cell r="C122" t="str">
            <v>糖果</v>
          </cell>
          <cell r="D122">
            <v>1307.25</v>
          </cell>
        </row>
        <row r="123">
          <cell r="A123">
            <v>34724</v>
          </cell>
          <cell r="B123" t="str">
            <v>法国</v>
          </cell>
          <cell r="C123" t="str">
            <v>乳制品</v>
          </cell>
          <cell r="D123">
            <v>320</v>
          </cell>
        </row>
        <row r="124">
          <cell r="A124">
            <v>34724</v>
          </cell>
          <cell r="B124" t="str">
            <v>法国</v>
          </cell>
          <cell r="C124" t="str">
            <v>海洋食品</v>
          </cell>
          <cell r="D124">
            <v>48</v>
          </cell>
        </row>
        <row r="125">
          <cell r="A125">
            <v>34724</v>
          </cell>
          <cell r="B125" t="str">
            <v>法国</v>
          </cell>
          <cell r="C125" t="str">
            <v>糖果</v>
          </cell>
          <cell r="D125">
            <v>394</v>
          </cell>
        </row>
        <row r="126">
          <cell r="A126">
            <v>34726</v>
          </cell>
          <cell r="B126" t="str">
            <v>英国</v>
          </cell>
          <cell r="C126" t="str">
            <v>面食/谷类</v>
          </cell>
          <cell r="D126">
            <v>288</v>
          </cell>
        </row>
        <row r="127">
          <cell r="A127">
            <v>34726</v>
          </cell>
          <cell r="B127" t="str">
            <v>英国</v>
          </cell>
          <cell r="C127" t="str">
            <v>乳制品</v>
          </cell>
          <cell r="D127">
            <v>1032</v>
          </cell>
        </row>
        <row r="128">
          <cell r="A128">
            <v>34726</v>
          </cell>
          <cell r="B128" t="str">
            <v>英国</v>
          </cell>
          <cell r="C128" t="str">
            <v>乳制品</v>
          </cell>
          <cell r="D128">
            <v>583.79999999999995</v>
          </cell>
        </row>
        <row r="129">
          <cell r="A129">
            <v>34729</v>
          </cell>
          <cell r="B129" t="str">
            <v>法国</v>
          </cell>
          <cell r="C129" t="str">
            <v>饮料</v>
          </cell>
          <cell r="D129">
            <v>432</v>
          </cell>
        </row>
        <row r="130">
          <cell r="A130">
            <v>34729</v>
          </cell>
          <cell r="B130" t="str">
            <v>法国</v>
          </cell>
          <cell r="C130" t="str">
            <v>肉/家禽</v>
          </cell>
          <cell r="D130">
            <v>2073.5999965667725</v>
          </cell>
        </row>
        <row r="131">
          <cell r="A131">
            <v>34731</v>
          </cell>
          <cell r="B131" t="str">
            <v>法国</v>
          </cell>
          <cell r="C131" t="str">
            <v>海洋食品</v>
          </cell>
          <cell r="D131">
            <v>372.6</v>
          </cell>
        </row>
        <row r="132">
          <cell r="A132">
            <v>34731</v>
          </cell>
          <cell r="B132" t="str">
            <v>法国</v>
          </cell>
          <cell r="C132" t="str">
            <v>面食/谷类</v>
          </cell>
          <cell r="D132">
            <v>2128</v>
          </cell>
        </row>
        <row r="133">
          <cell r="A133">
            <v>34731</v>
          </cell>
          <cell r="B133" t="str">
            <v>法国</v>
          </cell>
          <cell r="C133" t="str">
            <v>香料</v>
          </cell>
          <cell r="D133">
            <v>336</v>
          </cell>
        </row>
        <row r="134">
          <cell r="A134">
            <v>34731</v>
          </cell>
          <cell r="B134" t="str">
            <v>法国</v>
          </cell>
          <cell r="C134" t="str">
            <v>乳制品</v>
          </cell>
          <cell r="D134">
            <v>1032</v>
          </cell>
        </row>
        <row r="135">
          <cell r="A135">
            <v>34737</v>
          </cell>
          <cell r="B135" t="str">
            <v>英国</v>
          </cell>
          <cell r="C135" t="str">
            <v>乳制品</v>
          </cell>
          <cell r="D135">
            <v>504</v>
          </cell>
        </row>
        <row r="136">
          <cell r="A136">
            <v>34737</v>
          </cell>
          <cell r="B136" t="str">
            <v>英国</v>
          </cell>
          <cell r="C136" t="str">
            <v>乳制品</v>
          </cell>
          <cell r="D136">
            <v>432</v>
          </cell>
        </row>
        <row r="137">
          <cell r="A137">
            <v>34737</v>
          </cell>
          <cell r="B137" t="str">
            <v>英国</v>
          </cell>
          <cell r="C137" t="str">
            <v>乳制品</v>
          </cell>
          <cell r="D137">
            <v>258</v>
          </cell>
        </row>
        <row r="138">
          <cell r="A138">
            <v>34745</v>
          </cell>
          <cell r="B138" t="str">
            <v>法国</v>
          </cell>
          <cell r="C138" t="str">
            <v>肉/家禽</v>
          </cell>
          <cell r="D138">
            <v>62.4</v>
          </cell>
        </row>
        <row r="139">
          <cell r="A139">
            <v>34745</v>
          </cell>
          <cell r="B139" t="str">
            <v>法国</v>
          </cell>
          <cell r="C139" t="str">
            <v>乳制品</v>
          </cell>
          <cell r="D139">
            <v>40</v>
          </cell>
        </row>
        <row r="140">
          <cell r="A140">
            <v>34747</v>
          </cell>
          <cell r="B140" t="str">
            <v>英国</v>
          </cell>
          <cell r="C140" t="str">
            <v>饮料</v>
          </cell>
          <cell r="D140">
            <v>912</v>
          </cell>
        </row>
        <row r="141">
          <cell r="A141">
            <v>34747</v>
          </cell>
          <cell r="B141" t="str">
            <v>英国</v>
          </cell>
          <cell r="C141" t="str">
            <v>糖果</v>
          </cell>
          <cell r="D141">
            <v>418</v>
          </cell>
        </row>
        <row r="142">
          <cell r="A142">
            <v>34747</v>
          </cell>
          <cell r="B142" t="str">
            <v>英国</v>
          </cell>
          <cell r="C142" t="str">
            <v>香料</v>
          </cell>
          <cell r="D142">
            <v>364.8</v>
          </cell>
        </row>
        <row r="143">
          <cell r="A143">
            <v>34747</v>
          </cell>
          <cell r="B143" t="str">
            <v>英国</v>
          </cell>
          <cell r="C143" t="str">
            <v>农产品</v>
          </cell>
          <cell r="D143">
            <v>120</v>
          </cell>
        </row>
        <row r="144">
          <cell r="A144">
            <v>34761</v>
          </cell>
          <cell r="B144" t="str">
            <v>法国</v>
          </cell>
          <cell r="C144" t="str">
            <v>糖果</v>
          </cell>
          <cell r="D144">
            <v>249</v>
          </cell>
        </row>
        <row r="145">
          <cell r="A145">
            <v>34761</v>
          </cell>
          <cell r="B145" t="str">
            <v>法国</v>
          </cell>
          <cell r="C145" t="str">
            <v>肉/家禽</v>
          </cell>
          <cell r="D145">
            <v>236</v>
          </cell>
        </row>
        <row r="146">
          <cell r="A146">
            <v>34767</v>
          </cell>
          <cell r="B146" t="str">
            <v>英国</v>
          </cell>
          <cell r="C146" t="str">
            <v>糖果</v>
          </cell>
          <cell r="D146">
            <v>87.59999967366457</v>
          </cell>
        </row>
        <row r="147">
          <cell r="A147">
            <v>34767</v>
          </cell>
          <cell r="B147" t="str">
            <v>英国</v>
          </cell>
          <cell r="C147" t="str">
            <v>饮料</v>
          </cell>
          <cell r="D147">
            <v>179.19999933242798</v>
          </cell>
        </row>
        <row r="148">
          <cell r="A148">
            <v>34767</v>
          </cell>
          <cell r="B148" t="str">
            <v>英国</v>
          </cell>
          <cell r="C148" t="str">
            <v>面食/谷类</v>
          </cell>
          <cell r="D148">
            <v>187.19999930262566</v>
          </cell>
        </row>
        <row r="149">
          <cell r="A149">
            <v>34771</v>
          </cell>
          <cell r="B149" t="str">
            <v>法国</v>
          </cell>
          <cell r="C149" t="str">
            <v>饮料</v>
          </cell>
          <cell r="D149">
            <v>581.3999959230423</v>
          </cell>
        </row>
        <row r="150">
          <cell r="A150">
            <v>34771</v>
          </cell>
          <cell r="B150" t="str">
            <v>法国</v>
          </cell>
          <cell r="C150" t="str">
            <v>糖果</v>
          </cell>
          <cell r="D150">
            <v>578.93499594032767</v>
          </cell>
        </row>
        <row r="151">
          <cell r="A151">
            <v>34771</v>
          </cell>
          <cell r="B151" t="str">
            <v>法国</v>
          </cell>
          <cell r="C151" t="str">
            <v>肉/家禽</v>
          </cell>
          <cell r="D151">
            <v>2019.5999858379364</v>
          </cell>
        </row>
        <row r="152">
          <cell r="A152">
            <v>34771</v>
          </cell>
          <cell r="B152" t="str">
            <v>法国</v>
          </cell>
          <cell r="C152" t="str">
            <v>香料</v>
          </cell>
          <cell r="D152">
            <v>1744.1999877691269</v>
          </cell>
        </row>
        <row r="153">
          <cell r="A153">
            <v>34771</v>
          </cell>
          <cell r="B153" t="str">
            <v>法国</v>
          </cell>
          <cell r="C153" t="str">
            <v>糖果</v>
          </cell>
          <cell r="D153">
            <v>1755</v>
          </cell>
        </row>
        <row r="154">
          <cell r="A154">
            <v>34775</v>
          </cell>
          <cell r="B154" t="str">
            <v>英国</v>
          </cell>
          <cell r="C154" t="str">
            <v>糖果</v>
          </cell>
          <cell r="D154">
            <v>78.839999869465828</v>
          </cell>
        </row>
        <row r="155">
          <cell r="A155">
            <v>34775</v>
          </cell>
          <cell r="B155" t="str">
            <v>英国</v>
          </cell>
          <cell r="C155" t="str">
            <v>饮料</v>
          </cell>
          <cell r="D155">
            <v>64.799999892711639</v>
          </cell>
        </row>
        <row r="156">
          <cell r="A156">
            <v>34775</v>
          </cell>
          <cell r="B156" t="str">
            <v>英国</v>
          </cell>
          <cell r="C156" t="str">
            <v>乳制品</v>
          </cell>
          <cell r="D156">
            <v>26.999999955296516</v>
          </cell>
        </row>
        <row r="157">
          <cell r="A157">
            <v>34775</v>
          </cell>
          <cell r="B157" t="str">
            <v>英国</v>
          </cell>
          <cell r="C157" t="str">
            <v>面食/谷类</v>
          </cell>
          <cell r="D157">
            <v>75.599999874830246</v>
          </cell>
        </row>
        <row r="158">
          <cell r="A158">
            <v>34780</v>
          </cell>
          <cell r="B158" t="str">
            <v>英国</v>
          </cell>
          <cell r="C158" t="str">
            <v>肉/家禽</v>
          </cell>
          <cell r="D158">
            <v>2073.5999965667725</v>
          </cell>
        </row>
        <row r="159">
          <cell r="A159">
            <v>34780</v>
          </cell>
          <cell r="B159" t="str">
            <v>英国</v>
          </cell>
          <cell r="C159" t="str">
            <v>面食/谷类</v>
          </cell>
          <cell r="D159">
            <v>837.89999861270189</v>
          </cell>
        </row>
        <row r="160">
          <cell r="A160">
            <v>34780</v>
          </cell>
          <cell r="B160" t="str">
            <v>英国</v>
          </cell>
          <cell r="C160" t="str">
            <v>香料</v>
          </cell>
          <cell r="D160">
            <v>423.35999929904938</v>
          </cell>
        </row>
        <row r="161">
          <cell r="A161">
            <v>34780</v>
          </cell>
          <cell r="B161" t="str">
            <v>英国</v>
          </cell>
          <cell r="C161" t="str">
            <v>香料</v>
          </cell>
          <cell r="D161">
            <v>514.79999914765358</v>
          </cell>
        </row>
        <row r="162">
          <cell r="A162">
            <v>34781</v>
          </cell>
          <cell r="B162" t="str">
            <v>法国</v>
          </cell>
          <cell r="C162" t="str">
            <v>农产品</v>
          </cell>
          <cell r="D162">
            <v>546</v>
          </cell>
        </row>
        <row r="163">
          <cell r="A163">
            <v>34781</v>
          </cell>
          <cell r="B163" t="str">
            <v>法国</v>
          </cell>
          <cell r="C163" t="str">
            <v>香料</v>
          </cell>
          <cell r="D163">
            <v>1472.49999884516</v>
          </cell>
        </row>
        <row r="164">
          <cell r="A164">
            <v>34786</v>
          </cell>
          <cell r="B164" t="str">
            <v>英国</v>
          </cell>
          <cell r="C164" t="str">
            <v>糖果</v>
          </cell>
          <cell r="D164">
            <v>271.99999809265137</v>
          </cell>
        </row>
        <row r="165">
          <cell r="A165">
            <v>34786</v>
          </cell>
          <cell r="B165" t="str">
            <v>英国</v>
          </cell>
          <cell r="C165" t="str">
            <v>糖果</v>
          </cell>
          <cell r="D165">
            <v>285.59999799728394</v>
          </cell>
        </row>
        <row r="166">
          <cell r="A166">
            <v>34786</v>
          </cell>
          <cell r="B166" t="str">
            <v>英国</v>
          </cell>
          <cell r="C166" t="str">
            <v>乳制品</v>
          </cell>
          <cell r="D166">
            <v>1584</v>
          </cell>
        </row>
        <row r="167">
          <cell r="A167">
            <v>34796</v>
          </cell>
          <cell r="B167" t="str">
            <v>英国</v>
          </cell>
          <cell r="C167" t="str">
            <v>海洋食品</v>
          </cell>
          <cell r="D167">
            <v>165.6</v>
          </cell>
        </row>
        <row r="168">
          <cell r="A168">
            <v>34796</v>
          </cell>
          <cell r="B168" t="str">
            <v>英国</v>
          </cell>
          <cell r="C168" t="str">
            <v>饮料</v>
          </cell>
          <cell r="D168">
            <v>552</v>
          </cell>
        </row>
        <row r="169">
          <cell r="A169">
            <v>34799</v>
          </cell>
          <cell r="B169" t="str">
            <v>法国</v>
          </cell>
          <cell r="C169" t="str">
            <v>饮料</v>
          </cell>
          <cell r="D169">
            <v>516.7999963760376</v>
          </cell>
        </row>
        <row r="170">
          <cell r="A170">
            <v>34799</v>
          </cell>
          <cell r="B170" t="str">
            <v>法国</v>
          </cell>
          <cell r="C170" t="str">
            <v>糖果</v>
          </cell>
          <cell r="D170">
            <v>413.52499710023403</v>
          </cell>
        </row>
        <row r="171">
          <cell r="A171">
            <v>34799</v>
          </cell>
          <cell r="B171" t="str">
            <v>法国</v>
          </cell>
          <cell r="C171" t="str">
            <v>香料</v>
          </cell>
          <cell r="D171">
            <v>26.349999815225601</v>
          </cell>
        </row>
        <row r="172">
          <cell r="A172">
            <v>34808</v>
          </cell>
          <cell r="B172" t="str">
            <v>法国</v>
          </cell>
          <cell r="C172" t="str">
            <v>饮料</v>
          </cell>
          <cell r="D172">
            <v>6324</v>
          </cell>
        </row>
        <row r="173">
          <cell r="A173">
            <v>34808</v>
          </cell>
          <cell r="B173" t="str">
            <v>法国</v>
          </cell>
          <cell r="C173" t="str">
            <v>肉/家禽</v>
          </cell>
          <cell r="D173">
            <v>733.6</v>
          </cell>
        </row>
        <row r="174">
          <cell r="A174">
            <v>34808</v>
          </cell>
          <cell r="B174" t="str">
            <v>法国</v>
          </cell>
          <cell r="C174" t="str">
            <v>乳制品</v>
          </cell>
          <cell r="D174">
            <v>2640</v>
          </cell>
        </row>
        <row r="175">
          <cell r="A175">
            <v>34808</v>
          </cell>
          <cell r="B175" t="str">
            <v>法国</v>
          </cell>
          <cell r="C175" t="str">
            <v>面食/谷类</v>
          </cell>
          <cell r="D175">
            <v>798</v>
          </cell>
        </row>
        <row r="176">
          <cell r="A176">
            <v>34810</v>
          </cell>
          <cell r="B176" t="str">
            <v>法国</v>
          </cell>
          <cell r="C176" t="str">
            <v>海洋食品</v>
          </cell>
          <cell r="D176">
            <v>147</v>
          </cell>
        </row>
        <row r="177">
          <cell r="A177">
            <v>34813</v>
          </cell>
          <cell r="B177" t="str">
            <v>法国</v>
          </cell>
          <cell r="C177" t="str">
            <v>饮料</v>
          </cell>
          <cell r="D177">
            <v>372.39999970793724</v>
          </cell>
        </row>
        <row r="178">
          <cell r="A178">
            <v>34813</v>
          </cell>
          <cell r="B178" t="str">
            <v>法国</v>
          </cell>
          <cell r="C178" t="str">
            <v>香料</v>
          </cell>
          <cell r="D178">
            <v>296.39999976754189</v>
          </cell>
        </row>
        <row r="179">
          <cell r="A179">
            <v>34816</v>
          </cell>
          <cell r="B179" t="str">
            <v>英国</v>
          </cell>
          <cell r="C179" t="str">
            <v>乳制品</v>
          </cell>
          <cell r="D179">
            <v>1320</v>
          </cell>
        </row>
        <row r="180">
          <cell r="A180">
            <v>34816</v>
          </cell>
          <cell r="B180" t="str">
            <v>英国</v>
          </cell>
          <cell r="C180" t="str">
            <v>海洋食品</v>
          </cell>
          <cell r="D180">
            <v>191.99999928474426</v>
          </cell>
        </row>
        <row r="181">
          <cell r="A181">
            <v>34824</v>
          </cell>
          <cell r="B181" t="str">
            <v>英国</v>
          </cell>
          <cell r="C181" t="str">
            <v>面食/谷类</v>
          </cell>
          <cell r="D181">
            <v>425.6</v>
          </cell>
        </row>
        <row r="182">
          <cell r="A182">
            <v>34824</v>
          </cell>
          <cell r="B182" t="str">
            <v>英国</v>
          </cell>
          <cell r="C182" t="str">
            <v>乳制品</v>
          </cell>
          <cell r="D182">
            <v>695</v>
          </cell>
        </row>
        <row r="183">
          <cell r="A183">
            <v>34824</v>
          </cell>
          <cell r="B183" t="str">
            <v>英国</v>
          </cell>
          <cell r="C183" t="str">
            <v>香料</v>
          </cell>
          <cell r="D183">
            <v>260</v>
          </cell>
        </row>
        <row r="184">
          <cell r="A184">
            <v>34829</v>
          </cell>
          <cell r="B184" t="str">
            <v>英国</v>
          </cell>
          <cell r="C184" t="str">
            <v>肉/家禽</v>
          </cell>
          <cell r="D184">
            <v>149</v>
          </cell>
        </row>
        <row r="185">
          <cell r="A185">
            <v>34831</v>
          </cell>
          <cell r="B185" t="str">
            <v>法国</v>
          </cell>
          <cell r="C185" t="str">
            <v>饮料</v>
          </cell>
          <cell r="D185">
            <v>228</v>
          </cell>
        </row>
        <row r="186">
          <cell r="A186">
            <v>34831</v>
          </cell>
          <cell r="B186" t="str">
            <v>法国</v>
          </cell>
          <cell r="C186" t="str">
            <v>糖果</v>
          </cell>
          <cell r="D186">
            <v>120</v>
          </cell>
        </row>
        <row r="187">
          <cell r="A187">
            <v>34831</v>
          </cell>
          <cell r="B187" t="str">
            <v>法国</v>
          </cell>
          <cell r="C187" t="str">
            <v>肉/家禽</v>
          </cell>
          <cell r="D187">
            <v>328</v>
          </cell>
        </row>
        <row r="188">
          <cell r="A188">
            <v>34831</v>
          </cell>
          <cell r="B188" t="str">
            <v>法国</v>
          </cell>
          <cell r="C188" t="str">
            <v>香料</v>
          </cell>
          <cell r="D188">
            <v>712.5</v>
          </cell>
        </row>
        <row r="189">
          <cell r="A189">
            <v>34835</v>
          </cell>
          <cell r="B189" t="str">
            <v>英国</v>
          </cell>
          <cell r="C189" t="str">
            <v>糖果</v>
          </cell>
          <cell r="D189">
            <v>226.79999962449074</v>
          </cell>
        </row>
        <row r="190">
          <cell r="A190">
            <v>34835</v>
          </cell>
          <cell r="B190" t="str">
            <v>英国</v>
          </cell>
          <cell r="C190" t="str">
            <v>饮料</v>
          </cell>
          <cell r="D190">
            <v>188.99999968707561</v>
          </cell>
        </row>
        <row r="191">
          <cell r="A191">
            <v>34836</v>
          </cell>
          <cell r="B191" t="str">
            <v>英国</v>
          </cell>
          <cell r="C191" t="str">
            <v>海洋食品</v>
          </cell>
          <cell r="D191">
            <v>60</v>
          </cell>
        </row>
        <row r="192">
          <cell r="A192">
            <v>34836</v>
          </cell>
          <cell r="B192" t="str">
            <v>英国</v>
          </cell>
          <cell r="C192" t="str">
            <v>饮料</v>
          </cell>
          <cell r="D192">
            <v>180</v>
          </cell>
        </row>
        <row r="193">
          <cell r="A193">
            <v>34837</v>
          </cell>
          <cell r="B193" t="str">
            <v>英国</v>
          </cell>
          <cell r="C193" t="str">
            <v>农产品</v>
          </cell>
          <cell r="D193">
            <v>136.80000000000001</v>
          </cell>
        </row>
        <row r="194">
          <cell r="A194">
            <v>34838</v>
          </cell>
          <cell r="B194" t="str">
            <v>法国</v>
          </cell>
          <cell r="C194" t="str">
            <v>肉/家禽</v>
          </cell>
          <cell r="D194">
            <v>4456.4399999999996</v>
          </cell>
        </row>
        <row r="195">
          <cell r="A195">
            <v>34838</v>
          </cell>
          <cell r="B195" t="str">
            <v>法国</v>
          </cell>
          <cell r="C195" t="str">
            <v>饮料</v>
          </cell>
          <cell r="D195">
            <v>251.0999995842576</v>
          </cell>
        </row>
        <row r="196">
          <cell r="A196">
            <v>34842</v>
          </cell>
          <cell r="B196" t="str">
            <v>英国</v>
          </cell>
          <cell r="C196" t="str">
            <v>糖果</v>
          </cell>
          <cell r="D196">
            <v>319.9999988079071</v>
          </cell>
        </row>
        <row r="197">
          <cell r="A197">
            <v>34842</v>
          </cell>
          <cell r="B197" t="str">
            <v>英国</v>
          </cell>
          <cell r="C197" t="str">
            <v>乳制品</v>
          </cell>
          <cell r="D197">
            <v>1279.9999952316284</v>
          </cell>
        </row>
        <row r="198">
          <cell r="A198">
            <v>34842</v>
          </cell>
          <cell r="B198" t="str">
            <v>英国</v>
          </cell>
          <cell r="C198" t="str">
            <v>香料</v>
          </cell>
          <cell r="D198">
            <v>341.99999872595072</v>
          </cell>
        </row>
        <row r="199">
          <cell r="A199">
            <v>34843</v>
          </cell>
          <cell r="B199" t="str">
            <v>英国</v>
          </cell>
          <cell r="C199" t="str">
            <v>肉/家禽</v>
          </cell>
          <cell r="D199">
            <v>1319.1999907493591</v>
          </cell>
        </row>
        <row r="200">
          <cell r="A200">
            <v>34843</v>
          </cell>
          <cell r="B200" t="str">
            <v>英国</v>
          </cell>
          <cell r="C200" t="str">
            <v>糖果</v>
          </cell>
          <cell r="D200">
            <v>872.5</v>
          </cell>
        </row>
        <row r="201">
          <cell r="A201">
            <v>34843</v>
          </cell>
          <cell r="B201" t="str">
            <v>英国</v>
          </cell>
          <cell r="C201" t="str">
            <v>糖果</v>
          </cell>
          <cell r="D201">
            <v>5268</v>
          </cell>
        </row>
        <row r="202">
          <cell r="A202">
            <v>34843</v>
          </cell>
          <cell r="B202" t="str">
            <v>英国</v>
          </cell>
          <cell r="C202" t="str">
            <v>乳制品</v>
          </cell>
          <cell r="D202">
            <v>33.999999761581421</v>
          </cell>
        </row>
        <row r="203">
          <cell r="A203">
            <v>34843</v>
          </cell>
          <cell r="B203" t="str">
            <v>英国</v>
          </cell>
          <cell r="C203" t="str">
            <v>乳制品</v>
          </cell>
          <cell r="D203">
            <v>2427.5999829769135</v>
          </cell>
        </row>
        <row r="204">
          <cell r="A204">
            <v>34850</v>
          </cell>
          <cell r="B204" t="str">
            <v>英国</v>
          </cell>
          <cell r="C204" t="str">
            <v>饮料</v>
          </cell>
          <cell r="D204">
            <v>575.99999785423279</v>
          </cell>
        </row>
        <row r="205">
          <cell r="A205">
            <v>34850</v>
          </cell>
          <cell r="B205" t="str">
            <v>英国</v>
          </cell>
          <cell r="C205" t="str">
            <v>香料</v>
          </cell>
          <cell r="D205">
            <v>960</v>
          </cell>
        </row>
        <row r="206">
          <cell r="A206">
            <v>34850</v>
          </cell>
          <cell r="B206" t="str">
            <v>英国</v>
          </cell>
          <cell r="C206" t="str">
            <v>海洋食品</v>
          </cell>
          <cell r="D206">
            <v>414.23999845683574</v>
          </cell>
        </row>
        <row r="207">
          <cell r="A207">
            <v>34850</v>
          </cell>
          <cell r="B207" t="str">
            <v>英国</v>
          </cell>
          <cell r="C207" t="str">
            <v>海洋食品</v>
          </cell>
          <cell r="D207">
            <v>367.99999862909317</v>
          </cell>
        </row>
        <row r="208">
          <cell r="A208">
            <v>34855</v>
          </cell>
          <cell r="B208" t="str">
            <v>英国</v>
          </cell>
          <cell r="C208" t="str">
            <v>香料</v>
          </cell>
          <cell r="D208">
            <v>989.99999836087227</v>
          </cell>
        </row>
        <row r="209">
          <cell r="A209">
            <v>34855</v>
          </cell>
          <cell r="B209" t="str">
            <v>英国</v>
          </cell>
          <cell r="C209" t="str">
            <v>海洋食品</v>
          </cell>
          <cell r="D209">
            <v>512.99999915063381</v>
          </cell>
        </row>
        <row r="210">
          <cell r="A210">
            <v>34856</v>
          </cell>
          <cell r="B210" t="str">
            <v>法国</v>
          </cell>
          <cell r="C210" t="str">
            <v>乳制品</v>
          </cell>
          <cell r="D210">
            <v>63</v>
          </cell>
        </row>
        <row r="211">
          <cell r="A211">
            <v>34856</v>
          </cell>
          <cell r="B211" t="str">
            <v>法国</v>
          </cell>
          <cell r="C211" t="str">
            <v>乳制品</v>
          </cell>
          <cell r="D211">
            <v>15.999999940395355</v>
          </cell>
        </row>
        <row r="212">
          <cell r="A212">
            <v>34856</v>
          </cell>
          <cell r="B212" t="str">
            <v>法国</v>
          </cell>
          <cell r="C212" t="str">
            <v>乳制品</v>
          </cell>
          <cell r="D212">
            <v>313.2</v>
          </cell>
        </row>
        <row r="213">
          <cell r="A213">
            <v>34862</v>
          </cell>
          <cell r="B213" t="str">
            <v>英国</v>
          </cell>
          <cell r="C213" t="str">
            <v>海洋食品</v>
          </cell>
          <cell r="D213">
            <v>258.89999999999998</v>
          </cell>
        </row>
        <row r="214">
          <cell r="A214">
            <v>34862</v>
          </cell>
          <cell r="B214" t="str">
            <v>英国</v>
          </cell>
          <cell r="C214" t="str">
            <v>海洋食品</v>
          </cell>
          <cell r="D214">
            <v>147.19999945163727</v>
          </cell>
        </row>
        <row r="215">
          <cell r="A215">
            <v>34862</v>
          </cell>
          <cell r="B215" t="str">
            <v>英国</v>
          </cell>
          <cell r="C215" t="str">
            <v>肉/家禽</v>
          </cell>
          <cell r="D215">
            <v>59.599999777972698</v>
          </cell>
        </row>
        <row r="216">
          <cell r="A216">
            <v>34864</v>
          </cell>
          <cell r="B216" t="str">
            <v>英国</v>
          </cell>
          <cell r="C216" t="str">
            <v>乳制品</v>
          </cell>
          <cell r="D216">
            <v>427.5</v>
          </cell>
        </row>
        <row r="217">
          <cell r="A217">
            <v>34864</v>
          </cell>
          <cell r="B217" t="str">
            <v>英国</v>
          </cell>
          <cell r="C217" t="str">
            <v>乳制品</v>
          </cell>
          <cell r="D217">
            <v>250</v>
          </cell>
        </row>
        <row r="218">
          <cell r="A218">
            <v>34864</v>
          </cell>
          <cell r="B218" t="str">
            <v>英国</v>
          </cell>
          <cell r="C218" t="str">
            <v>乳制品</v>
          </cell>
          <cell r="D218">
            <v>75</v>
          </cell>
        </row>
        <row r="219">
          <cell r="A219">
            <v>34864</v>
          </cell>
          <cell r="B219" t="str">
            <v>英国</v>
          </cell>
          <cell r="C219" t="str">
            <v>乳制品</v>
          </cell>
          <cell r="D219">
            <v>892.5</v>
          </cell>
        </row>
        <row r="220">
          <cell r="A220">
            <v>34869</v>
          </cell>
          <cell r="B220" t="str">
            <v>英国</v>
          </cell>
          <cell r="C220" t="str">
            <v>香料</v>
          </cell>
          <cell r="D220">
            <v>600</v>
          </cell>
        </row>
        <row r="221">
          <cell r="A221">
            <v>34869</v>
          </cell>
          <cell r="B221" t="str">
            <v>英国</v>
          </cell>
          <cell r="C221" t="str">
            <v>糖果</v>
          </cell>
          <cell r="D221">
            <v>1249.2</v>
          </cell>
        </row>
        <row r="222">
          <cell r="A222">
            <v>34869</v>
          </cell>
          <cell r="B222" t="str">
            <v>英国</v>
          </cell>
          <cell r="C222" t="str">
            <v>饮料</v>
          </cell>
          <cell r="D222">
            <v>7905</v>
          </cell>
        </row>
        <row r="223">
          <cell r="A223">
            <v>34869</v>
          </cell>
          <cell r="B223" t="str">
            <v>英国</v>
          </cell>
          <cell r="C223" t="str">
            <v>糖果</v>
          </cell>
          <cell r="D223">
            <v>437.5</v>
          </cell>
        </row>
        <row r="224">
          <cell r="A224">
            <v>34870</v>
          </cell>
          <cell r="B224" t="str">
            <v>英国</v>
          </cell>
          <cell r="C224" t="str">
            <v>乳制品</v>
          </cell>
          <cell r="D224">
            <v>299.24999976530671</v>
          </cell>
        </row>
        <row r="225">
          <cell r="A225">
            <v>34870</v>
          </cell>
          <cell r="B225" t="str">
            <v>英国</v>
          </cell>
          <cell r="C225" t="str">
            <v>肉/家禽</v>
          </cell>
          <cell r="D225">
            <v>169.85999986678362</v>
          </cell>
        </row>
        <row r="226">
          <cell r="A226">
            <v>34871</v>
          </cell>
          <cell r="B226" t="str">
            <v>法国</v>
          </cell>
          <cell r="C226" t="str">
            <v>农产品</v>
          </cell>
          <cell r="D226">
            <v>319.2</v>
          </cell>
        </row>
        <row r="227">
          <cell r="A227">
            <v>34871</v>
          </cell>
          <cell r="B227" t="str">
            <v>法国</v>
          </cell>
          <cell r="C227" t="str">
            <v>饮料</v>
          </cell>
          <cell r="D227">
            <v>98</v>
          </cell>
        </row>
        <row r="228">
          <cell r="A228">
            <v>34872</v>
          </cell>
          <cell r="B228" t="str">
            <v>法国</v>
          </cell>
          <cell r="C228" t="str">
            <v>乳制品</v>
          </cell>
          <cell r="D228">
            <v>210</v>
          </cell>
        </row>
        <row r="229">
          <cell r="A229">
            <v>34876</v>
          </cell>
          <cell r="B229" t="str">
            <v>英国</v>
          </cell>
          <cell r="C229" t="str">
            <v>饮料</v>
          </cell>
          <cell r="D229">
            <v>105</v>
          </cell>
        </row>
        <row r="230">
          <cell r="A230">
            <v>34876</v>
          </cell>
          <cell r="B230" t="str">
            <v>英国</v>
          </cell>
          <cell r="C230" t="str">
            <v>海洋食品</v>
          </cell>
          <cell r="D230">
            <v>135.1</v>
          </cell>
        </row>
        <row r="231">
          <cell r="A231">
            <v>34877</v>
          </cell>
          <cell r="B231" t="str">
            <v>英国</v>
          </cell>
          <cell r="C231" t="str">
            <v>乳制品</v>
          </cell>
          <cell r="D231">
            <v>584.37499590218067</v>
          </cell>
        </row>
        <row r="232">
          <cell r="A232">
            <v>34877</v>
          </cell>
          <cell r="B232" t="str">
            <v>英国</v>
          </cell>
          <cell r="C232" t="str">
            <v>海洋食品</v>
          </cell>
          <cell r="D232">
            <v>807.49999433755875</v>
          </cell>
        </row>
        <row r="233">
          <cell r="A233">
            <v>34877</v>
          </cell>
          <cell r="B233" t="str">
            <v>英国</v>
          </cell>
          <cell r="C233" t="str">
            <v>农产品</v>
          </cell>
          <cell r="D233">
            <v>2162.3999848365784</v>
          </cell>
        </row>
        <row r="234">
          <cell r="A234">
            <v>34880</v>
          </cell>
          <cell r="B234" t="str">
            <v>英国</v>
          </cell>
          <cell r="C234" t="str">
            <v>糖果</v>
          </cell>
          <cell r="D234">
            <v>497.32499960996211</v>
          </cell>
        </row>
        <row r="235">
          <cell r="A235">
            <v>34880</v>
          </cell>
          <cell r="B235" t="str">
            <v>英国</v>
          </cell>
          <cell r="C235" t="str">
            <v>面食/谷类</v>
          </cell>
          <cell r="D235">
            <v>170.99999986588955</v>
          </cell>
        </row>
        <row r="236">
          <cell r="A236">
            <v>34880</v>
          </cell>
          <cell r="B236" t="str">
            <v>英国</v>
          </cell>
          <cell r="C236" t="str">
            <v>糖果</v>
          </cell>
          <cell r="D236">
            <v>936.69999926537275</v>
          </cell>
        </row>
        <row r="237">
          <cell r="A237">
            <v>34880</v>
          </cell>
          <cell r="B237" t="str">
            <v>英国</v>
          </cell>
          <cell r="C237" t="str">
            <v>香料</v>
          </cell>
          <cell r="D237">
            <v>123.49999990314245</v>
          </cell>
        </row>
        <row r="238">
          <cell r="A238">
            <v>34883</v>
          </cell>
          <cell r="B238" t="str">
            <v>法国</v>
          </cell>
          <cell r="C238" t="str">
            <v>农产品</v>
          </cell>
          <cell r="D238">
            <v>557.99999792128801</v>
          </cell>
        </row>
        <row r="239">
          <cell r="A239">
            <v>34883</v>
          </cell>
          <cell r="B239" t="str">
            <v>法国</v>
          </cell>
          <cell r="C239" t="str">
            <v>糖果</v>
          </cell>
          <cell r="D239">
            <v>257.59999904036522</v>
          </cell>
        </row>
        <row r="240">
          <cell r="A240">
            <v>34883</v>
          </cell>
          <cell r="B240" t="str">
            <v>法国</v>
          </cell>
          <cell r="C240" t="str">
            <v>饮料</v>
          </cell>
          <cell r="D240">
            <v>64.799999758601189</v>
          </cell>
        </row>
        <row r="241">
          <cell r="A241">
            <v>34883</v>
          </cell>
          <cell r="B241" t="str">
            <v>法国</v>
          </cell>
          <cell r="C241" t="str">
            <v>农产品</v>
          </cell>
          <cell r="D241">
            <v>847.99999684095383</v>
          </cell>
        </row>
        <row r="242">
          <cell r="A242">
            <v>34883</v>
          </cell>
          <cell r="B242" t="str">
            <v>法国</v>
          </cell>
          <cell r="C242" t="str">
            <v>面食/谷类</v>
          </cell>
          <cell r="D242">
            <v>1215.999995470047</v>
          </cell>
        </row>
        <row r="243">
          <cell r="A243">
            <v>34884</v>
          </cell>
          <cell r="B243" t="str">
            <v>英国</v>
          </cell>
          <cell r="C243" t="str">
            <v>面食/谷类</v>
          </cell>
          <cell r="D243">
            <v>997.5</v>
          </cell>
        </row>
        <row r="244">
          <cell r="A244">
            <v>34884</v>
          </cell>
          <cell r="B244" t="str">
            <v>英国</v>
          </cell>
          <cell r="C244" t="str">
            <v>饮料</v>
          </cell>
          <cell r="D244">
            <v>155</v>
          </cell>
        </row>
        <row r="245">
          <cell r="A245">
            <v>34887</v>
          </cell>
          <cell r="B245" t="str">
            <v>英国</v>
          </cell>
          <cell r="C245" t="str">
            <v>海洋食品</v>
          </cell>
          <cell r="D245">
            <v>517.79999999999995</v>
          </cell>
        </row>
        <row r="246">
          <cell r="A246">
            <v>34887</v>
          </cell>
          <cell r="B246" t="str">
            <v>英国</v>
          </cell>
          <cell r="C246" t="str">
            <v>糖果</v>
          </cell>
          <cell r="D246">
            <v>554.625</v>
          </cell>
        </row>
        <row r="247">
          <cell r="A247">
            <v>34891</v>
          </cell>
          <cell r="B247" t="str">
            <v>法国</v>
          </cell>
          <cell r="C247" t="str">
            <v>肉/家禽</v>
          </cell>
          <cell r="D247">
            <v>592.79999953508377</v>
          </cell>
        </row>
        <row r="248">
          <cell r="A248">
            <v>34891</v>
          </cell>
          <cell r="B248" t="str">
            <v>法国</v>
          </cell>
          <cell r="C248" t="str">
            <v>乳制品</v>
          </cell>
          <cell r="D248">
            <v>71.249999944120646</v>
          </cell>
        </row>
        <row r="249">
          <cell r="A249">
            <v>34891</v>
          </cell>
          <cell r="B249" t="str">
            <v>法国</v>
          </cell>
          <cell r="C249" t="str">
            <v>肉/家禽</v>
          </cell>
          <cell r="D249">
            <v>569.99999955296516</v>
          </cell>
        </row>
        <row r="250">
          <cell r="A250">
            <v>34897</v>
          </cell>
          <cell r="B250" t="str">
            <v>法国</v>
          </cell>
          <cell r="C250" t="str">
            <v>乳制品</v>
          </cell>
          <cell r="D250">
            <v>349.9999986961484</v>
          </cell>
        </row>
        <row r="251">
          <cell r="A251">
            <v>34897</v>
          </cell>
          <cell r="B251" t="str">
            <v>法国</v>
          </cell>
          <cell r="C251" t="str">
            <v>饮料</v>
          </cell>
          <cell r="D251">
            <v>540</v>
          </cell>
        </row>
        <row r="252">
          <cell r="A252">
            <v>34900</v>
          </cell>
          <cell r="B252" t="str">
            <v>法国</v>
          </cell>
          <cell r="C252" t="str">
            <v>乳制品</v>
          </cell>
          <cell r="D252">
            <v>35</v>
          </cell>
        </row>
        <row r="253">
          <cell r="A253">
            <v>34900</v>
          </cell>
          <cell r="B253" t="str">
            <v>法国</v>
          </cell>
          <cell r="C253" t="str">
            <v>海洋食品</v>
          </cell>
          <cell r="D253">
            <v>36.799999999999997</v>
          </cell>
        </row>
        <row r="254">
          <cell r="A254">
            <v>34900</v>
          </cell>
          <cell r="B254" t="str">
            <v>法国</v>
          </cell>
          <cell r="C254" t="str">
            <v>糖果</v>
          </cell>
          <cell r="D254">
            <v>493</v>
          </cell>
        </row>
        <row r="255">
          <cell r="A255">
            <v>34900</v>
          </cell>
          <cell r="B255" t="str">
            <v>法国</v>
          </cell>
          <cell r="C255" t="str">
            <v>面食/谷类</v>
          </cell>
          <cell r="D255">
            <v>199.5</v>
          </cell>
        </row>
        <row r="256">
          <cell r="A256">
            <v>34901</v>
          </cell>
          <cell r="B256" t="str">
            <v>英国</v>
          </cell>
          <cell r="C256" t="str">
            <v>乳制品</v>
          </cell>
          <cell r="D256">
            <v>660</v>
          </cell>
        </row>
        <row r="257">
          <cell r="A257">
            <v>34901</v>
          </cell>
          <cell r="B257" t="str">
            <v>英国</v>
          </cell>
          <cell r="C257" t="str">
            <v>香料</v>
          </cell>
          <cell r="D257">
            <v>263.39999999999998</v>
          </cell>
        </row>
        <row r="258">
          <cell r="A258">
            <v>34901</v>
          </cell>
          <cell r="B258" t="str">
            <v>英国</v>
          </cell>
          <cell r="C258" t="str">
            <v>乳制品</v>
          </cell>
          <cell r="D258">
            <v>1044</v>
          </cell>
        </row>
        <row r="259">
          <cell r="A259">
            <v>34901</v>
          </cell>
          <cell r="B259" t="str">
            <v>英国</v>
          </cell>
          <cell r="C259" t="str">
            <v>饮料</v>
          </cell>
          <cell r="D259">
            <v>180</v>
          </cell>
        </row>
        <row r="260">
          <cell r="A260">
            <v>34904</v>
          </cell>
          <cell r="B260" t="str">
            <v>法国</v>
          </cell>
          <cell r="C260" t="str">
            <v>饮料</v>
          </cell>
          <cell r="D260">
            <v>180</v>
          </cell>
        </row>
        <row r="261">
          <cell r="A261">
            <v>34904</v>
          </cell>
          <cell r="B261" t="str">
            <v>法国</v>
          </cell>
          <cell r="C261" t="str">
            <v>饮料</v>
          </cell>
          <cell r="D261">
            <v>155</v>
          </cell>
        </row>
        <row r="262">
          <cell r="A262">
            <v>34904</v>
          </cell>
          <cell r="B262" t="str">
            <v>法国</v>
          </cell>
          <cell r="C262" t="str">
            <v>香料</v>
          </cell>
          <cell r="D262">
            <v>234</v>
          </cell>
        </row>
        <row r="263">
          <cell r="A263">
            <v>34906</v>
          </cell>
          <cell r="B263" t="str">
            <v>法国</v>
          </cell>
          <cell r="C263" t="str">
            <v>香料</v>
          </cell>
          <cell r="D263">
            <v>155</v>
          </cell>
        </row>
        <row r="264">
          <cell r="A264">
            <v>34906</v>
          </cell>
          <cell r="B264" t="str">
            <v>法国</v>
          </cell>
          <cell r="C264" t="str">
            <v>饮料</v>
          </cell>
          <cell r="D264">
            <v>162.75</v>
          </cell>
        </row>
        <row r="265">
          <cell r="A265">
            <v>34907</v>
          </cell>
          <cell r="B265" t="str">
            <v>英国</v>
          </cell>
          <cell r="C265" t="str">
            <v>农产品</v>
          </cell>
          <cell r="D265">
            <v>331.312499740161</v>
          </cell>
        </row>
        <row r="266">
          <cell r="A266">
            <v>34907</v>
          </cell>
          <cell r="B266" t="str">
            <v>英国</v>
          </cell>
          <cell r="C266" t="str">
            <v>海洋食品</v>
          </cell>
          <cell r="D266">
            <v>82.507499935291705</v>
          </cell>
        </row>
        <row r="267">
          <cell r="A267">
            <v>34907</v>
          </cell>
          <cell r="B267" t="str">
            <v>英国</v>
          </cell>
          <cell r="C267" t="str">
            <v>香料</v>
          </cell>
          <cell r="D267">
            <v>599.92499952949584</v>
          </cell>
        </row>
        <row r="268">
          <cell r="A268">
            <v>34908</v>
          </cell>
          <cell r="B268" t="str">
            <v>英国</v>
          </cell>
          <cell r="C268" t="str">
            <v>面食/谷类</v>
          </cell>
          <cell r="D268">
            <v>78</v>
          </cell>
        </row>
        <row r="269">
          <cell r="A269">
            <v>34908</v>
          </cell>
          <cell r="B269" t="str">
            <v>英国</v>
          </cell>
          <cell r="C269" t="str">
            <v>饮料</v>
          </cell>
          <cell r="D269">
            <v>252</v>
          </cell>
        </row>
        <row r="270">
          <cell r="A270">
            <v>34914</v>
          </cell>
          <cell r="B270" t="str">
            <v>英国</v>
          </cell>
          <cell r="C270" t="str">
            <v>海洋食品</v>
          </cell>
          <cell r="D270">
            <v>1999.9999925494194</v>
          </cell>
        </row>
        <row r="271">
          <cell r="A271">
            <v>34914</v>
          </cell>
          <cell r="B271" t="str">
            <v>英国</v>
          </cell>
          <cell r="C271" t="str">
            <v>面食/谷类</v>
          </cell>
          <cell r="D271">
            <v>1119.9999958276749</v>
          </cell>
        </row>
        <row r="272">
          <cell r="A272">
            <v>34915</v>
          </cell>
          <cell r="B272" t="str">
            <v>法国</v>
          </cell>
          <cell r="C272" t="str">
            <v>饮料</v>
          </cell>
          <cell r="D272">
            <v>72</v>
          </cell>
        </row>
        <row r="273">
          <cell r="A273">
            <v>34919</v>
          </cell>
          <cell r="B273" t="str">
            <v>英国</v>
          </cell>
          <cell r="C273" t="str">
            <v>香料</v>
          </cell>
          <cell r="D273">
            <v>368.12499971129</v>
          </cell>
        </row>
        <row r="274">
          <cell r="A274">
            <v>34919</v>
          </cell>
          <cell r="B274" t="str">
            <v>英国</v>
          </cell>
          <cell r="C274" t="str">
            <v>糖果</v>
          </cell>
          <cell r="D274">
            <v>148.3424998836592</v>
          </cell>
        </row>
        <row r="275">
          <cell r="A275">
            <v>34920</v>
          </cell>
          <cell r="B275" t="str">
            <v>英国</v>
          </cell>
          <cell r="C275" t="str">
            <v>糖果</v>
          </cell>
          <cell r="D275">
            <v>1360.799994930625</v>
          </cell>
        </row>
        <row r="276">
          <cell r="A276">
            <v>34920</v>
          </cell>
          <cell r="B276" t="str">
            <v>英国</v>
          </cell>
          <cell r="C276" t="str">
            <v>乳制品</v>
          </cell>
          <cell r="D276">
            <v>575.99999785423279</v>
          </cell>
        </row>
        <row r="277">
          <cell r="A277">
            <v>34920</v>
          </cell>
          <cell r="B277" t="str">
            <v>英国</v>
          </cell>
          <cell r="C277" t="str">
            <v>饮料</v>
          </cell>
          <cell r="D277">
            <v>57.599999785423279</v>
          </cell>
        </row>
        <row r="278">
          <cell r="A278">
            <v>34920</v>
          </cell>
          <cell r="B278" t="str">
            <v>法国</v>
          </cell>
          <cell r="C278" t="str">
            <v>面食/谷类</v>
          </cell>
          <cell r="D278">
            <v>168</v>
          </cell>
        </row>
        <row r="279">
          <cell r="A279">
            <v>34920</v>
          </cell>
          <cell r="B279" t="str">
            <v>法国</v>
          </cell>
          <cell r="C279" t="str">
            <v>海洋食品</v>
          </cell>
          <cell r="D279">
            <v>397.5</v>
          </cell>
        </row>
        <row r="280">
          <cell r="A280">
            <v>34922</v>
          </cell>
          <cell r="B280" t="str">
            <v>法国</v>
          </cell>
          <cell r="C280" t="str">
            <v>面食/谷类</v>
          </cell>
          <cell r="D280">
            <v>151.99999943375587</v>
          </cell>
        </row>
        <row r="281">
          <cell r="A281">
            <v>34922</v>
          </cell>
          <cell r="B281" t="str">
            <v>法国</v>
          </cell>
          <cell r="C281" t="str">
            <v>香料</v>
          </cell>
          <cell r="D281">
            <v>842.87999686002729</v>
          </cell>
        </row>
        <row r="282">
          <cell r="A282">
            <v>34922</v>
          </cell>
          <cell r="B282" t="str">
            <v>法国</v>
          </cell>
          <cell r="C282" t="str">
            <v>饮料</v>
          </cell>
          <cell r="D282">
            <v>185.999999307096</v>
          </cell>
        </row>
        <row r="283">
          <cell r="A283">
            <v>34925</v>
          </cell>
          <cell r="B283" t="str">
            <v>法国</v>
          </cell>
          <cell r="C283" t="str">
            <v>糖果</v>
          </cell>
          <cell r="D283">
            <v>2195</v>
          </cell>
        </row>
        <row r="284">
          <cell r="A284">
            <v>34925</v>
          </cell>
          <cell r="B284" t="str">
            <v>法国</v>
          </cell>
          <cell r="C284" t="str">
            <v>乳制品</v>
          </cell>
          <cell r="D284">
            <v>193.5</v>
          </cell>
        </row>
        <row r="285">
          <cell r="A285">
            <v>34927</v>
          </cell>
          <cell r="B285" t="str">
            <v>法国</v>
          </cell>
          <cell r="C285" t="str">
            <v>肉/家禽</v>
          </cell>
          <cell r="D285">
            <v>29.8</v>
          </cell>
        </row>
        <row r="286">
          <cell r="A286">
            <v>34927</v>
          </cell>
          <cell r="B286" t="str">
            <v>法国</v>
          </cell>
          <cell r="C286" t="str">
            <v>海洋食品</v>
          </cell>
          <cell r="D286">
            <v>450</v>
          </cell>
        </row>
        <row r="287">
          <cell r="A287">
            <v>34929</v>
          </cell>
          <cell r="B287" t="str">
            <v>法国</v>
          </cell>
          <cell r="C287" t="str">
            <v>面食/谷类</v>
          </cell>
          <cell r="D287">
            <v>1008</v>
          </cell>
        </row>
        <row r="288">
          <cell r="A288">
            <v>34929</v>
          </cell>
          <cell r="B288" t="str">
            <v>法国</v>
          </cell>
          <cell r="C288" t="str">
            <v>糖果</v>
          </cell>
          <cell r="D288">
            <v>474.99999962747097</v>
          </cell>
        </row>
        <row r="289">
          <cell r="A289">
            <v>34933</v>
          </cell>
          <cell r="B289" t="str">
            <v>法国</v>
          </cell>
          <cell r="C289" t="str">
            <v>农产品</v>
          </cell>
          <cell r="D289">
            <v>1350</v>
          </cell>
        </row>
        <row r="290">
          <cell r="A290">
            <v>34933</v>
          </cell>
          <cell r="B290" t="str">
            <v>法国</v>
          </cell>
          <cell r="C290" t="str">
            <v>肉/家禽</v>
          </cell>
          <cell r="D290">
            <v>3900</v>
          </cell>
        </row>
        <row r="291">
          <cell r="A291">
            <v>34933</v>
          </cell>
          <cell r="B291" t="str">
            <v>法国</v>
          </cell>
          <cell r="C291" t="str">
            <v>乳制品</v>
          </cell>
          <cell r="D291">
            <v>35</v>
          </cell>
        </row>
        <row r="292">
          <cell r="A292">
            <v>34933</v>
          </cell>
          <cell r="B292" t="str">
            <v>法国</v>
          </cell>
          <cell r="C292" t="str">
            <v>海洋食品</v>
          </cell>
          <cell r="D292">
            <v>772.8</v>
          </cell>
        </row>
        <row r="293">
          <cell r="A293">
            <v>34933</v>
          </cell>
          <cell r="B293" t="str">
            <v>法国</v>
          </cell>
          <cell r="C293" t="str">
            <v>乳制品</v>
          </cell>
          <cell r="D293">
            <v>417.6</v>
          </cell>
        </row>
        <row r="294">
          <cell r="A294">
            <v>34934</v>
          </cell>
          <cell r="B294" t="str">
            <v>英国</v>
          </cell>
          <cell r="C294" t="str">
            <v>面食/谷类</v>
          </cell>
          <cell r="D294">
            <v>1064</v>
          </cell>
        </row>
        <row r="295">
          <cell r="A295">
            <v>34939</v>
          </cell>
          <cell r="B295" t="str">
            <v>法国</v>
          </cell>
          <cell r="C295" t="str">
            <v>海洋食品</v>
          </cell>
          <cell r="D295">
            <v>2170</v>
          </cell>
        </row>
        <row r="296">
          <cell r="A296">
            <v>34939</v>
          </cell>
          <cell r="B296" t="str">
            <v>法国</v>
          </cell>
          <cell r="C296" t="str">
            <v>海洋食品</v>
          </cell>
          <cell r="D296">
            <v>1045</v>
          </cell>
        </row>
        <row r="297">
          <cell r="A297">
            <v>34939</v>
          </cell>
          <cell r="B297" t="str">
            <v>法国</v>
          </cell>
          <cell r="C297" t="str">
            <v>糖果</v>
          </cell>
          <cell r="D297">
            <v>360</v>
          </cell>
        </row>
        <row r="298">
          <cell r="A298">
            <v>34939</v>
          </cell>
          <cell r="B298" t="str">
            <v>法国</v>
          </cell>
          <cell r="C298" t="str">
            <v>乳制品</v>
          </cell>
          <cell r="D298">
            <v>1360</v>
          </cell>
        </row>
        <row r="299">
          <cell r="A299">
            <v>34939</v>
          </cell>
          <cell r="B299" t="str">
            <v>法国</v>
          </cell>
          <cell r="C299" t="str">
            <v>饮料</v>
          </cell>
          <cell r="D299">
            <v>1440</v>
          </cell>
        </row>
        <row r="300">
          <cell r="A300">
            <v>34940</v>
          </cell>
          <cell r="B300" t="str">
            <v>英国</v>
          </cell>
          <cell r="C300" t="str">
            <v>乳制品</v>
          </cell>
          <cell r="D300">
            <v>294</v>
          </cell>
        </row>
        <row r="301">
          <cell r="A301">
            <v>34940</v>
          </cell>
          <cell r="B301" t="str">
            <v>英国</v>
          </cell>
          <cell r="C301" t="str">
            <v>糖果</v>
          </cell>
          <cell r="D301">
            <v>80</v>
          </cell>
        </row>
        <row r="302">
          <cell r="A302">
            <v>34940</v>
          </cell>
          <cell r="B302" t="str">
            <v>英国</v>
          </cell>
          <cell r="C302" t="str">
            <v>饮料</v>
          </cell>
          <cell r="D302">
            <v>90</v>
          </cell>
        </row>
        <row r="303">
          <cell r="A303">
            <v>34942</v>
          </cell>
          <cell r="B303" t="str">
            <v>法国</v>
          </cell>
          <cell r="C303" t="str">
            <v>饮料</v>
          </cell>
          <cell r="D303">
            <v>3754.874997055158</v>
          </cell>
        </row>
        <row r="304">
          <cell r="A304">
            <v>34942</v>
          </cell>
          <cell r="B304" t="str">
            <v>法国</v>
          </cell>
          <cell r="C304" t="str">
            <v>面食/谷类</v>
          </cell>
          <cell r="D304">
            <v>532</v>
          </cell>
        </row>
        <row r="305">
          <cell r="A305">
            <v>34942</v>
          </cell>
          <cell r="B305" t="str">
            <v>法国</v>
          </cell>
          <cell r="C305" t="str">
            <v>饮料</v>
          </cell>
          <cell r="D305">
            <v>213.74999983236194</v>
          </cell>
        </row>
        <row r="306">
          <cell r="A306">
            <v>34942</v>
          </cell>
          <cell r="B306" t="str">
            <v>法国</v>
          </cell>
          <cell r="C306" t="str">
            <v>乳制品</v>
          </cell>
          <cell r="D306">
            <v>306.37499975971878</v>
          </cell>
        </row>
        <row r="307">
          <cell r="A307">
            <v>34942</v>
          </cell>
          <cell r="B307" t="str">
            <v>法国</v>
          </cell>
          <cell r="C307" t="str">
            <v>乳制品</v>
          </cell>
          <cell r="D307">
            <v>1402.4999901652336</v>
          </cell>
        </row>
        <row r="308">
          <cell r="A308">
            <v>34949</v>
          </cell>
          <cell r="B308" t="str">
            <v>英国</v>
          </cell>
          <cell r="C308" t="str">
            <v>农产品</v>
          </cell>
          <cell r="D308">
            <v>488.25</v>
          </cell>
        </row>
        <row r="309">
          <cell r="A309">
            <v>34949</v>
          </cell>
          <cell r="B309" t="str">
            <v>英国</v>
          </cell>
          <cell r="C309" t="str">
            <v>糖果</v>
          </cell>
          <cell r="D309">
            <v>124.19999979436398</v>
          </cell>
        </row>
        <row r="310">
          <cell r="A310">
            <v>34949</v>
          </cell>
          <cell r="B310" t="str">
            <v>英国</v>
          </cell>
          <cell r="C310" t="str">
            <v>糖果</v>
          </cell>
          <cell r="D310">
            <v>224.99999962747097</v>
          </cell>
        </row>
        <row r="311">
          <cell r="A311">
            <v>34949</v>
          </cell>
          <cell r="B311" t="str">
            <v>英国</v>
          </cell>
          <cell r="C311" t="str">
            <v>饮料</v>
          </cell>
          <cell r="D311">
            <v>13.5</v>
          </cell>
        </row>
        <row r="312">
          <cell r="A312">
            <v>34949</v>
          </cell>
          <cell r="B312" t="str">
            <v>英国</v>
          </cell>
          <cell r="C312" t="str">
            <v>饮料</v>
          </cell>
          <cell r="D312">
            <v>485.9999991953373</v>
          </cell>
        </row>
        <row r="313">
          <cell r="A313">
            <v>34949</v>
          </cell>
          <cell r="B313" t="str">
            <v>法国</v>
          </cell>
          <cell r="C313" t="str">
            <v>农产品</v>
          </cell>
          <cell r="D313">
            <v>456</v>
          </cell>
        </row>
        <row r="314">
          <cell r="A314">
            <v>34949</v>
          </cell>
          <cell r="B314" t="str">
            <v>法国</v>
          </cell>
          <cell r="C314" t="str">
            <v>肉/家禽</v>
          </cell>
          <cell r="D314">
            <v>742.74</v>
          </cell>
        </row>
        <row r="315">
          <cell r="A315">
            <v>34949</v>
          </cell>
          <cell r="B315" t="str">
            <v>法国</v>
          </cell>
          <cell r="C315" t="str">
            <v>香料</v>
          </cell>
          <cell r="D315">
            <v>194.5</v>
          </cell>
        </row>
        <row r="316">
          <cell r="A316">
            <v>34953</v>
          </cell>
          <cell r="B316" t="str">
            <v>法国</v>
          </cell>
          <cell r="C316" t="str">
            <v>糖果</v>
          </cell>
          <cell r="D316">
            <v>739.5</v>
          </cell>
        </row>
        <row r="317">
          <cell r="A317">
            <v>34953</v>
          </cell>
          <cell r="B317" t="str">
            <v>法国</v>
          </cell>
          <cell r="C317" t="str">
            <v>海洋食品</v>
          </cell>
          <cell r="D317">
            <v>446.24999687075615</v>
          </cell>
        </row>
        <row r="318">
          <cell r="A318">
            <v>34955</v>
          </cell>
          <cell r="B318" t="str">
            <v>英国</v>
          </cell>
          <cell r="C318" t="str">
            <v>肉/家禽</v>
          </cell>
          <cell r="D318">
            <v>273.59999978542328</v>
          </cell>
        </row>
        <row r="319">
          <cell r="A319">
            <v>34955</v>
          </cell>
          <cell r="B319" t="str">
            <v>英国</v>
          </cell>
          <cell r="C319" t="str">
            <v>饮料</v>
          </cell>
          <cell r="D319">
            <v>630</v>
          </cell>
        </row>
        <row r="320">
          <cell r="A320">
            <v>34956</v>
          </cell>
          <cell r="B320" t="str">
            <v>英国</v>
          </cell>
          <cell r="C320" t="str">
            <v>饮料</v>
          </cell>
          <cell r="D320">
            <v>541.49999957531691</v>
          </cell>
        </row>
        <row r="321">
          <cell r="A321">
            <v>34956</v>
          </cell>
          <cell r="B321" t="str">
            <v>英国</v>
          </cell>
          <cell r="C321" t="str">
            <v>乳制品</v>
          </cell>
          <cell r="D321">
            <v>47.499999962747097</v>
          </cell>
        </row>
        <row r="322">
          <cell r="A322">
            <v>34963</v>
          </cell>
          <cell r="B322" t="str">
            <v>英国</v>
          </cell>
          <cell r="C322" t="str">
            <v>乳制品</v>
          </cell>
          <cell r="D322">
            <v>540</v>
          </cell>
        </row>
        <row r="323">
          <cell r="A323">
            <v>34963</v>
          </cell>
          <cell r="B323" t="str">
            <v>英国</v>
          </cell>
          <cell r="C323" t="str">
            <v>饮料</v>
          </cell>
          <cell r="D323">
            <v>168.75</v>
          </cell>
        </row>
        <row r="324">
          <cell r="A324">
            <v>34974</v>
          </cell>
          <cell r="B324" t="str">
            <v>英国</v>
          </cell>
          <cell r="C324" t="str">
            <v>糖果</v>
          </cell>
          <cell r="D324">
            <v>82.8</v>
          </cell>
        </row>
        <row r="325">
          <cell r="A325">
            <v>34974</v>
          </cell>
          <cell r="B325" t="str">
            <v>英国</v>
          </cell>
          <cell r="C325" t="str">
            <v>面食/谷类</v>
          </cell>
          <cell r="D325">
            <v>315</v>
          </cell>
        </row>
        <row r="326">
          <cell r="A326">
            <v>34975</v>
          </cell>
          <cell r="B326" t="str">
            <v>英国</v>
          </cell>
          <cell r="C326" t="str">
            <v>糖果</v>
          </cell>
          <cell r="D326">
            <v>471.14999921992421</v>
          </cell>
        </row>
        <row r="327">
          <cell r="A327">
            <v>34975</v>
          </cell>
          <cell r="B327" t="str">
            <v>英国</v>
          </cell>
          <cell r="C327" t="str">
            <v>乳制品</v>
          </cell>
          <cell r="D327">
            <v>611.99999898672104</v>
          </cell>
        </row>
        <row r="328">
          <cell r="A328">
            <v>34977</v>
          </cell>
          <cell r="B328" t="str">
            <v>法国</v>
          </cell>
          <cell r="C328" t="str">
            <v>农产品</v>
          </cell>
          <cell r="D328">
            <v>62.774999896064401</v>
          </cell>
        </row>
        <row r="329">
          <cell r="A329">
            <v>34977</v>
          </cell>
          <cell r="B329" t="str">
            <v>法国</v>
          </cell>
          <cell r="C329" t="str">
            <v>香料</v>
          </cell>
          <cell r="D329">
            <v>490.13999918848276</v>
          </cell>
        </row>
        <row r="330">
          <cell r="A330">
            <v>34977</v>
          </cell>
          <cell r="B330" t="str">
            <v>法国</v>
          </cell>
          <cell r="C330" t="str">
            <v>糖果</v>
          </cell>
          <cell r="D330">
            <v>51.299999915063381</v>
          </cell>
        </row>
        <row r="331">
          <cell r="A331">
            <v>34977</v>
          </cell>
          <cell r="B331" t="str">
            <v>法国</v>
          </cell>
          <cell r="C331" t="str">
            <v>香料</v>
          </cell>
          <cell r="D331">
            <v>775</v>
          </cell>
        </row>
        <row r="332">
          <cell r="A332">
            <v>34977</v>
          </cell>
          <cell r="B332" t="str">
            <v>法国</v>
          </cell>
          <cell r="C332" t="str">
            <v>海洋食品</v>
          </cell>
          <cell r="D332">
            <v>231.6</v>
          </cell>
        </row>
        <row r="333">
          <cell r="A333">
            <v>34977</v>
          </cell>
          <cell r="B333" t="str">
            <v>法国</v>
          </cell>
          <cell r="C333" t="str">
            <v>海洋食品</v>
          </cell>
          <cell r="D333">
            <v>540</v>
          </cell>
        </row>
        <row r="334">
          <cell r="A334">
            <v>34977</v>
          </cell>
          <cell r="B334" t="str">
            <v>法国</v>
          </cell>
          <cell r="C334" t="str">
            <v>糖果</v>
          </cell>
          <cell r="D334">
            <v>95</v>
          </cell>
        </row>
        <row r="335">
          <cell r="A335">
            <v>34977</v>
          </cell>
          <cell r="B335" t="str">
            <v>法国</v>
          </cell>
          <cell r="C335" t="str">
            <v>面食/谷类</v>
          </cell>
          <cell r="D335">
            <v>1710</v>
          </cell>
        </row>
        <row r="336">
          <cell r="A336">
            <v>34977</v>
          </cell>
          <cell r="B336" t="str">
            <v>法国</v>
          </cell>
          <cell r="C336" t="str">
            <v>乳制品</v>
          </cell>
          <cell r="D336">
            <v>1020</v>
          </cell>
        </row>
        <row r="337">
          <cell r="A337">
            <v>34978</v>
          </cell>
          <cell r="B337" t="str">
            <v>英国</v>
          </cell>
          <cell r="C337" t="str">
            <v>糖果</v>
          </cell>
          <cell r="D337">
            <v>600</v>
          </cell>
        </row>
        <row r="338">
          <cell r="A338">
            <v>34978</v>
          </cell>
          <cell r="B338" t="str">
            <v>英国</v>
          </cell>
          <cell r="C338" t="str">
            <v>海洋食品</v>
          </cell>
          <cell r="D338">
            <v>1223.5999990403652</v>
          </cell>
        </row>
        <row r="339">
          <cell r="A339">
            <v>34978</v>
          </cell>
          <cell r="B339" t="str">
            <v>英国</v>
          </cell>
          <cell r="C339" t="str">
            <v>乳制品</v>
          </cell>
          <cell r="D339">
            <v>1776.4999986067414</v>
          </cell>
        </row>
        <row r="340">
          <cell r="A340">
            <v>34978</v>
          </cell>
          <cell r="B340" t="str">
            <v>英国</v>
          </cell>
          <cell r="C340" t="str">
            <v>香料</v>
          </cell>
          <cell r="D340">
            <v>864.49999932199717</v>
          </cell>
        </row>
        <row r="341">
          <cell r="A341">
            <v>34981</v>
          </cell>
          <cell r="B341" t="str">
            <v>法国</v>
          </cell>
          <cell r="C341" t="str">
            <v>糖果</v>
          </cell>
          <cell r="D341">
            <v>1701</v>
          </cell>
        </row>
        <row r="342">
          <cell r="A342">
            <v>34982</v>
          </cell>
          <cell r="B342" t="str">
            <v>法国</v>
          </cell>
          <cell r="C342" t="str">
            <v>糖果</v>
          </cell>
          <cell r="D342">
            <v>125</v>
          </cell>
        </row>
        <row r="343">
          <cell r="A343">
            <v>34984</v>
          </cell>
          <cell r="B343" t="str">
            <v>法国</v>
          </cell>
          <cell r="C343" t="str">
            <v>农产品</v>
          </cell>
          <cell r="D343">
            <v>1060</v>
          </cell>
        </row>
        <row r="344">
          <cell r="A344">
            <v>34984</v>
          </cell>
          <cell r="B344" t="str">
            <v>法国</v>
          </cell>
          <cell r="C344" t="str">
            <v>乳制品</v>
          </cell>
          <cell r="D344">
            <v>55</v>
          </cell>
        </row>
        <row r="345">
          <cell r="A345">
            <v>34984</v>
          </cell>
          <cell r="B345" t="str">
            <v>法国</v>
          </cell>
          <cell r="C345" t="str">
            <v>饮料</v>
          </cell>
          <cell r="D345">
            <v>180</v>
          </cell>
        </row>
        <row r="346">
          <cell r="A346">
            <v>34988</v>
          </cell>
          <cell r="B346" t="str">
            <v>英国</v>
          </cell>
          <cell r="C346" t="str">
            <v>乳制品</v>
          </cell>
          <cell r="D346">
            <v>89.999999850988388</v>
          </cell>
        </row>
        <row r="347">
          <cell r="A347">
            <v>34988</v>
          </cell>
          <cell r="B347" t="str">
            <v>英国</v>
          </cell>
          <cell r="C347" t="str">
            <v>肉/家禽</v>
          </cell>
          <cell r="D347">
            <v>86.399999856948853</v>
          </cell>
        </row>
        <row r="348">
          <cell r="A348">
            <v>34988</v>
          </cell>
          <cell r="B348" t="str">
            <v>英国</v>
          </cell>
          <cell r="C348" t="str">
            <v>面食/谷类</v>
          </cell>
          <cell r="D348">
            <v>448.87499925680459</v>
          </cell>
        </row>
        <row r="349">
          <cell r="A349">
            <v>34989</v>
          </cell>
          <cell r="B349" t="str">
            <v>英国</v>
          </cell>
          <cell r="C349" t="str">
            <v>面食/谷类</v>
          </cell>
          <cell r="D349">
            <v>288</v>
          </cell>
        </row>
        <row r="350">
          <cell r="A350">
            <v>34989</v>
          </cell>
          <cell r="B350" t="str">
            <v>英国</v>
          </cell>
          <cell r="C350" t="str">
            <v>海洋食品</v>
          </cell>
          <cell r="D350">
            <v>720</v>
          </cell>
        </row>
        <row r="351">
          <cell r="A351">
            <v>34989</v>
          </cell>
          <cell r="B351" t="str">
            <v>英国</v>
          </cell>
          <cell r="C351" t="str">
            <v>饮料</v>
          </cell>
          <cell r="D351">
            <v>350</v>
          </cell>
        </row>
        <row r="352">
          <cell r="A352">
            <v>34989</v>
          </cell>
          <cell r="B352" t="str">
            <v>英国</v>
          </cell>
          <cell r="C352" t="str">
            <v>海洋食品</v>
          </cell>
          <cell r="D352">
            <v>750</v>
          </cell>
        </row>
        <row r="353">
          <cell r="A353">
            <v>34989</v>
          </cell>
          <cell r="B353" t="str">
            <v>英国</v>
          </cell>
          <cell r="C353" t="str">
            <v>饮料</v>
          </cell>
          <cell r="D353">
            <v>193.75</v>
          </cell>
        </row>
        <row r="354">
          <cell r="A354">
            <v>34992</v>
          </cell>
          <cell r="B354" t="str">
            <v>英国</v>
          </cell>
          <cell r="C354" t="str">
            <v>农产品</v>
          </cell>
          <cell r="D354">
            <v>697.5</v>
          </cell>
        </row>
        <row r="355">
          <cell r="A355">
            <v>34992</v>
          </cell>
          <cell r="B355" t="str">
            <v>英国</v>
          </cell>
          <cell r="C355" t="str">
            <v>肉/家禽</v>
          </cell>
          <cell r="D355">
            <v>328</v>
          </cell>
        </row>
        <row r="356">
          <cell r="A356">
            <v>34992</v>
          </cell>
          <cell r="B356" t="str">
            <v>英国</v>
          </cell>
          <cell r="C356" t="str">
            <v>海洋食品</v>
          </cell>
          <cell r="D356">
            <v>397.5</v>
          </cell>
        </row>
        <row r="357">
          <cell r="A357">
            <v>34996</v>
          </cell>
          <cell r="B357" t="str">
            <v>法国</v>
          </cell>
          <cell r="C357" t="str">
            <v>乳制品</v>
          </cell>
          <cell r="D357">
            <v>3800</v>
          </cell>
        </row>
        <row r="358">
          <cell r="A358">
            <v>34996</v>
          </cell>
          <cell r="B358" t="str">
            <v>法国</v>
          </cell>
          <cell r="C358" t="str">
            <v>乳制品</v>
          </cell>
          <cell r="D358">
            <v>75</v>
          </cell>
        </row>
        <row r="359">
          <cell r="A359">
            <v>34996</v>
          </cell>
          <cell r="B359" t="str">
            <v>法国</v>
          </cell>
          <cell r="C359" t="str">
            <v>海洋食品</v>
          </cell>
          <cell r="D359">
            <v>1158</v>
          </cell>
        </row>
        <row r="360">
          <cell r="A360">
            <v>34996</v>
          </cell>
          <cell r="B360" t="str">
            <v>法国</v>
          </cell>
          <cell r="C360" t="str">
            <v>肉/家禽</v>
          </cell>
          <cell r="D360">
            <v>223.5</v>
          </cell>
        </row>
        <row r="361">
          <cell r="A361">
            <v>34997</v>
          </cell>
          <cell r="B361" t="str">
            <v>法国</v>
          </cell>
          <cell r="C361" t="str">
            <v>糖果</v>
          </cell>
          <cell r="D361">
            <v>654.375</v>
          </cell>
        </row>
        <row r="362">
          <cell r="A362">
            <v>34997</v>
          </cell>
          <cell r="B362" t="str">
            <v>法国</v>
          </cell>
          <cell r="C362" t="str">
            <v>乳制品</v>
          </cell>
          <cell r="D362">
            <v>187.5</v>
          </cell>
        </row>
        <row r="363">
          <cell r="A363">
            <v>34997</v>
          </cell>
          <cell r="B363" t="str">
            <v>法国</v>
          </cell>
          <cell r="C363" t="str">
            <v>面食/谷类</v>
          </cell>
          <cell r="D363">
            <v>420</v>
          </cell>
        </row>
        <row r="364">
          <cell r="A364">
            <v>34998</v>
          </cell>
          <cell r="B364" t="str">
            <v>法国</v>
          </cell>
          <cell r="C364" t="str">
            <v>糖果</v>
          </cell>
          <cell r="D364">
            <v>248.39999958872795</v>
          </cell>
        </row>
        <row r="365">
          <cell r="A365">
            <v>34998</v>
          </cell>
          <cell r="B365" t="str">
            <v>法国</v>
          </cell>
          <cell r="C365" t="str">
            <v>糖果</v>
          </cell>
          <cell r="D365">
            <v>107.99999982118607</v>
          </cell>
        </row>
        <row r="366">
          <cell r="A366">
            <v>34998</v>
          </cell>
          <cell r="B366" t="str">
            <v>法国</v>
          </cell>
          <cell r="C366" t="str">
            <v>面食/谷类</v>
          </cell>
          <cell r="D366">
            <v>931</v>
          </cell>
        </row>
        <row r="367">
          <cell r="A367">
            <v>34999</v>
          </cell>
          <cell r="B367" t="str">
            <v>英国</v>
          </cell>
          <cell r="C367" t="str">
            <v>海洋食品</v>
          </cell>
          <cell r="D367">
            <v>368</v>
          </cell>
        </row>
        <row r="368">
          <cell r="A368">
            <v>34999</v>
          </cell>
          <cell r="B368" t="str">
            <v>英国</v>
          </cell>
          <cell r="C368" t="str">
            <v>糖果</v>
          </cell>
          <cell r="D368">
            <v>380</v>
          </cell>
        </row>
        <row r="369">
          <cell r="A369">
            <v>34999</v>
          </cell>
          <cell r="B369" t="str">
            <v>英国</v>
          </cell>
          <cell r="C369" t="str">
            <v>乳制品</v>
          </cell>
          <cell r="D369">
            <v>1020</v>
          </cell>
        </row>
        <row r="370">
          <cell r="A370">
            <v>35006</v>
          </cell>
          <cell r="B370" t="str">
            <v>英国</v>
          </cell>
          <cell r="C370" t="str">
            <v>饮料</v>
          </cell>
          <cell r="D370">
            <v>540</v>
          </cell>
        </row>
        <row r="371">
          <cell r="A371">
            <v>35006</v>
          </cell>
          <cell r="B371" t="str">
            <v>英国</v>
          </cell>
          <cell r="C371" t="str">
            <v>肉/家禽</v>
          </cell>
          <cell r="D371">
            <v>4951.6000000000004</v>
          </cell>
        </row>
        <row r="372">
          <cell r="A372">
            <v>35006</v>
          </cell>
          <cell r="B372" t="str">
            <v>英国</v>
          </cell>
          <cell r="C372" t="str">
            <v>饮料</v>
          </cell>
          <cell r="D372">
            <v>1840</v>
          </cell>
        </row>
        <row r="373">
          <cell r="A373">
            <v>35006</v>
          </cell>
          <cell r="B373" t="str">
            <v>英国</v>
          </cell>
          <cell r="C373" t="str">
            <v>香料</v>
          </cell>
          <cell r="D373">
            <v>466.8</v>
          </cell>
        </row>
        <row r="374">
          <cell r="A374">
            <v>35006</v>
          </cell>
          <cell r="B374" t="str">
            <v>英国</v>
          </cell>
          <cell r="C374" t="str">
            <v>糖果</v>
          </cell>
          <cell r="D374">
            <v>2366.4</v>
          </cell>
        </row>
        <row r="375">
          <cell r="A375">
            <v>35009</v>
          </cell>
          <cell r="B375" t="str">
            <v>法国</v>
          </cell>
          <cell r="C375" t="str">
            <v>肉/家禽</v>
          </cell>
          <cell r="D375">
            <v>582</v>
          </cell>
        </row>
        <row r="376">
          <cell r="A376">
            <v>35009</v>
          </cell>
          <cell r="B376" t="str">
            <v>法国</v>
          </cell>
          <cell r="C376" t="str">
            <v>肉/家禽</v>
          </cell>
          <cell r="D376">
            <v>379.94999733567238</v>
          </cell>
        </row>
        <row r="377">
          <cell r="A377">
            <v>35009</v>
          </cell>
          <cell r="B377" t="str">
            <v>法国</v>
          </cell>
          <cell r="C377" t="str">
            <v>乳制品</v>
          </cell>
          <cell r="D377">
            <v>917.99999356269836</v>
          </cell>
        </row>
        <row r="378">
          <cell r="A378">
            <v>35009</v>
          </cell>
          <cell r="B378" t="str">
            <v>法国</v>
          </cell>
          <cell r="C378" t="str">
            <v>海洋食品</v>
          </cell>
          <cell r="D378">
            <v>191.24999865889549</v>
          </cell>
        </row>
        <row r="379">
          <cell r="A379">
            <v>35009</v>
          </cell>
          <cell r="B379" t="str">
            <v>英国</v>
          </cell>
          <cell r="C379" t="str">
            <v>农产品</v>
          </cell>
          <cell r="D379">
            <v>2700</v>
          </cell>
        </row>
        <row r="380">
          <cell r="A380">
            <v>35009</v>
          </cell>
          <cell r="B380" t="str">
            <v>英国</v>
          </cell>
          <cell r="C380" t="str">
            <v>乳制品</v>
          </cell>
          <cell r="D380">
            <v>1375</v>
          </cell>
        </row>
        <row r="381">
          <cell r="A381">
            <v>35009</v>
          </cell>
          <cell r="B381" t="str">
            <v>英国</v>
          </cell>
          <cell r="C381" t="str">
            <v>饮料</v>
          </cell>
          <cell r="D381">
            <v>750</v>
          </cell>
        </row>
        <row r="382">
          <cell r="A382">
            <v>35011</v>
          </cell>
          <cell r="B382" t="str">
            <v>法国</v>
          </cell>
          <cell r="C382" t="str">
            <v>肉/家禽</v>
          </cell>
          <cell r="D382">
            <v>780</v>
          </cell>
        </row>
        <row r="383">
          <cell r="A383">
            <v>35011</v>
          </cell>
          <cell r="B383" t="str">
            <v>法国</v>
          </cell>
          <cell r="C383" t="str">
            <v>海洋食品</v>
          </cell>
          <cell r="D383">
            <v>216</v>
          </cell>
        </row>
        <row r="384">
          <cell r="A384">
            <v>35012</v>
          </cell>
          <cell r="B384" t="str">
            <v>英国</v>
          </cell>
          <cell r="C384" t="str">
            <v>糖果</v>
          </cell>
          <cell r="D384">
            <v>114</v>
          </cell>
        </row>
        <row r="385">
          <cell r="A385">
            <v>35013</v>
          </cell>
          <cell r="B385" t="str">
            <v>法国</v>
          </cell>
          <cell r="C385" t="str">
            <v>饮料</v>
          </cell>
          <cell r="D385">
            <v>71.999999731779099</v>
          </cell>
        </row>
        <row r="386">
          <cell r="A386">
            <v>35013</v>
          </cell>
          <cell r="B386" t="str">
            <v>法国</v>
          </cell>
          <cell r="C386" t="str">
            <v>饮料</v>
          </cell>
          <cell r="D386">
            <v>134.39999949932098</v>
          </cell>
        </row>
        <row r="387">
          <cell r="A387">
            <v>35013</v>
          </cell>
          <cell r="B387" t="str">
            <v>法国</v>
          </cell>
          <cell r="C387" t="str">
            <v>糖果</v>
          </cell>
          <cell r="D387">
            <v>399.99999850988388</v>
          </cell>
        </row>
        <row r="388">
          <cell r="A388">
            <v>35013</v>
          </cell>
          <cell r="B388" t="str">
            <v>法国</v>
          </cell>
          <cell r="C388" t="str">
            <v>乳制品</v>
          </cell>
          <cell r="D388">
            <v>1031.9999961555004</v>
          </cell>
        </row>
        <row r="389">
          <cell r="A389">
            <v>35019</v>
          </cell>
          <cell r="B389" t="str">
            <v>法国</v>
          </cell>
          <cell r="C389" t="str">
            <v>糖果</v>
          </cell>
          <cell r="D389">
            <v>349</v>
          </cell>
        </row>
        <row r="390">
          <cell r="A390">
            <v>35019</v>
          </cell>
          <cell r="B390" t="str">
            <v>法国</v>
          </cell>
          <cell r="C390" t="str">
            <v>饮料</v>
          </cell>
          <cell r="D390">
            <v>1104</v>
          </cell>
        </row>
        <row r="391">
          <cell r="A391">
            <v>35019</v>
          </cell>
          <cell r="B391" t="str">
            <v>法国</v>
          </cell>
          <cell r="C391" t="str">
            <v>乳制品</v>
          </cell>
          <cell r="D391">
            <v>440</v>
          </cell>
        </row>
        <row r="392">
          <cell r="A392">
            <v>35020</v>
          </cell>
          <cell r="B392" t="str">
            <v>法国</v>
          </cell>
          <cell r="C392" t="str">
            <v>香料</v>
          </cell>
          <cell r="D392">
            <v>85.4</v>
          </cell>
        </row>
        <row r="393">
          <cell r="A393">
            <v>35020</v>
          </cell>
          <cell r="B393" t="str">
            <v>法国</v>
          </cell>
          <cell r="C393" t="str">
            <v>海洋食品</v>
          </cell>
          <cell r="D393">
            <v>95</v>
          </cell>
        </row>
        <row r="394">
          <cell r="A394">
            <v>35024</v>
          </cell>
          <cell r="B394" t="str">
            <v>法国</v>
          </cell>
          <cell r="C394" t="str">
            <v>糖果</v>
          </cell>
          <cell r="D394">
            <v>110.4</v>
          </cell>
        </row>
        <row r="395">
          <cell r="A395">
            <v>35024</v>
          </cell>
          <cell r="B395" t="str">
            <v>法国</v>
          </cell>
          <cell r="C395" t="str">
            <v>海洋食品</v>
          </cell>
          <cell r="D395">
            <v>405.3</v>
          </cell>
        </row>
        <row r="396">
          <cell r="A396">
            <v>35024</v>
          </cell>
          <cell r="B396" t="str">
            <v>法国</v>
          </cell>
          <cell r="C396" t="str">
            <v>肉/家禽</v>
          </cell>
          <cell r="D396">
            <v>3936</v>
          </cell>
        </row>
        <row r="397">
          <cell r="A397">
            <v>35025</v>
          </cell>
          <cell r="B397" t="str">
            <v>法国</v>
          </cell>
          <cell r="C397" t="str">
            <v>海洋食品</v>
          </cell>
          <cell r="D397">
            <v>558</v>
          </cell>
        </row>
        <row r="398">
          <cell r="A398">
            <v>35025</v>
          </cell>
          <cell r="B398" t="str">
            <v>法国</v>
          </cell>
          <cell r="C398" t="str">
            <v>糖果</v>
          </cell>
          <cell r="D398">
            <v>936.9</v>
          </cell>
        </row>
        <row r="399">
          <cell r="A399">
            <v>35025</v>
          </cell>
          <cell r="B399" t="str">
            <v>法国</v>
          </cell>
          <cell r="C399" t="str">
            <v>海洋食品</v>
          </cell>
          <cell r="D399">
            <v>1045</v>
          </cell>
        </row>
        <row r="400">
          <cell r="A400">
            <v>35025</v>
          </cell>
          <cell r="B400" t="str">
            <v>法国</v>
          </cell>
          <cell r="C400" t="str">
            <v>海洋食品</v>
          </cell>
          <cell r="D400">
            <v>288</v>
          </cell>
        </row>
        <row r="401">
          <cell r="A401">
            <v>35025</v>
          </cell>
          <cell r="B401" t="str">
            <v>法国</v>
          </cell>
          <cell r="C401" t="str">
            <v>饮料</v>
          </cell>
          <cell r="D401">
            <v>427.5</v>
          </cell>
        </row>
        <row r="402">
          <cell r="A402">
            <v>35025</v>
          </cell>
          <cell r="B402" t="str">
            <v>法国</v>
          </cell>
          <cell r="C402" t="str">
            <v>肉/家禽</v>
          </cell>
          <cell r="D402">
            <v>789.75</v>
          </cell>
        </row>
        <row r="403">
          <cell r="A403">
            <v>35025</v>
          </cell>
          <cell r="B403" t="str">
            <v>法国</v>
          </cell>
          <cell r="C403" t="str">
            <v>糖果</v>
          </cell>
          <cell r="D403">
            <v>356.25</v>
          </cell>
        </row>
        <row r="404">
          <cell r="A404">
            <v>35025</v>
          </cell>
          <cell r="B404" t="str">
            <v>法国</v>
          </cell>
          <cell r="C404" t="str">
            <v>面食/谷类</v>
          </cell>
          <cell r="D404">
            <v>513</v>
          </cell>
        </row>
        <row r="405">
          <cell r="A405">
            <v>35025</v>
          </cell>
          <cell r="B405" t="str">
            <v>法国</v>
          </cell>
          <cell r="C405" t="str">
            <v>海洋食品</v>
          </cell>
          <cell r="D405">
            <v>119.25</v>
          </cell>
        </row>
        <row r="406">
          <cell r="A406">
            <v>35027</v>
          </cell>
          <cell r="B406" t="str">
            <v>英国</v>
          </cell>
          <cell r="C406" t="str">
            <v>糖果</v>
          </cell>
          <cell r="D406">
            <v>303.99999976158142</v>
          </cell>
        </row>
        <row r="407">
          <cell r="A407">
            <v>35027</v>
          </cell>
          <cell r="B407" t="str">
            <v>英国</v>
          </cell>
          <cell r="C407" t="str">
            <v>肉/家禽</v>
          </cell>
          <cell r="D407">
            <v>111.75</v>
          </cell>
        </row>
        <row r="408">
          <cell r="A408">
            <v>35027</v>
          </cell>
          <cell r="B408" t="str">
            <v>英国</v>
          </cell>
          <cell r="C408" t="str">
            <v>乳制品</v>
          </cell>
          <cell r="D408">
            <v>854.99999932944775</v>
          </cell>
        </row>
        <row r="409">
          <cell r="A409">
            <v>35030</v>
          </cell>
          <cell r="B409" t="str">
            <v>英国</v>
          </cell>
          <cell r="C409" t="str">
            <v>乳制品</v>
          </cell>
          <cell r="D409">
            <v>1368</v>
          </cell>
        </row>
        <row r="410">
          <cell r="A410">
            <v>35030</v>
          </cell>
          <cell r="B410" t="str">
            <v>英国</v>
          </cell>
          <cell r="C410" t="str">
            <v>糖果</v>
          </cell>
          <cell r="D410">
            <v>349</v>
          </cell>
        </row>
        <row r="411">
          <cell r="A411">
            <v>35030</v>
          </cell>
          <cell r="B411" t="str">
            <v>英国</v>
          </cell>
          <cell r="C411" t="str">
            <v>海洋食品</v>
          </cell>
          <cell r="D411">
            <v>760</v>
          </cell>
        </row>
        <row r="412">
          <cell r="A412">
            <v>35030</v>
          </cell>
          <cell r="B412" t="str">
            <v>英国</v>
          </cell>
          <cell r="C412" t="str">
            <v>糖果</v>
          </cell>
          <cell r="D412">
            <v>986</v>
          </cell>
        </row>
        <row r="413">
          <cell r="A413">
            <v>35030</v>
          </cell>
          <cell r="B413" t="str">
            <v>法国</v>
          </cell>
          <cell r="C413" t="str">
            <v>海洋食品</v>
          </cell>
          <cell r="D413">
            <v>562.5</v>
          </cell>
        </row>
        <row r="414">
          <cell r="A414">
            <v>35030</v>
          </cell>
          <cell r="B414" t="str">
            <v>法国</v>
          </cell>
          <cell r="C414" t="str">
            <v>海洋食品</v>
          </cell>
          <cell r="D414">
            <v>58.252499999999998</v>
          </cell>
        </row>
        <row r="415">
          <cell r="A415">
            <v>35030</v>
          </cell>
          <cell r="B415" t="str">
            <v>法国</v>
          </cell>
          <cell r="C415" t="str">
            <v>肉/家禽</v>
          </cell>
          <cell r="D415">
            <v>223.5</v>
          </cell>
        </row>
        <row r="416">
          <cell r="A416">
            <v>35032</v>
          </cell>
          <cell r="B416" t="str">
            <v>英国</v>
          </cell>
          <cell r="C416" t="str">
            <v>香料</v>
          </cell>
          <cell r="D416">
            <v>923.87499927543104</v>
          </cell>
        </row>
        <row r="417">
          <cell r="A417">
            <v>35032</v>
          </cell>
          <cell r="B417" t="str">
            <v>法国</v>
          </cell>
          <cell r="C417" t="str">
            <v>饮料</v>
          </cell>
          <cell r="D417">
            <v>57</v>
          </cell>
        </row>
        <row r="418">
          <cell r="A418">
            <v>35032</v>
          </cell>
          <cell r="B418" t="str">
            <v>法国</v>
          </cell>
          <cell r="C418" t="str">
            <v>乳制品</v>
          </cell>
          <cell r="D418">
            <v>625</v>
          </cell>
        </row>
        <row r="419">
          <cell r="A419">
            <v>35032</v>
          </cell>
          <cell r="B419" t="str">
            <v>法国</v>
          </cell>
          <cell r="C419" t="str">
            <v>糖果</v>
          </cell>
          <cell r="D419">
            <v>562.5</v>
          </cell>
        </row>
        <row r="420">
          <cell r="A420">
            <v>35032</v>
          </cell>
          <cell r="B420" t="str">
            <v>法国</v>
          </cell>
          <cell r="C420" t="str">
            <v>饮料</v>
          </cell>
          <cell r="D420">
            <v>325.5</v>
          </cell>
        </row>
        <row r="421">
          <cell r="A421">
            <v>35033</v>
          </cell>
          <cell r="B421" t="str">
            <v>法国</v>
          </cell>
          <cell r="C421" t="str">
            <v>糖果</v>
          </cell>
          <cell r="D421">
            <v>468.45</v>
          </cell>
        </row>
        <row r="422">
          <cell r="A422">
            <v>35044</v>
          </cell>
          <cell r="B422" t="str">
            <v>法国</v>
          </cell>
          <cell r="C422" t="str">
            <v>香料</v>
          </cell>
          <cell r="D422">
            <v>512.99999915063381</v>
          </cell>
        </row>
        <row r="423">
          <cell r="A423">
            <v>35044</v>
          </cell>
          <cell r="B423" t="str">
            <v>法国</v>
          </cell>
          <cell r="C423" t="str">
            <v>香料</v>
          </cell>
          <cell r="D423">
            <v>23.399999961256981</v>
          </cell>
        </row>
        <row r="424">
          <cell r="A424">
            <v>35047</v>
          </cell>
          <cell r="B424" t="str">
            <v>法国</v>
          </cell>
          <cell r="C424" t="str">
            <v>农产品</v>
          </cell>
          <cell r="D424">
            <v>182.39999932050705</v>
          </cell>
        </row>
        <row r="425">
          <cell r="A425">
            <v>35047</v>
          </cell>
          <cell r="B425" t="str">
            <v>法国</v>
          </cell>
          <cell r="C425" t="str">
            <v>饮料</v>
          </cell>
          <cell r="D425">
            <v>503.99999812245369</v>
          </cell>
        </row>
        <row r="426">
          <cell r="A426">
            <v>35047</v>
          </cell>
          <cell r="B426" t="str">
            <v>法国</v>
          </cell>
          <cell r="C426" t="str">
            <v>海洋食品</v>
          </cell>
          <cell r="D426">
            <v>303.99999886751175</v>
          </cell>
        </row>
        <row r="427">
          <cell r="A427">
            <v>35047</v>
          </cell>
          <cell r="B427" t="str">
            <v>法国</v>
          </cell>
          <cell r="C427" t="str">
            <v>面食/谷类</v>
          </cell>
          <cell r="D427">
            <v>425.59999841451645</v>
          </cell>
        </row>
        <row r="428">
          <cell r="A428">
            <v>35052</v>
          </cell>
          <cell r="B428" t="str">
            <v>英国</v>
          </cell>
          <cell r="C428" t="str">
            <v>海洋食品</v>
          </cell>
          <cell r="D428">
            <v>1500</v>
          </cell>
        </row>
        <row r="429">
          <cell r="A429">
            <v>35052</v>
          </cell>
          <cell r="B429" t="str">
            <v>英国</v>
          </cell>
          <cell r="C429" t="str">
            <v>香料</v>
          </cell>
          <cell r="D429">
            <v>311.2</v>
          </cell>
        </row>
        <row r="430">
          <cell r="A430">
            <v>35052</v>
          </cell>
          <cell r="B430" t="str">
            <v>英国</v>
          </cell>
          <cell r="C430" t="str">
            <v>乳制品</v>
          </cell>
          <cell r="D430">
            <v>2475</v>
          </cell>
        </row>
        <row r="431">
          <cell r="A431">
            <v>35052</v>
          </cell>
          <cell r="B431" t="str">
            <v>英国</v>
          </cell>
          <cell r="C431" t="str">
            <v>乳制品</v>
          </cell>
          <cell r="D431">
            <v>243.6</v>
          </cell>
        </row>
        <row r="432">
          <cell r="A432">
            <v>35054</v>
          </cell>
          <cell r="B432" t="str">
            <v>法国</v>
          </cell>
          <cell r="C432" t="str">
            <v>面食/谷类</v>
          </cell>
          <cell r="D432">
            <v>396</v>
          </cell>
        </row>
        <row r="433">
          <cell r="A433">
            <v>35054</v>
          </cell>
          <cell r="B433" t="str">
            <v>法国</v>
          </cell>
          <cell r="C433" t="str">
            <v>海洋食品</v>
          </cell>
          <cell r="D433">
            <v>736</v>
          </cell>
        </row>
        <row r="434">
          <cell r="A434">
            <v>35054</v>
          </cell>
          <cell r="B434" t="str">
            <v>法国</v>
          </cell>
          <cell r="C434" t="str">
            <v>面食/谷类</v>
          </cell>
          <cell r="D434">
            <v>1064</v>
          </cell>
        </row>
        <row r="435">
          <cell r="A435">
            <v>35061</v>
          </cell>
          <cell r="B435" t="str">
            <v>法国</v>
          </cell>
          <cell r="C435" t="str">
            <v>海洋食品</v>
          </cell>
          <cell r="D435">
            <v>1049.9999960884452</v>
          </cell>
        </row>
        <row r="436">
          <cell r="A436">
            <v>35061</v>
          </cell>
          <cell r="B436" t="str">
            <v>法国</v>
          </cell>
          <cell r="C436" t="str">
            <v>海洋食品</v>
          </cell>
          <cell r="D436">
            <v>303.99999886751175</v>
          </cell>
        </row>
        <row r="437">
          <cell r="A437">
            <v>35061</v>
          </cell>
          <cell r="B437" t="str">
            <v>法国</v>
          </cell>
          <cell r="C437" t="str">
            <v>糖果</v>
          </cell>
          <cell r="D437">
            <v>59.999999776482582</v>
          </cell>
        </row>
        <row r="438">
          <cell r="A438">
            <v>35061</v>
          </cell>
          <cell r="B438" t="str">
            <v>法国</v>
          </cell>
          <cell r="C438" t="str">
            <v>乳制品</v>
          </cell>
          <cell r="D438">
            <v>575.99999785423279</v>
          </cell>
        </row>
        <row r="439">
          <cell r="A439">
            <v>35061</v>
          </cell>
          <cell r="B439" t="str">
            <v>法国</v>
          </cell>
          <cell r="C439" t="str">
            <v>饮料</v>
          </cell>
          <cell r="D439">
            <v>420</v>
          </cell>
        </row>
        <row r="440">
          <cell r="A440">
            <v>35061</v>
          </cell>
          <cell r="B440" t="str">
            <v>法国</v>
          </cell>
          <cell r="C440" t="str">
            <v>乳制品</v>
          </cell>
          <cell r="D440">
            <v>385</v>
          </cell>
        </row>
        <row r="441">
          <cell r="A441">
            <v>35061</v>
          </cell>
          <cell r="B441" t="str">
            <v>法国</v>
          </cell>
          <cell r="C441" t="str">
            <v>糖果</v>
          </cell>
          <cell r="D441">
            <v>1479</v>
          </cell>
        </row>
        <row r="442">
          <cell r="A442">
            <v>35061</v>
          </cell>
          <cell r="B442" t="str">
            <v>法国</v>
          </cell>
          <cell r="C442" t="str">
            <v>面食/谷类</v>
          </cell>
          <cell r="D442">
            <v>798</v>
          </cell>
        </row>
        <row r="443">
          <cell r="A443">
            <v>35066</v>
          </cell>
          <cell r="B443" t="str">
            <v>法国</v>
          </cell>
          <cell r="C443" t="str">
            <v>糖果</v>
          </cell>
          <cell r="D443">
            <v>367.5</v>
          </cell>
        </row>
        <row r="444">
          <cell r="A444">
            <v>35066</v>
          </cell>
          <cell r="B444" t="str">
            <v>法国</v>
          </cell>
          <cell r="C444" t="str">
            <v>饮料</v>
          </cell>
          <cell r="D444">
            <v>139.5</v>
          </cell>
        </row>
        <row r="445">
          <cell r="A445">
            <v>35068</v>
          </cell>
          <cell r="B445" t="str">
            <v>英国</v>
          </cell>
          <cell r="C445" t="str">
            <v>香料</v>
          </cell>
          <cell r="D445">
            <v>1515.5999974906445</v>
          </cell>
        </row>
        <row r="446">
          <cell r="A446">
            <v>35069</v>
          </cell>
          <cell r="B446" t="str">
            <v>英国</v>
          </cell>
          <cell r="C446" t="str">
            <v>饮料</v>
          </cell>
          <cell r="D446">
            <v>760</v>
          </cell>
        </row>
        <row r="447">
          <cell r="A447">
            <v>35069</v>
          </cell>
          <cell r="B447" t="str">
            <v>英国</v>
          </cell>
          <cell r="C447" t="str">
            <v>农产品</v>
          </cell>
          <cell r="D447">
            <v>1050</v>
          </cell>
        </row>
        <row r="448">
          <cell r="A448">
            <v>35069</v>
          </cell>
          <cell r="B448" t="str">
            <v>英国</v>
          </cell>
          <cell r="C448" t="str">
            <v>糖果</v>
          </cell>
          <cell r="D448">
            <v>500</v>
          </cell>
        </row>
        <row r="449">
          <cell r="A449">
            <v>35074</v>
          </cell>
          <cell r="B449" t="str">
            <v>英国</v>
          </cell>
          <cell r="C449" t="str">
            <v>肉/家禽</v>
          </cell>
          <cell r="D449">
            <v>2228.2199999999998</v>
          </cell>
        </row>
        <row r="450">
          <cell r="A450">
            <v>35074</v>
          </cell>
          <cell r="B450" t="str">
            <v>英国</v>
          </cell>
          <cell r="C450" t="str">
            <v>乳制品</v>
          </cell>
          <cell r="D450">
            <v>1375</v>
          </cell>
        </row>
        <row r="451">
          <cell r="A451">
            <v>35076</v>
          </cell>
          <cell r="B451" t="str">
            <v>法国</v>
          </cell>
          <cell r="C451" t="str">
            <v>海洋食品</v>
          </cell>
          <cell r="D451">
            <v>186</v>
          </cell>
        </row>
        <row r="452">
          <cell r="A452">
            <v>35076</v>
          </cell>
          <cell r="B452" t="str">
            <v>法国</v>
          </cell>
          <cell r="C452" t="str">
            <v>饮料</v>
          </cell>
          <cell r="D452">
            <v>42</v>
          </cell>
        </row>
        <row r="453">
          <cell r="A453">
            <v>35080</v>
          </cell>
          <cell r="B453" t="str">
            <v>英国</v>
          </cell>
          <cell r="C453" t="str">
            <v>糖果</v>
          </cell>
          <cell r="D453">
            <v>349</v>
          </cell>
        </row>
        <row r="454">
          <cell r="A454">
            <v>35080</v>
          </cell>
          <cell r="B454" t="str">
            <v>英国</v>
          </cell>
          <cell r="C454" t="str">
            <v>糖果</v>
          </cell>
          <cell r="D454">
            <v>986</v>
          </cell>
        </row>
        <row r="455">
          <cell r="A455">
            <v>35086</v>
          </cell>
          <cell r="B455" t="str">
            <v>英国</v>
          </cell>
          <cell r="C455" t="str">
            <v>糖果</v>
          </cell>
          <cell r="D455">
            <v>436.99999965727329</v>
          </cell>
        </row>
        <row r="456">
          <cell r="A456">
            <v>35086</v>
          </cell>
          <cell r="B456" t="str">
            <v>英国</v>
          </cell>
          <cell r="C456" t="str">
            <v>饮料</v>
          </cell>
          <cell r="D456">
            <v>294.499999769032</v>
          </cell>
        </row>
        <row r="457">
          <cell r="A457">
            <v>35087</v>
          </cell>
          <cell r="B457" t="str">
            <v>英国</v>
          </cell>
          <cell r="C457" t="str">
            <v>肉/家禽</v>
          </cell>
          <cell r="D457">
            <v>1646.4069987087696</v>
          </cell>
        </row>
        <row r="458">
          <cell r="A458">
            <v>35087</v>
          </cell>
          <cell r="B458" t="str">
            <v>英国</v>
          </cell>
          <cell r="C458" t="str">
            <v>海洋食品</v>
          </cell>
          <cell r="D458">
            <v>183.34999985620379</v>
          </cell>
        </row>
        <row r="459">
          <cell r="A459">
            <v>35089</v>
          </cell>
          <cell r="B459" t="str">
            <v>英国</v>
          </cell>
          <cell r="C459" t="str">
            <v>乳制品</v>
          </cell>
          <cell r="D459">
            <v>420</v>
          </cell>
        </row>
        <row r="460">
          <cell r="A460">
            <v>35090</v>
          </cell>
          <cell r="B460" t="str">
            <v>英国</v>
          </cell>
          <cell r="C460" t="str">
            <v>海洋食品</v>
          </cell>
          <cell r="D460">
            <v>101.99999928474426</v>
          </cell>
        </row>
        <row r="461">
          <cell r="A461">
            <v>35090</v>
          </cell>
          <cell r="B461" t="str">
            <v>英国</v>
          </cell>
          <cell r="C461" t="str">
            <v>饮料</v>
          </cell>
          <cell r="D461">
            <v>76.499999463558197</v>
          </cell>
        </row>
        <row r="462">
          <cell r="A462">
            <v>35090</v>
          </cell>
          <cell r="B462" t="str">
            <v>英国</v>
          </cell>
          <cell r="C462" t="str">
            <v>乳制品</v>
          </cell>
          <cell r="D462">
            <v>1375</v>
          </cell>
        </row>
        <row r="463">
          <cell r="A463">
            <v>35094</v>
          </cell>
          <cell r="B463" t="str">
            <v>法国</v>
          </cell>
          <cell r="C463" t="str">
            <v>饮料</v>
          </cell>
          <cell r="D463">
            <v>140</v>
          </cell>
        </row>
        <row r="464">
          <cell r="A464">
            <v>35094</v>
          </cell>
          <cell r="B464" t="str">
            <v>法国</v>
          </cell>
          <cell r="C464" t="str">
            <v>饮料</v>
          </cell>
          <cell r="D464">
            <v>2635</v>
          </cell>
        </row>
        <row r="465">
          <cell r="A465">
            <v>35096</v>
          </cell>
          <cell r="B465" t="str">
            <v>法国</v>
          </cell>
          <cell r="C465" t="str">
            <v>面食/谷类</v>
          </cell>
          <cell r="D465">
            <v>645.999995470047</v>
          </cell>
        </row>
        <row r="466">
          <cell r="A466">
            <v>35096</v>
          </cell>
          <cell r="B466" t="str">
            <v>法国</v>
          </cell>
          <cell r="C466" t="str">
            <v>饮料</v>
          </cell>
          <cell r="D466">
            <v>764.99999463558197</v>
          </cell>
        </row>
        <row r="467">
          <cell r="A467">
            <v>35100</v>
          </cell>
          <cell r="B467" t="str">
            <v>法国</v>
          </cell>
          <cell r="C467" t="str">
            <v>乳制品</v>
          </cell>
          <cell r="D467">
            <v>40</v>
          </cell>
        </row>
        <row r="468">
          <cell r="A468">
            <v>35101</v>
          </cell>
          <cell r="B468" t="str">
            <v>法国</v>
          </cell>
          <cell r="C468" t="str">
            <v>饮料</v>
          </cell>
          <cell r="D468">
            <v>7509.749994110316</v>
          </cell>
        </row>
        <row r="469">
          <cell r="A469">
            <v>35101</v>
          </cell>
          <cell r="B469" t="str">
            <v>法国</v>
          </cell>
          <cell r="C469" t="str">
            <v>糖果</v>
          </cell>
          <cell r="D469">
            <v>936.69999926537275</v>
          </cell>
        </row>
        <row r="470">
          <cell r="A470">
            <v>35101</v>
          </cell>
          <cell r="B470" t="str">
            <v>英国</v>
          </cell>
          <cell r="C470" t="str">
            <v>糖果</v>
          </cell>
          <cell r="D470">
            <v>1061.8199925541878</v>
          </cell>
        </row>
        <row r="471">
          <cell r="A471">
            <v>35101</v>
          </cell>
          <cell r="B471" t="str">
            <v>英国</v>
          </cell>
          <cell r="C471" t="str">
            <v>饮料</v>
          </cell>
          <cell r="D471">
            <v>7905</v>
          </cell>
        </row>
        <row r="472">
          <cell r="A472">
            <v>35101</v>
          </cell>
          <cell r="B472" t="str">
            <v>英国</v>
          </cell>
          <cell r="C472" t="str">
            <v>海洋食品</v>
          </cell>
          <cell r="D472">
            <v>938.39999341964722</v>
          </cell>
        </row>
        <row r="473">
          <cell r="A473">
            <v>35101</v>
          </cell>
          <cell r="B473" t="str">
            <v>英国</v>
          </cell>
          <cell r="C473" t="str">
            <v>糖果</v>
          </cell>
          <cell r="D473">
            <v>1047.6249926537275</v>
          </cell>
        </row>
        <row r="474">
          <cell r="A474">
            <v>35102</v>
          </cell>
          <cell r="B474" t="str">
            <v>法国</v>
          </cell>
          <cell r="C474" t="str">
            <v>面食/谷类</v>
          </cell>
          <cell r="D474">
            <v>1140</v>
          </cell>
        </row>
        <row r="475">
          <cell r="A475">
            <v>35103</v>
          </cell>
          <cell r="B475" t="str">
            <v>法国</v>
          </cell>
          <cell r="C475" t="str">
            <v>饮料</v>
          </cell>
          <cell r="D475">
            <v>360</v>
          </cell>
        </row>
        <row r="476">
          <cell r="A476">
            <v>35103</v>
          </cell>
          <cell r="B476" t="str">
            <v>法国</v>
          </cell>
          <cell r="C476" t="str">
            <v>农产品</v>
          </cell>
          <cell r="D476">
            <v>318</v>
          </cell>
        </row>
        <row r="477">
          <cell r="A477">
            <v>35103</v>
          </cell>
          <cell r="B477" t="str">
            <v>法国</v>
          </cell>
          <cell r="C477" t="str">
            <v>糖果</v>
          </cell>
          <cell r="D477">
            <v>147.9</v>
          </cell>
        </row>
        <row r="478">
          <cell r="A478">
            <v>35103</v>
          </cell>
          <cell r="B478" t="str">
            <v>法国</v>
          </cell>
          <cell r="C478" t="str">
            <v>饮料</v>
          </cell>
          <cell r="D478">
            <v>90</v>
          </cell>
        </row>
        <row r="479">
          <cell r="A479">
            <v>35104</v>
          </cell>
          <cell r="B479" t="str">
            <v>英国</v>
          </cell>
          <cell r="C479" t="str">
            <v>糖果</v>
          </cell>
          <cell r="D479">
            <v>374.76</v>
          </cell>
        </row>
        <row r="480">
          <cell r="A480">
            <v>35104</v>
          </cell>
          <cell r="B480" t="str">
            <v>英国</v>
          </cell>
          <cell r="C480" t="str">
            <v>肉/家禽</v>
          </cell>
          <cell r="D480">
            <v>656</v>
          </cell>
        </row>
        <row r="481">
          <cell r="A481">
            <v>35110</v>
          </cell>
          <cell r="B481" t="str">
            <v>英国</v>
          </cell>
          <cell r="C481" t="str">
            <v>农产品</v>
          </cell>
          <cell r="D481">
            <v>539.99999910593033</v>
          </cell>
        </row>
        <row r="482">
          <cell r="A482">
            <v>35110</v>
          </cell>
          <cell r="B482" t="str">
            <v>英国</v>
          </cell>
          <cell r="C482" t="str">
            <v>乳制品</v>
          </cell>
          <cell r="D482">
            <v>101.24999983236194</v>
          </cell>
        </row>
        <row r="483">
          <cell r="A483">
            <v>35110</v>
          </cell>
          <cell r="B483" t="str">
            <v>英国</v>
          </cell>
          <cell r="C483" t="str">
            <v>肉/家禽</v>
          </cell>
          <cell r="D483">
            <v>265.67999956011772</v>
          </cell>
        </row>
        <row r="484">
          <cell r="A484">
            <v>35116</v>
          </cell>
          <cell r="B484" t="str">
            <v>英国</v>
          </cell>
          <cell r="C484" t="str">
            <v>面食/谷类</v>
          </cell>
          <cell r="D484">
            <v>566.99999906122684</v>
          </cell>
        </row>
        <row r="485">
          <cell r="A485">
            <v>35116</v>
          </cell>
          <cell r="B485" t="str">
            <v>英国</v>
          </cell>
          <cell r="C485" t="str">
            <v>饮料</v>
          </cell>
          <cell r="D485">
            <v>404.99999932944775</v>
          </cell>
        </row>
        <row r="486">
          <cell r="A486">
            <v>35116</v>
          </cell>
          <cell r="B486" t="str">
            <v>英国</v>
          </cell>
          <cell r="C486" t="str">
            <v>面食/谷类</v>
          </cell>
          <cell r="D486">
            <v>529.19999912381172</v>
          </cell>
        </row>
        <row r="487">
          <cell r="A487">
            <v>35116</v>
          </cell>
          <cell r="B487" t="str">
            <v>英国</v>
          </cell>
          <cell r="C487" t="str">
            <v>海洋食品</v>
          </cell>
          <cell r="D487">
            <v>715.49999881535769</v>
          </cell>
        </row>
        <row r="488">
          <cell r="A488">
            <v>35116</v>
          </cell>
          <cell r="B488" t="str">
            <v>英国</v>
          </cell>
          <cell r="C488" t="str">
            <v>面食/谷类</v>
          </cell>
          <cell r="D488">
            <v>1596</v>
          </cell>
        </row>
        <row r="489">
          <cell r="A489">
            <v>35117</v>
          </cell>
          <cell r="B489" t="str">
            <v>法国</v>
          </cell>
          <cell r="C489" t="str">
            <v>饮料</v>
          </cell>
          <cell r="D489">
            <v>1151.9999957084656</v>
          </cell>
        </row>
        <row r="490">
          <cell r="A490">
            <v>35117</v>
          </cell>
          <cell r="B490" t="str">
            <v>法国</v>
          </cell>
          <cell r="C490" t="str">
            <v>糖果</v>
          </cell>
          <cell r="D490">
            <v>88.319999670982369</v>
          </cell>
        </row>
        <row r="491">
          <cell r="A491">
            <v>35117</v>
          </cell>
          <cell r="B491" t="str">
            <v>法国</v>
          </cell>
          <cell r="C491" t="str">
            <v>海洋食品</v>
          </cell>
          <cell r="D491">
            <v>1247.9999953508377</v>
          </cell>
        </row>
        <row r="492">
          <cell r="A492">
            <v>35117</v>
          </cell>
          <cell r="B492" t="str">
            <v>法国</v>
          </cell>
          <cell r="C492" t="str">
            <v>海洋食品</v>
          </cell>
          <cell r="D492">
            <v>273.59999898076057</v>
          </cell>
        </row>
        <row r="493">
          <cell r="A493">
            <v>35117</v>
          </cell>
          <cell r="B493" t="str">
            <v>法国</v>
          </cell>
          <cell r="C493" t="str">
            <v>乳制品</v>
          </cell>
          <cell r="D493">
            <v>1223.9999954402447</v>
          </cell>
        </row>
        <row r="494">
          <cell r="A494">
            <v>35117</v>
          </cell>
          <cell r="B494" t="str">
            <v>法国</v>
          </cell>
          <cell r="C494" t="str">
            <v>乳制品</v>
          </cell>
          <cell r="D494">
            <v>945.99999647587538</v>
          </cell>
        </row>
        <row r="495">
          <cell r="A495">
            <v>35118</v>
          </cell>
          <cell r="B495" t="str">
            <v>英国</v>
          </cell>
          <cell r="C495" t="str">
            <v>香料</v>
          </cell>
          <cell r="D495">
            <v>490</v>
          </cell>
        </row>
        <row r="496">
          <cell r="A496">
            <v>35118</v>
          </cell>
          <cell r="B496" t="str">
            <v>英国</v>
          </cell>
          <cell r="C496" t="str">
            <v>糖果</v>
          </cell>
          <cell r="D496">
            <v>477.81899664938447</v>
          </cell>
        </row>
        <row r="497">
          <cell r="A497">
            <v>35121</v>
          </cell>
          <cell r="B497" t="str">
            <v>法国</v>
          </cell>
          <cell r="C497" t="str">
            <v>饮料</v>
          </cell>
          <cell r="D497">
            <v>285</v>
          </cell>
        </row>
        <row r="498">
          <cell r="A498">
            <v>35121</v>
          </cell>
          <cell r="B498" t="str">
            <v>法国</v>
          </cell>
          <cell r="C498" t="str">
            <v>肉/家禽</v>
          </cell>
          <cell r="D498">
            <v>234</v>
          </cell>
        </row>
        <row r="499">
          <cell r="A499">
            <v>35121</v>
          </cell>
          <cell r="B499" t="str">
            <v>法国</v>
          </cell>
          <cell r="C499" t="str">
            <v>糖果</v>
          </cell>
          <cell r="D499">
            <v>2465</v>
          </cell>
        </row>
        <row r="500">
          <cell r="A500">
            <v>35122</v>
          </cell>
          <cell r="B500" t="str">
            <v>英国</v>
          </cell>
          <cell r="C500" t="str">
            <v>海洋食品</v>
          </cell>
          <cell r="D500">
            <v>625</v>
          </cell>
        </row>
        <row r="501">
          <cell r="A501">
            <v>35122</v>
          </cell>
          <cell r="B501" t="str">
            <v>法国</v>
          </cell>
          <cell r="C501" t="str">
            <v>糖果</v>
          </cell>
          <cell r="D501">
            <v>872.5</v>
          </cell>
        </row>
        <row r="502">
          <cell r="A502">
            <v>35122</v>
          </cell>
          <cell r="B502" t="str">
            <v>法国</v>
          </cell>
          <cell r="C502" t="str">
            <v>乳制品</v>
          </cell>
          <cell r="D502">
            <v>175</v>
          </cell>
        </row>
        <row r="503">
          <cell r="A503">
            <v>35122</v>
          </cell>
          <cell r="B503" t="str">
            <v>法国</v>
          </cell>
          <cell r="C503" t="str">
            <v>面食/谷类</v>
          </cell>
          <cell r="D503">
            <v>912</v>
          </cell>
        </row>
        <row r="504">
          <cell r="A504">
            <v>35122</v>
          </cell>
          <cell r="B504" t="str">
            <v>法国</v>
          </cell>
          <cell r="C504" t="str">
            <v>香料</v>
          </cell>
          <cell r="D504">
            <v>268.38749811798334</v>
          </cell>
        </row>
        <row r="505">
          <cell r="A505">
            <v>35124</v>
          </cell>
          <cell r="B505" t="str">
            <v>英国</v>
          </cell>
          <cell r="C505" t="str">
            <v>饮料</v>
          </cell>
          <cell r="D505">
            <v>135</v>
          </cell>
        </row>
        <row r="506">
          <cell r="A506">
            <v>35124</v>
          </cell>
          <cell r="B506" t="str">
            <v>英国</v>
          </cell>
          <cell r="C506" t="str">
            <v>肉/家禽</v>
          </cell>
          <cell r="D506">
            <v>195.5625</v>
          </cell>
        </row>
        <row r="507">
          <cell r="A507">
            <v>35124</v>
          </cell>
          <cell r="B507" t="str">
            <v>英国</v>
          </cell>
          <cell r="C507" t="str">
            <v>面食/谷类</v>
          </cell>
          <cell r="D507">
            <v>748.125</v>
          </cell>
        </row>
        <row r="508">
          <cell r="A508">
            <v>35125</v>
          </cell>
          <cell r="B508" t="str">
            <v>法国</v>
          </cell>
          <cell r="C508" t="str">
            <v>肉/家禽</v>
          </cell>
          <cell r="D508">
            <v>1638</v>
          </cell>
        </row>
        <row r="509">
          <cell r="A509">
            <v>35125</v>
          </cell>
          <cell r="B509" t="str">
            <v>法国</v>
          </cell>
          <cell r="C509" t="str">
            <v>海洋食品</v>
          </cell>
          <cell r="D509">
            <v>1250</v>
          </cell>
        </row>
        <row r="510">
          <cell r="A510">
            <v>35125</v>
          </cell>
          <cell r="B510" t="str">
            <v>法国</v>
          </cell>
          <cell r="C510" t="str">
            <v>糖果</v>
          </cell>
          <cell r="D510">
            <v>400</v>
          </cell>
        </row>
        <row r="511">
          <cell r="A511">
            <v>35125</v>
          </cell>
          <cell r="B511" t="str">
            <v>法国</v>
          </cell>
          <cell r="C511" t="str">
            <v>乳制品</v>
          </cell>
          <cell r="D511">
            <v>87.5</v>
          </cell>
        </row>
        <row r="512">
          <cell r="A512">
            <v>35125</v>
          </cell>
          <cell r="B512" t="str">
            <v>法国</v>
          </cell>
          <cell r="C512" t="str">
            <v>糖果</v>
          </cell>
          <cell r="D512">
            <v>147.9</v>
          </cell>
        </row>
        <row r="513">
          <cell r="A513">
            <v>35125</v>
          </cell>
          <cell r="B513" t="str">
            <v>英国</v>
          </cell>
          <cell r="C513" t="str">
            <v>乳制品</v>
          </cell>
          <cell r="D513">
            <v>525</v>
          </cell>
        </row>
        <row r="514">
          <cell r="A514">
            <v>35125</v>
          </cell>
          <cell r="B514" t="str">
            <v>英国</v>
          </cell>
          <cell r="C514" t="str">
            <v>面食/谷类</v>
          </cell>
          <cell r="D514">
            <v>56</v>
          </cell>
        </row>
        <row r="515">
          <cell r="A515">
            <v>35128</v>
          </cell>
          <cell r="B515" t="str">
            <v>英国</v>
          </cell>
          <cell r="C515" t="str">
            <v>饮料</v>
          </cell>
          <cell r="D515">
            <v>15019.499988220632</v>
          </cell>
        </row>
        <row r="516">
          <cell r="A516">
            <v>35128</v>
          </cell>
          <cell r="B516" t="str">
            <v>英国</v>
          </cell>
          <cell r="C516" t="str">
            <v>饮料</v>
          </cell>
          <cell r="D516">
            <v>1367.9999989271164</v>
          </cell>
        </row>
        <row r="517">
          <cell r="A517">
            <v>35129</v>
          </cell>
          <cell r="B517" t="str">
            <v>法国</v>
          </cell>
          <cell r="C517" t="str">
            <v>肉/家禽</v>
          </cell>
          <cell r="D517">
            <v>98.4</v>
          </cell>
        </row>
        <row r="518">
          <cell r="A518">
            <v>35136</v>
          </cell>
          <cell r="B518" t="str">
            <v>英国</v>
          </cell>
          <cell r="C518" t="str">
            <v>糖果</v>
          </cell>
          <cell r="D518">
            <v>1538.9999987930059</v>
          </cell>
        </row>
        <row r="519">
          <cell r="A519">
            <v>35137</v>
          </cell>
          <cell r="B519" t="str">
            <v>法国</v>
          </cell>
          <cell r="C519" t="str">
            <v>面食/谷类</v>
          </cell>
          <cell r="D519">
            <v>350</v>
          </cell>
        </row>
        <row r="520">
          <cell r="A520">
            <v>35137</v>
          </cell>
          <cell r="B520" t="str">
            <v>法国</v>
          </cell>
          <cell r="C520" t="str">
            <v>糖果</v>
          </cell>
          <cell r="D520">
            <v>339.99999761581421</v>
          </cell>
        </row>
        <row r="521">
          <cell r="A521">
            <v>35137</v>
          </cell>
          <cell r="B521" t="str">
            <v>法国</v>
          </cell>
          <cell r="C521" t="str">
            <v>肉/家禽</v>
          </cell>
          <cell r="D521">
            <v>202.63999857902527</v>
          </cell>
        </row>
        <row r="522">
          <cell r="A522">
            <v>35138</v>
          </cell>
          <cell r="B522" t="str">
            <v>法国</v>
          </cell>
          <cell r="C522" t="str">
            <v>饮料</v>
          </cell>
          <cell r="D522">
            <v>36</v>
          </cell>
        </row>
        <row r="523">
          <cell r="A523">
            <v>35138</v>
          </cell>
          <cell r="B523" t="str">
            <v>法国</v>
          </cell>
          <cell r="C523" t="str">
            <v>糖果</v>
          </cell>
          <cell r="D523">
            <v>379.99999970197678</v>
          </cell>
        </row>
        <row r="524">
          <cell r="A524">
            <v>35138</v>
          </cell>
          <cell r="B524" t="str">
            <v>法国</v>
          </cell>
          <cell r="C524" t="str">
            <v>面食/谷类</v>
          </cell>
          <cell r="D524">
            <v>758.09999940544367</v>
          </cell>
        </row>
        <row r="525">
          <cell r="A525">
            <v>35138</v>
          </cell>
          <cell r="B525" t="str">
            <v>法国</v>
          </cell>
          <cell r="C525" t="str">
            <v>香料</v>
          </cell>
          <cell r="D525">
            <v>239.96999981179832</v>
          </cell>
        </row>
        <row r="526">
          <cell r="A526">
            <v>35142</v>
          </cell>
          <cell r="B526" t="str">
            <v>法国</v>
          </cell>
          <cell r="C526" t="str">
            <v>乳制品</v>
          </cell>
          <cell r="D526">
            <v>840</v>
          </cell>
        </row>
        <row r="527">
          <cell r="A527">
            <v>35142</v>
          </cell>
          <cell r="B527" t="str">
            <v>法国</v>
          </cell>
          <cell r="C527" t="str">
            <v>饮料</v>
          </cell>
          <cell r="D527">
            <v>10540</v>
          </cell>
        </row>
        <row r="528">
          <cell r="A528">
            <v>35143</v>
          </cell>
          <cell r="B528" t="str">
            <v>英国</v>
          </cell>
          <cell r="C528" t="str">
            <v>海洋食品</v>
          </cell>
          <cell r="D528">
            <v>368.93249971065671</v>
          </cell>
        </row>
        <row r="529">
          <cell r="A529">
            <v>35144</v>
          </cell>
          <cell r="B529" t="str">
            <v>英国</v>
          </cell>
          <cell r="C529" t="str">
            <v>香料</v>
          </cell>
          <cell r="D529">
            <v>1200</v>
          </cell>
        </row>
        <row r="530">
          <cell r="A530">
            <v>35144</v>
          </cell>
          <cell r="B530" t="str">
            <v>英国</v>
          </cell>
          <cell r="C530" t="str">
            <v>饮料</v>
          </cell>
          <cell r="D530">
            <v>45</v>
          </cell>
        </row>
        <row r="531">
          <cell r="A531">
            <v>35144</v>
          </cell>
          <cell r="B531" t="str">
            <v>英国</v>
          </cell>
          <cell r="C531" t="str">
            <v>肉/家禽</v>
          </cell>
          <cell r="D531">
            <v>2970.96</v>
          </cell>
        </row>
        <row r="532">
          <cell r="A532">
            <v>35144</v>
          </cell>
          <cell r="B532" t="str">
            <v>英国</v>
          </cell>
          <cell r="C532" t="str">
            <v>海洋食品</v>
          </cell>
          <cell r="D532">
            <v>906.15</v>
          </cell>
        </row>
        <row r="533">
          <cell r="A533">
            <v>35144</v>
          </cell>
          <cell r="B533" t="str">
            <v>英国</v>
          </cell>
          <cell r="C533" t="str">
            <v>海洋食品</v>
          </cell>
          <cell r="D533">
            <v>380</v>
          </cell>
        </row>
        <row r="534">
          <cell r="A534">
            <v>35144</v>
          </cell>
          <cell r="B534" t="str">
            <v>法国</v>
          </cell>
          <cell r="C534" t="str">
            <v>海洋食品</v>
          </cell>
          <cell r="D534">
            <v>159.59999987483025</v>
          </cell>
        </row>
        <row r="535">
          <cell r="A535">
            <v>35144</v>
          </cell>
          <cell r="B535" t="str">
            <v>法国</v>
          </cell>
          <cell r="C535" t="str">
            <v>乳制品</v>
          </cell>
          <cell r="D535">
            <v>1709.9999986588955</v>
          </cell>
        </row>
        <row r="536">
          <cell r="A536">
            <v>35144</v>
          </cell>
          <cell r="B536" t="str">
            <v>法国</v>
          </cell>
          <cell r="C536" t="str">
            <v>饮料</v>
          </cell>
          <cell r="D536">
            <v>883.499999307096</v>
          </cell>
        </row>
        <row r="537">
          <cell r="A537">
            <v>35150</v>
          </cell>
          <cell r="B537" t="str">
            <v>法国</v>
          </cell>
          <cell r="C537" t="str">
            <v>海洋食品</v>
          </cell>
          <cell r="D537">
            <v>198.75</v>
          </cell>
        </row>
        <row r="538">
          <cell r="A538">
            <v>35150</v>
          </cell>
          <cell r="B538" t="str">
            <v>法国</v>
          </cell>
          <cell r="C538" t="str">
            <v>糖果</v>
          </cell>
          <cell r="D538">
            <v>1725.5</v>
          </cell>
        </row>
        <row r="539">
          <cell r="A539">
            <v>35159</v>
          </cell>
          <cell r="B539" t="str">
            <v>英国</v>
          </cell>
          <cell r="C539" t="str">
            <v>糖果</v>
          </cell>
          <cell r="D539">
            <v>600</v>
          </cell>
        </row>
        <row r="540">
          <cell r="A540">
            <v>35159</v>
          </cell>
          <cell r="B540" t="str">
            <v>英国</v>
          </cell>
          <cell r="C540" t="str">
            <v>饮料</v>
          </cell>
          <cell r="D540">
            <v>379.75</v>
          </cell>
        </row>
        <row r="541">
          <cell r="A541">
            <v>35159</v>
          </cell>
          <cell r="B541" t="str">
            <v>英国</v>
          </cell>
          <cell r="C541" t="str">
            <v>香料</v>
          </cell>
          <cell r="D541">
            <v>195</v>
          </cell>
        </row>
        <row r="542">
          <cell r="A542">
            <v>35163</v>
          </cell>
          <cell r="B542" t="str">
            <v>英国</v>
          </cell>
          <cell r="C542" t="str">
            <v>香料</v>
          </cell>
          <cell r="D542">
            <v>500</v>
          </cell>
        </row>
        <row r="543">
          <cell r="A543">
            <v>35163</v>
          </cell>
          <cell r="B543" t="str">
            <v>法国</v>
          </cell>
          <cell r="C543" t="str">
            <v>海洋食品</v>
          </cell>
          <cell r="D543">
            <v>455.99999830126762</v>
          </cell>
        </row>
        <row r="544">
          <cell r="A544">
            <v>35164</v>
          </cell>
          <cell r="B544" t="str">
            <v>英国</v>
          </cell>
          <cell r="C544" t="str">
            <v>海洋食品</v>
          </cell>
          <cell r="D544">
            <v>90</v>
          </cell>
        </row>
        <row r="545">
          <cell r="A545">
            <v>35164</v>
          </cell>
          <cell r="B545" t="str">
            <v>英国</v>
          </cell>
          <cell r="C545" t="str">
            <v>饮料</v>
          </cell>
          <cell r="D545">
            <v>828</v>
          </cell>
        </row>
        <row r="546">
          <cell r="A546">
            <v>35164</v>
          </cell>
          <cell r="B546" t="str">
            <v>英国</v>
          </cell>
          <cell r="C546" t="str">
            <v>乳制品</v>
          </cell>
          <cell r="D546">
            <v>1249.5</v>
          </cell>
        </row>
        <row r="547">
          <cell r="A547">
            <v>35164</v>
          </cell>
          <cell r="B547" t="str">
            <v>英国</v>
          </cell>
          <cell r="C547" t="str">
            <v>乳制品</v>
          </cell>
          <cell r="D547">
            <v>564.375</v>
          </cell>
        </row>
        <row r="548">
          <cell r="A548">
            <v>35165</v>
          </cell>
          <cell r="B548" t="str">
            <v>法国</v>
          </cell>
          <cell r="C548" t="str">
            <v>乳制品</v>
          </cell>
          <cell r="D548">
            <v>412.5</v>
          </cell>
        </row>
        <row r="549">
          <cell r="A549">
            <v>35165</v>
          </cell>
          <cell r="B549" t="str">
            <v>法国</v>
          </cell>
          <cell r="C549" t="str">
            <v>糖果</v>
          </cell>
          <cell r="D549">
            <v>1109.25</v>
          </cell>
        </row>
        <row r="550">
          <cell r="A550">
            <v>35165</v>
          </cell>
          <cell r="B550" t="str">
            <v>法国</v>
          </cell>
          <cell r="C550" t="str">
            <v>糖果</v>
          </cell>
          <cell r="D550">
            <v>750</v>
          </cell>
        </row>
        <row r="551">
          <cell r="A551">
            <v>35165</v>
          </cell>
          <cell r="B551" t="str">
            <v>法国</v>
          </cell>
          <cell r="C551" t="str">
            <v>乳制品</v>
          </cell>
          <cell r="D551">
            <v>1740</v>
          </cell>
        </row>
        <row r="552">
          <cell r="A552">
            <v>35166</v>
          </cell>
          <cell r="B552" t="str">
            <v>英国</v>
          </cell>
          <cell r="C552" t="str">
            <v>海洋食品</v>
          </cell>
          <cell r="D552">
            <v>120</v>
          </cell>
        </row>
        <row r="553">
          <cell r="A553">
            <v>35166</v>
          </cell>
          <cell r="B553" t="str">
            <v>英国</v>
          </cell>
          <cell r="C553" t="str">
            <v>乳制品</v>
          </cell>
          <cell r="D553">
            <v>125</v>
          </cell>
        </row>
        <row r="554">
          <cell r="A554">
            <v>35170</v>
          </cell>
          <cell r="B554" t="str">
            <v>英国</v>
          </cell>
          <cell r="C554" t="str">
            <v>香料</v>
          </cell>
          <cell r="D554">
            <v>379.99999970197678</v>
          </cell>
        </row>
        <row r="555">
          <cell r="A555">
            <v>35170</v>
          </cell>
          <cell r="B555" t="str">
            <v>英国</v>
          </cell>
          <cell r="C555" t="str">
            <v>农产品</v>
          </cell>
          <cell r="D555">
            <v>91.2</v>
          </cell>
        </row>
        <row r="556">
          <cell r="A556">
            <v>35171</v>
          </cell>
          <cell r="B556" t="str">
            <v>英国</v>
          </cell>
          <cell r="C556" t="str">
            <v>糖果</v>
          </cell>
          <cell r="D556">
            <v>120</v>
          </cell>
        </row>
        <row r="557">
          <cell r="A557">
            <v>35171</v>
          </cell>
          <cell r="B557" t="str">
            <v>英国</v>
          </cell>
          <cell r="C557" t="str">
            <v>糖果</v>
          </cell>
          <cell r="D557">
            <v>133</v>
          </cell>
        </row>
        <row r="558">
          <cell r="A558">
            <v>35171</v>
          </cell>
          <cell r="B558" t="str">
            <v>英国</v>
          </cell>
          <cell r="C558" t="str">
            <v>农产品</v>
          </cell>
          <cell r="D558">
            <v>424</v>
          </cell>
        </row>
        <row r="559">
          <cell r="A559">
            <v>35173</v>
          </cell>
          <cell r="B559" t="str">
            <v>英国</v>
          </cell>
          <cell r="C559" t="str">
            <v>农产品</v>
          </cell>
          <cell r="D559">
            <v>1350</v>
          </cell>
        </row>
        <row r="560">
          <cell r="A560">
            <v>35173</v>
          </cell>
          <cell r="B560" t="str">
            <v>英国</v>
          </cell>
          <cell r="C560" t="str">
            <v>海洋食品</v>
          </cell>
          <cell r="D560">
            <v>462</v>
          </cell>
        </row>
        <row r="561">
          <cell r="A561">
            <v>35173</v>
          </cell>
          <cell r="B561" t="str">
            <v>英国</v>
          </cell>
          <cell r="C561" t="str">
            <v>肉/家禽</v>
          </cell>
          <cell r="D561">
            <v>656</v>
          </cell>
        </row>
        <row r="562">
          <cell r="A562">
            <v>35173</v>
          </cell>
          <cell r="B562" t="str">
            <v>英国</v>
          </cell>
          <cell r="C562" t="str">
            <v>乳制品</v>
          </cell>
          <cell r="D562">
            <v>324</v>
          </cell>
        </row>
        <row r="563">
          <cell r="A563">
            <v>35173</v>
          </cell>
          <cell r="B563" t="str">
            <v>英国</v>
          </cell>
          <cell r="C563" t="str">
            <v>饮料</v>
          </cell>
          <cell r="D563">
            <v>792</v>
          </cell>
        </row>
        <row r="564">
          <cell r="A564">
            <v>35174</v>
          </cell>
          <cell r="B564" t="str">
            <v>法国</v>
          </cell>
          <cell r="C564" t="str">
            <v>农产品</v>
          </cell>
          <cell r="D564">
            <v>848</v>
          </cell>
        </row>
        <row r="565">
          <cell r="A565">
            <v>35177</v>
          </cell>
          <cell r="B565" t="str">
            <v>英国</v>
          </cell>
          <cell r="C565" t="str">
            <v>糖果</v>
          </cell>
          <cell r="D565">
            <v>110.4</v>
          </cell>
        </row>
        <row r="566">
          <cell r="A566">
            <v>35177</v>
          </cell>
          <cell r="B566" t="str">
            <v>英国</v>
          </cell>
          <cell r="C566" t="str">
            <v>糖果</v>
          </cell>
          <cell r="D566">
            <v>800</v>
          </cell>
        </row>
        <row r="567">
          <cell r="A567">
            <v>35179</v>
          </cell>
          <cell r="B567" t="str">
            <v>法国</v>
          </cell>
          <cell r="C567" t="str">
            <v>香料</v>
          </cell>
          <cell r="D567">
            <v>439</v>
          </cell>
        </row>
        <row r="568">
          <cell r="A568">
            <v>35181</v>
          </cell>
          <cell r="B568" t="str">
            <v>法国</v>
          </cell>
          <cell r="C568" t="str">
            <v>海洋食品</v>
          </cell>
          <cell r="D568">
            <v>428.3999969959259</v>
          </cell>
        </row>
        <row r="569">
          <cell r="A569">
            <v>35181</v>
          </cell>
          <cell r="B569" t="str">
            <v>法国</v>
          </cell>
          <cell r="C569" t="str">
            <v>面食/谷类</v>
          </cell>
          <cell r="D569">
            <v>292.5</v>
          </cell>
        </row>
        <row r="570">
          <cell r="A570">
            <v>35184</v>
          </cell>
          <cell r="B570" t="str">
            <v>法国</v>
          </cell>
          <cell r="C570" t="str">
            <v>糖果</v>
          </cell>
          <cell r="D570">
            <v>959.75</v>
          </cell>
        </row>
        <row r="571">
          <cell r="A571">
            <v>35184</v>
          </cell>
          <cell r="B571" t="str">
            <v>法国</v>
          </cell>
          <cell r="C571" t="str">
            <v>饮料</v>
          </cell>
          <cell r="D571">
            <v>90</v>
          </cell>
        </row>
        <row r="572">
          <cell r="A572">
            <v>35184</v>
          </cell>
          <cell r="B572" t="str">
            <v>法国</v>
          </cell>
          <cell r="C572" t="str">
            <v>海洋食品</v>
          </cell>
          <cell r="D572">
            <v>760</v>
          </cell>
        </row>
        <row r="573">
          <cell r="A573">
            <v>35185</v>
          </cell>
          <cell r="B573" t="str">
            <v>法国</v>
          </cell>
          <cell r="C573" t="str">
            <v>农产品</v>
          </cell>
          <cell r="D573">
            <v>1800</v>
          </cell>
        </row>
        <row r="574">
          <cell r="A574">
            <v>35185</v>
          </cell>
          <cell r="B574" t="str">
            <v>法国</v>
          </cell>
          <cell r="C574" t="str">
            <v>糖果</v>
          </cell>
          <cell r="D574">
            <v>1774.799997061491</v>
          </cell>
        </row>
        <row r="575">
          <cell r="A575">
            <v>35186</v>
          </cell>
          <cell r="B575" t="str">
            <v>英国</v>
          </cell>
          <cell r="C575" t="str">
            <v>饮料</v>
          </cell>
          <cell r="D575">
            <v>759.99999716877937</v>
          </cell>
        </row>
        <row r="576">
          <cell r="A576">
            <v>35186</v>
          </cell>
          <cell r="B576" t="str">
            <v>英国</v>
          </cell>
          <cell r="C576" t="str">
            <v>饮料</v>
          </cell>
          <cell r="D576">
            <v>239.99999910593033</v>
          </cell>
        </row>
        <row r="577">
          <cell r="A577">
            <v>35186</v>
          </cell>
          <cell r="B577" t="str">
            <v>英国</v>
          </cell>
          <cell r="C577" t="str">
            <v>饮料</v>
          </cell>
          <cell r="D577">
            <v>1295.9999951720238</v>
          </cell>
        </row>
        <row r="578">
          <cell r="A578">
            <v>35186</v>
          </cell>
          <cell r="B578" t="str">
            <v>法国</v>
          </cell>
          <cell r="C578" t="str">
            <v>乳制品</v>
          </cell>
          <cell r="D578">
            <v>69.599999999999994</v>
          </cell>
        </row>
        <row r="579">
          <cell r="A579">
            <v>35187</v>
          </cell>
          <cell r="B579" t="str">
            <v>英国</v>
          </cell>
          <cell r="C579" t="str">
            <v>面食/谷类</v>
          </cell>
          <cell r="D579">
            <v>560</v>
          </cell>
        </row>
        <row r="580">
          <cell r="A580">
            <v>35188</v>
          </cell>
          <cell r="B580" t="str">
            <v>英国</v>
          </cell>
          <cell r="C580" t="str">
            <v>海洋食品</v>
          </cell>
          <cell r="D580">
            <v>183.34999985620379</v>
          </cell>
        </row>
        <row r="581">
          <cell r="A581">
            <v>35188</v>
          </cell>
          <cell r="B581" t="str">
            <v>英国</v>
          </cell>
          <cell r="C581" t="str">
            <v>农产品</v>
          </cell>
          <cell r="D581">
            <v>755.24999940767884</v>
          </cell>
        </row>
        <row r="582">
          <cell r="A582">
            <v>35188</v>
          </cell>
          <cell r="B582" t="str">
            <v>英国</v>
          </cell>
          <cell r="C582" t="str">
            <v>香料</v>
          </cell>
          <cell r="D582">
            <v>259.34999979659915</v>
          </cell>
        </row>
        <row r="583">
          <cell r="A583">
            <v>35191</v>
          </cell>
          <cell r="B583" t="str">
            <v>法国</v>
          </cell>
          <cell r="C583" t="str">
            <v>香料</v>
          </cell>
          <cell r="D583">
            <v>412.5</v>
          </cell>
        </row>
        <row r="584">
          <cell r="A584">
            <v>35191</v>
          </cell>
          <cell r="B584" t="str">
            <v>法国</v>
          </cell>
          <cell r="C584" t="str">
            <v>饮料</v>
          </cell>
          <cell r="D584">
            <v>101.25</v>
          </cell>
        </row>
        <row r="585">
          <cell r="A585">
            <v>35191</v>
          </cell>
          <cell r="B585" t="str">
            <v>法国</v>
          </cell>
          <cell r="C585" t="str">
            <v>香料</v>
          </cell>
          <cell r="D585">
            <v>390</v>
          </cell>
        </row>
        <row r="586">
          <cell r="A586">
            <v>35191</v>
          </cell>
          <cell r="B586" t="str">
            <v>法国</v>
          </cell>
          <cell r="C586" t="str">
            <v>海洋食品</v>
          </cell>
          <cell r="D586">
            <v>336</v>
          </cell>
        </row>
        <row r="587">
          <cell r="A587">
            <v>35191</v>
          </cell>
          <cell r="B587" t="str">
            <v>法国</v>
          </cell>
          <cell r="C587" t="str">
            <v>饮料</v>
          </cell>
          <cell r="D587">
            <v>229.49999839067459</v>
          </cell>
        </row>
        <row r="588">
          <cell r="A588">
            <v>35191</v>
          </cell>
          <cell r="B588" t="str">
            <v>法国</v>
          </cell>
          <cell r="C588" t="str">
            <v>面食/谷类</v>
          </cell>
          <cell r="D588">
            <v>285.59999799728394</v>
          </cell>
        </row>
        <row r="589">
          <cell r="A589">
            <v>35191</v>
          </cell>
          <cell r="B589" t="str">
            <v>法国</v>
          </cell>
          <cell r="C589" t="str">
            <v>肉/家禽</v>
          </cell>
          <cell r="D589">
            <v>960</v>
          </cell>
        </row>
        <row r="590">
          <cell r="A590">
            <v>35191</v>
          </cell>
          <cell r="B590" t="str">
            <v>法国</v>
          </cell>
          <cell r="C590" t="str">
            <v>饮料</v>
          </cell>
          <cell r="D590">
            <v>72</v>
          </cell>
        </row>
        <row r="591">
          <cell r="A591">
            <v>35191</v>
          </cell>
          <cell r="B591" t="str">
            <v>法国</v>
          </cell>
          <cell r="C591" t="str">
            <v>海洋食品</v>
          </cell>
          <cell r="D591">
            <v>184</v>
          </cell>
        </row>
        <row r="592">
          <cell r="A592">
            <v>35191</v>
          </cell>
          <cell r="B592" t="str">
            <v>法国</v>
          </cell>
          <cell r="C592" t="str">
            <v>面食/谷类</v>
          </cell>
          <cell r="D592">
            <v>70</v>
          </cell>
        </row>
        <row r="593">
          <cell r="A593">
            <v>35192</v>
          </cell>
          <cell r="B593" t="str">
            <v>法国</v>
          </cell>
          <cell r="C593" t="str">
            <v>饮料</v>
          </cell>
          <cell r="D593">
            <v>144</v>
          </cell>
        </row>
        <row r="594">
          <cell r="A594">
            <v>35192</v>
          </cell>
          <cell r="B594" t="str">
            <v>法国</v>
          </cell>
          <cell r="C594" t="str">
            <v>肉/家禽</v>
          </cell>
          <cell r="D594">
            <v>185.685</v>
          </cell>
        </row>
        <row r="595">
          <cell r="A595">
            <v>35194</v>
          </cell>
          <cell r="B595" t="str">
            <v>英国</v>
          </cell>
          <cell r="C595" t="str">
            <v>糖果</v>
          </cell>
          <cell r="D595">
            <v>436.99999965727329</v>
          </cell>
        </row>
        <row r="596">
          <cell r="A596">
            <v>35194</v>
          </cell>
          <cell r="B596" t="str">
            <v>英国</v>
          </cell>
          <cell r="C596" t="str">
            <v>乳制品</v>
          </cell>
          <cell r="D596">
            <v>1162.7999990880489</v>
          </cell>
        </row>
        <row r="597">
          <cell r="A597">
            <v>35194</v>
          </cell>
          <cell r="B597" t="str">
            <v>英国</v>
          </cell>
          <cell r="C597" t="str">
            <v>乳制品</v>
          </cell>
          <cell r="D597">
            <v>1225.4999990388751</v>
          </cell>
        </row>
        <row r="598">
          <cell r="A598">
            <v>35198</v>
          </cell>
          <cell r="B598" t="str">
            <v>法国</v>
          </cell>
          <cell r="C598" t="str">
            <v>乳制品</v>
          </cell>
          <cell r="D598">
            <v>760</v>
          </cell>
        </row>
        <row r="599">
          <cell r="A599">
            <v>35198</v>
          </cell>
          <cell r="B599" t="str">
            <v>法国</v>
          </cell>
          <cell r="C599" t="str">
            <v>海洋食品</v>
          </cell>
          <cell r="D599">
            <v>625</v>
          </cell>
        </row>
        <row r="600">
          <cell r="A600">
            <v>35198</v>
          </cell>
          <cell r="B600" t="str">
            <v>法国</v>
          </cell>
          <cell r="C600" t="str">
            <v>面食/谷类</v>
          </cell>
          <cell r="D600">
            <v>190</v>
          </cell>
        </row>
        <row r="601">
          <cell r="A601">
            <v>35199</v>
          </cell>
          <cell r="B601" t="str">
            <v>英国</v>
          </cell>
          <cell r="C601" t="str">
            <v>海洋食品</v>
          </cell>
          <cell r="D601">
            <v>632.39999556541443</v>
          </cell>
        </row>
        <row r="602">
          <cell r="A602">
            <v>35199</v>
          </cell>
          <cell r="B602" t="str">
            <v>英国</v>
          </cell>
          <cell r="C602" t="str">
            <v>饮料</v>
          </cell>
          <cell r="D602">
            <v>156.75</v>
          </cell>
        </row>
        <row r="603">
          <cell r="A603">
            <v>35199</v>
          </cell>
          <cell r="B603" t="str">
            <v>英国</v>
          </cell>
          <cell r="C603" t="str">
            <v>糖果</v>
          </cell>
          <cell r="D603">
            <v>1215</v>
          </cell>
        </row>
        <row r="604">
          <cell r="A604">
            <v>35199</v>
          </cell>
          <cell r="B604" t="str">
            <v>英国</v>
          </cell>
          <cell r="C604" t="str">
            <v>糖果</v>
          </cell>
          <cell r="D604">
            <v>1967.49</v>
          </cell>
        </row>
        <row r="605">
          <cell r="A605">
            <v>35199</v>
          </cell>
          <cell r="B605" t="str">
            <v>英国</v>
          </cell>
          <cell r="C605" t="str">
            <v>农产品</v>
          </cell>
          <cell r="D605">
            <v>1749</v>
          </cell>
        </row>
        <row r="606">
          <cell r="A606">
            <v>35199</v>
          </cell>
          <cell r="B606" t="str">
            <v>英国</v>
          </cell>
          <cell r="C606" t="str">
            <v>乳制品</v>
          </cell>
          <cell r="D606">
            <v>1218</v>
          </cell>
        </row>
        <row r="607">
          <cell r="A607">
            <v>35201</v>
          </cell>
          <cell r="B607" t="str">
            <v>英国</v>
          </cell>
          <cell r="C607" t="str">
            <v>肉/家禽</v>
          </cell>
          <cell r="D607">
            <v>840</v>
          </cell>
        </row>
        <row r="608">
          <cell r="A608">
            <v>35201</v>
          </cell>
          <cell r="B608" t="str">
            <v>英国</v>
          </cell>
          <cell r="C608" t="str">
            <v>乳制品</v>
          </cell>
          <cell r="D608">
            <v>1320</v>
          </cell>
        </row>
        <row r="609">
          <cell r="A609">
            <v>35202</v>
          </cell>
          <cell r="B609" t="str">
            <v>法国</v>
          </cell>
          <cell r="C609" t="str">
            <v>饮料</v>
          </cell>
          <cell r="D609">
            <v>1425</v>
          </cell>
        </row>
        <row r="610">
          <cell r="A610">
            <v>35202</v>
          </cell>
          <cell r="B610" t="str">
            <v>法国</v>
          </cell>
          <cell r="C610" t="str">
            <v>香料</v>
          </cell>
          <cell r="D610">
            <v>1494.5</v>
          </cell>
        </row>
        <row r="611">
          <cell r="A611">
            <v>35202</v>
          </cell>
          <cell r="B611" t="str">
            <v>法国</v>
          </cell>
          <cell r="C611" t="str">
            <v>肉/家禽</v>
          </cell>
          <cell r="D611">
            <v>5570.55</v>
          </cell>
        </row>
        <row r="612">
          <cell r="A612">
            <v>35202</v>
          </cell>
          <cell r="B612" t="str">
            <v>法国</v>
          </cell>
          <cell r="C612" t="str">
            <v>乳制品</v>
          </cell>
          <cell r="D612">
            <v>4125</v>
          </cell>
        </row>
        <row r="613">
          <cell r="A613">
            <v>35202</v>
          </cell>
          <cell r="B613" t="str">
            <v>法国</v>
          </cell>
          <cell r="C613" t="str">
            <v>饮料</v>
          </cell>
          <cell r="D613">
            <v>810</v>
          </cell>
        </row>
        <row r="614">
          <cell r="A614">
            <v>35202</v>
          </cell>
          <cell r="B614" t="str">
            <v>法国</v>
          </cell>
          <cell r="C614" t="str">
            <v>海洋食品</v>
          </cell>
          <cell r="D614">
            <v>480</v>
          </cell>
        </row>
        <row r="615">
          <cell r="A615">
            <v>35202</v>
          </cell>
          <cell r="B615" t="str">
            <v>法国</v>
          </cell>
          <cell r="C615" t="str">
            <v>饮料</v>
          </cell>
          <cell r="D615">
            <v>94.5</v>
          </cell>
        </row>
        <row r="616">
          <cell r="A616">
            <v>35202</v>
          </cell>
          <cell r="B616" t="str">
            <v>法国</v>
          </cell>
          <cell r="C616" t="str">
            <v>面食/谷类</v>
          </cell>
          <cell r="D616">
            <v>665</v>
          </cell>
        </row>
        <row r="617">
          <cell r="A617">
            <v>35202</v>
          </cell>
          <cell r="B617" t="str">
            <v>法国</v>
          </cell>
          <cell r="C617" t="str">
            <v>乳制品</v>
          </cell>
          <cell r="D617">
            <v>344</v>
          </cell>
        </row>
        <row r="618">
          <cell r="A618">
            <v>35202</v>
          </cell>
          <cell r="B618" t="str">
            <v>法国</v>
          </cell>
          <cell r="C618" t="str">
            <v>海洋食品</v>
          </cell>
          <cell r="D618">
            <v>665</v>
          </cell>
        </row>
        <row r="619">
          <cell r="A619">
            <v>35202</v>
          </cell>
          <cell r="B619" t="str">
            <v>法国</v>
          </cell>
          <cell r="C619" t="str">
            <v>饮料</v>
          </cell>
          <cell r="D619">
            <v>6587.5</v>
          </cell>
        </row>
        <row r="620">
          <cell r="A620">
            <v>35202</v>
          </cell>
          <cell r="B620" t="str">
            <v>法国</v>
          </cell>
          <cell r="C620" t="str">
            <v>乳制品</v>
          </cell>
          <cell r="D620">
            <v>1650</v>
          </cell>
        </row>
        <row r="621">
          <cell r="A621">
            <v>35205</v>
          </cell>
          <cell r="B621" t="str">
            <v>法国</v>
          </cell>
          <cell r="C621" t="str">
            <v>糖果</v>
          </cell>
          <cell r="D621">
            <v>134.99999977648258</v>
          </cell>
        </row>
        <row r="622">
          <cell r="A622">
            <v>35205</v>
          </cell>
          <cell r="B622" t="str">
            <v>法国</v>
          </cell>
          <cell r="C622" t="str">
            <v>香料</v>
          </cell>
          <cell r="D622">
            <v>233.4</v>
          </cell>
        </row>
        <row r="623">
          <cell r="A623">
            <v>35205</v>
          </cell>
          <cell r="B623" t="str">
            <v>法国</v>
          </cell>
          <cell r="C623" t="str">
            <v>香料</v>
          </cell>
          <cell r="D623">
            <v>171</v>
          </cell>
        </row>
        <row r="624">
          <cell r="A624">
            <v>35205</v>
          </cell>
          <cell r="B624" t="str">
            <v>英国</v>
          </cell>
          <cell r="C624" t="str">
            <v>海洋食品</v>
          </cell>
          <cell r="D624">
            <v>42</v>
          </cell>
        </row>
        <row r="625">
          <cell r="A625">
            <v>35205</v>
          </cell>
          <cell r="B625" t="str">
            <v>英国</v>
          </cell>
          <cell r="C625" t="str">
            <v>乳制品</v>
          </cell>
          <cell r="D625">
            <v>1650</v>
          </cell>
        </row>
        <row r="626">
          <cell r="A626">
            <v>35207</v>
          </cell>
          <cell r="B626" t="str">
            <v>法国</v>
          </cell>
          <cell r="C626" t="str">
            <v>糖果</v>
          </cell>
          <cell r="D626">
            <v>200</v>
          </cell>
        </row>
        <row r="627">
          <cell r="A627">
            <v>35208</v>
          </cell>
          <cell r="B627" t="str">
            <v>英国</v>
          </cell>
          <cell r="C627" t="str">
            <v>乳制品</v>
          </cell>
          <cell r="D627">
            <v>721.99999943375587</v>
          </cell>
        </row>
        <row r="628">
          <cell r="A628">
            <v>35208</v>
          </cell>
          <cell r="B628" t="str">
            <v>英国</v>
          </cell>
          <cell r="C628" t="str">
            <v>乳制品</v>
          </cell>
          <cell r="D628">
            <v>455.99999964237213</v>
          </cell>
        </row>
        <row r="629">
          <cell r="A629">
            <v>35208</v>
          </cell>
          <cell r="B629" t="str">
            <v>英国</v>
          </cell>
          <cell r="C629" t="str">
            <v>饮料</v>
          </cell>
          <cell r="D629">
            <v>307.79999975860119</v>
          </cell>
        </row>
        <row r="630">
          <cell r="A630">
            <v>35214</v>
          </cell>
          <cell r="B630" t="str">
            <v>英国</v>
          </cell>
          <cell r="C630" t="str">
            <v>糖果</v>
          </cell>
          <cell r="D630">
            <v>30</v>
          </cell>
        </row>
        <row r="631">
          <cell r="A631">
            <v>35214</v>
          </cell>
          <cell r="B631" t="str">
            <v>英国</v>
          </cell>
          <cell r="C631" t="str">
            <v>乳制品</v>
          </cell>
          <cell r="D631">
            <v>714</v>
          </cell>
        </row>
        <row r="632">
          <cell r="A632">
            <v>35214</v>
          </cell>
          <cell r="B632" t="str">
            <v>英国</v>
          </cell>
          <cell r="C632" t="str">
            <v>香料</v>
          </cell>
          <cell r="D632">
            <v>114</v>
          </cell>
        </row>
        <row r="633">
          <cell r="A633">
            <v>35215</v>
          </cell>
          <cell r="B633" t="str">
            <v>法国</v>
          </cell>
          <cell r="C633" t="str">
            <v>乳制品</v>
          </cell>
          <cell r="D633">
            <v>510</v>
          </cell>
        </row>
        <row r="634">
          <cell r="A634">
            <v>35216</v>
          </cell>
          <cell r="B634" t="str">
            <v>法国</v>
          </cell>
          <cell r="C634" t="str">
            <v>肉/家禽</v>
          </cell>
          <cell r="D634">
            <v>2702.6999955251813</v>
          </cell>
        </row>
        <row r="635">
          <cell r="A635">
            <v>35216</v>
          </cell>
          <cell r="B635" t="str">
            <v>法国</v>
          </cell>
          <cell r="C635" t="str">
            <v>海洋食品</v>
          </cell>
          <cell r="D635">
            <v>115.8</v>
          </cell>
        </row>
        <row r="636">
          <cell r="A636">
            <v>35216</v>
          </cell>
          <cell r="B636" t="str">
            <v>法国</v>
          </cell>
          <cell r="C636" t="str">
            <v>肉/家禽</v>
          </cell>
          <cell r="D636">
            <v>737.99999877810478</v>
          </cell>
        </row>
        <row r="637">
          <cell r="A637">
            <v>35216</v>
          </cell>
          <cell r="B637" t="str">
            <v>法国</v>
          </cell>
          <cell r="C637" t="str">
            <v>肉/家禽</v>
          </cell>
          <cell r="D637">
            <v>86.399999856948853</v>
          </cell>
        </row>
        <row r="638">
          <cell r="A638">
            <v>35216</v>
          </cell>
          <cell r="B638" t="str">
            <v>法国</v>
          </cell>
          <cell r="C638" t="str">
            <v>糖果</v>
          </cell>
          <cell r="D638">
            <v>687.5</v>
          </cell>
        </row>
        <row r="639">
          <cell r="A639">
            <v>35216</v>
          </cell>
          <cell r="B639" t="str">
            <v>法国</v>
          </cell>
          <cell r="C639" t="str">
            <v>糖果</v>
          </cell>
          <cell r="D639">
            <v>52.35</v>
          </cell>
        </row>
        <row r="640">
          <cell r="A640">
            <v>35216</v>
          </cell>
          <cell r="B640" t="str">
            <v>法国</v>
          </cell>
          <cell r="C640" t="str">
            <v>糖果</v>
          </cell>
          <cell r="D640">
            <v>386.4</v>
          </cell>
        </row>
        <row r="641">
          <cell r="A641">
            <v>35216</v>
          </cell>
          <cell r="B641" t="str">
            <v>法国</v>
          </cell>
          <cell r="C641" t="str">
            <v>饮料</v>
          </cell>
          <cell r="D641">
            <v>490</v>
          </cell>
        </row>
        <row r="642">
          <cell r="A642">
            <v>35219</v>
          </cell>
          <cell r="B642" t="str">
            <v>英国</v>
          </cell>
          <cell r="C642" t="str">
            <v>海洋食品</v>
          </cell>
          <cell r="D642">
            <v>86.85</v>
          </cell>
        </row>
        <row r="643">
          <cell r="A643">
            <v>35220</v>
          </cell>
          <cell r="B643" t="str">
            <v>英国</v>
          </cell>
          <cell r="C643" t="str">
            <v>饮料</v>
          </cell>
          <cell r="D643">
            <v>611.99999570846558</v>
          </cell>
        </row>
        <row r="644">
          <cell r="A644">
            <v>35220</v>
          </cell>
          <cell r="B644" t="str">
            <v>英国</v>
          </cell>
          <cell r="C644" t="str">
            <v>饮料</v>
          </cell>
          <cell r="D644">
            <v>322.9999977350235</v>
          </cell>
        </row>
        <row r="645">
          <cell r="A645">
            <v>35220</v>
          </cell>
          <cell r="B645" t="str">
            <v>英国</v>
          </cell>
          <cell r="C645" t="str">
            <v>糖果</v>
          </cell>
          <cell r="D645">
            <v>444.97499687969685</v>
          </cell>
        </row>
        <row r="646">
          <cell r="A646">
            <v>35220</v>
          </cell>
          <cell r="B646" t="str">
            <v>英国</v>
          </cell>
          <cell r="C646" t="str">
            <v>乳制品</v>
          </cell>
          <cell r="D646">
            <v>250</v>
          </cell>
        </row>
        <row r="647">
          <cell r="A647">
            <v>35221</v>
          </cell>
          <cell r="B647" t="str">
            <v>法国</v>
          </cell>
          <cell r="C647" t="str">
            <v>饮料</v>
          </cell>
          <cell r="D647">
            <v>364.7999986410141</v>
          </cell>
        </row>
        <row r="648">
          <cell r="A648">
            <v>35221</v>
          </cell>
          <cell r="B648" t="str">
            <v>法国</v>
          </cell>
          <cell r="C648" t="str">
            <v>香料</v>
          </cell>
          <cell r="D648">
            <v>40</v>
          </cell>
        </row>
        <row r="649">
          <cell r="A649">
            <v>35221</v>
          </cell>
          <cell r="B649" t="str">
            <v>法国</v>
          </cell>
          <cell r="C649" t="str">
            <v>香料</v>
          </cell>
          <cell r="D649">
            <v>22</v>
          </cell>
        </row>
        <row r="650">
          <cell r="A650">
            <v>35221</v>
          </cell>
          <cell r="B650" t="str">
            <v>法国</v>
          </cell>
          <cell r="C650" t="str">
            <v>香料</v>
          </cell>
          <cell r="D650">
            <v>24.500000011175871</v>
          </cell>
        </row>
        <row r="651">
          <cell r="A651">
            <v>35221</v>
          </cell>
          <cell r="B651" t="str">
            <v>法国</v>
          </cell>
          <cell r="C651" t="str">
            <v>农产品</v>
          </cell>
          <cell r="D651">
            <v>28.499999977648258</v>
          </cell>
        </row>
        <row r="652">
          <cell r="A652">
            <v>35221</v>
          </cell>
          <cell r="B652" t="str">
            <v>法国</v>
          </cell>
          <cell r="C652" t="str">
            <v>香料</v>
          </cell>
          <cell r="D652">
            <v>71.99999988079071</v>
          </cell>
        </row>
        <row r="653">
          <cell r="A653">
            <v>35221</v>
          </cell>
          <cell r="B653" t="str">
            <v>法国</v>
          </cell>
          <cell r="C653" t="str">
            <v>海洋食品</v>
          </cell>
          <cell r="D653">
            <v>31</v>
          </cell>
        </row>
        <row r="654">
          <cell r="A654">
            <v>35221</v>
          </cell>
          <cell r="B654" t="str">
            <v>法国</v>
          </cell>
          <cell r="C654" t="str">
            <v>乳制品</v>
          </cell>
          <cell r="D654">
            <v>72.199999943375587</v>
          </cell>
        </row>
        <row r="655">
          <cell r="A655">
            <v>35221</v>
          </cell>
          <cell r="B655" t="str">
            <v>法国</v>
          </cell>
          <cell r="C655" t="str">
            <v>海洋食品</v>
          </cell>
          <cell r="D655">
            <v>24</v>
          </cell>
        </row>
        <row r="656">
          <cell r="A656">
            <v>35221</v>
          </cell>
          <cell r="B656" t="str">
            <v>法国</v>
          </cell>
          <cell r="C656" t="str">
            <v>农产品</v>
          </cell>
          <cell r="D656">
            <v>22.55250001559034</v>
          </cell>
        </row>
        <row r="657">
          <cell r="A657">
            <v>35221</v>
          </cell>
          <cell r="B657" t="str">
            <v>法国</v>
          </cell>
          <cell r="C657" t="str">
            <v>糖果</v>
          </cell>
          <cell r="D657">
            <v>33.853000023402274</v>
          </cell>
        </row>
        <row r="658">
          <cell r="A658">
            <v>35221</v>
          </cell>
          <cell r="B658" t="str">
            <v>法国</v>
          </cell>
          <cell r="C658" t="str">
            <v>糖果</v>
          </cell>
          <cell r="D658">
            <v>77.760000072419643</v>
          </cell>
        </row>
        <row r="659">
          <cell r="A659">
            <v>35221</v>
          </cell>
          <cell r="B659" t="str">
            <v>法国</v>
          </cell>
          <cell r="C659" t="str">
            <v>面食/谷类</v>
          </cell>
          <cell r="D659">
            <v>18</v>
          </cell>
        </row>
        <row r="660">
          <cell r="A660">
            <v>35221</v>
          </cell>
          <cell r="B660" t="str">
            <v>法国</v>
          </cell>
          <cell r="C660" t="str">
            <v>乳制品</v>
          </cell>
          <cell r="D660">
            <v>32</v>
          </cell>
        </row>
        <row r="661">
          <cell r="A661">
            <v>35221</v>
          </cell>
          <cell r="B661" t="str">
            <v>法国</v>
          </cell>
          <cell r="C661" t="str">
            <v>饮料</v>
          </cell>
          <cell r="D661">
            <v>34.19999997317791</v>
          </cell>
        </row>
        <row r="662">
          <cell r="A662">
            <v>35221</v>
          </cell>
          <cell r="B662" t="str">
            <v>法国</v>
          </cell>
          <cell r="C662" t="str">
            <v>海洋食品</v>
          </cell>
          <cell r="D662">
            <v>28.95</v>
          </cell>
        </row>
        <row r="663">
          <cell r="A663">
            <v>35221</v>
          </cell>
          <cell r="B663" t="str">
            <v>法国</v>
          </cell>
          <cell r="C663" t="str">
            <v>海洋食品</v>
          </cell>
          <cell r="D663">
            <v>35.280000016093254</v>
          </cell>
        </row>
        <row r="664">
          <cell r="A664">
            <v>35221</v>
          </cell>
          <cell r="B664" t="str">
            <v>法国</v>
          </cell>
          <cell r="C664" t="str">
            <v>面食/谷类</v>
          </cell>
          <cell r="D664">
            <v>14</v>
          </cell>
        </row>
        <row r="665">
          <cell r="A665">
            <v>35221</v>
          </cell>
          <cell r="B665" t="str">
            <v>法国</v>
          </cell>
          <cell r="C665" t="str">
            <v>肉/家禽</v>
          </cell>
          <cell r="D665">
            <v>48</v>
          </cell>
        </row>
        <row r="666">
          <cell r="A666">
            <v>35221</v>
          </cell>
          <cell r="B666" t="str">
            <v>法国</v>
          </cell>
          <cell r="C666" t="str">
            <v>乳制品</v>
          </cell>
          <cell r="D666">
            <v>63.920000091195107</v>
          </cell>
        </row>
        <row r="667">
          <cell r="A667">
            <v>35221</v>
          </cell>
          <cell r="B667" t="str">
            <v>法国</v>
          </cell>
          <cell r="C667" t="str">
            <v>面食/谷类</v>
          </cell>
          <cell r="D667">
            <v>64.505000044591725</v>
          </cell>
        </row>
        <row r="668">
          <cell r="A668">
            <v>35221</v>
          </cell>
          <cell r="B668" t="str">
            <v>法国</v>
          </cell>
          <cell r="C668" t="str">
            <v>香料</v>
          </cell>
          <cell r="D668">
            <v>17</v>
          </cell>
        </row>
        <row r="669">
          <cell r="A669">
            <v>35221</v>
          </cell>
          <cell r="B669" t="str">
            <v>法国</v>
          </cell>
          <cell r="C669" t="str">
            <v>海洋食品</v>
          </cell>
          <cell r="D669">
            <v>29.700000006705523</v>
          </cell>
        </row>
        <row r="670">
          <cell r="A670">
            <v>35221</v>
          </cell>
          <cell r="B670" t="str">
            <v>法国</v>
          </cell>
          <cell r="C670" t="str">
            <v>饮料</v>
          </cell>
          <cell r="D670">
            <v>31</v>
          </cell>
        </row>
        <row r="671">
          <cell r="A671">
            <v>35221</v>
          </cell>
          <cell r="B671" t="str">
            <v>法国</v>
          </cell>
          <cell r="C671" t="str">
            <v>香料</v>
          </cell>
          <cell r="D671">
            <v>26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透视表题1"/>
      <sheetName val="透视表题2"/>
      <sheetName val="D函数2"/>
      <sheetName val="D函数第2题透视表"/>
      <sheetName val="D函数2答案"/>
      <sheetName val="D函数1"/>
      <sheetName val="D函数1答案"/>
    </sheetNames>
    <sheetDataSet>
      <sheetData sheetId="0"/>
      <sheetData sheetId="1"/>
      <sheetData sheetId="2">
        <row r="1">
          <cell r="A1" t="str">
            <v>订购日期</v>
          </cell>
          <cell r="B1" t="str">
            <v>货主国家</v>
          </cell>
          <cell r="C1" t="str">
            <v>类别名称</v>
          </cell>
          <cell r="D1" t="str">
            <v>销售额</v>
          </cell>
        </row>
        <row r="2">
          <cell r="A2">
            <v>34551</v>
          </cell>
          <cell r="B2" t="str">
            <v>英国</v>
          </cell>
          <cell r="C2" t="str">
            <v>农产品</v>
          </cell>
          <cell r="D2">
            <v>167.4</v>
          </cell>
        </row>
        <row r="3">
          <cell r="A3">
            <v>34551</v>
          </cell>
          <cell r="B3" t="str">
            <v>英国</v>
          </cell>
          <cell r="C3" t="str">
            <v>农产品</v>
          </cell>
          <cell r="D3">
            <v>1696</v>
          </cell>
        </row>
        <row r="4">
          <cell r="A4">
            <v>34565</v>
          </cell>
          <cell r="B4" t="str">
            <v>英国</v>
          </cell>
          <cell r="C4" t="str">
            <v>海洋食品</v>
          </cell>
          <cell r="D4">
            <v>92.4</v>
          </cell>
        </row>
        <row r="5">
          <cell r="A5">
            <v>34565</v>
          </cell>
          <cell r="B5" t="str">
            <v>英国</v>
          </cell>
          <cell r="C5" t="str">
            <v>面食/谷类</v>
          </cell>
          <cell r="D5">
            <v>780</v>
          </cell>
        </row>
        <row r="6">
          <cell r="A6">
            <v>34565</v>
          </cell>
          <cell r="B6" t="str">
            <v>英国</v>
          </cell>
          <cell r="C6" t="str">
            <v>糖果</v>
          </cell>
          <cell r="D6">
            <v>443.25</v>
          </cell>
        </row>
        <row r="7">
          <cell r="A7">
            <v>34565</v>
          </cell>
          <cell r="B7" t="str">
            <v>英国</v>
          </cell>
          <cell r="C7" t="str">
            <v>饮料</v>
          </cell>
          <cell r="D7">
            <v>189</v>
          </cell>
        </row>
        <row r="8">
          <cell r="A8">
            <v>34568</v>
          </cell>
          <cell r="B8" t="str">
            <v>法国</v>
          </cell>
          <cell r="C8" t="str">
            <v>香料</v>
          </cell>
          <cell r="D8">
            <v>163.19999939203262</v>
          </cell>
        </row>
        <row r="9">
          <cell r="A9">
            <v>34568</v>
          </cell>
          <cell r="B9" t="str">
            <v>法国</v>
          </cell>
          <cell r="C9" t="str">
            <v>农产品</v>
          </cell>
          <cell r="D9">
            <v>360</v>
          </cell>
        </row>
        <row r="10">
          <cell r="A10">
            <v>34568</v>
          </cell>
          <cell r="B10" t="str">
            <v>法国</v>
          </cell>
          <cell r="C10" t="str">
            <v>面食/谷类</v>
          </cell>
          <cell r="D10">
            <v>60.8</v>
          </cell>
        </row>
        <row r="11">
          <cell r="A11">
            <v>34575</v>
          </cell>
          <cell r="B11" t="str">
            <v>英国</v>
          </cell>
          <cell r="C11" t="str">
            <v>海洋食品</v>
          </cell>
          <cell r="D11">
            <v>735</v>
          </cell>
        </row>
        <row r="12">
          <cell r="A12">
            <v>34575</v>
          </cell>
          <cell r="B12" t="str">
            <v>英国</v>
          </cell>
          <cell r="C12" t="str">
            <v>乳制品</v>
          </cell>
          <cell r="D12">
            <v>2617.9999816417694</v>
          </cell>
        </row>
        <row r="13">
          <cell r="A13">
            <v>34575</v>
          </cell>
          <cell r="B13" t="str">
            <v>英国</v>
          </cell>
          <cell r="C13" t="str">
            <v>饮料</v>
          </cell>
          <cell r="D13">
            <v>183.59999871253967</v>
          </cell>
        </row>
        <row r="14">
          <cell r="A14">
            <v>34577</v>
          </cell>
          <cell r="B14" t="str">
            <v>法国</v>
          </cell>
          <cell r="C14" t="str">
            <v>乳制品</v>
          </cell>
          <cell r="D14">
            <v>113.99999991059303</v>
          </cell>
        </row>
        <row r="15">
          <cell r="A15">
            <v>34577</v>
          </cell>
          <cell r="B15" t="str">
            <v>法国</v>
          </cell>
          <cell r="C15" t="str">
            <v>乳制品</v>
          </cell>
          <cell r="D15">
            <v>528.19999958574772</v>
          </cell>
        </row>
        <row r="16">
          <cell r="A16">
            <v>34578</v>
          </cell>
          <cell r="B16" t="str">
            <v>法国</v>
          </cell>
          <cell r="C16" t="str">
            <v>乳制品</v>
          </cell>
          <cell r="D16">
            <v>48</v>
          </cell>
        </row>
        <row r="17">
          <cell r="A17">
            <v>34579</v>
          </cell>
          <cell r="B17" t="str">
            <v>法国</v>
          </cell>
          <cell r="C17" t="str">
            <v>糖果</v>
          </cell>
          <cell r="D17">
            <v>388.8</v>
          </cell>
        </row>
        <row r="18">
          <cell r="A18">
            <v>34579</v>
          </cell>
          <cell r="B18" t="str">
            <v>法国</v>
          </cell>
          <cell r="C18" t="str">
            <v>乳制品</v>
          </cell>
          <cell r="D18">
            <v>400</v>
          </cell>
        </row>
        <row r="19">
          <cell r="A19">
            <v>34579</v>
          </cell>
          <cell r="B19" t="str">
            <v>法国</v>
          </cell>
          <cell r="C19" t="str">
            <v>乳制品</v>
          </cell>
          <cell r="D19">
            <v>667.2</v>
          </cell>
        </row>
        <row r="20">
          <cell r="A20">
            <v>34582</v>
          </cell>
          <cell r="B20" t="str">
            <v>英国</v>
          </cell>
          <cell r="C20" t="str">
            <v>海洋食品</v>
          </cell>
          <cell r="D20">
            <v>565.43999955654147</v>
          </cell>
        </row>
        <row r="21">
          <cell r="A21">
            <v>34582</v>
          </cell>
          <cell r="B21" t="str">
            <v>英国</v>
          </cell>
          <cell r="C21" t="str">
            <v>乳制品</v>
          </cell>
          <cell r="D21">
            <v>142.49999988824129</v>
          </cell>
        </row>
        <row r="22">
          <cell r="A22">
            <v>34582</v>
          </cell>
          <cell r="B22" t="str">
            <v>英国</v>
          </cell>
          <cell r="C22" t="str">
            <v>乳制品</v>
          </cell>
          <cell r="D22">
            <v>40</v>
          </cell>
        </row>
        <row r="23">
          <cell r="A23">
            <v>34582</v>
          </cell>
          <cell r="B23" t="str">
            <v>英国</v>
          </cell>
          <cell r="C23" t="str">
            <v>海洋食品</v>
          </cell>
          <cell r="D23">
            <v>837.89999934285879</v>
          </cell>
        </row>
        <row r="24">
          <cell r="A24">
            <v>34582</v>
          </cell>
          <cell r="B24" t="str">
            <v>英国</v>
          </cell>
          <cell r="C24" t="str">
            <v>饮料</v>
          </cell>
          <cell r="D24">
            <v>451.43999964594838</v>
          </cell>
        </row>
        <row r="25">
          <cell r="A25">
            <v>34586</v>
          </cell>
          <cell r="B25" t="str">
            <v>英国</v>
          </cell>
          <cell r="C25" t="str">
            <v>农产品</v>
          </cell>
          <cell r="D25">
            <v>728</v>
          </cell>
        </row>
        <row r="26">
          <cell r="A26">
            <v>34586</v>
          </cell>
          <cell r="B26" t="str">
            <v>英国</v>
          </cell>
          <cell r="C26" t="str">
            <v>糖果</v>
          </cell>
          <cell r="D26">
            <v>472.8</v>
          </cell>
        </row>
        <row r="27">
          <cell r="A27">
            <v>34590</v>
          </cell>
          <cell r="B27" t="str">
            <v>英国</v>
          </cell>
          <cell r="C27" t="str">
            <v>肉/家禽</v>
          </cell>
          <cell r="D27">
            <v>351</v>
          </cell>
        </row>
        <row r="28">
          <cell r="A28">
            <v>34596</v>
          </cell>
          <cell r="B28" t="str">
            <v>英国</v>
          </cell>
          <cell r="C28" t="str">
            <v>糖果</v>
          </cell>
          <cell r="D28">
            <v>394.875</v>
          </cell>
        </row>
        <row r="29">
          <cell r="A29">
            <v>34596</v>
          </cell>
          <cell r="B29" t="str">
            <v>英国</v>
          </cell>
          <cell r="C29" t="str">
            <v>香料</v>
          </cell>
          <cell r="D29">
            <v>325.5</v>
          </cell>
        </row>
        <row r="30">
          <cell r="A30">
            <v>34596</v>
          </cell>
          <cell r="B30" t="str">
            <v>英国</v>
          </cell>
          <cell r="C30" t="str">
            <v>乳制品</v>
          </cell>
          <cell r="D30">
            <v>408</v>
          </cell>
        </row>
        <row r="31">
          <cell r="A31">
            <v>34596</v>
          </cell>
          <cell r="B31" t="str">
            <v>英国</v>
          </cell>
          <cell r="C31" t="str">
            <v>饮料</v>
          </cell>
          <cell r="D31">
            <v>42</v>
          </cell>
        </row>
        <row r="32">
          <cell r="A32">
            <v>34597</v>
          </cell>
          <cell r="B32" t="str">
            <v>英国</v>
          </cell>
          <cell r="C32" t="str">
            <v>饮料</v>
          </cell>
          <cell r="D32">
            <v>518.39999806880951</v>
          </cell>
        </row>
        <row r="33">
          <cell r="A33">
            <v>34597</v>
          </cell>
          <cell r="B33" t="str">
            <v>英国</v>
          </cell>
          <cell r="C33" t="str">
            <v>海洋食品</v>
          </cell>
          <cell r="D33">
            <v>470.39999824762344</v>
          </cell>
        </row>
        <row r="34">
          <cell r="A34">
            <v>34597</v>
          </cell>
          <cell r="B34" t="str">
            <v>英国</v>
          </cell>
          <cell r="C34" t="str">
            <v>肉/家禽</v>
          </cell>
          <cell r="D34">
            <v>754.55999718904502</v>
          </cell>
        </row>
        <row r="35">
          <cell r="A35">
            <v>34598</v>
          </cell>
          <cell r="B35" t="str">
            <v>英国</v>
          </cell>
          <cell r="C35" t="str">
            <v>饮料</v>
          </cell>
          <cell r="D35">
            <v>1440</v>
          </cell>
        </row>
        <row r="36">
          <cell r="A36">
            <v>34598</v>
          </cell>
          <cell r="B36" t="str">
            <v>英国</v>
          </cell>
          <cell r="C36" t="str">
            <v>糖果</v>
          </cell>
          <cell r="D36">
            <v>1576</v>
          </cell>
        </row>
        <row r="37">
          <cell r="A37">
            <v>34607</v>
          </cell>
          <cell r="B37" t="str">
            <v>法国</v>
          </cell>
          <cell r="C37" t="str">
            <v>饮料</v>
          </cell>
          <cell r="D37">
            <v>259.2</v>
          </cell>
        </row>
        <row r="38">
          <cell r="A38">
            <v>34607</v>
          </cell>
          <cell r="B38" t="str">
            <v>法国</v>
          </cell>
          <cell r="C38" t="str">
            <v>肉/家禽</v>
          </cell>
          <cell r="D38">
            <v>468</v>
          </cell>
        </row>
        <row r="39">
          <cell r="A39">
            <v>34607</v>
          </cell>
          <cell r="B39" t="str">
            <v>法国</v>
          </cell>
          <cell r="C39" t="str">
            <v>饮料</v>
          </cell>
          <cell r="D39">
            <v>552</v>
          </cell>
        </row>
        <row r="40">
          <cell r="A40">
            <v>34607</v>
          </cell>
          <cell r="B40" t="str">
            <v>法国</v>
          </cell>
          <cell r="C40" t="str">
            <v>乳制品</v>
          </cell>
          <cell r="D40">
            <v>571.20000000000005</v>
          </cell>
        </row>
        <row r="41">
          <cell r="A41">
            <v>34607</v>
          </cell>
          <cell r="B41" t="str">
            <v>法国</v>
          </cell>
          <cell r="C41" t="str">
            <v>饮料</v>
          </cell>
          <cell r="D41">
            <v>37.200000000000003</v>
          </cell>
        </row>
        <row r="42">
          <cell r="A42">
            <v>34617</v>
          </cell>
          <cell r="B42" t="str">
            <v>英国</v>
          </cell>
          <cell r="C42" t="str">
            <v>海洋食品</v>
          </cell>
          <cell r="D42">
            <v>147</v>
          </cell>
        </row>
        <row r="43">
          <cell r="A43">
            <v>34617</v>
          </cell>
          <cell r="B43" t="str">
            <v>英国</v>
          </cell>
          <cell r="C43" t="str">
            <v>面食/谷类</v>
          </cell>
          <cell r="D43">
            <v>608</v>
          </cell>
        </row>
        <row r="44">
          <cell r="A44">
            <v>34621</v>
          </cell>
          <cell r="B44" t="str">
            <v>法国</v>
          </cell>
          <cell r="C44" t="str">
            <v>海洋食品</v>
          </cell>
          <cell r="D44">
            <v>1124.9999981373549</v>
          </cell>
        </row>
        <row r="45">
          <cell r="A45">
            <v>34621</v>
          </cell>
          <cell r="B45" t="str">
            <v>法国</v>
          </cell>
          <cell r="C45" t="str">
            <v>肉/家禽</v>
          </cell>
          <cell r="D45">
            <v>2227.4999963119626</v>
          </cell>
        </row>
        <row r="46">
          <cell r="A46">
            <v>34621</v>
          </cell>
          <cell r="B46" t="str">
            <v>法国</v>
          </cell>
          <cell r="C46" t="str">
            <v>饮料</v>
          </cell>
          <cell r="D46">
            <v>388.79999935626984</v>
          </cell>
        </row>
        <row r="47">
          <cell r="A47">
            <v>34625</v>
          </cell>
          <cell r="B47" t="str">
            <v>法国</v>
          </cell>
          <cell r="C47" t="str">
            <v>糖果</v>
          </cell>
          <cell r="D47">
            <v>394</v>
          </cell>
        </row>
        <row r="48">
          <cell r="A48">
            <v>34625</v>
          </cell>
          <cell r="B48" t="str">
            <v>法国</v>
          </cell>
          <cell r="C48" t="str">
            <v>糖果</v>
          </cell>
          <cell r="D48">
            <v>30</v>
          </cell>
        </row>
        <row r="49">
          <cell r="A49">
            <v>34628</v>
          </cell>
          <cell r="B49" t="str">
            <v>法国</v>
          </cell>
          <cell r="C49" t="str">
            <v>糖果</v>
          </cell>
          <cell r="D49">
            <v>139</v>
          </cell>
        </row>
        <row r="50">
          <cell r="A50">
            <v>34628</v>
          </cell>
          <cell r="B50" t="str">
            <v>法国</v>
          </cell>
          <cell r="C50" t="str">
            <v>糖果</v>
          </cell>
          <cell r="D50">
            <v>197</v>
          </cell>
        </row>
        <row r="51">
          <cell r="A51">
            <v>34631</v>
          </cell>
          <cell r="B51" t="str">
            <v>英国</v>
          </cell>
          <cell r="C51" t="str">
            <v>农产品</v>
          </cell>
          <cell r="D51">
            <v>145.6</v>
          </cell>
        </row>
        <row r="52">
          <cell r="A52">
            <v>34631</v>
          </cell>
          <cell r="B52" t="str">
            <v>英国</v>
          </cell>
          <cell r="C52" t="str">
            <v>饮料</v>
          </cell>
          <cell r="D52">
            <v>883.2</v>
          </cell>
        </row>
        <row r="53">
          <cell r="A53">
            <v>34631</v>
          </cell>
          <cell r="B53" t="str">
            <v>英国</v>
          </cell>
          <cell r="C53" t="str">
            <v>肉/家禽</v>
          </cell>
          <cell r="D53">
            <v>524</v>
          </cell>
        </row>
        <row r="54">
          <cell r="A54">
            <v>34631</v>
          </cell>
          <cell r="B54" t="str">
            <v>英国</v>
          </cell>
          <cell r="C54" t="str">
            <v>饮料</v>
          </cell>
          <cell r="D54">
            <v>62</v>
          </cell>
        </row>
        <row r="55">
          <cell r="A55">
            <v>34632</v>
          </cell>
          <cell r="B55" t="str">
            <v>英国</v>
          </cell>
          <cell r="C55" t="str">
            <v>海洋食品</v>
          </cell>
          <cell r="D55">
            <v>182.4</v>
          </cell>
        </row>
        <row r="56">
          <cell r="A56">
            <v>34633</v>
          </cell>
          <cell r="B56" t="str">
            <v>法国</v>
          </cell>
          <cell r="C56" t="str">
            <v>乳制品</v>
          </cell>
          <cell r="D56">
            <v>921.59999847412109</v>
          </cell>
        </row>
        <row r="57">
          <cell r="A57">
            <v>34633</v>
          </cell>
          <cell r="B57" t="str">
            <v>法国</v>
          </cell>
          <cell r="C57" t="str">
            <v>海洋食品</v>
          </cell>
          <cell r="D57">
            <v>286.19999952614307</v>
          </cell>
        </row>
        <row r="58">
          <cell r="A58">
            <v>34633</v>
          </cell>
          <cell r="B58" t="str">
            <v>法国</v>
          </cell>
          <cell r="C58" t="str">
            <v>糖果</v>
          </cell>
          <cell r="D58">
            <v>886.49999853223562</v>
          </cell>
        </row>
        <row r="59">
          <cell r="A59">
            <v>34635</v>
          </cell>
          <cell r="B59" t="str">
            <v>法国</v>
          </cell>
          <cell r="C59" t="str">
            <v>海洋食品</v>
          </cell>
          <cell r="D59">
            <v>77</v>
          </cell>
        </row>
        <row r="60">
          <cell r="A60">
            <v>34635</v>
          </cell>
          <cell r="B60" t="str">
            <v>法国</v>
          </cell>
          <cell r="C60" t="str">
            <v>糖果</v>
          </cell>
          <cell r="D60">
            <v>2758</v>
          </cell>
        </row>
        <row r="61">
          <cell r="A61">
            <v>34638</v>
          </cell>
          <cell r="B61" t="str">
            <v>法国</v>
          </cell>
          <cell r="C61" t="str">
            <v>饮料</v>
          </cell>
          <cell r="D61">
            <v>288</v>
          </cell>
        </row>
        <row r="62">
          <cell r="A62">
            <v>34645</v>
          </cell>
          <cell r="B62" t="str">
            <v>英国</v>
          </cell>
          <cell r="C62" t="str">
            <v>香料</v>
          </cell>
          <cell r="D62">
            <v>62</v>
          </cell>
        </row>
        <row r="63">
          <cell r="A63">
            <v>34645</v>
          </cell>
          <cell r="B63" t="str">
            <v>英国</v>
          </cell>
          <cell r="C63" t="str">
            <v>糖果</v>
          </cell>
          <cell r="D63">
            <v>44.8</v>
          </cell>
        </row>
        <row r="64">
          <cell r="A64">
            <v>34645</v>
          </cell>
          <cell r="B64" t="str">
            <v>英国</v>
          </cell>
          <cell r="C64" t="str">
            <v>饮料</v>
          </cell>
          <cell r="D64">
            <v>57.6</v>
          </cell>
        </row>
        <row r="65">
          <cell r="A65">
            <v>34646</v>
          </cell>
          <cell r="B65" t="str">
            <v>法国</v>
          </cell>
          <cell r="C65" t="str">
            <v>糖果</v>
          </cell>
          <cell r="D65">
            <v>248.1149982601404</v>
          </cell>
        </row>
        <row r="66">
          <cell r="A66">
            <v>34646</v>
          </cell>
          <cell r="B66" t="str">
            <v>法国</v>
          </cell>
          <cell r="C66" t="str">
            <v>饮料</v>
          </cell>
          <cell r="D66">
            <v>856.79999399185181</v>
          </cell>
        </row>
        <row r="67">
          <cell r="A67">
            <v>34646</v>
          </cell>
          <cell r="B67" t="str">
            <v>法国</v>
          </cell>
          <cell r="C67" t="str">
            <v>海洋食品</v>
          </cell>
          <cell r="D67">
            <v>288</v>
          </cell>
        </row>
        <row r="68">
          <cell r="A68">
            <v>34646</v>
          </cell>
          <cell r="B68" t="str">
            <v>法国</v>
          </cell>
          <cell r="C68" t="str">
            <v>乳制品</v>
          </cell>
          <cell r="D68">
            <v>1495.9999895095825</v>
          </cell>
        </row>
        <row r="69">
          <cell r="A69">
            <v>34646</v>
          </cell>
          <cell r="B69" t="str">
            <v>法国</v>
          </cell>
          <cell r="C69" t="str">
            <v>香料</v>
          </cell>
          <cell r="D69">
            <v>2386.7999832630157</v>
          </cell>
        </row>
        <row r="70">
          <cell r="A70">
            <v>34647</v>
          </cell>
          <cell r="B70" t="str">
            <v>英国</v>
          </cell>
          <cell r="C70" t="str">
            <v>香料</v>
          </cell>
          <cell r="D70">
            <v>120</v>
          </cell>
        </row>
        <row r="71">
          <cell r="A71">
            <v>34647</v>
          </cell>
          <cell r="B71" t="str">
            <v>英国</v>
          </cell>
          <cell r="C71" t="str">
            <v>海洋食品</v>
          </cell>
          <cell r="D71">
            <v>57.6</v>
          </cell>
        </row>
        <row r="72">
          <cell r="A72">
            <v>34647</v>
          </cell>
          <cell r="B72" t="str">
            <v>英国</v>
          </cell>
          <cell r="C72" t="str">
            <v>农产品</v>
          </cell>
          <cell r="D72">
            <v>167.4</v>
          </cell>
        </row>
        <row r="73">
          <cell r="A73">
            <v>34647</v>
          </cell>
          <cell r="B73" t="str">
            <v>英国</v>
          </cell>
          <cell r="C73" t="str">
            <v>乳制品</v>
          </cell>
          <cell r="D73">
            <v>40</v>
          </cell>
        </row>
        <row r="74">
          <cell r="A74">
            <v>34647</v>
          </cell>
          <cell r="B74" t="str">
            <v>英国</v>
          </cell>
          <cell r="C74" t="str">
            <v>乳制品</v>
          </cell>
          <cell r="D74">
            <v>1112</v>
          </cell>
        </row>
        <row r="75">
          <cell r="A75">
            <v>34653</v>
          </cell>
          <cell r="B75" t="str">
            <v>法国</v>
          </cell>
          <cell r="C75" t="str">
            <v>糖果</v>
          </cell>
          <cell r="D75">
            <v>69.349999945610762</v>
          </cell>
        </row>
        <row r="76">
          <cell r="A76">
            <v>34653</v>
          </cell>
          <cell r="B76" t="str">
            <v>法国</v>
          </cell>
          <cell r="C76" t="str">
            <v>海洋食品</v>
          </cell>
          <cell r="D76">
            <v>157.31999987661837</v>
          </cell>
        </row>
        <row r="77">
          <cell r="A77">
            <v>34653</v>
          </cell>
          <cell r="B77" t="str">
            <v>法国</v>
          </cell>
          <cell r="C77" t="str">
            <v>饮料</v>
          </cell>
          <cell r="D77">
            <v>4005.1999968588352</v>
          </cell>
        </row>
        <row r="78">
          <cell r="A78">
            <v>34653</v>
          </cell>
          <cell r="B78" t="str">
            <v>法国</v>
          </cell>
          <cell r="C78" t="str">
            <v>面食/谷类</v>
          </cell>
          <cell r="D78">
            <v>346.55999972820285</v>
          </cell>
        </row>
        <row r="79">
          <cell r="A79">
            <v>34662</v>
          </cell>
          <cell r="B79" t="str">
            <v>英国</v>
          </cell>
          <cell r="C79" t="str">
            <v>面食/谷类</v>
          </cell>
          <cell r="D79">
            <v>288</v>
          </cell>
        </row>
        <row r="80">
          <cell r="A80">
            <v>34662</v>
          </cell>
          <cell r="B80" t="str">
            <v>英国</v>
          </cell>
          <cell r="C80" t="str">
            <v>糖果</v>
          </cell>
          <cell r="D80">
            <v>597.6</v>
          </cell>
        </row>
        <row r="81">
          <cell r="A81">
            <v>34662</v>
          </cell>
          <cell r="B81" t="str">
            <v>英国</v>
          </cell>
          <cell r="C81" t="str">
            <v>海洋食品</v>
          </cell>
          <cell r="D81">
            <v>304</v>
          </cell>
        </row>
        <row r="82">
          <cell r="A82">
            <v>34662</v>
          </cell>
          <cell r="B82" t="str">
            <v>英国</v>
          </cell>
          <cell r="C82" t="str">
            <v>海洋食品</v>
          </cell>
          <cell r="D82">
            <v>582.4</v>
          </cell>
        </row>
        <row r="83">
          <cell r="A83">
            <v>34662</v>
          </cell>
          <cell r="B83" t="str">
            <v>英国</v>
          </cell>
          <cell r="C83" t="str">
            <v>乳制品</v>
          </cell>
          <cell r="D83">
            <v>695</v>
          </cell>
        </row>
        <row r="84">
          <cell r="A84">
            <v>34663</v>
          </cell>
          <cell r="B84" t="str">
            <v>法国</v>
          </cell>
          <cell r="C84" t="str">
            <v>肉/家禽</v>
          </cell>
          <cell r="D84">
            <v>624</v>
          </cell>
        </row>
        <row r="85">
          <cell r="A85">
            <v>34663</v>
          </cell>
          <cell r="B85" t="str">
            <v>法国</v>
          </cell>
          <cell r="C85" t="str">
            <v>海洋食品</v>
          </cell>
          <cell r="D85">
            <v>310.5</v>
          </cell>
        </row>
        <row r="86">
          <cell r="A86">
            <v>34668</v>
          </cell>
          <cell r="B86" t="str">
            <v>英国</v>
          </cell>
          <cell r="C86" t="str">
            <v>饮料</v>
          </cell>
          <cell r="D86">
            <v>291.83999891281127</v>
          </cell>
        </row>
        <row r="87">
          <cell r="A87">
            <v>34668</v>
          </cell>
          <cell r="B87" t="str">
            <v>英国</v>
          </cell>
          <cell r="C87" t="str">
            <v>乳制品</v>
          </cell>
          <cell r="D87">
            <v>447.99999833106995</v>
          </cell>
        </row>
        <row r="88">
          <cell r="A88">
            <v>34668</v>
          </cell>
          <cell r="B88" t="str">
            <v>英国</v>
          </cell>
          <cell r="C88" t="str">
            <v>海洋食品</v>
          </cell>
          <cell r="D88">
            <v>486.3999981880188</v>
          </cell>
        </row>
        <row r="89">
          <cell r="A89">
            <v>34668</v>
          </cell>
          <cell r="B89" t="str">
            <v>英国</v>
          </cell>
          <cell r="C89" t="str">
            <v>肉/家禽</v>
          </cell>
          <cell r="D89">
            <v>614.39999771118164</v>
          </cell>
        </row>
        <row r="90">
          <cell r="A90">
            <v>34669</v>
          </cell>
          <cell r="B90" t="str">
            <v>英国</v>
          </cell>
          <cell r="C90" t="str">
            <v>面食/谷类</v>
          </cell>
          <cell r="D90">
            <v>1330</v>
          </cell>
        </row>
        <row r="91">
          <cell r="A91">
            <v>34669</v>
          </cell>
          <cell r="B91" t="str">
            <v>英国</v>
          </cell>
          <cell r="C91" t="str">
            <v>糖果</v>
          </cell>
          <cell r="D91">
            <v>37.999999970197678</v>
          </cell>
        </row>
        <row r="92">
          <cell r="A92">
            <v>34669</v>
          </cell>
          <cell r="B92" t="str">
            <v>英国</v>
          </cell>
          <cell r="C92" t="str">
            <v>饮料</v>
          </cell>
          <cell r="D92">
            <v>216</v>
          </cell>
        </row>
        <row r="93">
          <cell r="A93">
            <v>34670</v>
          </cell>
          <cell r="B93" t="str">
            <v>法国</v>
          </cell>
          <cell r="C93" t="str">
            <v>香料</v>
          </cell>
          <cell r="D93">
            <v>616</v>
          </cell>
        </row>
        <row r="94">
          <cell r="A94">
            <v>34670</v>
          </cell>
          <cell r="B94" t="str">
            <v>法国</v>
          </cell>
          <cell r="C94" t="str">
            <v>香料</v>
          </cell>
          <cell r="D94">
            <v>1680</v>
          </cell>
        </row>
        <row r="95">
          <cell r="A95">
            <v>34673</v>
          </cell>
          <cell r="B95" t="str">
            <v>英国</v>
          </cell>
          <cell r="C95" t="str">
            <v>香料</v>
          </cell>
          <cell r="D95">
            <v>2240</v>
          </cell>
        </row>
        <row r="96">
          <cell r="A96">
            <v>34673</v>
          </cell>
          <cell r="B96" t="str">
            <v>英国</v>
          </cell>
          <cell r="C96" t="str">
            <v>糖果</v>
          </cell>
          <cell r="D96">
            <v>584</v>
          </cell>
        </row>
        <row r="97">
          <cell r="A97">
            <v>34673</v>
          </cell>
          <cell r="B97" t="str">
            <v>英国</v>
          </cell>
          <cell r="C97" t="str">
            <v>面食/谷类</v>
          </cell>
          <cell r="D97">
            <v>100.8</v>
          </cell>
        </row>
        <row r="98">
          <cell r="A98">
            <v>34674</v>
          </cell>
          <cell r="B98" t="str">
            <v>法国</v>
          </cell>
          <cell r="C98" t="str">
            <v>肉/家禽</v>
          </cell>
          <cell r="D98">
            <v>1010.8799983263016</v>
          </cell>
        </row>
        <row r="99">
          <cell r="A99">
            <v>34674</v>
          </cell>
          <cell r="B99" t="str">
            <v>法国</v>
          </cell>
          <cell r="C99" t="str">
            <v>面食/谷类</v>
          </cell>
          <cell r="D99">
            <v>608</v>
          </cell>
        </row>
        <row r="100">
          <cell r="A100">
            <v>34676</v>
          </cell>
          <cell r="B100" t="str">
            <v>英国</v>
          </cell>
          <cell r="C100" t="str">
            <v>饮料</v>
          </cell>
          <cell r="D100">
            <v>183.59999871253967</v>
          </cell>
        </row>
        <row r="101">
          <cell r="A101">
            <v>34676</v>
          </cell>
          <cell r="B101" t="str">
            <v>英国</v>
          </cell>
          <cell r="C101" t="str">
            <v>面食/谷类</v>
          </cell>
          <cell r="D101">
            <v>180</v>
          </cell>
        </row>
        <row r="102">
          <cell r="A102">
            <v>34677</v>
          </cell>
          <cell r="B102" t="str">
            <v>法国</v>
          </cell>
          <cell r="C102" t="str">
            <v>肉/家禽</v>
          </cell>
          <cell r="D102">
            <v>141.6</v>
          </cell>
        </row>
        <row r="103">
          <cell r="A103">
            <v>34687</v>
          </cell>
          <cell r="B103" t="str">
            <v>英国</v>
          </cell>
          <cell r="C103" t="str">
            <v>乳制品</v>
          </cell>
          <cell r="D103">
            <v>300</v>
          </cell>
        </row>
        <row r="104">
          <cell r="A104">
            <v>34687</v>
          </cell>
          <cell r="B104" t="str">
            <v>英国</v>
          </cell>
          <cell r="C104" t="str">
            <v>肉/家禽</v>
          </cell>
          <cell r="D104">
            <v>230.4</v>
          </cell>
        </row>
        <row r="105">
          <cell r="A105">
            <v>34687</v>
          </cell>
          <cell r="B105" t="str">
            <v>英国</v>
          </cell>
          <cell r="C105" t="str">
            <v>乳制品</v>
          </cell>
          <cell r="D105">
            <v>576</v>
          </cell>
        </row>
        <row r="106">
          <cell r="A106">
            <v>34691</v>
          </cell>
          <cell r="B106" t="str">
            <v>英国</v>
          </cell>
          <cell r="C106" t="str">
            <v>饮料</v>
          </cell>
          <cell r="D106">
            <v>699.83999884128571</v>
          </cell>
        </row>
        <row r="107">
          <cell r="A107">
            <v>34691</v>
          </cell>
          <cell r="B107" t="str">
            <v>英国</v>
          </cell>
          <cell r="C107" t="str">
            <v>乳制品</v>
          </cell>
          <cell r="D107">
            <v>1346.3999977707863</v>
          </cell>
        </row>
        <row r="108">
          <cell r="A108">
            <v>34695</v>
          </cell>
          <cell r="B108" t="str">
            <v>英国</v>
          </cell>
          <cell r="C108" t="str">
            <v>乳制品</v>
          </cell>
          <cell r="D108">
            <v>200</v>
          </cell>
        </row>
        <row r="109">
          <cell r="A109">
            <v>34695</v>
          </cell>
          <cell r="B109" t="str">
            <v>英国</v>
          </cell>
          <cell r="C109" t="str">
            <v>饮料</v>
          </cell>
          <cell r="D109">
            <v>74.400000000000006</v>
          </cell>
        </row>
        <row r="110">
          <cell r="A110">
            <v>34695</v>
          </cell>
          <cell r="B110" t="str">
            <v>英国</v>
          </cell>
          <cell r="C110" t="str">
            <v>饮料</v>
          </cell>
          <cell r="D110">
            <v>172.8</v>
          </cell>
        </row>
        <row r="111">
          <cell r="A111">
            <v>34701</v>
          </cell>
          <cell r="B111" t="str">
            <v>法国</v>
          </cell>
          <cell r="C111" t="str">
            <v>肉/家禽</v>
          </cell>
          <cell r="D111">
            <v>1980</v>
          </cell>
        </row>
        <row r="112">
          <cell r="A112">
            <v>34701</v>
          </cell>
          <cell r="B112" t="str">
            <v>法国</v>
          </cell>
          <cell r="C112" t="str">
            <v>面食/谷类</v>
          </cell>
          <cell r="D112">
            <v>410.4</v>
          </cell>
        </row>
        <row r="113">
          <cell r="A113">
            <v>34705</v>
          </cell>
          <cell r="B113" t="str">
            <v>法国</v>
          </cell>
          <cell r="C113" t="str">
            <v>农产品</v>
          </cell>
          <cell r="D113">
            <v>279</v>
          </cell>
        </row>
        <row r="114">
          <cell r="A114">
            <v>34705</v>
          </cell>
          <cell r="B114" t="str">
            <v>法国</v>
          </cell>
          <cell r="C114" t="str">
            <v>肉/家禽</v>
          </cell>
          <cell r="D114">
            <v>59</v>
          </cell>
        </row>
        <row r="115">
          <cell r="A115">
            <v>34716</v>
          </cell>
          <cell r="B115" t="str">
            <v>法国</v>
          </cell>
          <cell r="C115" t="str">
            <v>农产品</v>
          </cell>
          <cell r="D115">
            <v>191.99999928474426</v>
          </cell>
        </row>
        <row r="116">
          <cell r="A116">
            <v>34716</v>
          </cell>
          <cell r="B116" t="str">
            <v>法国</v>
          </cell>
          <cell r="C116" t="str">
            <v>乳制品</v>
          </cell>
          <cell r="D116">
            <v>435.19999837875366</v>
          </cell>
        </row>
        <row r="117">
          <cell r="A117">
            <v>34716</v>
          </cell>
          <cell r="B117" t="str">
            <v>法国</v>
          </cell>
          <cell r="C117" t="str">
            <v>糖果</v>
          </cell>
          <cell r="D117">
            <v>63.999999761581421</v>
          </cell>
        </row>
        <row r="118">
          <cell r="A118">
            <v>34722</v>
          </cell>
          <cell r="B118" t="str">
            <v>英国</v>
          </cell>
          <cell r="C118" t="str">
            <v>海洋食品</v>
          </cell>
          <cell r="D118">
            <v>86.4</v>
          </cell>
        </row>
        <row r="119">
          <cell r="A119">
            <v>34724</v>
          </cell>
          <cell r="B119" t="str">
            <v>法国</v>
          </cell>
          <cell r="C119" t="str">
            <v>饮料</v>
          </cell>
          <cell r="D119">
            <v>285</v>
          </cell>
        </row>
        <row r="120">
          <cell r="A120">
            <v>34724</v>
          </cell>
          <cell r="B120" t="str">
            <v>法国</v>
          </cell>
          <cell r="C120" t="str">
            <v>农产品</v>
          </cell>
          <cell r="D120">
            <v>585.9</v>
          </cell>
        </row>
        <row r="121">
          <cell r="A121">
            <v>34724</v>
          </cell>
          <cell r="B121" t="str">
            <v>法国</v>
          </cell>
          <cell r="C121" t="str">
            <v>糖果</v>
          </cell>
          <cell r="D121">
            <v>58.8</v>
          </cell>
        </row>
        <row r="122">
          <cell r="A122">
            <v>34724</v>
          </cell>
          <cell r="B122" t="str">
            <v>法国</v>
          </cell>
          <cell r="C122" t="str">
            <v>糖果</v>
          </cell>
          <cell r="D122">
            <v>1307.25</v>
          </cell>
        </row>
        <row r="123">
          <cell r="A123">
            <v>34724</v>
          </cell>
          <cell r="B123" t="str">
            <v>法国</v>
          </cell>
          <cell r="C123" t="str">
            <v>乳制品</v>
          </cell>
          <cell r="D123">
            <v>320</v>
          </cell>
        </row>
        <row r="124">
          <cell r="A124">
            <v>34724</v>
          </cell>
          <cell r="B124" t="str">
            <v>法国</v>
          </cell>
          <cell r="C124" t="str">
            <v>海洋食品</v>
          </cell>
          <cell r="D124">
            <v>48</v>
          </cell>
        </row>
        <row r="125">
          <cell r="A125">
            <v>34724</v>
          </cell>
          <cell r="B125" t="str">
            <v>法国</v>
          </cell>
          <cell r="C125" t="str">
            <v>糖果</v>
          </cell>
          <cell r="D125">
            <v>394</v>
          </cell>
        </row>
        <row r="126">
          <cell r="A126">
            <v>34726</v>
          </cell>
          <cell r="B126" t="str">
            <v>英国</v>
          </cell>
          <cell r="C126" t="str">
            <v>面食/谷类</v>
          </cell>
          <cell r="D126">
            <v>288</v>
          </cell>
        </row>
        <row r="127">
          <cell r="A127">
            <v>34726</v>
          </cell>
          <cell r="B127" t="str">
            <v>英国</v>
          </cell>
          <cell r="C127" t="str">
            <v>乳制品</v>
          </cell>
          <cell r="D127">
            <v>1032</v>
          </cell>
        </row>
        <row r="128">
          <cell r="A128">
            <v>34726</v>
          </cell>
          <cell r="B128" t="str">
            <v>英国</v>
          </cell>
          <cell r="C128" t="str">
            <v>乳制品</v>
          </cell>
          <cell r="D128">
            <v>583.79999999999995</v>
          </cell>
        </row>
        <row r="129">
          <cell r="A129">
            <v>34729</v>
          </cell>
          <cell r="B129" t="str">
            <v>法国</v>
          </cell>
          <cell r="C129" t="str">
            <v>饮料</v>
          </cell>
          <cell r="D129">
            <v>432</v>
          </cell>
        </row>
        <row r="130">
          <cell r="A130">
            <v>34729</v>
          </cell>
          <cell r="B130" t="str">
            <v>法国</v>
          </cell>
          <cell r="C130" t="str">
            <v>肉/家禽</v>
          </cell>
          <cell r="D130">
            <v>2073.5999965667725</v>
          </cell>
        </row>
        <row r="131">
          <cell r="A131">
            <v>34731</v>
          </cell>
          <cell r="B131" t="str">
            <v>法国</v>
          </cell>
          <cell r="C131" t="str">
            <v>海洋食品</v>
          </cell>
          <cell r="D131">
            <v>372.6</v>
          </cell>
        </row>
        <row r="132">
          <cell r="A132">
            <v>34731</v>
          </cell>
          <cell r="B132" t="str">
            <v>法国</v>
          </cell>
          <cell r="C132" t="str">
            <v>面食/谷类</v>
          </cell>
          <cell r="D132">
            <v>2128</v>
          </cell>
        </row>
        <row r="133">
          <cell r="A133">
            <v>34731</v>
          </cell>
          <cell r="B133" t="str">
            <v>法国</v>
          </cell>
          <cell r="C133" t="str">
            <v>香料</v>
          </cell>
          <cell r="D133">
            <v>336</v>
          </cell>
        </row>
        <row r="134">
          <cell r="A134">
            <v>34731</v>
          </cell>
          <cell r="B134" t="str">
            <v>法国</v>
          </cell>
          <cell r="C134" t="str">
            <v>乳制品</v>
          </cell>
          <cell r="D134">
            <v>1032</v>
          </cell>
        </row>
        <row r="135">
          <cell r="A135">
            <v>34737</v>
          </cell>
          <cell r="B135" t="str">
            <v>英国</v>
          </cell>
          <cell r="C135" t="str">
            <v>乳制品</v>
          </cell>
          <cell r="D135">
            <v>504</v>
          </cell>
        </row>
        <row r="136">
          <cell r="A136">
            <v>34737</v>
          </cell>
          <cell r="B136" t="str">
            <v>英国</v>
          </cell>
          <cell r="C136" t="str">
            <v>乳制品</v>
          </cell>
          <cell r="D136">
            <v>432</v>
          </cell>
        </row>
        <row r="137">
          <cell r="A137">
            <v>34737</v>
          </cell>
          <cell r="B137" t="str">
            <v>英国</v>
          </cell>
          <cell r="C137" t="str">
            <v>乳制品</v>
          </cell>
          <cell r="D137">
            <v>258</v>
          </cell>
        </row>
        <row r="138">
          <cell r="A138">
            <v>34745</v>
          </cell>
          <cell r="B138" t="str">
            <v>法国</v>
          </cell>
          <cell r="C138" t="str">
            <v>肉/家禽</v>
          </cell>
          <cell r="D138">
            <v>62.4</v>
          </cell>
        </row>
        <row r="139">
          <cell r="A139">
            <v>34745</v>
          </cell>
          <cell r="B139" t="str">
            <v>法国</v>
          </cell>
          <cell r="C139" t="str">
            <v>乳制品</v>
          </cell>
          <cell r="D139">
            <v>40</v>
          </cell>
        </row>
        <row r="140">
          <cell r="A140">
            <v>34747</v>
          </cell>
          <cell r="B140" t="str">
            <v>英国</v>
          </cell>
          <cell r="C140" t="str">
            <v>饮料</v>
          </cell>
          <cell r="D140">
            <v>912</v>
          </cell>
        </row>
        <row r="141">
          <cell r="A141">
            <v>34747</v>
          </cell>
          <cell r="B141" t="str">
            <v>英国</v>
          </cell>
          <cell r="C141" t="str">
            <v>糖果</v>
          </cell>
          <cell r="D141">
            <v>418</v>
          </cell>
        </row>
        <row r="142">
          <cell r="A142">
            <v>34747</v>
          </cell>
          <cell r="B142" t="str">
            <v>英国</v>
          </cell>
          <cell r="C142" t="str">
            <v>香料</v>
          </cell>
          <cell r="D142">
            <v>364.8</v>
          </cell>
        </row>
        <row r="143">
          <cell r="A143">
            <v>34747</v>
          </cell>
          <cell r="B143" t="str">
            <v>英国</v>
          </cell>
          <cell r="C143" t="str">
            <v>农产品</v>
          </cell>
          <cell r="D143">
            <v>120</v>
          </cell>
        </row>
        <row r="144">
          <cell r="A144">
            <v>34761</v>
          </cell>
          <cell r="B144" t="str">
            <v>法国</v>
          </cell>
          <cell r="C144" t="str">
            <v>糖果</v>
          </cell>
          <cell r="D144">
            <v>249</v>
          </cell>
        </row>
        <row r="145">
          <cell r="A145">
            <v>34761</v>
          </cell>
          <cell r="B145" t="str">
            <v>法国</v>
          </cell>
          <cell r="C145" t="str">
            <v>肉/家禽</v>
          </cell>
          <cell r="D145">
            <v>236</v>
          </cell>
        </row>
        <row r="146">
          <cell r="A146">
            <v>34767</v>
          </cell>
          <cell r="B146" t="str">
            <v>英国</v>
          </cell>
          <cell r="C146" t="str">
            <v>糖果</v>
          </cell>
          <cell r="D146">
            <v>87.59999967366457</v>
          </cell>
        </row>
        <row r="147">
          <cell r="A147">
            <v>34767</v>
          </cell>
          <cell r="B147" t="str">
            <v>英国</v>
          </cell>
          <cell r="C147" t="str">
            <v>饮料</v>
          </cell>
          <cell r="D147">
            <v>179.19999933242798</v>
          </cell>
        </row>
        <row r="148">
          <cell r="A148">
            <v>34767</v>
          </cell>
          <cell r="B148" t="str">
            <v>英国</v>
          </cell>
          <cell r="C148" t="str">
            <v>面食/谷类</v>
          </cell>
          <cell r="D148">
            <v>187.19999930262566</v>
          </cell>
        </row>
        <row r="149">
          <cell r="A149">
            <v>34771</v>
          </cell>
          <cell r="B149" t="str">
            <v>法国</v>
          </cell>
          <cell r="C149" t="str">
            <v>饮料</v>
          </cell>
          <cell r="D149">
            <v>581.3999959230423</v>
          </cell>
        </row>
        <row r="150">
          <cell r="A150">
            <v>34771</v>
          </cell>
          <cell r="B150" t="str">
            <v>法国</v>
          </cell>
          <cell r="C150" t="str">
            <v>糖果</v>
          </cell>
          <cell r="D150">
            <v>578.93499594032767</v>
          </cell>
        </row>
        <row r="151">
          <cell r="A151">
            <v>34771</v>
          </cell>
          <cell r="B151" t="str">
            <v>法国</v>
          </cell>
          <cell r="C151" t="str">
            <v>肉/家禽</v>
          </cell>
          <cell r="D151">
            <v>2019.5999858379364</v>
          </cell>
        </row>
        <row r="152">
          <cell r="A152">
            <v>34771</v>
          </cell>
          <cell r="B152" t="str">
            <v>法国</v>
          </cell>
          <cell r="C152" t="str">
            <v>香料</v>
          </cell>
          <cell r="D152">
            <v>1744.1999877691269</v>
          </cell>
        </row>
        <row r="153">
          <cell r="A153">
            <v>34771</v>
          </cell>
          <cell r="B153" t="str">
            <v>法国</v>
          </cell>
          <cell r="C153" t="str">
            <v>糖果</v>
          </cell>
          <cell r="D153">
            <v>1755</v>
          </cell>
        </row>
        <row r="154">
          <cell r="A154">
            <v>34775</v>
          </cell>
          <cell r="B154" t="str">
            <v>英国</v>
          </cell>
          <cell r="C154" t="str">
            <v>糖果</v>
          </cell>
          <cell r="D154">
            <v>78.839999869465828</v>
          </cell>
        </row>
        <row r="155">
          <cell r="A155">
            <v>34775</v>
          </cell>
          <cell r="B155" t="str">
            <v>英国</v>
          </cell>
          <cell r="C155" t="str">
            <v>饮料</v>
          </cell>
          <cell r="D155">
            <v>64.799999892711639</v>
          </cell>
        </row>
        <row r="156">
          <cell r="A156">
            <v>34775</v>
          </cell>
          <cell r="B156" t="str">
            <v>英国</v>
          </cell>
          <cell r="C156" t="str">
            <v>乳制品</v>
          </cell>
          <cell r="D156">
            <v>26.999999955296516</v>
          </cell>
        </row>
        <row r="157">
          <cell r="A157">
            <v>34775</v>
          </cell>
          <cell r="B157" t="str">
            <v>英国</v>
          </cell>
          <cell r="C157" t="str">
            <v>面食/谷类</v>
          </cell>
          <cell r="D157">
            <v>75.599999874830246</v>
          </cell>
        </row>
        <row r="158">
          <cell r="A158">
            <v>34780</v>
          </cell>
          <cell r="B158" t="str">
            <v>英国</v>
          </cell>
          <cell r="C158" t="str">
            <v>肉/家禽</v>
          </cell>
          <cell r="D158">
            <v>2073.5999965667725</v>
          </cell>
        </row>
        <row r="159">
          <cell r="A159">
            <v>34780</v>
          </cell>
          <cell r="B159" t="str">
            <v>英国</v>
          </cell>
          <cell r="C159" t="str">
            <v>面食/谷类</v>
          </cell>
          <cell r="D159">
            <v>837.89999861270189</v>
          </cell>
        </row>
        <row r="160">
          <cell r="A160">
            <v>34780</v>
          </cell>
          <cell r="B160" t="str">
            <v>英国</v>
          </cell>
          <cell r="C160" t="str">
            <v>香料</v>
          </cell>
          <cell r="D160">
            <v>423.35999929904938</v>
          </cell>
        </row>
        <row r="161">
          <cell r="A161">
            <v>34780</v>
          </cell>
          <cell r="B161" t="str">
            <v>英国</v>
          </cell>
          <cell r="C161" t="str">
            <v>香料</v>
          </cell>
          <cell r="D161">
            <v>514.79999914765358</v>
          </cell>
        </row>
        <row r="162">
          <cell r="A162">
            <v>34781</v>
          </cell>
          <cell r="B162" t="str">
            <v>法国</v>
          </cell>
          <cell r="C162" t="str">
            <v>农产品</v>
          </cell>
          <cell r="D162">
            <v>546</v>
          </cell>
        </row>
        <row r="163">
          <cell r="A163">
            <v>34781</v>
          </cell>
          <cell r="B163" t="str">
            <v>法国</v>
          </cell>
          <cell r="C163" t="str">
            <v>香料</v>
          </cell>
          <cell r="D163">
            <v>1472.49999884516</v>
          </cell>
        </row>
        <row r="164">
          <cell r="A164">
            <v>34786</v>
          </cell>
          <cell r="B164" t="str">
            <v>英国</v>
          </cell>
          <cell r="C164" t="str">
            <v>糖果</v>
          </cell>
          <cell r="D164">
            <v>271.99999809265137</v>
          </cell>
        </row>
        <row r="165">
          <cell r="A165">
            <v>34786</v>
          </cell>
          <cell r="B165" t="str">
            <v>英国</v>
          </cell>
          <cell r="C165" t="str">
            <v>糖果</v>
          </cell>
          <cell r="D165">
            <v>285.59999799728394</v>
          </cell>
        </row>
        <row r="166">
          <cell r="A166">
            <v>34786</v>
          </cell>
          <cell r="B166" t="str">
            <v>英国</v>
          </cell>
          <cell r="C166" t="str">
            <v>乳制品</v>
          </cell>
          <cell r="D166">
            <v>1584</v>
          </cell>
        </row>
        <row r="167">
          <cell r="A167">
            <v>34796</v>
          </cell>
          <cell r="B167" t="str">
            <v>英国</v>
          </cell>
          <cell r="C167" t="str">
            <v>海洋食品</v>
          </cell>
          <cell r="D167">
            <v>165.6</v>
          </cell>
        </row>
        <row r="168">
          <cell r="A168">
            <v>34796</v>
          </cell>
          <cell r="B168" t="str">
            <v>英国</v>
          </cell>
          <cell r="C168" t="str">
            <v>饮料</v>
          </cell>
          <cell r="D168">
            <v>552</v>
          </cell>
        </row>
        <row r="169">
          <cell r="A169">
            <v>34799</v>
          </cell>
          <cell r="B169" t="str">
            <v>法国</v>
          </cell>
          <cell r="C169" t="str">
            <v>饮料</v>
          </cell>
          <cell r="D169">
            <v>516.7999963760376</v>
          </cell>
        </row>
        <row r="170">
          <cell r="A170">
            <v>34799</v>
          </cell>
          <cell r="B170" t="str">
            <v>法国</v>
          </cell>
          <cell r="C170" t="str">
            <v>糖果</v>
          </cell>
          <cell r="D170">
            <v>413.52499710023403</v>
          </cell>
        </row>
        <row r="171">
          <cell r="A171">
            <v>34799</v>
          </cell>
          <cell r="B171" t="str">
            <v>法国</v>
          </cell>
          <cell r="C171" t="str">
            <v>香料</v>
          </cell>
          <cell r="D171">
            <v>26.349999815225601</v>
          </cell>
        </row>
        <row r="172">
          <cell r="A172">
            <v>34808</v>
          </cell>
          <cell r="B172" t="str">
            <v>法国</v>
          </cell>
          <cell r="C172" t="str">
            <v>饮料</v>
          </cell>
          <cell r="D172">
            <v>6324</v>
          </cell>
        </row>
        <row r="173">
          <cell r="A173">
            <v>34808</v>
          </cell>
          <cell r="B173" t="str">
            <v>法国</v>
          </cell>
          <cell r="C173" t="str">
            <v>肉/家禽</v>
          </cell>
          <cell r="D173">
            <v>733.6</v>
          </cell>
        </row>
        <row r="174">
          <cell r="A174">
            <v>34808</v>
          </cell>
          <cell r="B174" t="str">
            <v>法国</v>
          </cell>
          <cell r="C174" t="str">
            <v>乳制品</v>
          </cell>
          <cell r="D174">
            <v>2640</v>
          </cell>
        </row>
        <row r="175">
          <cell r="A175">
            <v>34808</v>
          </cell>
          <cell r="B175" t="str">
            <v>法国</v>
          </cell>
          <cell r="C175" t="str">
            <v>面食/谷类</v>
          </cell>
          <cell r="D175">
            <v>798</v>
          </cell>
        </row>
        <row r="176">
          <cell r="A176">
            <v>34810</v>
          </cell>
          <cell r="B176" t="str">
            <v>法国</v>
          </cell>
          <cell r="C176" t="str">
            <v>海洋食品</v>
          </cell>
          <cell r="D176">
            <v>147</v>
          </cell>
        </row>
        <row r="177">
          <cell r="A177">
            <v>34813</v>
          </cell>
          <cell r="B177" t="str">
            <v>法国</v>
          </cell>
          <cell r="C177" t="str">
            <v>饮料</v>
          </cell>
          <cell r="D177">
            <v>372.39999970793724</v>
          </cell>
        </row>
        <row r="178">
          <cell r="A178">
            <v>34813</v>
          </cell>
          <cell r="B178" t="str">
            <v>法国</v>
          </cell>
          <cell r="C178" t="str">
            <v>香料</v>
          </cell>
          <cell r="D178">
            <v>296.39999976754189</v>
          </cell>
        </row>
        <row r="179">
          <cell r="A179">
            <v>34816</v>
          </cell>
          <cell r="B179" t="str">
            <v>英国</v>
          </cell>
          <cell r="C179" t="str">
            <v>乳制品</v>
          </cell>
          <cell r="D179">
            <v>1320</v>
          </cell>
        </row>
        <row r="180">
          <cell r="A180">
            <v>34816</v>
          </cell>
          <cell r="B180" t="str">
            <v>英国</v>
          </cell>
          <cell r="C180" t="str">
            <v>海洋食品</v>
          </cell>
          <cell r="D180">
            <v>191.99999928474426</v>
          </cell>
        </row>
        <row r="181">
          <cell r="A181">
            <v>34824</v>
          </cell>
          <cell r="B181" t="str">
            <v>英国</v>
          </cell>
          <cell r="C181" t="str">
            <v>面食/谷类</v>
          </cell>
          <cell r="D181">
            <v>425.6</v>
          </cell>
        </row>
        <row r="182">
          <cell r="A182">
            <v>34824</v>
          </cell>
          <cell r="B182" t="str">
            <v>英国</v>
          </cell>
          <cell r="C182" t="str">
            <v>乳制品</v>
          </cell>
          <cell r="D182">
            <v>695</v>
          </cell>
        </row>
        <row r="183">
          <cell r="A183">
            <v>34824</v>
          </cell>
          <cell r="B183" t="str">
            <v>英国</v>
          </cell>
          <cell r="C183" t="str">
            <v>香料</v>
          </cell>
          <cell r="D183">
            <v>260</v>
          </cell>
        </row>
        <row r="184">
          <cell r="A184">
            <v>34829</v>
          </cell>
          <cell r="B184" t="str">
            <v>英国</v>
          </cell>
          <cell r="C184" t="str">
            <v>肉/家禽</v>
          </cell>
          <cell r="D184">
            <v>149</v>
          </cell>
        </row>
        <row r="185">
          <cell r="A185">
            <v>34831</v>
          </cell>
          <cell r="B185" t="str">
            <v>法国</v>
          </cell>
          <cell r="C185" t="str">
            <v>饮料</v>
          </cell>
          <cell r="D185">
            <v>228</v>
          </cell>
        </row>
        <row r="186">
          <cell r="A186">
            <v>34831</v>
          </cell>
          <cell r="B186" t="str">
            <v>法国</v>
          </cell>
          <cell r="C186" t="str">
            <v>糖果</v>
          </cell>
          <cell r="D186">
            <v>120</v>
          </cell>
        </row>
        <row r="187">
          <cell r="A187">
            <v>34831</v>
          </cell>
          <cell r="B187" t="str">
            <v>法国</v>
          </cell>
          <cell r="C187" t="str">
            <v>肉/家禽</v>
          </cell>
          <cell r="D187">
            <v>328</v>
          </cell>
        </row>
        <row r="188">
          <cell r="A188">
            <v>34831</v>
          </cell>
          <cell r="B188" t="str">
            <v>法国</v>
          </cell>
          <cell r="C188" t="str">
            <v>香料</v>
          </cell>
          <cell r="D188">
            <v>712.5</v>
          </cell>
        </row>
        <row r="189">
          <cell r="A189">
            <v>34835</v>
          </cell>
          <cell r="B189" t="str">
            <v>英国</v>
          </cell>
          <cell r="C189" t="str">
            <v>糖果</v>
          </cell>
          <cell r="D189">
            <v>226.79999962449074</v>
          </cell>
        </row>
        <row r="190">
          <cell r="A190">
            <v>34835</v>
          </cell>
          <cell r="B190" t="str">
            <v>英国</v>
          </cell>
          <cell r="C190" t="str">
            <v>饮料</v>
          </cell>
          <cell r="D190">
            <v>188.99999968707561</v>
          </cell>
        </row>
        <row r="191">
          <cell r="A191">
            <v>34836</v>
          </cell>
          <cell r="B191" t="str">
            <v>英国</v>
          </cell>
          <cell r="C191" t="str">
            <v>海洋食品</v>
          </cell>
          <cell r="D191">
            <v>60</v>
          </cell>
        </row>
        <row r="192">
          <cell r="A192">
            <v>34836</v>
          </cell>
          <cell r="B192" t="str">
            <v>英国</v>
          </cell>
          <cell r="C192" t="str">
            <v>饮料</v>
          </cell>
          <cell r="D192">
            <v>180</v>
          </cell>
        </row>
        <row r="193">
          <cell r="A193">
            <v>34837</v>
          </cell>
          <cell r="B193" t="str">
            <v>英国</v>
          </cell>
          <cell r="C193" t="str">
            <v>农产品</v>
          </cell>
          <cell r="D193">
            <v>136.80000000000001</v>
          </cell>
        </row>
        <row r="194">
          <cell r="A194">
            <v>34838</v>
          </cell>
          <cell r="B194" t="str">
            <v>法国</v>
          </cell>
          <cell r="C194" t="str">
            <v>肉/家禽</v>
          </cell>
          <cell r="D194">
            <v>4456.4399999999996</v>
          </cell>
        </row>
        <row r="195">
          <cell r="A195">
            <v>34838</v>
          </cell>
          <cell r="B195" t="str">
            <v>法国</v>
          </cell>
          <cell r="C195" t="str">
            <v>饮料</v>
          </cell>
          <cell r="D195">
            <v>251.0999995842576</v>
          </cell>
        </row>
        <row r="196">
          <cell r="A196">
            <v>34842</v>
          </cell>
          <cell r="B196" t="str">
            <v>英国</v>
          </cell>
          <cell r="C196" t="str">
            <v>糖果</v>
          </cell>
          <cell r="D196">
            <v>319.9999988079071</v>
          </cell>
        </row>
        <row r="197">
          <cell r="A197">
            <v>34842</v>
          </cell>
          <cell r="B197" t="str">
            <v>英国</v>
          </cell>
          <cell r="C197" t="str">
            <v>乳制品</v>
          </cell>
          <cell r="D197">
            <v>1279.9999952316284</v>
          </cell>
        </row>
        <row r="198">
          <cell r="A198">
            <v>34842</v>
          </cell>
          <cell r="B198" t="str">
            <v>英国</v>
          </cell>
          <cell r="C198" t="str">
            <v>香料</v>
          </cell>
          <cell r="D198">
            <v>341.99999872595072</v>
          </cell>
        </row>
        <row r="199">
          <cell r="A199">
            <v>34843</v>
          </cell>
          <cell r="B199" t="str">
            <v>英国</v>
          </cell>
          <cell r="C199" t="str">
            <v>肉/家禽</v>
          </cell>
          <cell r="D199">
            <v>1319.1999907493591</v>
          </cell>
        </row>
        <row r="200">
          <cell r="A200">
            <v>34843</v>
          </cell>
          <cell r="B200" t="str">
            <v>英国</v>
          </cell>
          <cell r="C200" t="str">
            <v>糖果</v>
          </cell>
          <cell r="D200">
            <v>872.5</v>
          </cell>
        </row>
        <row r="201">
          <cell r="A201">
            <v>34843</v>
          </cell>
          <cell r="B201" t="str">
            <v>英国</v>
          </cell>
          <cell r="C201" t="str">
            <v>糖果</v>
          </cell>
          <cell r="D201">
            <v>5268</v>
          </cell>
        </row>
        <row r="202">
          <cell r="A202">
            <v>34843</v>
          </cell>
          <cell r="B202" t="str">
            <v>英国</v>
          </cell>
          <cell r="C202" t="str">
            <v>乳制品</v>
          </cell>
          <cell r="D202">
            <v>33.999999761581421</v>
          </cell>
        </row>
        <row r="203">
          <cell r="A203">
            <v>34843</v>
          </cell>
          <cell r="B203" t="str">
            <v>英国</v>
          </cell>
          <cell r="C203" t="str">
            <v>乳制品</v>
          </cell>
          <cell r="D203">
            <v>2427.5999829769135</v>
          </cell>
        </row>
        <row r="204">
          <cell r="A204">
            <v>34850</v>
          </cell>
          <cell r="B204" t="str">
            <v>英国</v>
          </cell>
          <cell r="C204" t="str">
            <v>饮料</v>
          </cell>
          <cell r="D204">
            <v>575.99999785423279</v>
          </cell>
        </row>
        <row r="205">
          <cell r="A205">
            <v>34850</v>
          </cell>
          <cell r="B205" t="str">
            <v>英国</v>
          </cell>
          <cell r="C205" t="str">
            <v>香料</v>
          </cell>
          <cell r="D205">
            <v>960</v>
          </cell>
        </row>
        <row r="206">
          <cell r="A206">
            <v>34850</v>
          </cell>
          <cell r="B206" t="str">
            <v>英国</v>
          </cell>
          <cell r="C206" t="str">
            <v>海洋食品</v>
          </cell>
          <cell r="D206">
            <v>414.23999845683574</v>
          </cell>
        </row>
        <row r="207">
          <cell r="A207">
            <v>34850</v>
          </cell>
          <cell r="B207" t="str">
            <v>英国</v>
          </cell>
          <cell r="C207" t="str">
            <v>海洋食品</v>
          </cell>
          <cell r="D207">
            <v>367.99999862909317</v>
          </cell>
        </row>
        <row r="208">
          <cell r="A208">
            <v>34855</v>
          </cell>
          <cell r="B208" t="str">
            <v>英国</v>
          </cell>
          <cell r="C208" t="str">
            <v>香料</v>
          </cell>
          <cell r="D208">
            <v>989.99999836087227</v>
          </cell>
        </row>
        <row r="209">
          <cell r="A209">
            <v>34855</v>
          </cell>
          <cell r="B209" t="str">
            <v>英国</v>
          </cell>
          <cell r="C209" t="str">
            <v>海洋食品</v>
          </cell>
          <cell r="D209">
            <v>512.99999915063381</v>
          </cell>
        </row>
        <row r="210">
          <cell r="A210">
            <v>34856</v>
          </cell>
          <cell r="B210" t="str">
            <v>法国</v>
          </cell>
          <cell r="C210" t="str">
            <v>乳制品</v>
          </cell>
          <cell r="D210">
            <v>63</v>
          </cell>
        </row>
        <row r="211">
          <cell r="A211">
            <v>34856</v>
          </cell>
          <cell r="B211" t="str">
            <v>法国</v>
          </cell>
          <cell r="C211" t="str">
            <v>乳制品</v>
          </cell>
          <cell r="D211">
            <v>15.999999940395355</v>
          </cell>
        </row>
        <row r="212">
          <cell r="A212">
            <v>34856</v>
          </cell>
          <cell r="B212" t="str">
            <v>法国</v>
          </cell>
          <cell r="C212" t="str">
            <v>乳制品</v>
          </cell>
          <cell r="D212">
            <v>313.2</v>
          </cell>
        </row>
        <row r="213">
          <cell r="A213">
            <v>34862</v>
          </cell>
          <cell r="B213" t="str">
            <v>英国</v>
          </cell>
          <cell r="C213" t="str">
            <v>海洋食品</v>
          </cell>
          <cell r="D213">
            <v>258.89999999999998</v>
          </cell>
        </row>
        <row r="214">
          <cell r="A214">
            <v>34862</v>
          </cell>
          <cell r="B214" t="str">
            <v>英国</v>
          </cell>
          <cell r="C214" t="str">
            <v>海洋食品</v>
          </cell>
          <cell r="D214">
            <v>147.19999945163727</v>
          </cell>
        </row>
        <row r="215">
          <cell r="A215">
            <v>34862</v>
          </cell>
          <cell r="B215" t="str">
            <v>英国</v>
          </cell>
          <cell r="C215" t="str">
            <v>肉/家禽</v>
          </cell>
          <cell r="D215">
            <v>59.599999777972698</v>
          </cell>
        </row>
        <row r="216">
          <cell r="A216">
            <v>34864</v>
          </cell>
          <cell r="B216" t="str">
            <v>英国</v>
          </cell>
          <cell r="C216" t="str">
            <v>乳制品</v>
          </cell>
          <cell r="D216">
            <v>427.5</v>
          </cell>
        </row>
        <row r="217">
          <cell r="A217">
            <v>34864</v>
          </cell>
          <cell r="B217" t="str">
            <v>英国</v>
          </cell>
          <cell r="C217" t="str">
            <v>乳制品</v>
          </cell>
          <cell r="D217">
            <v>250</v>
          </cell>
        </row>
        <row r="218">
          <cell r="A218">
            <v>34864</v>
          </cell>
          <cell r="B218" t="str">
            <v>英国</v>
          </cell>
          <cell r="C218" t="str">
            <v>乳制品</v>
          </cell>
          <cell r="D218">
            <v>75</v>
          </cell>
        </row>
        <row r="219">
          <cell r="A219">
            <v>34864</v>
          </cell>
          <cell r="B219" t="str">
            <v>英国</v>
          </cell>
          <cell r="C219" t="str">
            <v>乳制品</v>
          </cell>
          <cell r="D219">
            <v>892.5</v>
          </cell>
        </row>
        <row r="220">
          <cell r="A220">
            <v>34869</v>
          </cell>
          <cell r="B220" t="str">
            <v>英国</v>
          </cell>
          <cell r="C220" t="str">
            <v>香料</v>
          </cell>
          <cell r="D220">
            <v>600</v>
          </cell>
        </row>
        <row r="221">
          <cell r="A221">
            <v>34869</v>
          </cell>
          <cell r="B221" t="str">
            <v>英国</v>
          </cell>
          <cell r="C221" t="str">
            <v>糖果</v>
          </cell>
          <cell r="D221">
            <v>1249.2</v>
          </cell>
        </row>
        <row r="222">
          <cell r="A222">
            <v>34869</v>
          </cell>
          <cell r="B222" t="str">
            <v>英国</v>
          </cell>
          <cell r="C222" t="str">
            <v>饮料</v>
          </cell>
          <cell r="D222">
            <v>7905</v>
          </cell>
        </row>
        <row r="223">
          <cell r="A223">
            <v>34869</v>
          </cell>
          <cell r="B223" t="str">
            <v>英国</v>
          </cell>
          <cell r="C223" t="str">
            <v>糖果</v>
          </cell>
          <cell r="D223">
            <v>437.5</v>
          </cell>
        </row>
        <row r="224">
          <cell r="A224">
            <v>34870</v>
          </cell>
          <cell r="B224" t="str">
            <v>英国</v>
          </cell>
          <cell r="C224" t="str">
            <v>乳制品</v>
          </cell>
          <cell r="D224">
            <v>299.24999976530671</v>
          </cell>
        </row>
        <row r="225">
          <cell r="A225">
            <v>34870</v>
          </cell>
          <cell r="B225" t="str">
            <v>英国</v>
          </cell>
          <cell r="C225" t="str">
            <v>肉/家禽</v>
          </cell>
          <cell r="D225">
            <v>169.85999986678362</v>
          </cell>
        </row>
        <row r="226">
          <cell r="A226">
            <v>34871</v>
          </cell>
          <cell r="B226" t="str">
            <v>法国</v>
          </cell>
          <cell r="C226" t="str">
            <v>农产品</v>
          </cell>
          <cell r="D226">
            <v>319.2</v>
          </cell>
        </row>
        <row r="227">
          <cell r="A227">
            <v>34871</v>
          </cell>
          <cell r="B227" t="str">
            <v>法国</v>
          </cell>
          <cell r="C227" t="str">
            <v>饮料</v>
          </cell>
          <cell r="D227">
            <v>98</v>
          </cell>
        </row>
        <row r="228">
          <cell r="A228">
            <v>34872</v>
          </cell>
          <cell r="B228" t="str">
            <v>法国</v>
          </cell>
          <cell r="C228" t="str">
            <v>乳制品</v>
          </cell>
          <cell r="D228">
            <v>210</v>
          </cell>
        </row>
        <row r="229">
          <cell r="A229">
            <v>34876</v>
          </cell>
          <cell r="B229" t="str">
            <v>英国</v>
          </cell>
          <cell r="C229" t="str">
            <v>饮料</v>
          </cell>
          <cell r="D229">
            <v>105</v>
          </cell>
        </row>
        <row r="230">
          <cell r="A230">
            <v>34876</v>
          </cell>
          <cell r="B230" t="str">
            <v>英国</v>
          </cell>
          <cell r="C230" t="str">
            <v>海洋食品</v>
          </cell>
          <cell r="D230">
            <v>135.1</v>
          </cell>
        </row>
        <row r="231">
          <cell r="A231">
            <v>34877</v>
          </cell>
          <cell r="B231" t="str">
            <v>英国</v>
          </cell>
          <cell r="C231" t="str">
            <v>乳制品</v>
          </cell>
          <cell r="D231">
            <v>584.37499590218067</v>
          </cell>
        </row>
        <row r="232">
          <cell r="A232">
            <v>34877</v>
          </cell>
          <cell r="B232" t="str">
            <v>英国</v>
          </cell>
          <cell r="C232" t="str">
            <v>海洋食品</v>
          </cell>
          <cell r="D232">
            <v>807.49999433755875</v>
          </cell>
        </row>
        <row r="233">
          <cell r="A233">
            <v>34877</v>
          </cell>
          <cell r="B233" t="str">
            <v>英国</v>
          </cell>
          <cell r="C233" t="str">
            <v>农产品</v>
          </cell>
          <cell r="D233">
            <v>2162.3999848365784</v>
          </cell>
        </row>
        <row r="234">
          <cell r="A234">
            <v>34880</v>
          </cell>
          <cell r="B234" t="str">
            <v>英国</v>
          </cell>
          <cell r="C234" t="str">
            <v>糖果</v>
          </cell>
          <cell r="D234">
            <v>497.32499960996211</v>
          </cell>
        </row>
        <row r="235">
          <cell r="A235">
            <v>34880</v>
          </cell>
          <cell r="B235" t="str">
            <v>英国</v>
          </cell>
          <cell r="C235" t="str">
            <v>面食/谷类</v>
          </cell>
          <cell r="D235">
            <v>170.99999986588955</v>
          </cell>
        </row>
        <row r="236">
          <cell r="A236">
            <v>34880</v>
          </cell>
          <cell r="B236" t="str">
            <v>英国</v>
          </cell>
          <cell r="C236" t="str">
            <v>糖果</v>
          </cell>
          <cell r="D236">
            <v>936.69999926537275</v>
          </cell>
        </row>
        <row r="237">
          <cell r="A237">
            <v>34880</v>
          </cell>
          <cell r="B237" t="str">
            <v>英国</v>
          </cell>
          <cell r="C237" t="str">
            <v>香料</v>
          </cell>
          <cell r="D237">
            <v>123.49999990314245</v>
          </cell>
        </row>
        <row r="238">
          <cell r="A238">
            <v>34883</v>
          </cell>
          <cell r="B238" t="str">
            <v>法国</v>
          </cell>
          <cell r="C238" t="str">
            <v>农产品</v>
          </cell>
          <cell r="D238">
            <v>557.99999792128801</v>
          </cell>
        </row>
        <row r="239">
          <cell r="A239">
            <v>34883</v>
          </cell>
          <cell r="B239" t="str">
            <v>法国</v>
          </cell>
          <cell r="C239" t="str">
            <v>糖果</v>
          </cell>
          <cell r="D239">
            <v>257.59999904036522</v>
          </cell>
        </row>
        <row r="240">
          <cell r="A240">
            <v>34883</v>
          </cell>
          <cell r="B240" t="str">
            <v>法国</v>
          </cell>
          <cell r="C240" t="str">
            <v>饮料</v>
          </cell>
          <cell r="D240">
            <v>64.799999758601189</v>
          </cell>
        </row>
        <row r="241">
          <cell r="A241">
            <v>34883</v>
          </cell>
          <cell r="B241" t="str">
            <v>法国</v>
          </cell>
          <cell r="C241" t="str">
            <v>农产品</v>
          </cell>
          <cell r="D241">
            <v>847.99999684095383</v>
          </cell>
        </row>
        <row r="242">
          <cell r="A242">
            <v>34883</v>
          </cell>
          <cell r="B242" t="str">
            <v>法国</v>
          </cell>
          <cell r="C242" t="str">
            <v>面食/谷类</v>
          </cell>
          <cell r="D242">
            <v>1215.999995470047</v>
          </cell>
        </row>
        <row r="243">
          <cell r="A243">
            <v>34884</v>
          </cell>
          <cell r="B243" t="str">
            <v>英国</v>
          </cell>
          <cell r="C243" t="str">
            <v>面食/谷类</v>
          </cell>
          <cell r="D243">
            <v>997.5</v>
          </cell>
        </row>
        <row r="244">
          <cell r="A244">
            <v>34884</v>
          </cell>
          <cell r="B244" t="str">
            <v>英国</v>
          </cell>
          <cell r="C244" t="str">
            <v>饮料</v>
          </cell>
          <cell r="D244">
            <v>155</v>
          </cell>
        </row>
        <row r="245">
          <cell r="A245">
            <v>34887</v>
          </cell>
          <cell r="B245" t="str">
            <v>英国</v>
          </cell>
          <cell r="C245" t="str">
            <v>海洋食品</v>
          </cell>
          <cell r="D245">
            <v>517.79999999999995</v>
          </cell>
        </row>
        <row r="246">
          <cell r="A246">
            <v>34887</v>
          </cell>
          <cell r="B246" t="str">
            <v>英国</v>
          </cell>
          <cell r="C246" t="str">
            <v>糖果</v>
          </cell>
          <cell r="D246">
            <v>554.625</v>
          </cell>
        </row>
        <row r="247">
          <cell r="A247">
            <v>34891</v>
          </cell>
          <cell r="B247" t="str">
            <v>法国</v>
          </cell>
          <cell r="C247" t="str">
            <v>肉/家禽</v>
          </cell>
          <cell r="D247">
            <v>592.79999953508377</v>
          </cell>
        </row>
        <row r="248">
          <cell r="A248">
            <v>34891</v>
          </cell>
          <cell r="B248" t="str">
            <v>法国</v>
          </cell>
          <cell r="C248" t="str">
            <v>乳制品</v>
          </cell>
          <cell r="D248">
            <v>71.249999944120646</v>
          </cell>
        </row>
        <row r="249">
          <cell r="A249">
            <v>34891</v>
          </cell>
          <cell r="B249" t="str">
            <v>法国</v>
          </cell>
          <cell r="C249" t="str">
            <v>肉/家禽</v>
          </cell>
          <cell r="D249">
            <v>569.99999955296516</v>
          </cell>
        </row>
        <row r="250">
          <cell r="A250">
            <v>34897</v>
          </cell>
          <cell r="B250" t="str">
            <v>法国</v>
          </cell>
          <cell r="C250" t="str">
            <v>乳制品</v>
          </cell>
          <cell r="D250">
            <v>349.9999986961484</v>
          </cell>
        </row>
        <row r="251">
          <cell r="A251">
            <v>34897</v>
          </cell>
          <cell r="B251" t="str">
            <v>法国</v>
          </cell>
          <cell r="C251" t="str">
            <v>饮料</v>
          </cell>
          <cell r="D251">
            <v>540</v>
          </cell>
        </row>
        <row r="252">
          <cell r="A252">
            <v>34900</v>
          </cell>
          <cell r="B252" t="str">
            <v>法国</v>
          </cell>
          <cell r="C252" t="str">
            <v>乳制品</v>
          </cell>
          <cell r="D252">
            <v>35</v>
          </cell>
        </row>
        <row r="253">
          <cell r="A253">
            <v>34900</v>
          </cell>
          <cell r="B253" t="str">
            <v>法国</v>
          </cell>
          <cell r="C253" t="str">
            <v>海洋食品</v>
          </cell>
          <cell r="D253">
            <v>36.799999999999997</v>
          </cell>
        </row>
        <row r="254">
          <cell r="A254">
            <v>34900</v>
          </cell>
          <cell r="B254" t="str">
            <v>法国</v>
          </cell>
          <cell r="C254" t="str">
            <v>糖果</v>
          </cell>
          <cell r="D254">
            <v>493</v>
          </cell>
        </row>
        <row r="255">
          <cell r="A255">
            <v>34900</v>
          </cell>
          <cell r="B255" t="str">
            <v>法国</v>
          </cell>
          <cell r="C255" t="str">
            <v>面食/谷类</v>
          </cell>
          <cell r="D255">
            <v>199.5</v>
          </cell>
        </row>
        <row r="256">
          <cell r="A256">
            <v>34901</v>
          </cell>
          <cell r="B256" t="str">
            <v>英国</v>
          </cell>
          <cell r="C256" t="str">
            <v>乳制品</v>
          </cell>
          <cell r="D256">
            <v>660</v>
          </cell>
        </row>
        <row r="257">
          <cell r="A257">
            <v>34901</v>
          </cell>
          <cell r="B257" t="str">
            <v>英国</v>
          </cell>
          <cell r="C257" t="str">
            <v>香料</v>
          </cell>
          <cell r="D257">
            <v>263.39999999999998</v>
          </cell>
        </row>
        <row r="258">
          <cell r="A258">
            <v>34901</v>
          </cell>
          <cell r="B258" t="str">
            <v>英国</v>
          </cell>
          <cell r="C258" t="str">
            <v>乳制品</v>
          </cell>
          <cell r="D258">
            <v>1044</v>
          </cell>
        </row>
        <row r="259">
          <cell r="A259">
            <v>34901</v>
          </cell>
          <cell r="B259" t="str">
            <v>英国</v>
          </cell>
          <cell r="C259" t="str">
            <v>饮料</v>
          </cell>
          <cell r="D259">
            <v>180</v>
          </cell>
        </row>
        <row r="260">
          <cell r="A260">
            <v>34904</v>
          </cell>
          <cell r="B260" t="str">
            <v>法国</v>
          </cell>
          <cell r="C260" t="str">
            <v>饮料</v>
          </cell>
          <cell r="D260">
            <v>180</v>
          </cell>
        </row>
        <row r="261">
          <cell r="A261">
            <v>34904</v>
          </cell>
          <cell r="B261" t="str">
            <v>法国</v>
          </cell>
          <cell r="C261" t="str">
            <v>饮料</v>
          </cell>
          <cell r="D261">
            <v>155</v>
          </cell>
        </row>
        <row r="262">
          <cell r="A262">
            <v>34904</v>
          </cell>
          <cell r="B262" t="str">
            <v>法国</v>
          </cell>
          <cell r="C262" t="str">
            <v>香料</v>
          </cell>
          <cell r="D262">
            <v>234</v>
          </cell>
        </row>
        <row r="263">
          <cell r="A263">
            <v>34906</v>
          </cell>
          <cell r="B263" t="str">
            <v>法国</v>
          </cell>
          <cell r="C263" t="str">
            <v>香料</v>
          </cell>
          <cell r="D263">
            <v>155</v>
          </cell>
        </row>
        <row r="264">
          <cell r="A264">
            <v>34906</v>
          </cell>
          <cell r="B264" t="str">
            <v>法国</v>
          </cell>
          <cell r="C264" t="str">
            <v>饮料</v>
          </cell>
          <cell r="D264">
            <v>162.75</v>
          </cell>
        </row>
        <row r="265">
          <cell r="A265">
            <v>34907</v>
          </cell>
          <cell r="B265" t="str">
            <v>英国</v>
          </cell>
          <cell r="C265" t="str">
            <v>农产品</v>
          </cell>
          <cell r="D265">
            <v>331.312499740161</v>
          </cell>
        </row>
        <row r="266">
          <cell r="A266">
            <v>34907</v>
          </cell>
          <cell r="B266" t="str">
            <v>英国</v>
          </cell>
          <cell r="C266" t="str">
            <v>海洋食品</v>
          </cell>
          <cell r="D266">
            <v>82.507499935291705</v>
          </cell>
        </row>
        <row r="267">
          <cell r="A267">
            <v>34907</v>
          </cell>
          <cell r="B267" t="str">
            <v>英国</v>
          </cell>
          <cell r="C267" t="str">
            <v>香料</v>
          </cell>
          <cell r="D267">
            <v>599.92499952949584</v>
          </cell>
        </row>
        <row r="268">
          <cell r="A268">
            <v>34908</v>
          </cell>
          <cell r="B268" t="str">
            <v>英国</v>
          </cell>
          <cell r="C268" t="str">
            <v>面食/谷类</v>
          </cell>
          <cell r="D268">
            <v>78</v>
          </cell>
        </row>
        <row r="269">
          <cell r="A269">
            <v>34908</v>
          </cell>
          <cell r="B269" t="str">
            <v>英国</v>
          </cell>
          <cell r="C269" t="str">
            <v>饮料</v>
          </cell>
          <cell r="D269">
            <v>252</v>
          </cell>
        </row>
        <row r="270">
          <cell r="A270">
            <v>34914</v>
          </cell>
          <cell r="B270" t="str">
            <v>英国</v>
          </cell>
          <cell r="C270" t="str">
            <v>海洋食品</v>
          </cell>
          <cell r="D270">
            <v>1999.9999925494194</v>
          </cell>
        </row>
        <row r="271">
          <cell r="A271">
            <v>34914</v>
          </cell>
          <cell r="B271" t="str">
            <v>英国</v>
          </cell>
          <cell r="C271" t="str">
            <v>面食/谷类</v>
          </cell>
          <cell r="D271">
            <v>1119.9999958276749</v>
          </cell>
        </row>
        <row r="272">
          <cell r="A272">
            <v>34915</v>
          </cell>
          <cell r="B272" t="str">
            <v>法国</v>
          </cell>
          <cell r="C272" t="str">
            <v>饮料</v>
          </cell>
          <cell r="D272">
            <v>72</v>
          </cell>
        </row>
        <row r="273">
          <cell r="A273">
            <v>34919</v>
          </cell>
          <cell r="B273" t="str">
            <v>英国</v>
          </cell>
          <cell r="C273" t="str">
            <v>香料</v>
          </cell>
          <cell r="D273">
            <v>368.12499971129</v>
          </cell>
        </row>
        <row r="274">
          <cell r="A274">
            <v>34919</v>
          </cell>
          <cell r="B274" t="str">
            <v>英国</v>
          </cell>
          <cell r="C274" t="str">
            <v>糖果</v>
          </cell>
          <cell r="D274">
            <v>148.3424998836592</v>
          </cell>
        </row>
        <row r="275">
          <cell r="A275">
            <v>34920</v>
          </cell>
          <cell r="B275" t="str">
            <v>英国</v>
          </cell>
          <cell r="C275" t="str">
            <v>糖果</v>
          </cell>
          <cell r="D275">
            <v>1360.799994930625</v>
          </cell>
        </row>
        <row r="276">
          <cell r="A276">
            <v>34920</v>
          </cell>
          <cell r="B276" t="str">
            <v>英国</v>
          </cell>
          <cell r="C276" t="str">
            <v>乳制品</v>
          </cell>
          <cell r="D276">
            <v>575.99999785423279</v>
          </cell>
        </row>
        <row r="277">
          <cell r="A277">
            <v>34920</v>
          </cell>
          <cell r="B277" t="str">
            <v>英国</v>
          </cell>
          <cell r="C277" t="str">
            <v>饮料</v>
          </cell>
          <cell r="D277">
            <v>57.599999785423279</v>
          </cell>
        </row>
        <row r="278">
          <cell r="A278">
            <v>34920</v>
          </cell>
          <cell r="B278" t="str">
            <v>法国</v>
          </cell>
          <cell r="C278" t="str">
            <v>面食/谷类</v>
          </cell>
          <cell r="D278">
            <v>168</v>
          </cell>
        </row>
        <row r="279">
          <cell r="A279">
            <v>34920</v>
          </cell>
          <cell r="B279" t="str">
            <v>法国</v>
          </cell>
          <cell r="C279" t="str">
            <v>海洋食品</v>
          </cell>
          <cell r="D279">
            <v>397.5</v>
          </cell>
        </row>
        <row r="280">
          <cell r="A280">
            <v>34922</v>
          </cell>
          <cell r="B280" t="str">
            <v>法国</v>
          </cell>
          <cell r="C280" t="str">
            <v>面食/谷类</v>
          </cell>
          <cell r="D280">
            <v>151.99999943375587</v>
          </cell>
        </row>
        <row r="281">
          <cell r="A281">
            <v>34922</v>
          </cell>
          <cell r="B281" t="str">
            <v>法国</v>
          </cell>
          <cell r="C281" t="str">
            <v>香料</v>
          </cell>
          <cell r="D281">
            <v>842.87999686002729</v>
          </cell>
        </row>
        <row r="282">
          <cell r="A282">
            <v>34922</v>
          </cell>
          <cell r="B282" t="str">
            <v>法国</v>
          </cell>
          <cell r="C282" t="str">
            <v>饮料</v>
          </cell>
          <cell r="D282">
            <v>185.999999307096</v>
          </cell>
        </row>
        <row r="283">
          <cell r="A283">
            <v>34925</v>
          </cell>
          <cell r="B283" t="str">
            <v>法国</v>
          </cell>
          <cell r="C283" t="str">
            <v>糖果</v>
          </cell>
          <cell r="D283">
            <v>2195</v>
          </cell>
        </row>
        <row r="284">
          <cell r="A284">
            <v>34925</v>
          </cell>
          <cell r="B284" t="str">
            <v>法国</v>
          </cell>
          <cell r="C284" t="str">
            <v>乳制品</v>
          </cell>
          <cell r="D284">
            <v>193.5</v>
          </cell>
        </row>
        <row r="285">
          <cell r="A285">
            <v>34927</v>
          </cell>
          <cell r="B285" t="str">
            <v>法国</v>
          </cell>
          <cell r="C285" t="str">
            <v>肉/家禽</v>
          </cell>
          <cell r="D285">
            <v>29.8</v>
          </cell>
        </row>
        <row r="286">
          <cell r="A286">
            <v>34927</v>
          </cell>
          <cell r="B286" t="str">
            <v>法国</v>
          </cell>
          <cell r="C286" t="str">
            <v>海洋食品</v>
          </cell>
          <cell r="D286">
            <v>450</v>
          </cell>
        </row>
        <row r="287">
          <cell r="A287">
            <v>34929</v>
          </cell>
          <cell r="B287" t="str">
            <v>法国</v>
          </cell>
          <cell r="C287" t="str">
            <v>面食/谷类</v>
          </cell>
          <cell r="D287">
            <v>1008</v>
          </cell>
        </row>
        <row r="288">
          <cell r="A288">
            <v>34929</v>
          </cell>
          <cell r="B288" t="str">
            <v>法国</v>
          </cell>
          <cell r="C288" t="str">
            <v>糖果</v>
          </cell>
          <cell r="D288">
            <v>474.99999962747097</v>
          </cell>
        </row>
        <row r="289">
          <cell r="A289">
            <v>34933</v>
          </cell>
          <cell r="B289" t="str">
            <v>法国</v>
          </cell>
          <cell r="C289" t="str">
            <v>农产品</v>
          </cell>
          <cell r="D289">
            <v>1350</v>
          </cell>
        </row>
        <row r="290">
          <cell r="A290">
            <v>34933</v>
          </cell>
          <cell r="B290" t="str">
            <v>法国</v>
          </cell>
          <cell r="C290" t="str">
            <v>肉/家禽</v>
          </cell>
          <cell r="D290">
            <v>3900</v>
          </cell>
        </row>
        <row r="291">
          <cell r="A291">
            <v>34933</v>
          </cell>
          <cell r="B291" t="str">
            <v>法国</v>
          </cell>
          <cell r="C291" t="str">
            <v>乳制品</v>
          </cell>
          <cell r="D291">
            <v>35</v>
          </cell>
        </row>
        <row r="292">
          <cell r="A292">
            <v>34933</v>
          </cell>
          <cell r="B292" t="str">
            <v>法国</v>
          </cell>
          <cell r="C292" t="str">
            <v>海洋食品</v>
          </cell>
          <cell r="D292">
            <v>772.8</v>
          </cell>
        </row>
        <row r="293">
          <cell r="A293">
            <v>34933</v>
          </cell>
          <cell r="B293" t="str">
            <v>法国</v>
          </cell>
          <cell r="C293" t="str">
            <v>乳制品</v>
          </cell>
          <cell r="D293">
            <v>417.6</v>
          </cell>
        </row>
        <row r="294">
          <cell r="A294">
            <v>34934</v>
          </cell>
          <cell r="B294" t="str">
            <v>英国</v>
          </cell>
          <cell r="C294" t="str">
            <v>面食/谷类</v>
          </cell>
          <cell r="D294">
            <v>1064</v>
          </cell>
        </row>
        <row r="295">
          <cell r="A295">
            <v>34939</v>
          </cell>
          <cell r="B295" t="str">
            <v>法国</v>
          </cell>
          <cell r="C295" t="str">
            <v>海洋食品</v>
          </cell>
          <cell r="D295">
            <v>2170</v>
          </cell>
        </row>
        <row r="296">
          <cell r="A296">
            <v>34939</v>
          </cell>
          <cell r="B296" t="str">
            <v>法国</v>
          </cell>
          <cell r="C296" t="str">
            <v>海洋食品</v>
          </cell>
          <cell r="D296">
            <v>1045</v>
          </cell>
        </row>
        <row r="297">
          <cell r="A297">
            <v>34939</v>
          </cell>
          <cell r="B297" t="str">
            <v>法国</v>
          </cell>
          <cell r="C297" t="str">
            <v>糖果</v>
          </cell>
          <cell r="D297">
            <v>360</v>
          </cell>
        </row>
        <row r="298">
          <cell r="A298">
            <v>34939</v>
          </cell>
          <cell r="B298" t="str">
            <v>法国</v>
          </cell>
          <cell r="C298" t="str">
            <v>乳制品</v>
          </cell>
          <cell r="D298">
            <v>1360</v>
          </cell>
        </row>
        <row r="299">
          <cell r="A299">
            <v>34939</v>
          </cell>
          <cell r="B299" t="str">
            <v>法国</v>
          </cell>
          <cell r="C299" t="str">
            <v>饮料</v>
          </cell>
          <cell r="D299">
            <v>1440</v>
          </cell>
        </row>
        <row r="300">
          <cell r="A300">
            <v>34940</v>
          </cell>
          <cell r="B300" t="str">
            <v>英国</v>
          </cell>
          <cell r="C300" t="str">
            <v>乳制品</v>
          </cell>
          <cell r="D300">
            <v>294</v>
          </cell>
        </row>
        <row r="301">
          <cell r="A301">
            <v>34940</v>
          </cell>
          <cell r="B301" t="str">
            <v>英国</v>
          </cell>
          <cell r="C301" t="str">
            <v>糖果</v>
          </cell>
          <cell r="D301">
            <v>80</v>
          </cell>
        </row>
        <row r="302">
          <cell r="A302">
            <v>34940</v>
          </cell>
          <cell r="B302" t="str">
            <v>英国</v>
          </cell>
          <cell r="C302" t="str">
            <v>饮料</v>
          </cell>
          <cell r="D302">
            <v>90</v>
          </cell>
        </row>
        <row r="303">
          <cell r="A303">
            <v>34942</v>
          </cell>
          <cell r="B303" t="str">
            <v>法国</v>
          </cell>
          <cell r="C303" t="str">
            <v>饮料</v>
          </cell>
          <cell r="D303">
            <v>3754.874997055158</v>
          </cell>
        </row>
        <row r="304">
          <cell r="A304">
            <v>34942</v>
          </cell>
          <cell r="B304" t="str">
            <v>法国</v>
          </cell>
          <cell r="C304" t="str">
            <v>面食/谷类</v>
          </cell>
          <cell r="D304">
            <v>532</v>
          </cell>
        </row>
        <row r="305">
          <cell r="A305">
            <v>34942</v>
          </cell>
          <cell r="B305" t="str">
            <v>法国</v>
          </cell>
          <cell r="C305" t="str">
            <v>饮料</v>
          </cell>
          <cell r="D305">
            <v>213.74999983236194</v>
          </cell>
        </row>
        <row r="306">
          <cell r="A306">
            <v>34942</v>
          </cell>
          <cell r="B306" t="str">
            <v>法国</v>
          </cell>
          <cell r="C306" t="str">
            <v>乳制品</v>
          </cell>
          <cell r="D306">
            <v>306.37499975971878</v>
          </cell>
        </row>
        <row r="307">
          <cell r="A307">
            <v>34942</v>
          </cell>
          <cell r="B307" t="str">
            <v>法国</v>
          </cell>
          <cell r="C307" t="str">
            <v>乳制品</v>
          </cell>
          <cell r="D307">
            <v>1402.4999901652336</v>
          </cell>
        </row>
        <row r="308">
          <cell r="A308">
            <v>34949</v>
          </cell>
          <cell r="B308" t="str">
            <v>英国</v>
          </cell>
          <cell r="C308" t="str">
            <v>农产品</v>
          </cell>
          <cell r="D308">
            <v>488.25</v>
          </cell>
        </row>
        <row r="309">
          <cell r="A309">
            <v>34949</v>
          </cell>
          <cell r="B309" t="str">
            <v>英国</v>
          </cell>
          <cell r="C309" t="str">
            <v>糖果</v>
          </cell>
          <cell r="D309">
            <v>124.19999979436398</v>
          </cell>
        </row>
        <row r="310">
          <cell r="A310">
            <v>34949</v>
          </cell>
          <cell r="B310" t="str">
            <v>英国</v>
          </cell>
          <cell r="C310" t="str">
            <v>糖果</v>
          </cell>
          <cell r="D310">
            <v>224.99999962747097</v>
          </cell>
        </row>
        <row r="311">
          <cell r="A311">
            <v>34949</v>
          </cell>
          <cell r="B311" t="str">
            <v>英国</v>
          </cell>
          <cell r="C311" t="str">
            <v>饮料</v>
          </cell>
          <cell r="D311">
            <v>13.5</v>
          </cell>
        </row>
        <row r="312">
          <cell r="A312">
            <v>34949</v>
          </cell>
          <cell r="B312" t="str">
            <v>英国</v>
          </cell>
          <cell r="C312" t="str">
            <v>饮料</v>
          </cell>
          <cell r="D312">
            <v>485.9999991953373</v>
          </cell>
        </row>
        <row r="313">
          <cell r="A313">
            <v>34949</v>
          </cell>
          <cell r="B313" t="str">
            <v>法国</v>
          </cell>
          <cell r="C313" t="str">
            <v>农产品</v>
          </cell>
          <cell r="D313">
            <v>456</v>
          </cell>
        </row>
        <row r="314">
          <cell r="A314">
            <v>34949</v>
          </cell>
          <cell r="B314" t="str">
            <v>法国</v>
          </cell>
          <cell r="C314" t="str">
            <v>肉/家禽</v>
          </cell>
          <cell r="D314">
            <v>742.74</v>
          </cell>
        </row>
        <row r="315">
          <cell r="A315">
            <v>34949</v>
          </cell>
          <cell r="B315" t="str">
            <v>法国</v>
          </cell>
          <cell r="C315" t="str">
            <v>香料</v>
          </cell>
          <cell r="D315">
            <v>194.5</v>
          </cell>
        </row>
        <row r="316">
          <cell r="A316">
            <v>34953</v>
          </cell>
          <cell r="B316" t="str">
            <v>法国</v>
          </cell>
          <cell r="C316" t="str">
            <v>糖果</v>
          </cell>
          <cell r="D316">
            <v>739.5</v>
          </cell>
        </row>
        <row r="317">
          <cell r="A317">
            <v>34953</v>
          </cell>
          <cell r="B317" t="str">
            <v>法国</v>
          </cell>
          <cell r="C317" t="str">
            <v>海洋食品</v>
          </cell>
          <cell r="D317">
            <v>446.24999687075615</v>
          </cell>
        </row>
        <row r="318">
          <cell r="A318">
            <v>34955</v>
          </cell>
          <cell r="B318" t="str">
            <v>英国</v>
          </cell>
          <cell r="C318" t="str">
            <v>肉/家禽</v>
          </cell>
          <cell r="D318">
            <v>273.59999978542328</v>
          </cell>
        </row>
        <row r="319">
          <cell r="A319">
            <v>34955</v>
          </cell>
          <cell r="B319" t="str">
            <v>英国</v>
          </cell>
          <cell r="C319" t="str">
            <v>饮料</v>
          </cell>
          <cell r="D319">
            <v>630</v>
          </cell>
        </row>
        <row r="320">
          <cell r="A320">
            <v>34956</v>
          </cell>
          <cell r="B320" t="str">
            <v>英国</v>
          </cell>
          <cell r="C320" t="str">
            <v>饮料</v>
          </cell>
          <cell r="D320">
            <v>541.49999957531691</v>
          </cell>
        </row>
        <row r="321">
          <cell r="A321">
            <v>34956</v>
          </cell>
          <cell r="B321" t="str">
            <v>英国</v>
          </cell>
          <cell r="C321" t="str">
            <v>乳制品</v>
          </cell>
          <cell r="D321">
            <v>47.499999962747097</v>
          </cell>
        </row>
        <row r="322">
          <cell r="A322">
            <v>34963</v>
          </cell>
          <cell r="B322" t="str">
            <v>英国</v>
          </cell>
          <cell r="C322" t="str">
            <v>乳制品</v>
          </cell>
          <cell r="D322">
            <v>540</v>
          </cell>
        </row>
        <row r="323">
          <cell r="A323">
            <v>34963</v>
          </cell>
          <cell r="B323" t="str">
            <v>英国</v>
          </cell>
          <cell r="C323" t="str">
            <v>饮料</v>
          </cell>
          <cell r="D323">
            <v>168.75</v>
          </cell>
        </row>
        <row r="324">
          <cell r="A324">
            <v>34974</v>
          </cell>
          <cell r="B324" t="str">
            <v>英国</v>
          </cell>
          <cell r="C324" t="str">
            <v>糖果</v>
          </cell>
          <cell r="D324">
            <v>82.8</v>
          </cell>
        </row>
        <row r="325">
          <cell r="A325">
            <v>34974</v>
          </cell>
          <cell r="B325" t="str">
            <v>英国</v>
          </cell>
          <cell r="C325" t="str">
            <v>面食/谷类</v>
          </cell>
          <cell r="D325">
            <v>315</v>
          </cell>
        </row>
        <row r="326">
          <cell r="A326">
            <v>34975</v>
          </cell>
          <cell r="B326" t="str">
            <v>英国</v>
          </cell>
          <cell r="C326" t="str">
            <v>糖果</v>
          </cell>
          <cell r="D326">
            <v>471.14999921992421</v>
          </cell>
        </row>
        <row r="327">
          <cell r="A327">
            <v>34975</v>
          </cell>
          <cell r="B327" t="str">
            <v>英国</v>
          </cell>
          <cell r="C327" t="str">
            <v>乳制品</v>
          </cell>
          <cell r="D327">
            <v>611.99999898672104</v>
          </cell>
        </row>
        <row r="328">
          <cell r="A328">
            <v>34977</v>
          </cell>
          <cell r="B328" t="str">
            <v>法国</v>
          </cell>
          <cell r="C328" t="str">
            <v>农产品</v>
          </cell>
          <cell r="D328">
            <v>62.774999896064401</v>
          </cell>
        </row>
        <row r="329">
          <cell r="A329">
            <v>34977</v>
          </cell>
          <cell r="B329" t="str">
            <v>法国</v>
          </cell>
          <cell r="C329" t="str">
            <v>香料</v>
          </cell>
          <cell r="D329">
            <v>490.13999918848276</v>
          </cell>
        </row>
        <row r="330">
          <cell r="A330">
            <v>34977</v>
          </cell>
          <cell r="B330" t="str">
            <v>法国</v>
          </cell>
          <cell r="C330" t="str">
            <v>糖果</v>
          </cell>
          <cell r="D330">
            <v>51.299999915063381</v>
          </cell>
        </row>
        <row r="331">
          <cell r="A331">
            <v>34977</v>
          </cell>
          <cell r="B331" t="str">
            <v>法国</v>
          </cell>
          <cell r="C331" t="str">
            <v>香料</v>
          </cell>
          <cell r="D331">
            <v>775</v>
          </cell>
        </row>
        <row r="332">
          <cell r="A332">
            <v>34977</v>
          </cell>
          <cell r="B332" t="str">
            <v>法国</v>
          </cell>
          <cell r="C332" t="str">
            <v>海洋食品</v>
          </cell>
          <cell r="D332">
            <v>231.6</v>
          </cell>
        </row>
        <row r="333">
          <cell r="A333">
            <v>34977</v>
          </cell>
          <cell r="B333" t="str">
            <v>法国</v>
          </cell>
          <cell r="C333" t="str">
            <v>海洋食品</v>
          </cell>
          <cell r="D333">
            <v>540</v>
          </cell>
        </row>
        <row r="334">
          <cell r="A334">
            <v>34977</v>
          </cell>
          <cell r="B334" t="str">
            <v>法国</v>
          </cell>
          <cell r="C334" t="str">
            <v>糖果</v>
          </cell>
          <cell r="D334">
            <v>95</v>
          </cell>
        </row>
        <row r="335">
          <cell r="A335">
            <v>34977</v>
          </cell>
          <cell r="B335" t="str">
            <v>法国</v>
          </cell>
          <cell r="C335" t="str">
            <v>面食/谷类</v>
          </cell>
          <cell r="D335">
            <v>1710</v>
          </cell>
        </row>
        <row r="336">
          <cell r="A336">
            <v>34977</v>
          </cell>
          <cell r="B336" t="str">
            <v>法国</v>
          </cell>
          <cell r="C336" t="str">
            <v>乳制品</v>
          </cell>
          <cell r="D336">
            <v>1020</v>
          </cell>
        </row>
        <row r="337">
          <cell r="A337">
            <v>34978</v>
          </cell>
          <cell r="B337" t="str">
            <v>英国</v>
          </cell>
          <cell r="C337" t="str">
            <v>糖果</v>
          </cell>
          <cell r="D337">
            <v>600</v>
          </cell>
        </row>
        <row r="338">
          <cell r="A338">
            <v>34978</v>
          </cell>
          <cell r="B338" t="str">
            <v>英国</v>
          </cell>
          <cell r="C338" t="str">
            <v>海洋食品</v>
          </cell>
          <cell r="D338">
            <v>1223.5999990403652</v>
          </cell>
        </row>
        <row r="339">
          <cell r="A339">
            <v>34978</v>
          </cell>
          <cell r="B339" t="str">
            <v>英国</v>
          </cell>
          <cell r="C339" t="str">
            <v>乳制品</v>
          </cell>
          <cell r="D339">
            <v>1776.4999986067414</v>
          </cell>
        </row>
        <row r="340">
          <cell r="A340">
            <v>34978</v>
          </cell>
          <cell r="B340" t="str">
            <v>英国</v>
          </cell>
          <cell r="C340" t="str">
            <v>香料</v>
          </cell>
          <cell r="D340">
            <v>864.49999932199717</v>
          </cell>
        </row>
        <row r="341">
          <cell r="A341">
            <v>34981</v>
          </cell>
          <cell r="B341" t="str">
            <v>法国</v>
          </cell>
          <cell r="C341" t="str">
            <v>糖果</v>
          </cell>
          <cell r="D341">
            <v>1701</v>
          </cell>
        </row>
        <row r="342">
          <cell r="A342">
            <v>34982</v>
          </cell>
          <cell r="B342" t="str">
            <v>法国</v>
          </cell>
          <cell r="C342" t="str">
            <v>糖果</v>
          </cell>
          <cell r="D342">
            <v>125</v>
          </cell>
        </row>
        <row r="343">
          <cell r="A343">
            <v>34984</v>
          </cell>
          <cell r="B343" t="str">
            <v>法国</v>
          </cell>
          <cell r="C343" t="str">
            <v>农产品</v>
          </cell>
          <cell r="D343">
            <v>1060</v>
          </cell>
        </row>
        <row r="344">
          <cell r="A344">
            <v>34984</v>
          </cell>
          <cell r="B344" t="str">
            <v>法国</v>
          </cell>
          <cell r="C344" t="str">
            <v>乳制品</v>
          </cell>
          <cell r="D344">
            <v>55</v>
          </cell>
        </row>
        <row r="345">
          <cell r="A345">
            <v>34984</v>
          </cell>
          <cell r="B345" t="str">
            <v>法国</v>
          </cell>
          <cell r="C345" t="str">
            <v>饮料</v>
          </cell>
          <cell r="D345">
            <v>180</v>
          </cell>
        </row>
        <row r="346">
          <cell r="A346">
            <v>34988</v>
          </cell>
          <cell r="B346" t="str">
            <v>英国</v>
          </cell>
          <cell r="C346" t="str">
            <v>乳制品</v>
          </cell>
          <cell r="D346">
            <v>89.999999850988388</v>
          </cell>
        </row>
        <row r="347">
          <cell r="A347">
            <v>34988</v>
          </cell>
          <cell r="B347" t="str">
            <v>英国</v>
          </cell>
          <cell r="C347" t="str">
            <v>肉/家禽</v>
          </cell>
          <cell r="D347">
            <v>86.399999856948853</v>
          </cell>
        </row>
        <row r="348">
          <cell r="A348">
            <v>34988</v>
          </cell>
          <cell r="B348" t="str">
            <v>英国</v>
          </cell>
          <cell r="C348" t="str">
            <v>面食/谷类</v>
          </cell>
          <cell r="D348">
            <v>448.87499925680459</v>
          </cell>
        </row>
        <row r="349">
          <cell r="A349">
            <v>34989</v>
          </cell>
          <cell r="B349" t="str">
            <v>英国</v>
          </cell>
          <cell r="C349" t="str">
            <v>面食/谷类</v>
          </cell>
          <cell r="D349">
            <v>288</v>
          </cell>
        </row>
        <row r="350">
          <cell r="A350">
            <v>34989</v>
          </cell>
          <cell r="B350" t="str">
            <v>英国</v>
          </cell>
          <cell r="C350" t="str">
            <v>海洋食品</v>
          </cell>
          <cell r="D350">
            <v>720</v>
          </cell>
        </row>
        <row r="351">
          <cell r="A351">
            <v>34989</v>
          </cell>
          <cell r="B351" t="str">
            <v>英国</v>
          </cell>
          <cell r="C351" t="str">
            <v>饮料</v>
          </cell>
          <cell r="D351">
            <v>350</v>
          </cell>
        </row>
        <row r="352">
          <cell r="A352">
            <v>34989</v>
          </cell>
          <cell r="B352" t="str">
            <v>英国</v>
          </cell>
          <cell r="C352" t="str">
            <v>海洋食品</v>
          </cell>
          <cell r="D352">
            <v>750</v>
          </cell>
        </row>
        <row r="353">
          <cell r="A353">
            <v>34989</v>
          </cell>
          <cell r="B353" t="str">
            <v>英国</v>
          </cell>
          <cell r="C353" t="str">
            <v>饮料</v>
          </cell>
          <cell r="D353">
            <v>193.75</v>
          </cell>
        </row>
        <row r="354">
          <cell r="A354">
            <v>34992</v>
          </cell>
          <cell r="B354" t="str">
            <v>英国</v>
          </cell>
          <cell r="C354" t="str">
            <v>农产品</v>
          </cell>
          <cell r="D354">
            <v>697.5</v>
          </cell>
        </row>
        <row r="355">
          <cell r="A355">
            <v>34992</v>
          </cell>
          <cell r="B355" t="str">
            <v>英国</v>
          </cell>
          <cell r="C355" t="str">
            <v>肉/家禽</v>
          </cell>
          <cell r="D355">
            <v>328</v>
          </cell>
        </row>
        <row r="356">
          <cell r="A356">
            <v>34992</v>
          </cell>
          <cell r="B356" t="str">
            <v>英国</v>
          </cell>
          <cell r="C356" t="str">
            <v>海洋食品</v>
          </cell>
          <cell r="D356">
            <v>397.5</v>
          </cell>
        </row>
        <row r="357">
          <cell r="A357">
            <v>34996</v>
          </cell>
          <cell r="B357" t="str">
            <v>法国</v>
          </cell>
          <cell r="C357" t="str">
            <v>乳制品</v>
          </cell>
          <cell r="D357">
            <v>3800</v>
          </cell>
        </row>
        <row r="358">
          <cell r="A358">
            <v>34996</v>
          </cell>
          <cell r="B358" t="str">
            <v>法国</v>
          </cell>
          <cell r="C358" t="str">
            <v>乳制品</v>
          </cell>
          <cell r="D358">
            <v>75</v>
          </cell>
        </row>
        <row r="359">
          <cell r="A359">
            <v>34996</v>
          </cell>
          <cell r="B359" t="str">
            <v>法国</v>
          </cell>
          <cell r="C359" t="str">
            <v>海洋食品</v>
          </cell>
          <cell r="D359">
            <v>1158</v>
          </cell>
        </row>
        <row r="360">
          <cell r="A360">
            <v>34996</v>
          </cell>
          <cell r="B360" t="str">
            <v>法国</v>
          </cell>
          <cell r="C360" t="str">
            <v>肉/家禽</v>
          </cell>
          <cell r="D360">
            <v>223.5</v>
          </cell>
        </row>
        <row r="361">
          <cell r="A361">
            <v>34997</v>
          </cell>
          <cell r="B361" t="str">
            <v>法国</v>
          </cell>
          <cell r="C361" t="str">
            <v>糖果</v>
          </cell>
          <cell r="D361">
            <v>654.375</v>
          </cell>
        </row>
        <row r="362">
          <cell r="A362">
            <v>34997</v>
          </cell>
          <cell r="B362" t="str">
            <v>法国</v>
          </cell>
          <cell r="C362" t="str">
            <v>乳制品</v>
          </cell>
          <cell r="D362">
            <v>187.5</v>
          </cell>
        </row>
        <row r="363">
          <cell r="A363">
            <v>34997</v>
          </cell>
          <cell r="B363" t="str">
            <v>法国</v>
          </cell>
          <cell r="C363" t="str">
            <v>面食/谷类</v>
          </cell>
          <cell r="D363">
            <v>420</v>
          </cell>
        </row>
        <row r="364">
          <cell r="A364">
            <v>34998</v>
          </cell>
          <cell r="B364" t="str">
            <v>法国</v>
          </cell>
          <cell r="C364" t="str">
            <v>糖果</v>
          </cell>
          <cell r="D364">
            <v>248.39999958872795</v>
          </cell>
        </row>
        <row r="365">
          <cell r="A365">
            <v>34998</v>
          </cell>
          <cell r="B365" t="str">
            <v>法国</v>
          </cell>
          <cell r="C365" t="str">
            <v>糖果</v>
          </cell>
          <cell r="D365">
            <v>107.99999982118607</v>
          </cell>
        </row>
        <row r="366">
          <cell r="A366">
            <v>34998</v>
          </cell>
          <cell r="B366" t="str">
            <v>法国</v>
          </cell>
          <cell r="C366" t="str">
            <v>面食/谷类</v>
          </cell>
          <cell r="D366">
            <v>931</v>
          </cell>
        </row>
        <row r="367">
          <cell r="A367">
            <v>34999</v>
          </cell>
          <cell r="B367" t="str">
            <v>英国</v>
          </cell>
          <cell r="C367" t="str">
            <v>海洋食品</v>
          </cell>
          <cell r="D367">
            <v>368</v>
          </cell>
        </row>
        <row r="368">
          <cell r="A368">
            <v>34999</v>
          </cell>
          <cell r="B368" t="str">
            <v>英国</v>
          </cell>
          <cell r="C368" t="str">
            <v>糖果</v>
          </cell>
          <cell r="D368">
            <v>380</v>
          </cell>
        </row>
        <row r="369">
          <cell r="A369">
            <v>34999</v>
          </cell>
          <cell r="B369" t="str">
            <v>英国</v>
          </cell>
          <cell r="C369" t="str">
            <v>乳制品</v>
          </cell>
          <cell r="D369">
            <v>1020</v>
          </cell>
        </row>
        <row r="370">
          <cell r="A370">
            <v>35006</v>
          </cell>
          <cell r="B370" t="str">
            <v>英国</v>
          </cell>
          <cell r="C370" t="str">
            <v>饮料</v>
          </cell>
          <cell r="D370">
            <v>540</v>
          </cell>
        </row>
        <row r="371">
          <cell r="A371">
            <v>35006</v>
          </cell>
          <cell r="B371" t="str">
            <v>英国</v>
          </cell>
          <cell r="C371" t="str">
            <v>肉/家禽</v>
          </cell>
          <cell r="D371">
            <v>4951.6000000000004</v>
          </cell>
        </row>
        <row r="372">
          <cell r="A372">
            <v>35006</v>
          </cell>
          <cell r="B372" t="str">
            <v>英国</v>
          </cell>
          <cell r="C372" t="str">
            <v>饮料</v>
          </cell>
          <cell r="D372">
            <v>1840</v>
          </cell>
        </row>
        <row r="373">
          <cell r="A373">
            <v>35006</v>
          </cell>
          <cell r="B373" t="str">
            <v>英国</v>
          </cell>
          <cell r="C373" t="str">
            <v>香料</v>
          </cell>
          <cell r="D373">
            <v>466.8</v>
          </cell>
        </row>
        <row r="374">
          <cell r="A374">
            <v>35006</v>
          </cell>
          <cell r="B374" t="str">
            <v>英国</v>
          </cell>
          <cell r="C374" t="str">
            <v>糖果</v>
          </cell>
          <cell r="D374">
            <v>2366.4</v>
          </cell>
        </row>
        <row r="375">
          <cell r="A375">
            <v>35009</v>
          </cell>
          <cell r="B375" t="str">
            <v>法国</v>
          </cell>
          <cell r="C375" t="str">
            <v>肉/家禽</v>
          </cell>
          <cell r="D375">
            <v>582</v>
          </cell>
        </row>
        <row r="376">
          <cell r="A376">
            <v>35009</v>
          </cell>
          <cell r="B376" t="str">
            <v>法国</v>
          </cell>
          <cell r="C376" t="str">
            <v>肉/家禽</v>
          </cell>
          <cell r="D376">
            <v>379.94999733567238</v>
          </cell>
        </row>
        <row r="377">
          <cell r="A377">
            <v>35009</v>
          </cell>
          <cell r="B377" t="str">
            <v>法国</v>
          </cell>
          <cell r="C377" t="str">
            <v>乳制品</v>
          </cell>
          <cell r="D377">
            <v>917.99999356269836</v>
          </cell>
        </row>
        <row r="378">
          <cell r="A378">
            <v>35009</v>
          </cell>
          <cell r="B378" t="str">
            <v>法国</v>
          </cell>
          <cell r="C378" t="str">
            <v>海洋食品</v>
          </cell>
          <cell r="D378">
            <v>191.24999865889549</v>
          </cell>
        </row>
        <row r="379">
          <cell r="A379">
            <v>35009</v>
          </cell>
          <cell r="B379" t="str">
            <v>英国</v>
          </cell>
          <cell r="C379" t="str">
            <v>农产品</v>
          </cell>
          <cell r="D379">
            <v>2700</v>
          </cell>
        </row>
        <row r="380">
          <cell r="A380">
            <v>35009</v>
          </cell>
          <cell r="B380" t="str">
            <v>英国</v>
          </cell>
          <cell r="C380" t="str">
            <v>乳制品</v>
          </cell>
          <cell r="D380">
            <v>1375</v>
          </cell>
        </row>
        <row r="381">
          <cell r="A381">
            <v>35009</v>
          </cell>
          <cell r="B381" t="str">
            <v>英国</v>
          </cell>
          <cell r="C381" t="str">
            <v>饮料</v>
          </cell>
          <cell r="D381">
            <v>750</v>
          </cell>
        </row>
        <row r="382">
          <cell r="A382">
            <v>35011</v>
          </cell>
          <cell r="B382" t="str">
            <v>法国</v>
          </cell>
          <cell r="C382" t="str">
            <v>肉/家禽</v>
          </cell>
          <cell r="D382">
            <v>780</v>
          </cell>
        </row>
        <row r="383">
          <cell r="A383">
            <v>35011</v>
          </cell>
          <cell r="B383" t="str">
            <v>法国</v>
          </cell>
          <cell r="C383" t="str">
            <v>海洋食品</v>
          </cell>
          <cell r="D383">
            <v>216</v>
          </cell>
        </row>
        <row r="384">
          <cell r="A384">
            <v>35012</v>
          </cell>
          <cell r="B384" t="str">
            <v>英国</v>
          </cell>
          <cell r="C384" t="str">
            <v>糖果</v>
          </cell>
          <cell r="D384">
            <v>114</v>
          </cell>
        </row>
        <row r="385">
          <cell r="A385">
            <v>35013</v>
          </cell>
          <cell r="B385" t="str">
            <v>法国</v>
          </cell>
          <cell r="C385" t="str">
            <v>饮料</v>
          </cell>
          <cell r="D385">
            <v>71.999999731779099</v>
          </cell>
        </row>
        <row r="386">
          <cell r="A386">
            <v>35013</v>
          </cell>
          <cell r="B386" t="str">
            <v>法国</v>
          </cell>
          <cell r="C386" t="str">
            <v>饮料</v>
          </cell>
          <cell r="D386">
            <v>134.39999949932098</v>
          </cell>
        </row>
        <row r="387">
          <cell r="A387">
            <v>35013</v>
          </cell>
          <cell r="B387" t="str">
            <v>法国</v>
          </cell>
          <cell r="C387" t="str">
            <v>糖果</v>
          </cell>
          <cell r="D387">
            <v>399.99999850988388</v>
          </cell>
        </row>
        <row r="388">
          <cell r="A388">
            <v>35013</v>
          </cell>
          <cell r="B388" t="str">
            <v>法国</v>
          </cell>
          <cell r="C388" t="str">
            <v>乳制品</v>
          </cell>
          <cell r="D388">
            <v>1031.9999961555004</v>
          </cell>
        </row>
        <row r="389">
          <cell r="A389">
            <v>35019</v>
          </cell>
          <cell r="B389" t="str">
            <v>法国</v>
          </cell>
          <cell r="C389" t="str">
            <v>糖果</v>
          </cell>
          <cell r="D389">
            <v>349</v>
          </cell>
        </row>
        <row r="390">
          <cell r="A390">
            <v>35019</v>
          </cell>
          <cell r="B390" t="str">
            <v>法国</v>
          </cell>
          <cell r="C390" t="str">
            <v>饮料</v>
          </cell>
          <cell r="D390">
            <v>1104</v>
          </cell>
        </row>
        <row r="391">
          <cell r="A391">
            <v>35019</v>
          </cell>
          <cell r="B391" t="str">
            <v>法国</v>
          </cell>
          <cell r="C391" t="str">
            <v>乳制品</v>
          </cell>
          <cell r="D391">
            <v>440</v>
          </cell>
        </row>
        <row r="392">
          <cell r="A392">
            <v>35020</v>
          </cell>
          <cell r="B392" t="str">
            <v>法国</v>
          </cell>
          <cell r="C392" t="str">
            <v>香料</v>
          </cell>
          <cell r="D392">
            <v>85.4</v>
          </cell>
        </row>
        <row r="393">
          <cell r="A393">
            <v>35020</v>
          </cell>
          <cell r="B393" t="str">
            <v>法国</v>
          </cell>
          <cell r="C393" t="str">
            <v>海洋食品</v>
          </cell>
          <cell r="D393">
            <v>95</v>
          </cell>
        </row>
        <row r="394">
          <cell r="A394">
            <v>35024</v>
          </cell>
          <cell r="B394" t="str">
            <v>法国</v>
          </cell>
          <cell r="C394" t="str">
            <v>糖果</v>
          </cell>
          <cell r="D394">
            <v>110.4</v>
          </cell>
        </row>
        <row r="395">
          <cell r="A395">
            <v>35024</v>
          </cell>
          <cell r="B395" t="str">
            <v>法国</v>
          </cell>
          <cell r="C395" t="str">
            <v>海洋食品</v>
          </cell>
          <cell r="D395">
            <v>405.3</v>
          </cell>
        </row>
        <row r="396">
          <cell r="A396">
            <v>35024</v>
          </cell>
          <cell r="B396" t="str">
            <v>法国</v>
          </cell>
          <cell r="C396" t="str">
            <v>肉/家禽</v>
          </cell>
          <cell r="D396">
            <v>3936</v>
          </cell>
        </row>
        <row r="397">
          <cell r="A397">
            <v>35025</v>
          </cell>
          <cell r="B397" t="str">
            <v>法国</v>
          </cell>
          <cell r="C397" t="str">
            <v>海洋食品</v>
          </cell>
          <cell r="D397">
            <v>558</v>
          </cell>
        </row>
        <row r="398">
          <cell r="A398">
            <v>35025</v>
          </cell>
          <cell r="B398" t="str">
            <v>法国</v>
          </cell>
          <cell r="C398" t="str">
            <v>糖果</v>
          </cell>
          <cell r="D398">
            <v>936.9</v>
          </cell>
        </row>
        <row r="399">
          <cell r="A399">
            <v>35025</v>
          </cell>
          <cell r="B399" t="str">
            <v>法国</v>
          </cell>
          <cell r="C399" t="str">
            <v>海洋食品</v>
          </cell>
          <cell r="D399">
            <v>1045</v>
          </cell>
        </row>
        <row r="400">
          <cell r="A400">
            <v>35025</v>
          </cell>
          <cell r="B400" t="str">
            <v>法国</v>
          </cell>
          <cell r="C400" t="str">
            <v>海洋食品</v>
          </cell>
          <cell r="D400">
            <v>288</v>
          </cell>
        </row>
        <row r="401">
          <cell r="A401">
            <v>35025</v>
          </cell>
          <cell r="B401" t="str">
            <v>法国</v>
          </cell>
          <cell r="C401" t="str">
            <v>饮料</v>
          </cell>
          <cell r="D401">
            <v>427.5</v>
          </cell>
        </row>
        <row r="402">
          <cell r="A402">
            <v>35025</v>
          </cell>
          <cell r="B402" t="str">
            <v>法国</v>
          </cell>
          <cell r="C402" t="str">
            <v>肉/家禽</v>
          </cell>
          <cell r="D402">
            <v>789.75</v>
          </cell>
        </row>
        <row r="403">
          <cell r="A403">
            <v>35025</v>
          </cell>
          <cell r="B403" t="str">
            <v>法国</v>
          </cell>
          <cell r="C403" t="str">
            <v>糖果</v>
          </cell>
          <cell r="D403">
            <v>356.25</v>
          </cell>
        </row>
        <row r="404">
          <cell r="A404">
            <v>35025</v>
          </cell>
          <cell r="B404" t="str">
            <v>法国</v>
          </cell>
          <cell r="C404" t="str">
            <v>面食/谷类</v>
          </cell>
          <cell r="D404">
            <v>513</v>
          </cell>
        </row>
        <row r="405">
          <cell r="A405">
            <v>35025</v>
          </cell>
          <cell r="B405" t="str">
            <v>法国</v>
          </cell>
          <cell r="C405" t="str">
            <v>海洋食品</v>
          </cell>
          <cell r="D405">
            <v>119.25</v>
          </cell>
        </row>
        <row r="406">
          <cell r="A406">
            <v>35027</v>
          </cell>
          <cell r="B406" t="str">
            <v>英国</v>
          </cell>
          <cell r="C406" t="str">
            <v>糖果</v>
          </cell>
          <cell r="D406">
            <v>303.99999976158142</v>
          </cell>
        </row>
        <row r="407">
          <cell r="A407">
            <v>35027</v>
          </cell>
          <cell r="B407" t="str">
            <v>英国</v>
          </cell>
          <cell r="C407" t="str">
            <v>肉/家禽</v>
          </cell>
          <cell r="D407">
            <v>111.75</v>
          </cell>
        </row>
        <row r="408">
          <cell r="A408">
            <v>35027</v>
          </cell>
          <cell r="B408" t="str">
            <v>英国</v>
          </cell>
          <cell r="C408" t="str">
            <v>乳制品</v>
          </cell>
          <cell r="D408">
            <v>854.99999932944775</v>
          </cell>
        </row>
        <row r="409">
          <cell r="A409">
            <v>35030</v>
          </cell>
          <cell r="B409" t="str">
            <v>英国</v>
          </cell>
          <cell r="C409" t="str">
            <v>乳制品</v>
          </cell>
          <cell r="D409">
            <v>1368</v>
          </cell>
        </row>
        <row r="410">
          <cell r="A410">
            <v>35030</v>
          </cell>
          <cell r="B410" t="str">
            <v>英国</v>
          </cell>
          <cell r="C410" t="str">
            <v>糖果</v>
          </cell>
          <cell r="D410">
            <v>349</v>
          </cell>
        </row>
        <row r="411">
          <cell r="A411">
            <v>35030</v>
          </cell>
          <cell r="B411" t="str">
            <v>英国</v>
          </cell>
          <cell r="C411" t="str">
            <v>海洋食品</v>
          </cell>
          <cell r="D411">
            <v>760</v>
          </cell>
        </row>
        <row r="412">
          <cell r="A412">
            <v>35030</v>
          </cell>
          <cell r="B412" t="str">
            <v>英国</v>
          </cell>
          <cell r="C412" t="str">
            <v>糖果</v>
          </cell>
          <cell r="D412">
            <v>986</v>
          </cell>
        </row>
        <row r="413">
          <cell r="A413">
            <v>35030</v>
          </cell>
          <cell r="B413" t="str">
            <v>法国</v>
          </cell>
          <cell r="C413" t="str">
            <v>海洋食品</v>
          </cell>
          <cell r="D413">
            <v>562.5</v>
          </cell>
        </row>
        <row r="414">
          <cell r="A414">
            <v>35030</v>
          </cell>
          <cell r="B414" t="str">
            <v>法国</v>
          </cell>
          <cell r="C414" t="str">
            <v>海洋食品</v>
          </cell>
          <cell r="D414">
            <v>58.252499999999998</v>
          </cell>
        </row>
        <row r="415">
          <cell r="A415">
            <v>35030</v>
          </cell>
          <cell r="B415" t="str">
            <v>法国</v>
          </cell>
          <cell r="C415" t="str">
            <v>肉/家禽</v>
          </cell>
          <cell r="D415">
            <v>223.5</v>
          </cell>
        </row>
        <row r="416">
          <cell r="A416">
            <v>35032</v>
          </cell>
          <cell r="B416" t="str">
            <v>英国</v>
          </cell>
          <cell r="C416" t="str">
            <v>香料</v>
          </cell>
          <cell r="D416">
            <v>923.87499927543104</v>
          </cell>
        </row>
        <row r="417">
          <cell r="A417">
            <v>35032</v>
          </cell>
          <cell r="B417" t="str">
            <v>法国</v>
          </cell>
          <cell r="C417" t="str">
            <v>饮料</v>
          </cell>
          <cell r="D417">
            <v>57</v>
          </cell>
        </row>
        <row r="418">
          <cell r="A418">
            <v>35032</v>
          </cell>
          <cell r="B418" t="str">
            <v>法国</v>
          </cell>
          <cell r="C418" t="str">
            <v>乳制品</v>
          </cell>
          <cell r="D418">
            <v>625</v>
          </cell>
        </row>
        <row r="419">
          <cell r="A419">
            <v>35032</v>
          </cell>
          <cell r="B419" t="str">
            <v>法国</v>
          </cell>
          <cell r="C419" t="str">
            <v>糖果</v>
          </cell>
          <cell r="D419">
            <v>562.5</v>
          </cell>
        </row>
        <row r="420">
          <cell r="A420">
            <v>35032</v>
          </cell>
          <cell r="B420" t="str">
            <v>法国</v>
          </cell>
          <cell r="C420" t="str">
            <v>饮料</v>
          </cell>
          <cell r="D420">
            <v>325.5</v>
          </cell>
        </row>
        <row r="421">
          <cell r="A421">
            <v>35033</v>
          </cell>
          <cell r="B421" t="str">
            <v>法国</v>
          </cell>
          <cell r="C421" t="str">
            <v>糖果</v>
          </cell>
          <cell r="D421">
            <v>468.45</v>
          </cell>
        </row>
        <row r="422">
          <cell r="A422">
            <v>35044</v>
          </cell>
          <cell r="B422" t="str">
            <v>法国</v>
          </cell>
          <cell r="C422" t="str">
            <v>香料</v>
          </cell>
          <cell r="D422">
            <v>512.99999915063381</v>
          </cell>
        </row>
        <row r="423">
          <cell r="A423">
            <v>35044</v>
          </cell>
          <cell r="B423" t="str">
            <v>法国</v>
          </cell>
          <cell r="C423" t="str">
            <v>香料</v>
          </cell>
          <cell r="D423">
            <v>23.399999961256981</v>
          </cell>
        </row>
        <row r="424">
          <cell r="A424">
            <v>35047</v>
          </cell>
          <cell r="B424" t="str">
            <v>法国</v>
          </cell>
          <cell r="C424" t="str">
            <v>农产品</v>
          </cell>
          <cell r="D424">
            <v>182.39999932050705</v>
          </cell>
        </row>
        <row r="425">
          <cell r="A425">
            <v>35047</v>
          </cell>
          <cell r="B425" t="str">
            <v>法国</v>
          </cell>
          <cell r="C425" t="str">
            <v>饮料</v>
          </cell>
          <cell r="D425">
            <v>503.99999812245369</v>
          </cell>
        </row>
        <row r="426">
          <cell r="A426">
            <v>35047</v>
          </cell>
          <cell r="B426" t="str">
            <v>法国</v>
          </cell>
          <cell r="C426" t="str">
            <v>海洋食品</v>
          </cell>
          <cell r="D426">
            <v>303.99999886751175</v>
          </cell>
        </row>
        <row r="427">
          <cell r="A427">
            <v>35047</v>
          </cell>
          <cell r="B427" t="str">
            <v>法国</v>
          </cell>
          <cell r="C427" t="str">
            <v>面食/谷类</v>
          </cell>
          <cell r="D427">
            <v>425.59999841451645</v>
          </cell>
        </row>
        <row r="428">
          <cell r="A428">
            <v>35052</v>
          </cell>
          <cell r="B428" t="str">
            <v>英国</v>
          </cell>
          <cell r="C428" t="str">
            <v>海洋食品</v>
          </cell>
          <cell r="D428">
            <v>1500</v>
          </cell>
        </row>
        <row r="429">
          <cell r="A429">
            <v>35052</v>
          </cell>
          <cell r="B429" t="str">
            <v>英国</v>
          </cell>
          <cell r="C429" t="str">
            <v>香料</v>
          </cell>
          <cell r="D429">
            <v>311.2</v>
          </cell>
        </row>
        <row r="430">
          <cell r="A430">
            <v>35052</v>
          </cell>
          <cell r="B430" t="str">
            <v>英国</v>
          </cell>
          <cell r="C430" t="str">
            <v>乳制品</v>
          </cell>
          <cell r="D430">
            <v>2475</v>
          </cell>
        </row>
        <row r="431">
          <cell r="A431">
            <v>35052</v>
          </cell>
          <cell r="B431" t="str">
            <v>英国</v>
          </cell>
          <cell r="C431" t="str">
            <v>乳制品</v>
          </cell>
          <cell r="D431">
            <v>243.6</v>
          </cell>
        </row>
        <row r="432">
          <cell r="A432">
            <v>35054</v>
          </cell>
          <cell r="B432" t="str">
            <v>法国</v>
          </cell>
          <cell r="C432" t="str">
            <v>面食/谷类</v>
          </cell>
          <cell r="D432">
            <v>396</v>
          </cell>
        </row>
        <row r="433">
          <cell r="A433">
            <v>35054</v>
          </cell>
          <cell r="B433" t="str">
            <v>法国</v>
          </cell>
          <cell r="C433" t="str">
            <v>海洋食品</v>
          </cell>
          <cell r="D433">
            <v>736</v>
          </cell>
        </row>
        <row r="434">
          <cell r="A434">
            <v>35054</v>
          </cell>
          <cell r="B434" t="str">
            <v>法国</v>
          </cell>
          <cell r="C434" t="str">
            <v>面食/谷类</v>
          </cell>
          <cell r="D434">
            <v>1064</v>
          </cell>
        </row>
        <row r="435">
          <cell r="A435">
            <v>35061</v>
          </cell>
          <cell r="B435" t="str">
            <v>法国</v>
          </cell>
          <cell r="C435" t="str">
            <v>海洋食品</v>
          </cell>
          <cell r="D435">
            <v>1049.9999960884452</v>
          </cell>
        </row>
        <row r="436">
          <cell r="A436">
            <v>35061</v>
          </cell>
          <cell r="B436" t="str">
            <v>法国</v>
          </cell>
          <cell r="C436" t="str">
            <v>海洋食品</v>
          </cell>
          <cell r="D436">
            <v>303.99999886751175</v>
          </cell>
        </row>
        <row r="437">
          <cell r="A437">
            <v>35061</v>
          </cell>
          <cell r="B437" t="str">
            <v>法国</v>
          </cell>
          <cell r="C437" t="str">
            <v>糖果</v>
          </cell>
          <cell r="D437">
            <v>59.999999776482582</v>
          </cell>
        </row>
        <row r="438">
          <cell r="A438">
            <v>35061</v>
          </cell>
          <cell r="B438" t="str">
            <v>法国</v>
          </cell>
          <cell r="C438" t="str">
            <v>乳制品</v>
          </cell>
          <cell r="D438">
            <v>575.99999785423279</v>
          </cell>
        </row>
        <row r="439">
          <cell r="A439">
            <v>35061</v>
          </cell>
          <cell r="B439" t="str">
            <v>法国</v>
          </cell>
          <cell r="C439" t="str">
            <v>饮料</v>
          </cell>
          <cell r="D439">
            <v>420</v>
          </cell>
        </row>
        <row r="440">
          <cell r="A440">
            <v>35061</v>
          </cell>
          <cell r="B440" t="str">
            <v>法国</v>
          </cell>
          <cell r="C440" t="str">
            <v>乳制品</v>
          </cell>
          <cell r="D440">
            <v>385</v>
          </cell>
        </row>
        <row r="441">
          <cell r="A441">
            <v>35061</v>
          </cell>
          <cell r="B441" t="str">
            <v>法国</v>
          </cell>
          <cell r="C441" t="str">
            <v>糖果</v>
          </cell>
          <cell r="D441">
            <v>1479</v>
          </cell>
        </row>
        <row r="442">
          <cell r="A442">
            <v>35061</v>
          </cell>
          <cell r="B442" t="str">
            <v>法国</v>
          </cell>
          <cell r="C442" t="str">
            <v>面食/谷类</v>
          </cell>
          <cell r="D442">
            <v>798</v>
          </cell>
        </row>
        <row r="443">
          <cell r="A443">
            <v>35066</v>
          </cell>
          <cell r="B443" t="str">
            <v>法国</v>
          </cell>
          <cell r="C443" t="str">
            <v>糖果</v>
          </cell>
          <cell r="D443">
            <v>367.5</v>
          </cell>
        </row>
        <row r="444">
          <cell r="A444">
            <v>35066</v>
          </cell>
          <cell r="B444" t="str">
            <v>法国</v>
          </cell>
          <cell r="C444" t="str">
            <v>饮料</v>
          </cell>
          <cell r="D444">
            <v>139.5</v>
          </cell>
        </row>
        <row r="445">
          <cell r="A445">
            <v>35068</v>
          </cell>
          <cell r="B445" t="str">
            <v>英国</v>
          </cell>
          <cell r="C445" t="str">
            <v>香料</v>
          </cell>
          <cell r="D445">
            <v>1515.5999974906445</v>
          </cell>
        </row>
        <row r="446">
          <cell r="A446">
            <v>35069</v>
          </cell>
          <cell r="B446" t="str">
            <v>英国</v>
          </cell>
          <cell r="C446" t="str">
            <v>饮料</v>
          </cell>
          <cell r="D446">
            <v>760</v>
          </cell>
        </row>
        <row r="447">
          <cell r="A447">
            <v>35069</v>
          </cell>
          <cell r="B447" t="str">
            <v>英国</v>
          </cell>
          <cell r="C447" t="str">
            <v>农产品</v>
          </cell>
          <cell r="D447">
            <v>1050</v>
          </cell>
        </row>
        <row r="448">
          <cell r="A448">
            <v>35069</v>
          </cell>
          <cell r="B448" t="str">
            <v>英国</v>
          </cell>
          <cell r="C448" t="str">
            <v>糖果</v>
          </cell>
          <cell r="D448">
            <v>500</v>
          </cell>
        </row>
        <row r="449">
          <cell r="A449">
            <v>35074</v>
          </cell>
          <cell r="B449" t="str">
            <v>英国</v>
          </cell>
          <cell r="C449" t="str">
            <v>肉/家禽</v>
          </cell>
          <cell r="D449">
            <v>2228.2199999999998</v>
          </cell>
        </row>
        <row r="450">
          <cell r="A450">
            <v>35074</v>
          </cell>
          <cell r="B450" t="str">
            <v>英国</v>
          </cell>
          <cell r="C450" t="str">
            <v>乳制品</v>
          </cell>
          <cell r="D450">
            <v>1375</v>
          </cell>
        </row>
        <row r="451">
          <cell r="A451">
            <v>35076</v>
          </cell>
          <cell r="B451" t="str">
            <v>法国</v>
          </cell>
          <cell r="C451" t="str">
            <v>海洋食品</v>
          </cell>
          <cell r="D451">
            <v>186</v>
          </cell>
        </row>
        <row r="452">
          <cell r="A452">
            <v>35076</v>
          </cell>
          <cell r="B452" t="str">
            <v>法国</v>
          </cell>
          <cell r="C452" t="str">
            <v>饮料</v>
          </cell>
          <cell r="D452">
            <v>42</v>
          </cell>
        </row>
        <row r="453">
          <cell r="A453">
            <v>35080</v>
          </cell>
          <cell r="B453" t="str">
            <v>英国</v>
          </cell>
          <cell r="C453" t="str">
            <v>糖果</v>
          </cell>
          <cell r="D453">
            <v>349</v>
          </cell>
        </row>
        <row r="454">
          <cell r="A454">
            <v>35080</v>
          </cell>
          <cell r="B454" t="str">
            <v>英国</v>
          </cell>
          <cell r="C454" t="str">
            <v>糖果</v>
          </cell>
          <cell r="D454">
            <v>986</v>
          </cell>
        </row>
        <row r="455">
          <cell r="A455">
            <v>35086</v>
          </cell>
          <cell r="B455" t="str">
            <v>英国</v>
          </cell>
          <cell r="C455" t="str">
            <v>糖果</v>
          </cell>
          <cell r="D455">
            <v>436.99999965727329</v>
          </cell>
        </row>
        <row r="456">
          <cell r="A456">
            <v>35086</v>
          </cell>
          <cell r="B456" t="str">
            <v>英国</v>
          </cell>
          <cell r="C456" t="str">
            <v>饮料</v>
          </cell>
          <cell r="D456">
            <v>294.499999769032</v>
          </cell>
        </row>
        <row r="457">
          <cell r="A457">
            <v>35087</v>
          </cell>
          <cell r="B457" t="str">
            <v>英国</v>
          </cell>
          <cell r="C457" t="str">
            <v>肉/家禽</v>
          </cell>
          <cell r="D457">
            <v>1646.4069987087696</v>
          </cell>
        </row>
        <row r="458">
          <cell r="A458">
            <v>35087</v>
          </cell>
          <cell r="B458" t="str">
            <v>英国</v>
          </cell>
          <cell r="C458" t="str">
            <v>海洋食品</v>
          </cell>
          <cell r="D458">
            <v>183.34999985620379</v>
          </cell>
        </row>
        <row r="459">
          <cell r="A459">
            <v>35089</v>
          </cell>
          <cell r="B459" t="str">
            <v>英国</v>
          </cell>
          <cell r="C459" t="str">
            <v>乳制品</v>
          </cell>
          <cell r="D459">
            <v>420</v>
          </cell>
        </row>
        <row r="460">
          <cell r="A460">
            <v>35090</v>
          </cell>
          <cell r="B460" t="str">
            <v>英国</v>
          </cell>
          <cell r="C460" t="str">
            <v>海洋食品</v>
          </cell>
          <cell r="D460">
            <v>101.99999928474426</v>
          </cell>
        </row>
        <row r="461">
          <cell r="A461">
            <v>35090</v>
          </cell>
          <cell r="B461" t="str">
            <v>英国</v>
          </cell>
          <cell r="C461" t="str">
            <v>饮料</v>
          </cell>
          <cell r="D461">
            <v>76.499999463558197</v>
          </cell>
        </row>
        <row r="462">
          <cell r="A462">
            <v>35090</v>
          </cell>
          <cell r="B462" t="str">
            <v>英国</v>
          </cell>
          <cell r="C462" t="str">
            <v>乳制品</v>
          </cell>
          <cell r="D462">
            <v>1375</v>
          </cell>
        </row>
        <row r="463">
          <cell r="A463">
            <v>35094</v>
          </cell>
          <cell r="B463" t="str">
            <v>法国</v>
          </cell>
          <cell r="C463" t="str">
            <v>饮料</v>
          </cell>
          <cell r="D463">
            <v>140</v>
          </cell>
        </row>
        <row r="464">
          <cell r="A464">
            <v>35094</v>
          </cell>
          <cell r="B464" t="str">
            <v>法国</v>
          </cell>
          <cell r="C464" t="str">
            <v>饮料</v>
          </cell>
          <cell r="D464">
            <v>2635</v>
          </cell>
        </row>
        <row r="465">
          <cell r="A465">
            <v>35096</v>
          </cell>
          <cell r="B465" t="str">
            <v>法国</v>
          </cell>
          <cell r="C465" t="str">
            <v>面食/谷类</v>
          </cell>
          <cell r="D465">
            <v>645.999995470047</v>
          </cell>
        </row>
        <row r="466">
          <cell r="A466">
            <v>35096</v>
          </cell>
          <cell r="B466" t="str">
            <v>法国</v>
          </cell>
          <cell r="C466" t="str">
            <v>饮料</v>
          </cell>
          <cell r="D466">
            <v>764.99999463558197</v>
          </cell>
        </row>
        <row r="467">
          <cell r="A467">
            <v>35100</v>
          </cell>
          <cell r="B467" t="str">
            <v>法国</v>
          </cell>
          <cell r="C467" t="str">
            <v>乳制品</v>
          </cell>
          <cell r="D467">
            <v>40</v>
          </cell>
        </row>
        <row r="468">
          <cell r="A468">
            <v>35101</v>
          </cell>
          <cell r="B468" t="str">
            <v>法国</v>
          </cell>
          <cell r="C468" t="str">
            <v>饮料</v>
          </cell>
          <cell r="D468">
            <v>7509.749994110316</v>
          </cell>
        </row>
        <row r="469">
          <cell r="A469">
            <v>35101</v>
          </cell>
          <cell r="B469" t="str">
            <v>法国</v>
          </cell>
          <cell r="C469" t="str">
            <v>糖果</v>
          </cell>
          <cell r="D469">
            <v>936.69999926537275</v>
          </cell>
        </row>
        <row r="470">
          <cell r="A470">
            <v>35101</v>
          </cell>
          <cell r="B470" t="str">
            <v>英国</v>
          </cell>
          <cell r="C470" t="str">
            <v>糖果</v>
          </cell>
          <cell r="D470">
            <v>1061.8199925541878</v>
          </cell>
        </row>
        <row r="471">
          <cell r="A471">
            <v>35101</v>
          </cell>
          <cell r="B471" t="str">
            <v>英国</v>
          </cell>
          <cell r="C471" t="str">
            <v>饮料</v>
          </cell>
          <cell r="D471">
            <v>7905</v>
          </cell>
        </row>
        <row r="472">
          <cell r="A472">
            <v>35101</v>
          </cell>
          <cell r="B472" t="str">
            <v>英国</v>
          </cell>
          <cell r="C472" t="str">
            <v>海洋食品</v>
          </cell>
          <cell r="D472">
            <v>938.39999341964722</v>
          </cell>
        </row>
        <row r="473">
          <cell r="A473">
            <v>35101</v>
          </cell>
          <cell r="B473" t="str">
            <v>英国</v>
          </cell>
          <cell r="C473" t="str">
            <v>糖果</v>
          </cell>
          <cell r="D473">
            <v>1047.6249926537275</v>
          </cell>
        </row>
        <row r="474">
          <cell r="A474">
            <v>35102</v>
          </cell>
          <cell r="B474" t="str">
            <v>法国</v>
          </cell>
          <cell r="C474" t="str">
            <v>面食/谷类</v>
          </cell>
          <cell r="D474">
            <v>1140</v>
          </cell>
        </row>
        <row r="475">
          <cell r="A475">
            <v>35103</v>
          </cell>
          <cell r="B475" t="str">
            <v>法国</v>
          </cell>
          <cell r="C475" t="str">
            <v>饮料</v>
          </cell>
          <cell r="D475">
            <v>360</v>
          </cell>
        </row>
        <row r="476">
          <cell r="A476">
            <v>35103</v>
          </cell>
          <cell r="B476" t="str">
            <v>法国</v>
          </cell>
          <cell r="C476" t="str">
            <v>农产品</v>
          </cell>
          <cell r="D476">
            <v>318</v>
          </cell>
        </row>
        <row r="477">
          <cell r="A477">
            <v>35103</v>
          </cell>
          <cell r="B477" t="str">
            <v>法国</v>
          </cell>
          <cell r="C477" t="str">
            <v>糖果</v>
          </cell>
          <cell r="D477">
            <v>147.9</v>
          </cell>
        </row>
        <row r="478">
          <cell r="A478">
            <v>35103</v>
          </cell>
          <cell r="B478" t="str">
            <v>法国</v>
          </cell>
          <cell r="C478" t="str">
            <v>饮料</v>
          </cell>
          <cell r="D478">
            <v>90</v>
          </cell>
        </row>
        <row r="479">
          <cell r="A479">
            <v>35104</v>
          </cell>
          <cell r="B479" t="str">
            <v>英国</v>
          </cell>
          <cell r="C479" t="str">
            <v>糖果</v>
          </cell>
          <cell r="D479">
            <v>374.76</v>
          </cell>
        </row>
        <row r="480">
          <cell r="A480">
            <v>35104</v>
          </cell>
          <cell r="B480" t="str">
            <v>英国</v>
          </cell>
          <cell r="C480" t="str">
            <v>肉/家禽</v>
          </cell>
          <cell r="D480">
            <v>656</v>
          </cell>
        </row>
        <row r="481">
          <cell r="A481">
            <v>35110</v>
          </cell>
          <cell r="B481" t="str">
            <v>英国</v>
          </cell>
          <cell r="C481" t="str">
            <v>农产品</v>
          </cell>
          <cell r="D481">
            <v>539.99999910593033</v>
          </cell>
        </row>
        <row r="482">
          <cell r="A482">
            <v>35110</v>
          </cell>
          <cell r="B482" t="str">
            <v>英国</v>
          </cell>
          <cell r="C482" t="str">
            <v>乳制品</v>
          </cell>
          <cell r="D482">
            <v>101.24999983236194</v>
          </cell>
        </row>
        <row r="483">
          <cell r="A483">
            <v>35110</v>
          </cell>
          <cell r="B483" t="str">
            <v>英国</v>
          </cell>
          <cell r="C483" t="str">
            <v>肉/家禽</v>
          </cell>
          <cell r="D483">
            <v>265.67999956011772</v>
          </cell>
        </row>
        <row r="484">
          <cell r="A484">
            <v>35116</v>
          </cell>
          <cell r="B484" t="str">
            <v>英国</v>
          </cell>
          <cell r="C484" t="str">
            <v>面食/谷类</v>
          </cell>
          <cell r="D484">
            <v>566.99999906122684</v>
          </cell>
        </row>
        <row r="485">
          <cell r="A485">
            <v>35116</v>
          </cell>
          <cell r="B485" t="str">
            <v>英国</v>
          </cell>
          <cell r="C485" t="str">
            <v>饮料</v>
          </cell>
          <cell r="D485">
            <v>404.99999932944775</v>
          </cell>
        </row>
        <row r="486">
          <cell r="A486">
            <v>35116</v>
          </cell>
          <cell r="B486" t="str">
            <v>英国</v>
          </cell>
          <cell r="C486" t="str">
            <v>面食/谷类</v>
          </cell>
          <cell r="D486">
            <v>529.19999912381172</v>
          </cell>
        </row>
        <row r="487">
          <cell r="A487">
            <v>35116</v>
          </cell>
          <cell r="B487" t="str">
            <v>英国</v>
          </cell>
          <cell r="C487" t="str">
            <v>海洋食品</v>
          </cell>
          <cell r="D487">
            <v>715.49999881535769</v>
          </cell>
        </row>
        <row r="488">
          <cell r="A488">
            <v>35116</v>
          </cell>
          <cell r="B488" t="str">
            <v>英国</v>
          </cell>
          <cell r="C488" t="str">
            <v>面食/谷类</v>
          </cell>
          <cell r="D488">
            <v>1596</v>
          </cell>
        </row>
        <row r="489">
          <cell r="A489">
            <v>35117</v>
          </cell>
          <cell r="B489" t="str">
            <v>法国</v>
          </cell>
          <cell r="C489" t="str">
            <v>饮料</v>
          </cell>
          <cell r="D489">
            <v>1151.9999957084656</v>
          </cell>
        </row>
        <row r="490">
          <cell r="A490">
            <v>35117</v>
          </cell>
          <cell r="B490" t="str">
            <v>法国</v>
          </cell>
          <cell r="C490" t="str">
            <v>糖果</v>
          </cell>
          <cell r="D490">
            <v>88.319999670982369</v>
          </cell>
        </row>
        <row r="491">
          <cell r="A491">
            <v>35117</v>
          </cell>
          <cell r="B491" t="str">
            <v>法国</v>
          </cell>
          <cell r="C491" t="str">
            <v>海洋食品</v>
          </cell>
          <cell r="D491">
            <v>1247.9999953508377</v>
          </cell>
        </row>
        <row r="492">
          <cell r="A492">
            <v>35117</v>
          </cell>
          <cell r="B492" t="str">
            <v>法国</v>
          </cell>
          <cell r="C492" t="str">
            <v>海洋食品</v>
          </cell>
          <cell r="D492">
            <v>273.59999898076057</v>
          </cell>
        </row>
        <row r="493">
          <cell r="A493">
            <v>35117</v>
          </cell>
          <cell r="B493" t="str">
            <v>法国</v>
          </cell>
          <cell r="C493" t="str">
            <v>乳制品</v>
          </cell>
          <cell r="D493">
            <v>1223.9999954402447</v>
          </cell>
        </row>
        <row r="494">
          <cell r="A494">
            <v>35117</v>
          </cell>
          <cell r="B494" t="str">
            <v>法国</v>
          </cell>
          <cell r="C494" t="str">
            <v>乳制品</v>
          </cell>
          <cell r="D494">
            <v>945.99999647587538</v>
          </cell>
        </row>
        <row r="495">
          <cell r="A495">
            <v>35118</v>
          </cell>
          <cell r="B495" t="str">
            <v>英国</v>
          </cell>
          <cell r="C495" t="str">
            <v>香料</v>
          </cell>
          <cell r="D495">
            <v>490</v>
          </cell>
        </row>
        <row r="496">
          <cell r="A496">
            <v>35118</v>
          </cell>
          <cell r="B496" t="str">
            <v>英国</v>
          </cell>
          <cell r="C496" t="str">
            <v>糖果</v>
          </cell>
          <cell r="D496">
            <v>477.81899664938447</v>
          </cell>
        </row>
        <row r="497">
          <cell r="A497">
            <v>35121</v>
          </cell>
          <cell r="B497" t="str">
            <v>法国</v>
          </cell>
          <cell r="C497" t="str">
            <v>饮料</v>
          </cell>
          <cell r="D497">
            <v>285</v>
          </cell>
        </row>
        <row r="498">
          <cell r="A498">
            <v>35121</v>
          </cell>
          <cell r="B498" t="str">
            <v>法国</v>
          </cell>
          <cell r="C498" t="str">
            <v>肉/家禽</v>
          </cell>
          <cell r="D498">
            <v>234</v>
          </cell>
        </row>
        <row r="499">
          <cell r="A499">
            <v>35121</v>
          </cell>
          <cell r="B499" t="str">
            <v>法国</v>
          </cell>
          <cell r="C499" t="str">
            <v>糖果</v>
          </cell>
          <cell r="D499">
            <v>2465</v>
          </cell>
        </row>
        <row r="500">
          <cell r="A500">
            <v>35122</v>
          </cell>
          <cell r="B500" t="str">
            <v>英国</v>
          </cell>
          <cell r="C500" t="str">
            <v>海洋食品</v>
          </cell>
          <cell r="D500">
            <v>625</v>
          </cell>
        </row>
        <row r="501">
          <cell r="A501">
            <v>35122</v>
          </cell>
          <cell r="B501" t="str">
            <v>法国</v>
          </cell>
          <cell r="C501" t="str">
            <v>糖果</v>
          </cell>
          <cell r="D501">
            <v>872.5</v>
          </cell>
        </row>
        <row r="502">
          <cell r="A502">
            <v>35122</v>
          </cell>
          <cell r="B502" t="str">
            <v>法国</v>
          </cell>
          <cell r="C502" t="str">
            <v>乳制品</v>
          </cell>
          <cell r="D502">
            <v>175</v>
          </cell>
        </row>
        <row r="503">
          <cell r="A503">
            <v>35122</v>
          </cell>
          <cell r="B503" t="str">
            <v>法国</v>
          </cell>
          <cell r="C503" t="str">
            <v>面食/谷类</v>
          </cell>
          <cell r="D503">
            <v>912</v>
          </cell>
        </row>
        <row r="504">
          <cell r="A504">
            <v>35122</v>
          </cell>
          <cell r="B504" t="str">
            <v>法国</v>
          </cell>
          <cell r="C504" t="str">
            <v>香料</v>
          </cell>
          <cell r="D504">
            <v>268.38749811798334</v>
          </cell>
        </row>
        <row r="505">
          <cell r="A505">
            <v>35124</v>
          </cell>
          <cell r="B505" t="str">
            <v>英国</v>
          </cell>
          <cell r="C505" t="str">
            <v>饮料</v>
          </cell>
          <cell r="D505">
            <v>135</v>
          </cell>
        </row>
        <row r="506">
          <cell r="A506">
            <v>35124</v>
          </cell>
          <cell r="B506" t="str">
            <v>英国</v>
          </cell>
          <cell r="C506" t="str">
            <v>肉/家禽</v>
          </cell>
          <cell r="D506">
            <v>195.5625</v>
          </cell>
        </row>
        <row r="507">
          <cell r="A507">
            <v>35124</v>
          </cell>
          <cell r="B507" t="str">
            <v>英国</v>
          </cell>
          <cell r="C507" t="str">
            <v>面食/谷类</v>
          </cell>
          <cell r="D507">
            <v>748.125</v>
          </cell>
        </row>
        <row r="508">
          <cell r="A508">
            <v>35125</v>
          </cell>
          <cell r="B508" t="str">
            <v>法国</v>
          </cell>
          <cell r="C508" t="str">
            <v>肉/家禽</v>
          </cell>
          <cell r="D508">
            <v>1638</v>
          </cell>
        </row>
        <row r="509">
          <cell r="A509">
            <v>35125</v>
          </cell>
          <cell r="B509" t="str">
            <v>法国</v>
          </cell>
          <cell r="C509" t="str">
            <v>海洋食品</v>
          </cell>
          <cell r="D509">
            <v>1250</v>
          </cell>
        </row>
        <row r="510">
          <cell r="A510">
            <v>35125</v>
          </cell>
          <cell r="B510" t="str">
            <v>法国</v>
          </cell>
          <cell r="C510" t="str">
            <v>糖果</v>
          </cell>
          <cell r="D510">
            <v>400</v>
          </cell>
        </row>
        <row r="511">
          <cell r="A511">
            <v>35125</v>
          </cell>
          <cell r="B511" t="str">
            <v>法国</v>
          </cell>
          <cell r="C511" t="str">
            <v>乳制品</v>
          </cell>
          <cell r="D511">
            <v>87.5</v>
          </cell>
        </row>
        <row r="512">
          <cell r="A512">
            <v>35125</v>
          </cell>
          <cell r="B512" t="str">
            <v>法国</v>
          </cell>
          <cell r="C512" t="str">
            <v>糖果</v>
          </cell>
          <cell r="D512">
            <v>147.9</v>
          </cell>
        </row>
        <row r="513">
          <cell r="A513">
            <v>35125</v>
          </cell>
          <cell r="B513" t="str">
            <v>英国</v>
          </cell>
          <cell r="C513" t="str">
            <v>乳制品</v>
          </cell>
          <cell r="D513">
            <v>525</v>
          </cell>
        </row>
        <row r="514">
          <cell r="A514">
            <v>35125</v>
          </cell>
          <cell r="B514" t="str">
            <v>英国</v>
          </cell>
          <cell r="C514" t="str">
            <v>面食/谷类</v>
          </cell>
          <cell r="D514">
            <v>56</v>
          </cell>
        </row>
        <row r="515">
          <cell r="A515">
            <v>35128</v>
          </cell>
          <cell r="B515" t="str">
            <v>英国</v>
          </cell>
          <cell r="C515" t="str">
            <v>饮料</v>
          </cell>
          <cell r="D515">
            <v>15019.499988220632</v>
          </cell>
        </row>
        <row r="516">
          <cell r="A516">
            <v>35128</v>
          </cell>
          <cell r="B516" t="str">
            <v>英国</v>
          </cell>
          <cell r="C516" t="str">
            <v>饮料</v>
          </cell>
          <cell r="D516">
            <v>1367.9999989271164</v>
          </cell>
        </row>
        <row r="517">
          <cell r="A517">
            <v>35129</v>
          </cell>
          <cell r="B517" t="str">
            <v>法国</v>
          </cell>
          <cell r="C517" t="str">
            <v>肉/家禽</v>
          </cell>
          <cell r="D517">
            <v>98.4</v>
          </cell>
        </row>
        <row r="518">
          <cell r="A518">
            <v>35136</v>
          </cell>
          <cell r="B518" t="str">
            <v>英国</v>
          </cell>
          <cell r="C518" t="str">
            <v>糖果</v>
          </cell>
          <cell r="D518">
            <v>1538.9999987930059</v>
          </cell>
        </row>
        <row r="519">
          <cell r="A519">
            <v>35137</v>
          </cell>
          <cell r="B519" t="str">
            <v>法国</v>
          </cell>
          <cell r="C519" t="str">
            <v>面食/谷类</v>
          </cell>
          <cell r="D519">
            <v>350</v>
          </cell>
        </row>
        <row r="520">
          <cell r="A520">
            <v>35137</v>
          </cell>
          <cell r="B520" t="str">
            <v>法国</v>
          </cell>
          <cell r="C520" t="str">
            <v>糖果</v>
          </cell>
          <cell r="D520">
            <v>339.99999761581421</v>
          </cell>
        </row>
        <row r="521">
          <cell r="A521">
            <v>35137</v>
          </cell>
          <cell r="B521" t="str">
            <v>法国</v>
          </cell>
          <cell r="C521" t="str">
            <v>肉/家禽</v>
          </cell>
          <cell r="D521">
            <v>202.63999857902527</v>
          </cell>
        </row>
        <row r="522">
          <cell r="A522">
            <v>35138</v>
          </cell>
          <cell r="B522" t="str">
            <v>法国</v>
          </cell>
          <cell r="C522" t="str">
            <v>饮料</v>
          </cell>
          <cell r="D522">
            <v>36</v>
          </cell>
        </row>
        <row r="523">
          <cell r="A523">
            <v>35138</v>
          </cell>
          <cell r="B523" t="str">
            <v>法国</v>
          </cell>
          <cell r="C523" t="str">
            <v>糖果</v>
          </cell>
          <cell r="D523">
            <v>379.99999970197678</v>
          </cell>
        </row>
        <row r="524">
          <cell r="A524">
            <v>35138</v>
          </cell>
          <cell r="B524" t="str">
            <v>法国</v>
          </cell>
          <cell r="C524" t="str">
            <v>面食/谷类</v>
          </cell>
          <cell r="D524">
            <v>758.09999940544367</v>
          </cell>
        </row>
        <row r="525">
          <cell r="A525">
            <v>35138</v>
          </cell>
          <cell r="B525" t="str">
            <v>法国</v>
          </cell>
          <cell r="C525" t="str">
            <v>香料</v>
          </cell>
          <cell r="D525">
            <v>239.96999981179832</v>
          </cell>
        </row>
        <row r="526">
          <cell r="A526">
            <v>35142</v>
          </cell>
          <cell r="B526" t="str">
            <v>法国</v>
          </cell>
          <cell r="C526" t="str">
            <v>乳制品</v>
          </cell>
          <cell r="D526">
            <v>840</v>
          </cell>
        </row>
        <row r="527">
          <cell r="A527">
            <v>35142</v>
          </cell>
          <cell r="B527" t="str">
            <v>法国</v>
          </cell>
          <cell r="C527" t="str">
            <v>饮料</v>
          </cell>
          <cell r="D527">
            <v>10540</v>
          </cell>
        </row>
        <row r="528">
          <cell r="A528">
            <v>35143</v>
          </cell>
          <cell r="B528" t="str">
            <v>英国</v>
          </cell>
          <cell r="C528" t="str">
            <v>海洋食品</v>
          </cell>
          <cell r="D528">
            <v>368.93249971065671</v>
          </cell>
        </row>
        <row r="529">
          <cell r="A529">
            <v>35144</v>
          </cell>
          <cell r="B529" t="str">
            <v>英国</v>
          </cell>
          <cell r="C529" t="str">
            <v>香料</v>
          </cell>
          <cell r="D529">
            <v>1200</v>
          </cell>
        </row>
        <row r="530">
          <cell r="A530">
            <v>35144</v>
          </cell>
          <cell r="B530" t="str">
            <v>英国</v>
          </cell>
          <cell r="C530" t="str">
            <v>饮料</v>
          </cell>
          <cell r="D530">
            <v>45</v>
          </cell>
        </row>
        <row r="531">
          <cell r="A531">
            <v>35144</v>
          </cell>
          <cell r="B531" t="str">
            <v>英国</v>
          </cell>
          <cell r="C531" t="str">
            <v>肉/家禽</v>
          </cell>
          <cell r="D531">
            <v>2970.96</v>
          </cell>
        </row>
        <row r="532">
          <cell r="A532">
            <v>35144</v>
          </cell>
          <cell r="B532" t="str">
            <v>英国</v>
          </cell>
          <cell r="C532" t="str">
            <v>海洋食品</v>
          </cell>
          <cell r="D532">
            <v>906.15</v>
          </cell>
        </row>
        <row r="533">
          <cell r="A533">
            <v>35144</v>
          </cell>
          <cell r="B533" t="str">
            <v>英国</v>
          </cell>
          <cell r="C533" t="str">
            <v>海洋食品</v>
          </cell>
          <cell r="D533">
            <v>380</v>
          </cell>
        </row>
        <row r="534">
          <cell r="A534">
            <v>35144</v>
          </cell>
          <cell r="B534" t="str">
            <v>法国</v>
          </cell>
          <cell r="C534" t="str">
            <v>海洋食品</v>
          </cell>
          <cell r="D534">
            <v>159.59999987483025</v>
          </cell>
        </row>
        <row r="535">
          <cell r="A535">
            <v>35144</v>
          </cell>
          <cell r="B535" t="str">
            <v>法国</v>
          </cell>
          <cell r="C535" t="str">
            <v>乳制品</v>
          </cell>
          <cell r="D535">
            <v>1709.9999986588955</v>
          </cell>
        </row>
        <row r="536">
          <cell r="A536">
            <v>35144</v>
          </cell>
          <cell r="B536" t="str">
            <v>法国</v>
          </cell>
          <cell r="C536" t="str">
            <v>饮料</v>
          </cell>
          <cell r="D536">
            <v>883.499999307096</v>
          </cell>
        </row>
        <row r="537">
          <cell r="A537">
            <v>35150</v>
          </cell>
          <cell r="B537" t="str">
            <v>法国</v>
          </cell>
          <cell r="C537" t="str">
            <v>海洋食品</v>
          </cell>
          <cell r="D537">
            <v>198.75</v>
          </cell>
        </row>
        <row r="538">
          <cell r="A538">
            <v>35150</v>
          </cell>
          <cell r="B538" t="str">
            <v>法国</v>
          </cell>
          <cell r="C538" t="str">
            <v>糖果</v>
          </cell>
          <cell r="D538">
            <v>1725.5</v>
          </cell>
        </row>
        <row r="539">
          <cell r="A539">
            <v>35159</v>
          </cell>
          <cell r="B539" t="str">
            <v>英国</v>
          </cell>
          <cell r="C539" t="str">
            <v>糖果</v>
          </cell>
          <cell r="D539">
            <v>600</v>
          </cell>
        </row>
        <row r="540">
          <cell r="A540">
            <v>35159</v>
          </cell>
          <cell r="B540" t="str">
            <v>英国</v>
          </cell>
          <cell r="C540" t="str">
            <v>饮料</v>
          </cell>
          <cell r="D540">
            <v>379.75</v>
          </cell>
        </row>
        <row r="541">
          <cell r="A541">
            <v>35159</v>
          </cell>
          <cell r="B541" t="str">
            <v>英国</v>
          </cell>
          <cell r="C541" t="str">
            <v>香料</v>
          </cell>
          <cell r="D541">
            <v>195</v>
          </cell>
        </row>
        <row r="542">
          <cell r="A542">
            <v>35163</v>
          </cell>
          <cell r="B542" t="str">
            <v>英国</v>
          </cell>
          <cell r="C542" t="str">
            <v>香料</v>
          </cell>
          <cell r="D542">
            <v>500</v>
          </cell>
        </row>
        <row r="543">
          <cell r="A543">
            <v>35163</v>
          </cell>
          <cell r="B543" t="str">
            <v>法国</v>
          </cell>
          <cell r="C543" t="str">
            <v>海洋食品</v>
          </cell>
          <cell r="D543">
            <v>455.99999830126762</v>
          </cell>
        </row>
        <row r="544">
          <cell r="A544">
            <v>35164</v>
          </cell>
          <cell r="B544" t="str">
            <v>英国</v>
          </cell>
          <cell r="C544" t="str">
            <v>海洋食品</v>
          </cell>
          <cell r="D544">
            <v>90</v>
          </cell>
        </row>
        <row r="545">
          <cell r="A545">
            <v>35164</v>
          </cell>
          <cell r="B545" t="str">
            <v>英国</v>
          </cell>
          <cell r="C545" t="str">
            <v>饮料</v>
          </cell>
          <cell r="D545">
            <v>828</v>
          </cell>
        </row>
        <row r="546">
          <cell r="A546">
            <v>35164</v>
          </cell>
          <cell r="B546" t="str">
            <v>英国</v>
          </cell>
          <cell r="C546" t="str">
            <v>乳制品</v>
          </cell>
          <cell r="D546">
            <v>1249.5</v>
          </cell>
        </row>
        <row r="547">
          <cell r="A547">
            <v>35164</v>
          </cell>
          <cell r="B547" t="str">
            <v>英国</v>
          </cell>
          <cell r="C547" t="str">
            <v>乳制品</v>
          </cell>
          <cell r="D547">
            <v>564.375</v>
          </cell>
        </row>
        <row r="548">
          <cell r="A548">
            <v>35165</v>
          </cell>
          <cell r="B548" t="str">
            <v>法国</v>
          </cell>
          <cell r="C548" t="str">
            <v>乳制品</v>
          </cell>
          <cell r="D548">
            <v>412.5</v>
          </cell>
        </row>
        <row r="549">
          <cell r="A549">
            <v>35165</v>
          </cell>
          <cell r="B549" t="str">
            <v>法国</v>
          </cell>
          <cell r="C549" t="str">
            <v>糖果</v>
          </cell>
          <cell r="D549">
            <v>1109.25</v>
          </cell>
        </row>
        <row r="550">
          <cell r="A550">
            <v>35165</v>
          </cell>
          <cell r="B550" t="str">
            <v>法国</v>
          </cell>
          <cell r="C550" t="str">
            <v>糖果</v>
          </cell>
          <cell r="D550">
            <v>750</v>
          </cell>
        </row>
        <row r="551">
          <cell r="A551">
            <v>35165</v>
          </cell>
          <cell r="B551" t="str">
            <v>法国</v>
          </cell>
          <cell r="C551" t="str">
            <v>乳制品</v>
          </cell>
          <cell r="D551">
            <v>1740</v>
          </cell>
        </row>
        <row r="552">
          <cell r="A552">
            <v>35166</v>
          </cell>
          <cell r="B552" t="str">
            <v>英国</v>
          </cell>
          <cell r="C552" t="str">
            <v>海洋食品</v>
          </cell>
          <cell r="D552">
            <v>120</v>
          </cell>
        </row>
        <row r="553">
          <cell r="A553">
            <v>35166</v>
          </cell>
          <cell r="B553" t="str">
            <v>英国</v>
          </cell>
          <cell r="C553" t="str">
            <v>乳制品</v>
          </cell>
          <cell r="D553">
            <v>125</v>
          </cell>
        </row>
        <row r="554">
          <cell r="A554">
            <v>35170</v>
          </cell>
          <cell r="B554" t="str">
            <v>英国</v>
          </cell>
          <cell r="C554" t="str">
            <v>香料</v>
          </cell>
          <cell r="D554">
            <v>379.99999970197678</v>
          </cell>
        </row>
        <row r="555">
          <cell r="A555">
            <v>35170</v>
          </cell>
          <cell r="B555" t="str">
            <v>英国</v>
          </cell>
          <cell r="C555" t="str">
            <v>农产品</v>
          </cell>
          <cell r="D555">
            <v>91.2</v>
          </cell>
        </row>
        <row r="556">
          <cell r="A556">
            <v>35171</v>
          </cell>
          <cell r="B556" t="str">
            <v>英国</v>
          </cell>
          <cell r="C556" t="str">
            <v>糖果</v>
          </cell>
          <cell r="D556">
            <v>120</v>
          </cell>
        </row>
        <row r="557">
          <cell r="A557">
            <v>35171</v>
          </cell>
          <cell r="B557" t="str">
            <v>英国</v>
          </cell>
          <cell r="C557" t="str">
            <v>糖果</v>
          </cell>
          <cell r="D557">
            <v>133</v>
          </cell>
        </row>
        <row r="558">
          <cell r="A558">
            <v>35171</v>
          </cell>
          <cell r="B558" t="str">
            <v>英国</v>
          </cell>
          <cell r="C558" t="str">
            <v>农产品</v>
          </cell>
          <cell r="D558">
            <v>424</v>
          </cell>
        </row>
        <row r="559">
          <cell r="A559">
            <v>35173</v>
          </cell>
          <cell r="B559" t="str">
            <v>英国</v>
          </cell>
          <cell r="C559" t="str">
            <v>农产品</v>
          </cell>
          <cell r="D559">
            <v>1350</v>
          </cell>
        </row>
        <row r="560">
          <cell r="A560">
            <v>35173</v>
          </cell>
          <cell r="B560" t="str">
            <v>英国</v>
          </cell>
          <cell r="C560" t="str">
            <v>海洋食品</v>
          </cell>
          <cell r="D560">
            <v>462</v>
          </cell>
        </row>
        <row r="561">
          <cell r="A561">
            <v>35173</v>
          </cell>
          <cell r="B561" t="str">
            <v>英国</v>
          </cell>
          <cell r="C561" t="str">
            <v>肉/家禽</v>
          </cell>
          <cell r="D561">
            <v>656</v>
          </cell>
        </row>
        <row r="562">
          <cell r="A562">
            <v>35173</v>
          </cell>
          <cell r="B562" t="str">
            <v>英国</v>
          </cell>
          <cell r="C562" t="str">
            <v>乳制品</v>
          </cell>
          <cell r="D562">
            <v>324</v>
          </cell>
        </row>
        <row r="563">
          <cell r="A563">
            <v>35173</v>
          </cell>
          <cell r="B563" t="str">
            <v>英国</v>
          </cell>
          <cell r="C563" t="str">
            <v>饮料</v>
          </cell>
          <cell r="D563">
            <v>792</v>
          </cell>
        </row>
        <row r="564">
          <cell r="A564">
            <v>35174</v>
          </cell>
          <cell r="B564" t="str">
            <v>法国</v>
          </cell>
          <cell r="C564" t="str">
            <v>农产品</v>
          </cell>
          <cell r="D564">
            <v>848</v>
          </cell>
        </row>
        <row r="565">
          <cell r="A565">
            <v>35177</v>
          </cell>
          <cell r="B565" t="str">
            <v>英国</v>
          </cell>
          <cell r="C565" t="str">
            <v>糖果</v>
          </cell>
          <cell r="D565">
            <v>110.4</v>
          </cell>
        </row>
        <row r="566">
          <cell r="A566">
            <v>35177</v>
          </cell>
          <cell r="B566" t="str">
            <v>英国</v>
          </cell>
          <cell r="C566" t="str">
            <v>糖果</v>
          </cell>
          <cell r="D566">
            <v>800</v>
          </cell>
        </row>
        <row r="567">
          <cell r="A567">
            <v>35179</v>
          </cell>
          <cell r="B567" t="str">
            <v>法国</v>
          </cell>
          <cell r="C567" t="str">
            <v>香料</v>
          </cell>
          <cell r="D567">
            <v>439</v>
          </cell>
        </row>
        <row r="568">
          <cell r="A568">
            <v>35181</v>
          </cell>
          <cell r="B568" t="str">
            <v>法国</v>
          </cell>
          <cell r="C568" t="str">
            <v>海洋食品</v>
          </cell>
          <cell r="D568">
            <v>428.3999969959259</v>
          </cell>
        </row>
        <row r="569">
          <cell r="A569">
            <v>35181</v>
          </cell>
          <cell r="B569" t="str">
            <v>法国</v>
          </cell>
          <cell r="C569" t="str">
            <v>面食/谷类</v>
          </cell>
          <cell r="D569">
            <v>292.5</v>
          </cell>
        </row>
        <row r="570">
          <cell r="A570">
            <v>35184</v>
          </cell>
          <cell r="B570" t="str">
            <v>法国</v>
          </cell>
          <cell r="C570" t="str">
            <v>糖果</v>
          </cell>
          <cell r="D570">
            <v>959.75</v>
          </cell>
        </row>
        <row r="571">
          <cell r="A571">
            <v>35184</v>
          </cell>
          <cell r="B571" t="str">
            <v>法国</v>
          </cell>
          <cell r="C571" t="str">
            <v>饮料</v>
          </cell>
          <cell r="D571">
            <v>90</v>
          </cell>
        </row>
        <row r="572">
          <cell r="A572">
            <v>35184</v>
          </cell>
          <cell r="B572" t="str">
            <v>法国</v>
          </cell>
          <cell r="C572" t="str">
            <v>海洋食品</v>
          </cell>
          <cell r="D572">
            <v>760</v>
          </cell>
        </row>
        <row r="573">
          <cell r="A573">
            <v>35185</v>
          </cell>
          <cell r="B573" t="str">
            <v>法国</v>
          </cell>
          <cell r="C573" t="str">
            <v>农产品</v>
          </cell>
          <cell r="D573">
            <v>1800</v>
          </cell>
        </row>
        <row r="574">
          <cell r="A574">
            <v>35185</v>
          </cell>
          <cell r="B574" t="str">
            <v>法国</v>
          </cell>
          <cell r="C574" t="str">
            <v>糖果</v>
          </cell>
          <cell r="D574">
            <v>1774.799997061491</v>
          </cell>
        </row>
        <row r="575">
          <cell r="A575">
            <v>35186</v>
          </cell>
          <cell r="B575" t="str">
            <v>英国</v>
          </cell>
          <cell r="C575" t="str">
            <v>饮料</v>
          </cell>
          <cell r="D575">
            <v>759.99999716877937</v>
          </cell>
        </row>
        <row r="576">
          <cell r="A576">
            <v>35186</v>
          </cell>
          <cell r="B576" t="str">
            <v>英国</v>
          </cell>
          <cell r="C576" t="str">
            <v>饮料</v>
          </cell>
          <cell r="D576">
            <v>239.99999910593033</v>
          </cell>
        </row>
        <row r="577">
          <cell r="A577">
            <v>35186</v>
          </cell>
          <cell r="B577" t="str">
            <v>英国</v>
          </cell>
          <cell r="C577" t="str">
            <v>饮料</v>
          </cell>
          <cell r="D577">
            <v>1295.9999951720238</v>
          </cell>
        </row>
        <row r="578">
          <cell r="A578">
            <v>35186</v>
          </cell>
          <cell r="B578" t="str">
            <v>法国</v>
          </cell>
          <cell r="C578" t="str">
            <v>乳制品</v>
          </cell>
          <cell r="D578">
            <v>69.599999999999994</v>
          </cell>
        </row>
        <row r="579">
          <cell r="A579">
            <v>35187</v>
          </cell>
          <cell r="B579" t="str">
            <v>英国</v>
          </cell>
          <cell r="C579" t="str">
            <v>面食/谷类</v>
          </cell>
          <cell r="D579">
            <v>560</v>
          </cell>
        </row>
        <row r="580">
          <cell r="A580">
            <v>35188</v>
          </cell>
          <cell r="B580" t="str">
            <v>英国</v>
          </cell>
          <cell r="C580" t="str">
            <v>海洋食品</v>
          </cell>
          <cell r="D580">
            <v>183.34999985620379</v>
          </cell>
        </row>
        <row r="581">
          <cell r="A581">
            <v>35188</v>
          </cell>
          <cell r="B581" t="str">
            <v>英国</v>
          </cell>
          <cell r="C581" t="str">
            <v>农产品</v>
          </cell>
          <cell r="D581">
            <v>755.24999940767884</v>
          </cell>
        </row>
        <row r="582">
          <cell r="A582">
            <v>35188</v>
          </cell>
          <cell r="B582" t="str">
            <v>英国</v>
          </cell>
          <cell r="C582" t="str">
            <v>香料</v>
          </cell>
          <cell r="D582">
            <v>259.34999979659915</v>
          </cell>
        </row>
        <row r="583">
          <cell r="A583">
            <v>35191</v>
          </cell>
          <cell r="B583" t="str">
            <v>法国</v>
          </cell>
          <cell r="C583" t="str">
            <v>香料</v>
          </cell>
          <cell r="D583">
            <v>412.5</v>
          </cell>
        </row>
        <row r="584">
          <cell r="A584">
            <v>35191</v>
          </cell>
          <cell r="B584" t="str">
            <v>法国</v>
          </cell>
          <cell r="C584" t="str">
            <v>饮料</v>
          </cell>
          <cell r="D584">
            <v>101.25</v>
          </cell>
        </row>
        <row r="585">
          <cell r="A585">
            <v>35191</v>
          </cell>
          <cell r="B585" t="str">
            <v>法国</v>
          </cell>
          <cell r="C585" t="str">
            <v>香料</v>
          </cell>
          <cell r="D585">
            <v>390</v>
          </cell>
        </row>
        <row r="586">
          <cell r="A586">
            <v>35191</v>
          </cell>
          <cell r="B586" t="str">
            <v>法国</v>
          </cell>
          <cell r="C586" t="str">
            <v>海洋食品</v>
          </cell>
          <cell r="D586">
            <v>336</v>
          </cell>
        </row>
        <row r="587">
          <cell r="A587">
            <v>35191</v>
          </cell>
          <cell r="B587" t="str">
            <v>法国</v>
          </cell>
          <cell r="C587" t="str">
            <v>饮料</v>
          </cell>
          <cell r="D587">
            <v>229.49999839067459</v>
          </cell>
        </row>
        <row r="588">
          <cell r="A588">
            <v>35191</v>
          </cell>
          <cell r="B588" t="str">
            <v>法国</v>
          </cell>
          <cell r="C588" t="str">
            <v>面食/谷类</v>
          </cell>
          <cell r="D588">
            <v>285.59999799728394</v>
          </cell>
        </row>
        <row r="589">
          <cell r="A589">
            <v>35191</v>
          </cell>
          <cell r="B589" t="str">
            <v>法国</v>
          </cell>
          <cell r="C589" t="str">
            <v>肉/家禽</v>
          </cell>
          <cell r="D589">
            <v>960</v>
          </cell>
        </row>
        <row r="590">
          <cell r="A590">
            <v>35191</v>
          </cell>
          <cell r="B590" t="str">
            <v>法国</v>
          </cell>
          <cell r="C590" t="str">
            <v>饮料</v>
          </cell>
          <cell r="D590">
            <v>72</v>
          </cell>
        </row>
        <row r="591">
          <cell r="A591">
            <v>35191</v>
          </cell>
          <cell r="B591" t="str">
            <v>法国</v>
          </cell>
          <cell r="C591" t="str">
            <v>海洋食品</v>
          </cell>
          <cell r="D591">
            <v>184</v>
          </cell>
        </row>
        <row r="592">
          <cell r="A592">
            <v>35191</v>
          </cell>
          <cell r="B592" t="str">
            <v>法国</v>
          </cell>
          <cell r="C592" t="str">
            <v>面食/谷类</v>
          </cell>
          <cell r="D592">
            <v>70</v>
          </cell>
        </row>
        <row r="593">
          <cell r="A593">
            <v>35192</v>
          </cell>
          <cell r="B593" t="str">
            <v>法国</v>
          </cell>
          <cell r="C593" t="str">
            <v>饮料</v>
          </cell>
          <cell r="D593">
            <v>144</v>
          </cell>
        </row>
        <row r="594">
          <cell r="A594">
            <v>35192</v>
          </cell>
          <cell r="B594" t="str">
            <v>法国</v>
          </cell>
          <cell r="C594" t="str">
            <v>肉/家禽</v>
          </cell>
          <cell r="D594">
            <v>185.685</v>
          </cell>
        </row>
        <row r="595">
          <cell r="A595">
            <v>35194</v>
          </cell>
          <cell r="B595" t="str">
            <v>英国</v>
          </cell>
          <cell r="C595" t="str">
            <v>糖果</v>
          </cell>
          <cell r="D595">
            <v>436.99999965727329</v>
          </cell>
        </row>
        <row r="596">
          <cell r="A596">
            <v>35194</v>
          </cell>
          <cell r="B596" t="str">
            <v>英国</v>
          </cell>
          <cell r="C596" t="str">
            <v>乳制品</v>
          </cell>
          <cell r="D596">
            <v>1162.7999990880489</v>
          </cell>
        </row>
        <row r="597">
          <cell r="A597">
            <v>35194</v>
          </cell>
          <cell r="B597" t="str">
            <v>英国</v>
          </cell>
          <cell r="C597" t="str">
            <v>乳制品</v>
          </cell>
          <cell r="D597">
            <v>1225.4999990388751</v>
          </cell>
        </row>
        <row r="598">
          <cell r="A598">
            <v>35198</v>
          </cell>
          <cell r="B598" t="str">
            <v>法国</v>
          </cell>
          <cell r="C598" t="str">
            <v>乳制品</v>
          </cell>
          <cell r="D598">
            <v>760</v>
          </cell>
        </row>
        <row r="599">
          <cell r="A599">
            <v>35198</v>
          </cell>
          <cell r="B599" t="str">
            <v>法国</v>
          </cell>
          <cell r="C599" t="str">
            <v>海洋食品</v>
          </cell>
          <cell r="D599">
            <v>625</v>
          </cell>
        </row>
        <row r="600">
          <cell r="A600">
            <v>35198</v>
          </cell>
          <cell r="B600" t="str">
            <v>法国</v>
          </cell>
          <cell r="C600" t="str">
            <v>面食/谷类</v>
          </cell>
          <cell r="D600">
            <v>190</v>
          </cell>
        </row>
        <row r="601">
          <cell r="A601">
            <v>35199</v>
          </cell>
          <cell r="B601" t="str">
            <v>英国</v>
          </cell>
          <cell r="C601" t="str">
            <v>海洋食品</v>
          </cell>
          <cell r="D601">
            <v>632.39999556541443</v>
          </cell>
        </row>
        <row r="602">
          <cell r="A602">
            <v>35199</v>
          </cell>
          <cell r="B602" t="str">
            <v>英国</v>
          </cell>
          <cell r="C602" t="str">
            <v>饮料</v>
          </cell>
          <cell r="D602">
            <v>156.75</v>
          </cell>
        </row>
        <row r="603">
          <cell r="A603">
            <v>35199</v>
          </cell>
          <cell r="B603" t="str">
            <v>英国</v>
          </cell>
          <cell r="C603" t="str">
            <v>糖果</v>
          </cell>
          <cell r="D603">
            <v>1215</v>
          </cell>
        </row>
        <row r="604">
          <cell r="A604">
            <v>35199</v>
          </cell>
          <cell r="B604" t="str">
            <v>英国</v>
          </cell>
          <cell r="C604" t="str">
            <v>糖果</v>
          </cell>
          <cell r="D604">
            <v>1967.49</v>
          </cell>
        </row>
        <row r="605">
          <cell r="A605">
            <v>35199</v>
          </cell>
          <cell r="B605" t="str">
            <v>英国</v>
          </cell>
          <cell r="C605" t="str">
            <v>农产品</v>
          </cell>
          <cell r="D605">
            <v>1749</v>
          </cell>
        </row>
        <row r="606">
          <cell r="A606">
            <v>35199</v>
          </cell>
          <cell r="B606" t="str">
            <v>英国</v>
          </cell>
          <cell r="C606" t="str">
            <v>乳制品</v>
          </cell>
          <cell r="D606">
            <v>1218</v>
          </cell>
        </row>
        <row r="607">
          <cell r="A607">
            <v>35201</v>
          </cell>
          <cell r="B607" t="str">
            <v>英国</v>
          </cell>
          <cell r="C607" t="str">
            <v>肉/家禽</v>
          </cell>
          <cell r="D607">
            <v>840</v>
          </cell>
        </row>
        <row r="608">
          <cell r="A608">
            <v>35201</v>
          </cell>
          <cell r="B608" t="str">
            <v>英国</v>
          </cell>
          <cell r="C608" t="str">
            <v>乳制品</v>
          </cell>
          <cell r="D608">
            <v>1320</v>
          </cell>
        </row>
        <row r="609">
          <cell r="A609">
            <v>35202</v>
          </cell>
          <cell r="B609" t="str">
            <v>法国</v>
          </cell>
          <cell r="C609" t="str">
            <v>饮料</v>
          </cell>
          <cell r="D609">
            <v>1425</v>
          </cell>
        </row>
        <row r="610">
          <cell r="A610">
            <v>35202</v>
          </cell>
          <cell r="B610" t="str">
            <v>法国</v>
          </cell>
          <cell r="C610" t="str">
            <v>香料</v>
          </cell>
          <cell r="D610">
            <v>1494.5</v>
          </cell>
        </row>
        <row r="611">
          <cell r="A611">
            <v>35202</v>
          </cell>
          <cell r="B611" t="str">
            <v>法国</v>
          </cell>
          <cell r="C611" t="str">
            <v>肉/家禽</v>
          </cell>
          <cell r="D611">
            <v>5570.55</v>
          </cell>
        </row>
        <row r="612">
          <cell r="A612">
            <v>35202</v>
          </cell>
          <cell r="B612" t="str">
            <v>法国</v>
          </cell>
          <cell r="C612" t="str">
            <v>乳制品</v>
          </cell>
          <cell r="D612">
            <v>4125</v>
          </cell>
        </row>
        <row r="613">
          <cell r="A613">
            <v>35202</v>
          </cell>
          <cell r="B613" t="str">
            <v>法国</v>
          </cell>
          <cell r="C613" t="str">
            <v>饮料</v>
          </cell>
          <cell r="D613">
            <v>810</v>
          </cell>
        </row>
        <row r="614">
          <cell r="A614">
            <v>35202</v>
          </cell>
          <cell r="B614" t="str">
            <v>法国</v>
          </cell>
          <cell r="C614" t="str">
            <v>海洋食品</v>
          </cell>
          <cell r="D614">
            <v>480</v>
          </cell>
        </row>
        <row r="615">
          <cell r="A615">
            <v>35202</v>
          </cell>
          <cell r="B615" t="str">
            <v>法国</v>
          </cell>
          <cell r="C615" t="str">
            <v>饮料</v>
          </cell>
          <cell r="D615">
            <v>94.5</v>
          </cell>
        </row>
        <row r="616">
          <cell r="A616">
            <v>35202</v>
          </cell>
          <cell r="B616" t="str">
            <v>法国</v>
          </cell>
          <cell r="C616" t="str">
            <v>面食/谷类</v>
          </cell>
          <cell r="D616">
            <v>665</v>
          </cell>
        </row>
        <row r="617">
          <cell r="A617">
            <v>35202</v>
          </cell>
          <cell r="B617" t="str">
            <v>法国</v>
          </cell>
          <cell r="C617" t="str">
            <v>乳制品</v>
          </cell>
          <cell r="D617">
            <v>344</v>
          </cell>
        </row>
        <row r="618">
          <cell r="A618">
            <v>35202</v>
          </cell>
          <cell r="B618" t="str">
            <v>法国</v>
          </cell>
          <cell r="C618" t="str">
            <v>海洋食品</v>
          </cell>
          <cell r="D618">
            <v>665</v>
          </cell>
        </row>
        <row r="619">
          <cell r="A619">
            <v>35202</v>
          </cell>
          <cell r="B619" t="str">
            <v>法国</v>
          </cell>
          <cell r="C619" t="str">
            <v>饮料</v>
          </cell>
          <cell r="D619">
            <v>6587.5</v>
          </cell>
        </row>
        <row r="620">
          <cell r="A620">
            <v>35202</v>
          </cell>
          <cell r="B620" t="str">
            <v>法国</v>
          </cell>
          <cell r="C620" t="str">
            <v>乳制品</v>
          </cell>
          <cell r="D620">
            <v>1650</v>
          </cell>
        </row>
        <row r="621">
          <cell r="A621">
            <v>35205</v>
          </cell>
          <cell r="B621" t="str">
            <v>法国</v>
          </cell>
          <cell r="C621" t="str">
            <v>糖果</v>
          </cell>
          <cell r="D621">
            <v>134.99999977648258</v>
          </cell>
        </row>
        <row r="622">
          <cell r="A622">
            <v>35205</v>
          </cell>
          <cell r="B622" t="str">
            <v>法国</v>
          </cell>
          <cell r="C622" t="str">
            <v>香料</v>
          </cell>
          <cell r="D622">
            <v>233.4</v>
          </cell>
        </row>
        <row r="623">
          <cell r="A623">
            <v>35205</v>
          </cell>
          <cell r="B623" t="str">
            <v>法国</v>
          </cell>
          <cell r="C623" t="str">
            <v>香料</v>
          </cell>
          <cell r="D623">
            <v>171</v>
          </cell>
        </row>
        <row r="624">
          <cell r="A624">
            <v>35205</v>
          </cell>
          <cell r="B624" t="str">
            <v>英国</v>
          </cell>
          <cell r="C624" t="str">
            <v>海洋食品</v>
          </cell>
          <cell r="D624">
            <v>42</v>
          </cell>
        </row>
        <row r="625">
          <cell r="A625">
            <v>35205</v>
          </cell>
          <cell r="B625" t="str">
            <v>英国</v>
          </cell>
          <cell r="C625" t="str">
            <v>乳制品</v>
          </cell>
          <cell r="D625">
            <v>1650</v>
          </cell>
        </row>
        <row r="626">
          <cell r="A626">
            <v>35207</v>
          </cell>
          <cell r="B626" t="str">
            <v>法国</v>
          </cell>
          <cell r="C626" t="str">
            <v>糖果</v>
          </cell>
          <cell r="D626">
            <v>200</v>
          </cell>
        </row>
        <row r="627">
          <cell r="A627">
            <v>35208</v>
          </cell>
          <cell r="B627" t="str">
            <v>英国</v>
          </cell>
          <cell r="C627" t="str">
            <v>乳制品</v>
          </cell>
          <cell r="D627">
            <v>721.99999943375587</v>
          </cell>
        </row>
        <row r="628">
          <cell r="A628">
            <v>35208</v>
          </cell>
          <cell r="B628" t="str">
            <v>英国</v>
          </cell>
          <cell r="C628" t="str">
            <v>乳制品</v>
          </cell>
          <cell r="D628">
            <v>455.99999964237213</v>
          </cell>
        </row>
        <row r="629">
          <cell r="A629">
            <v>35208</v>
          </cell>
          <cell r="B629" t="str">
            <v>英国</v>
          </cell>
          <cell r="C629" t="str">
            <v>饮料</v>
          </cell>
          <cell r="D629">
            <v>307.79999975860119</v>
          </cell>
        </row>
        <row r="630">
          <cell r="A630">
            <v>35214</v>
          </cell>
          <cell r="B630" t="str">
            <v>英国</v>
          </cell>
          <cell r="C630" t="str">
            <v>糖果</v>
          </cell>
          <cell r="D630">
            <v>30</v>
          </cell>
        </row>
        <row r="631">
          <cell r="A631">
            <v>35214</v>
          </cell>
          <cell r="B631" t="str">
            <v>英国</v>
          </cell>
          <cell r="C631" t="str">
            <v>乳制品</v>
          </cell>
          <cell r="D631">
            <v>714</v>
          </cell>
        </row>
        <row r="632">
          <cell r="A632">
            <v>35214</v>
          </cell>
          <cell r="B632" t="str">
            <v>英国</v>
          </cell>
          <cell r="C632" t="str">
            <v>香料</v>
          </cell>
          <cell r="D632">
            <v>114</v>
          </cell>
        </row>
        <row r="633">
          <cell r="A633">
            <v>35215</v>
          </cell>
          <cell r="B633" t="str">
            <v>法国</v>
          </cell>
          <cell r="C633" t="str">
            <v>乳制品</v>
          </cell>
          <cell r="D633">
            <v>510</v>
          </cell>
        </row>
        <row r="634">
          <cell r="A634">
            <v>35216</v>
          </cell>
          <cell r="B634" t="str">
            <v>法国</v>
          </cell>
          <cell r="C634" t="str">
            <v>肉/家禽</v>
          </cell>
          <cell r="D634">
            <v>2702.6999955251813</v>
          </cell>
        </row>
        <row r="635">
          <cell r="A635">
            <v>35216</v>
          </cell>
          <cell r="B635" t="str">
            <v>法国</v>
          </cell>
          <cell r="C635" t="str">
            <v>海洋食品</v>
          </cell>
          <cell r="D635">
            <v>115.8</v>
          </cell>
        </row>
        <row r="636">
          <cell r="A636">
            <v>35216</v>
          </cell>
          <cell r="B636" t="str">
            <v>法国</v>
          </cell>
          <cell r="C636" t="str">
            <v>肉/家禽</v>
          </cell>
          <cell r="D636">
            <v>737.99999877810478</v>
          </cell>
        </row>
        <row r="637">
          <cell r="A637">
            <v>35216</v>
          </cell>
          <cell r="B637" t="str">
            <v>法国</v>
          </cell>
          <cell r="C637" t="str">
            <v>肉/家禽</v>
          </cell>
          <cell r="D637">
            <v>86.399999856948853</v>
          </cell>
        </row>
        <row r="638">
          <cell r="A638">
            <v>35216</v>
          </cell>
          <cell r="B638" t="str">
            <v>法国</v>
          </cell>
          <cell r="C638" t="str">
            <v>糖果</v>
          </cell>
          <cell r="D638">
            <v>687.5</v>
          </cell>
        </row>
        <row r="639">
          <cell r="A639">
            <v>35216</v>
          </cell>
          <cell r="B639" t="str">
            <v>法国</v>
          </cell>
          <cell r="C639" t="str">
            <v>糖果</v>
          </cell>
          <cell r="D639">
            <v>52.35</v>
          </cell>
        </row>
        <row r="640">
          <cell r="A640">
            <v>35216</v>
          </cell>
          <cell r="B640" t="str">
            <v>法国</v>
          </cell>
          <cell r="C640" t="str">
            <v>糖果</v>
          </cell>
          <cell r="D640">
            <v>386.4</v>
          </cell>
        </row>
        <row r="641">
          <cell r="A641">
            <v>35216</v>
          </cell>
          <cell r="B641" t="str">
            <v>法国</v>
          </cell>
          <cell r="C641" t="str">
            <v>饮料</v>
          </cell>
          <cell r="D641">
            <v>490</v>
          </cell>
        </row>
        <row r="642">
          <cell r="A642">
            <v>35219</v>
          </cell>
          <cell r="B642" t="str">
            <v>英国</v>
          </cell>
          <cell r="C642" t="str">
            <v>海洋食品</v>
          </cell>
          <cell r="D642">
            <v>86.85</v>
          </cell>
        </row>
        <row r="643">
          <cell r="A643">
            <v>35220</v>
          </cell>
          <cell r="B643" t="str">
            <v>英国</v>
          </cell>
          <cell r="C643" t="str">
            <v>饮料</v>
          </cell>
          <cell r="D643">
            <v>611.99999570846558</v>
          </cell>
        </row>
        <row r="644">
          <cell r="A644">
            <v>35220</v>
          </cell>
          <cell r="B644" t="str">
            <v>英国</v>
          </cell>
          <cell r="C644" t="str">
            <v>饮料</v>
          </cell>
          <cell r="D644">
            <v>322.9999977350235</v>
          </cell>
        </row>
        <row r="645">
          <cell r="A645">
            <v>35220</v>
          </cell>
          <cell r="B645" t="str">
            <v>英国</v>
          </cell>
          <cell r="C645" t="str">
            <v>糖果</v>
          </cell>
          <cell r="D645">
            <v>444.97499687969685</v>
          </cell>
        </row>
        <row r="646">
          <cell r="A646">
            <v>35220</v>
          </cell>
          <cell r="B646" t="str">
            <v>英国</v>
          </cell>
          <cell r="C646" t="str">
            <v>乳制品</v>
          </cell>
          <cell r="D646">
            <v>250</v>
          </cell>
        </row>
        <row r="647">
          <cell r="A647">
            <v>35221</v>
          </cell>
          <cell r="B647" t="str">
            <v>法国</v>
          </cell>
          <cell r="C647" t="str">
            <v>饮料</v>
          </cell>
          <cell r="D647">
            <v>364.7999986410141</v>
          </cell>
        </row>
        <row r="648">
          <cell r="A648">
            <v>35221</v>
          </cell>
          <cell r="B648" t="str">
            <v>法国</v>
          </cell>
          <cell r="C648" t="str">
            <v>香料</v>
          </cell>
          <cell r="D648">
            <v>40</v>
          </cell>
        </row>
        <row r="649">
          <cell r="A649">
            <v>35221</v>
          </cell>
          <cell r="B649" t="str">
            <v>法国</v>
          </cell>
          <cell r="C649" t="str">
            <v>香料</v>
          </cell>
          <cell r="D649">
            <v>22</v>
          </cell>
        </row>
        <row r="650">
          <cell r="A650">
            <v>35221</v>
          </cell>
          <cell r="B650" t="str">
            <v>法国</v>
          </cell>
          <cell r="C650" t="str">
            <v>香料</v>
          </cell>
          <cell r="D650">
            <v>24.500000011175871</v>
          </cell>
        </row>
        <row r="651">
          <cell r="A651">
            <v>35221</v>
          </cell>
          <cell r="B651" t="str">
            <v>法国</v>
          </cell>
          <cell r="C651" t="str">
            <v>农产品</v>
          </cell>
          <cell r="D651">
            <v>28.499999977648258</v>
          </cell>
        </row>
        <row r="652">
          <cell r="A652">
            <v>35221</v>
          </cell>
          <cell r="B652" t="str">
            <v>法国</v>
          </cell>
          <cell r="C652" t="str">
            <v>香料</v>
          </cell>
          <cell r="D652">
            <v>71.99999988079071</v>
          </cell>
        </row>
        <row r="653">
          <cell r="A653">
            <v>35221</v>
          </cell>
          <cell r="B653" t="str">
            <v>法国</v>
          </cell>
          <cell r="C653" t="str">
            <v>海洋食品</v>
          </cell>
          <cell r="D653">
            <v>31</v>
          </cell>
        </row>
        <row r="654">
          <cell r="A654">
            <v>35221</v>
          </cell>
          <cell r="B654" t="str">
            <v>法国</v>
          </cell>
          <cell r="C654" t="str">
            <v>乳制品</v>
          </cell>
          <cell r="D654">
            <v>72.199999943375587</v>
          </cell>
        </row>
        <row r="655">
          <cell r="A655">
            <v>35221</v>
          </cell>
          <cell r="B655" t="str">
            <v>法国</v>
          </cell>
          <cell r="C655" t="str">
            <v>海洋食品</v>
          </cell>
          <cell r="D655">
            <v>24</v>
          </cell>
        </row>
        <row r="656">
          <cell r="A656">
            <v>35221</v>
          </cell>
          <cell r="B656" t="str">
            <v>法国</v>
          </cell>
          <cell r="C656" t="str">
            <v>农产品</v>
          </cell>
          <cell r="D656">
            <v>22.55250001559034</v>
          </cell>
        </row>
        <row r="657">
          <cell r="A657">
            <v>35221</v>
          </cell>
          <cell r="B657" t="str">
            <v>法国</v>
          </cell>
          <cell r="C657" t="str">
            <v>糖果</v>
          </cell>
          <cell r="D657">
            <v>33.853000023402274</v>
          </cell>
        </row>
        <row r="658">
          <cell r="A658">
            <v>35221</v>
          </cell>
          <cell r="B658" t="str">
            <v>法国</v>
          </cell>
          <cell r="C658" t="str">
            <v>糖果</v>
          </cell>
          <cell r="D658">
            <v>77.760000072419643</v>
          </cell>
        </row>
        <row r="659">
          <cell r="A659">
            <v>35221</v>
          </cell>
          <cell r="B659" t="str">
            <v>法国</v>
          </cell>
          <cell r="C659" t="str">
            <v>面食/谷类</v>
          </cell>
          <cell r="D659">
            <v>18</v>
          </cell>
        </row>
        <row r="660">
          <cell r="A660">
            <v>35221</v>
          </cell>
          <cell r="B660" t="str">
            <v>法国</v>
          </cell>
          <cell r="C660" t="str">
            <v>乳制品</v>
          </cell>
          <cell r="D660">
            <v>32</v>
          </cell>
        </row>
        <row r="661">
          <cell r="A661">
            <v>35221</v>
          </cell>
          <cell r="B661" t="str">
            <v>法国</v>
          </cell>
          <cell r="C661" t="str">
            <v>饮料</v>
          </cell>
          <cell r="D661">
            <v>34.19999997317791</v>
          </cell>
        </row>
        <row r="662">
          <cell r="A662">
            <v>35221</v>
          </cell>
          <cell r="B662" t="str">
            <v>法国</v>
          </cell>
          <cell r="C662" t="str">
            <v>海洋食品</v>
          </cell>
          <cell r="D662">
            <v>28.95</v>
          </cell>
        </row>
        <row r="663">
          <cell r="A663">
            <v>35221</v>
          </cell>
          <cell r="B663" t="str">
            <v>法国</v>
          </cell>
          <cell r="C663" t="str">
            <v>海洋食品</v>
          </cell>
          <cell r="D663">
            <v>35.280000016093254</v>
          </cell>
        </row>
        <row r="664">
          <cell r="A664">
            <v>35221</v>
          </cell>
          <cell r="B664" t="str">
            <v>法国</v>
          </cell>
          <cell r="C664" t="str">
            <v>面食/谷类</v>
          </cell>
          <cell r="D664">
            <v>14</v>
          </cell>
        </row>
        <row r="665">
          <cell r="A665">
            <v>35221</v>
          </cell>
          <cell r="B665" t="str">
            <v>法国</v>
          </cell>
          <cell r="C665" t="str">
            <v>肉/家禽</v>
          </cell>
          <cell r="D665">
            <v>48</v>
          </cell>
        </row>
        <row r="666">
          <cell r="A666">
            <v>35221</v>
          </cell>
          <cell r="B666" t="str">
            <v>法国</v>
          </cell>
          <cell r="C666" t="str">
            <v>乳制品</v>
          </cell>
          <cell r="D666">
            <v>63.920000091195107</v>
          </cell>
        </row>
        <row r="667">
          <cell r="A667">
            <v>35221</v>
          </cell>
          <cell r="B667" t="str">
            <v>法国</v>
          </cell>
          <cell r="C667" t="str">
            <v>面食/谷类</v>
          </cell>
          <cell r="D667">
            <v>64.505000044591725</v>
          </cell>
        </row>
        <row r="668">
          <cell r="A668">
            <v>35221</v>
          </cell>
          <cell r="B668" t="str">
            <v>法国</v>
          </cell>
          <cell r="C668" t="str">
            <v>香料</v>
          </cell>
          <cell r="D668">
            <v>17</v>
          </cell>
        </row>
        <row r="669">
          <cell r="A669">
            <v>35221</v>
          </cell>
          <cell r="B669" t="str">
            <v>法国</v>
          </cell>
          <cell r="C669" t="str">
            <v>海洋食品</v>
          </cell>
          <cell r="D669">
            <v>29.700000006705523</v>
          </cell>
        </row>
        <row r="670">
          <cell r="A670">
            <v>35221</v>
          </cell>
          <cell r="B670" t="str">
            <v>法国</v>
          </cell>
          <cell r="C670" t="str">
            <v>饮料</v>
          </cell>
          <cell r="D670">
            <v>31</v>
          </cell>
        </row>
        <row r="671">
          <cell r="A671">
            <v>35221</v>
          </cell>
          <cell r="B671" t="str">
            <v>法国</v>
          </cell>
          <cell r="C671" t="str">
            <v>香料</v>
          </cell>
          <cell r="D671">
            <v>26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注意事项"/>
      <sheetName val="第1题"/>
      <sheetName val="第1题图片"/>
      <sheetName val="第2题"/>
      <sheetName val="第2题图形"/>
      <sheetName val="第2题Query图片"/>
      <sheetName val="第2题透视表"/>
      <sheetName val="第3题"/>
      <sheetName val="第4题"/>
      <sheetName val="第5题"/>
      <sheetName val="第5题图形"/>
      <sheetName val="第6题"/>
      <sheetName val="第6题图形"/>
      <sheetName val="第7题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注意事项"/>
      <sheetName val="第1题"/>
      <sheetName val="第1题图片"/>
      <sheetName val="第2题"/>
      <sheetName val="第2题图形"/>
      <sheetName val="第2题Query图片"/>
      <sheetName val="第2题透视表"/>
      <sheetName val="第3题"/>
      <sheetName val="第4题"/>
      <sheetName val="第5题"/>
      <sheetName val="第5题图形"/>
      <sheetName val="第6题"/>
      <sheetName val="第6题图形"/>
      <sheetName val="第7题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注意事项"/>
      <sheetName val="第1题"/>
      <sheetName val="第1题图片"/>
      <sheetName val="第2题"/>
      <sheetName val="第2题图形"/>
      <sheetName val="第2题Query图片"/>
      <sheetName val="第2题透视表"/>
      <sheetName val="第3题"/>
      <sheetName val="第4题"/>
      <sheetName val="第5题"/>
      <sheetName val="第5题图形"/>
      <sheetName val="第6题"/>
      <sheetName val="第6题图形"/>
      <sheetName val="第7题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注意事项"/>
      <sheetName val="第1题"/>
      <sheetName val="第2题"/>
      <sheetName val="第3题"/>
      <sheetName val="第4题"/>
      <sheetName val="第5题"/>
      <sheetName val="第6题"/>
      <sheetName val="第7题"/>
      <sheetName val="数据"/>
    </sheetNames>
    <sheetDataSet>
      <sheetData sheetId="0" refreshError="1"/>
      <sheetData sheetId="1">
        <row r="3">
          <cell r="C3" t="str">
            <v>98经济法</v>
          </cell>
          <cell r="D3" t="str">
            <v>98经济法</v>
          </cell>
          <cell r="E3" t="str">
            <v>99外国语言文学类</v>
          </cell>
          <cell r="F3" t="str">
            <v>98经贸外语</v>
          </cell>
        </row>
        <row r="4">
          <cell r="C4" t="str">
            <v>98国际经济法</v>
          </cell>
          <cell r="D4" t="str">
            <v>98国际经济法</v>
          </cell>
          <cell r="E4" t="str">
            <v>99市场营销</v>
          </cell>
          <cell r="F4" t="str">
            <v>99经贸英语</v>
          </cell>
        </row>
        <row r="5">
          <cell r="C5" t="str">
            <v>98国际金融(1)</v>
          </cell>
          <cell r="D5" t="str">
            <v>98国际金融(1)</v>
          </cell>
          <cell r="E5" t="str">
            <v>99银行与国际金融2</v>
          </cell>
          <cell r="F5" t="str">
            <v>99国际经济与贸易</v>
          </cell>
        </row>
        <row r="6">
          <cell r="C6" t="str">
            <v>98国际金融(2)</v>
          </cell>
          <cell r="D6" t="str">
            <v>98国际金融(2)</v>
          </cell>
          <cell r="E6" t="str">
            <v>99保险</v>
          </cell>
          <cell r="F6" t="str">
            <v>99证券与投资</v>
          </cell>
        </row>
        <row r="7">
          <cell r="C7" t="str">
            <v>98市场营销(2)</v>
          </cell>
          <cell r="D7" t="str">
            <v>98万泰投资学院2班</v>
          </cell>
          <cell r="E7" t="str">
            <v>99工程管理</v>
          </cell>
          <cell r="F7" t="str">
            <v>99市场营销</v>
          </cell>
        </row>
        <row r="8">
          <cell r="C8" t="str">
            <v>98市场营销(1)</v>
          </cell>
          <cell r="D8" t="str">
            <v>98市场营销(1)</v>
          </cell>
          <cell r="E8" t="str">
            <v>99工商管理</v>
          </cell>
          <cell r="F8" t="str">
            <v>99银行与国际金融2</v>
          </cell>
        </row>
        <row r="9">
          <cell r="C9" t="str">
            <v>98国际企业管理</v>
          </cell>
          <cell r="D9" t="str">
            <v>98企业管理</v>
          </cell>
          <cell r="E9" t="str">
            <v>99人力资源管理</v>
          </cell>
          <cell r="F9" t="str">
            <v>99工程管理</v>
          </cell>
        </row>
        <row r="10">
          <cell r="C10" t="str">
            <v>98企业管理</v>
          </cell>
          <cell r="D10" t="str">
            <v>98国际企业管理</v>
          </cell>
          <cell r="E10" t="str">
            <v>99国际经济与贸易</v>
          </cell>
          <cell r="F10" t="str">
            <v>99工商管理</v>
          </cell>
        </row>
        <row r="11">
          <cell r="C11" t="str">
            <v>98国际贸易</v>
          </cell>
          <cell r="D11" t="str">
            <v>98市场营销(2)</v>
          </cell>
          <cell r="E11" t="str">
            <v>99银行与国际金融1</v>
          </cell>
          <cell r="F11" t="str">
            <v>99人力资源管理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注意事项"/>
      <sheetName val="第1题"/>
      <sheetName val="第2题"/>
      <sheetName val="第3题"/>
      <sheetName val="第4题"/>
      <sheetName val="第5题"/>
      <sheetName val="第6题"/>
      <sheetName val="第7题"/>
      <sheetName val="数据"/>
    </sheetNames>
    <sheetDataSet>
      <sheetData sheetId="0" refreshError="1"/>
      <sheetData sheetId="1">
        <row r="3">
          <cell r="C3" t="str">
            <v>98经济法</v>
          </cell>
          <cell r="D3" t="str">
            <v>98经济法</v>
          </cell>
          <cell r="E3" t="str">
            <v>99外国语言文学类</v>
          </cell>
          <cell r="F3" t="str">
            <v>98经贸外语</v>
          </cell>
        </row>
        <row r="4">
          <cell r="C4" t="str">
            <v>98国际经济法</v>
          </cell>
          <cell r="D4" t="str">
            <v>98国际经济法</v>
          </cell>
          <cell r="E4" t="str">
            <v>99市场营销</v>
          </cell>
          <cell r="F4" t="str">
            <v>99经贸英语</v>
          </cell>
        </row>
        <row r="5">
          <cell r="C5" t="str">
            <v>98国际金融(1)</v>
          </cell>
          <cell r="D5" t="str">
            <v>98国际金融(1)</v>
          </cell>
          <cell r="E5" t="str">
            <v>99银行与国际金融2</v>
          </cell>
          <cell r="F5" t="str">
            <v>99国际经济与贸易</v>
          </cell>
        </row>
        <row r="6">
          <cell r="C6" t="str">
            <v>98国际金融(2)</v>
          </cell>
          <cell r="D6" t="str">
            <v>98国际金融(2)</v>
          </cell>
          <cell r="E6" t="str">
            <v>99保险</v>
          </cell>
          <cell r="F6" t="str">
            <v>99证券与投资</v>
          </cell>
        </row>
        <row r="7">
          <cell r="C7" t="str">
            <v>98市场营销(2)</v>
          </cell>
          <cell r="D7" t="str">
            <v>98万泰投资学院2班</v>
          </cell>
          <cell r="E7" t="str">
            <v>99工程管理</v>
          </cell>
          <cell r="F7" t="str">
            <v>99市场营销</v>
          </cell>
        </row>
        <row r="8">
          <cell r="C8" t="str">
            <v>98市场营销(1)</v>
          </cell>
          <cell r="D8" t="str">
            <v>98市场营销(1)</v>
          </cell>
          <cell r="E8" t="str">
            <v>99工商管理</v>
          </cell>
          <cell r="F8" t="str">
            <v>99银行与国际金融2</v>
          </cell>
        </row>
        <row r="9">
          <cell r="C9" t="str">
            <v>98国际企业管理</v>
          </cell>
          <cell r="D9" t="str">
            <v>98企业管理</v>
          </cell>
          <cell r="E9" t="str">
            <v>99人力资源管理</v>
          </cell>
          <cell r="F9" t="str">
            <v>99工程管理</v>
          </cell>
        </row>
        <row r="10">
          <cell r="C10" t="str">
            <v>98企业管理</v>
          </cell>
          <cell r="D10" t="str">
            <v>98国际企业管理</v>
          </cell>
          <cell r="E10" t="str">
            <v>99国际经济与贸易</v>
          </cell>
          <cell r="F10" t="str">
            <v>99工商管理</v>
          </cell>
        </row>
        <row r="11">
          <cell r="C11" t="str">
            <v>98国际贸易</v>
          </cell>
          <cell r="D11" t="str">
            <v>98市场营销(2)</v>
          </cell>
          <cell r="E11" t="str">
            <v>99银行与国际金融1</v>
          </cell>
          <cell r="F11" t="str">
            <v>99人力资源管理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注意事项"/>
      <sheetName val="第1题"/>
      <sheetName val="第2题"/>
      <sheetName val="第3题"/>
      <sheetName val="第4题"/>
      <sheetName val="第5题"/>
      <sheetName val="第6题"/>
      <sheetName val="第7题"/>
      <sheetName val="数据"/>
    </sheetNames>
    <sheetDataSet>
      <sheetData sheetId="0" refreshError="1"/>
      <sheetData sheetId="1">
        <row r="3">
          <cell r="C3" t="str">
            <v>98经济法</v>
          </cell>
          <cell r="D3" t="str">
            <v>98经济法</v>
          </cell>
          <cell r="E3" t="str">
            <v>99外国语言文学类</v>
          </cell>
          <cell r="F3" t="str">
            <v>98经贸外语</v>
          </cell>
        </row>
        <row r="4">
          <cell r="C4" t="str">
            <v>98国际经济法</v>
          </cell>
          <cell r="D4" t="str">
            <v>98国际经济法</v>
          </cell>
          <cell r="E4" t="str">
            <v>99市场营销</v>
          </cell>
          <cell r="F4" t="str">
            <v>99经贸英语</v>
          </cell>
        </row>
        <row r="5">
          <cell r="C5" t="str">
            <v>98国际金融(1)</v>
          </cell>
          <cell r="D5" t="str">
            <v>98国际金融(1)</v>
          </cell>
          <cell r="E5" t="str">
            <v>99银行与国际金融2</v>
          </cell>
          <cell r="F5" t="str">
            <v>99国际经济与贸易</v>
          </cell>
        </row>
        <row r="6">
          <cell r="C6" t="str">
            <v>98国际金融(2)</v>
          </cell>
          <cell r="D6" t="str">
            <v>98国际金融(2)</v>
          </cell>
          <cell r="E6" t="str">
            <v>99保险</v>
          </cell>
          <cell r="F6" t="str">
            <v>99证券与投资</v>
          </cell>
        </row>
        <row r="7">
          <cell r="C7" t="str">
            <v>98市场营销(2)</v>
          </cell>
          <cell r="D7" t="str">
            <v>98万泰投资学院2班</v>
          </cell>
          <cell r="E7" t="str">
            <v>99工程管理</v>
          </cell>
          <cell r="F7" t="str">
            <v>99市场营销</v>
          </cell>
        </row>
        <row r="8">
          <cell r="C8" t="str">
            <v>98市场营销(1)</v>
          </cell>
          <cell r="D8" t="str">
            <v>98市场营销(1)</v>
          </cell>
          <cell r="E8" t="str">
            <v>99工商管理</v>
          </cell>
          <cell r="F8" t="str">
            <v>99银行与国际金融2</v>
          </cell>
        </row>
        <row r="9">
          <cell r="C9" t="str">
            <v>98国际企业管理</v>
          </cell>
          <cell r="D9" t="str">
            <v>98企业管理</v>
          </cell>
          <cell r="E9" t="str">
            <v>99人力资源管理</v>
          </cell>
          <cell r="F9" t="str">
            <v>99工程管理</v>
          </cell>
        </row>
        <row r="10">
          <cell r="C10" t="str">
            <v>98企业管理</v>
          </cell>
          <cell r="D10" t="str">
            <v>98国际企业管理</v>
          </cell>
          <cell r="E10" t="str">
            <v>99国际经济与贸易</v>
          </cell>
          <cell r="F10" t="str">
            <v>99工商管理</v>
          </cell>
        </row>
        <row r="11">
          <cell r="C11" t="str">
            <v>98国际贸易</v>
          </cell>
          <cell r="D11" t="str">
            <v>98市场营销(2)</v>
          </cell>
          <cell r="E11" t="str">
            <v>99银行与国际金融1</v>
          </cell>
          <cell r="F11" t="str">
            <v>99人力资源管理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例4-8"/>
      <sheetName val="纳税数据变化图"/>
      <sheetName val="季节指数计算模型"/>
      <sheetName val="消除季节影响的纳税总额变化图"/>
      <sheetName val="纳税总额观测值及其季节预测值图形"/>
    </sheetNames>
    <sheetDataSet>
      <sheetData sheetId="0" refreshError="1"/>
      <sheetData sheetId="1" refreshError="1"/>
      <sheetData sheetId="2">
        <row r="5">
          <cell r="E5">
            <v>1.0714285714285714</v>
          </cell>
        </row>
        <row r="6">
          <cell r="E6">
            <v>1.1168384879725086</v>
          </cell>
        </row>
        <row r="7">
          <cell r="E7">
            <v>0.96989966555183948</v>
          </cell>
        </row>
        <row r="8">
          <cell r="E8">
            <v>0.84690553745928343</v>
          </cell>
        </row>
        <row r="10">
          <cell r="E10">
            <v>1.0691823899371067</v>
          </cell>
        </row>
        <row r="11">
          <cell r="E11">
            <v>1.1490683229813665</v>
          </cell>
        </row>
        <row r="12">
          <cell r="E12">
            <v>0.91185410334346506</v>
          </cell>
        </row>
        <row r="13">
          <cell r="E13">
            <v>0.83333333333333315</v>
          </cell>
        </row>
        <row r="15">
          <cell r="E15">
            <v>1.0932944606413995</v>
          </cell>
        </row>
        <row r="16">
          <cell r="E16">
            <v>1.1271676300578035</v>
          </cell>
        </row>
        <row r="17">
          <cell r="E17">
            <v>0.9</v>
          </cell>
        </row>
        <row r="18">
          <cell r="E18">
            <v>0.83098591549295786</v>
          </cell>
        </row>
      </sheetData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例4-8"/>
      <sheetName val="纳税数据变化图"/>
      <sheetName val="季节指数计算模型"/>
      <sheetName val="消除季节影响的纳税总额变化图"/>
      <sheetName val="纳税总额观测值及其季节预测值图形"/>
    </sheetNames>
    <sheetDataSet>
      <sheetData sheetId="0" refreshError="1"/>
      <sheetData sheetId="1" refreshError="1"/>
      <sheetData sheetId="2">
        <row r="5">
          <cell r="E5">
            <v>1.0714285714285714</v>
          </cell>
        </row>
        <row r="6">
          <cell r="E6">
            <v>1.1168384879725086</v>
          </cell>
        </row>
        <row r="7">
          <cell r="E7">
            <v>0.96989966555183948</v>
          </cell>
        </row>
        <row r="8">
          <cell r="E8">
            <v>0.84690553745928343</v>
          </cell>
        </row>
        <row r="10">
          <cell r="E10">
            <v>1.0691823899371067</v>
          </cell>
        </row>
        <row r="11">
          <cell r="E11">
            <v>1.1490683229813665</v>
          </cell>
        </row>
        <row r="12">
          <cell r="E12">
            <v>0.91185410334346506</v>
          </cell>
        </row>
        <row r="13">
          <cell r="E13">
            <v>0.83333333333333315</v>
          </cell>
        </row>
        <row r="15">
          <cell r="E15">
            <v>1.0932944606413995</v>
          </cell>
        </row>
        <row r="16">
          <cell r="E16">
            <v>1.1271676300578035</v>
          </cell>
        </row>
        <row r="17">
          <cell r="E17">
            <v>0.9</v>
          </cell>
        </row>
        <row r="18">
          <cell r="E18">
            <v>0.83098591549295786</v>
          </cell>
        </row>
      </sheetData>
      <sheetData sheetId="3" refreshError="1"/>
      <sheetData sheetId="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例4-8"/>
      <sheetName val="纳税数据变化图"/>
      <sheetName val="季节指数计算模型"/>
      <sheetName val="消除季节影响的纳税总额变化图"/>
      <sheetName val="纳税总额观测值及其季节预测值图形"/>
    </sheetNames>
    <sheetDataSet>
      <sheetData sheetId="0" refreshError="1"/>
      <sheetData sheetId="1" refreshError="1"/>
      <sheetData sheetId="2">
        <row r="5">
          <cell r="E5">
            <v>1.0714285714285714</v>
          </cell>
        </row>
        <row r="6">
          <cell r="E6">
            <v>1.1168384879725086</v>
          </cell>
        </row>
        <row r="7">
          <cell r="E7">
            <v>0.96989966555183948</v>
          </cell>
        </row>
        <row r="8">
          <cell r="E8">
            <v>0.84690553745928343</v>
          </cell>
        </row>
        <row r="10">
          <cell r="E10">
            <v>1.0691823899371067</v>
          </cell>
        </row>
        <row r="11">
          <cell r="E11">
            <v>1.1490683229813665</v>
          </cell>
        </row>
        <row r="12">
          <cell r="E12">
            <v>0.91185410334346506</v>
          </cell>
        </row>
        <row r="13">
          <cell r="E13">
            <v>0.83333333333333315</v>
          </cell>
        </row>
        <row r="15">
          <cell r="E15">
            <v>1.0932944606413995</v>
          </cell>
        </row>
        <row r="16">
          <cell r="E16">
            <v>1.1271676300578035</v>
          </cell>
        </row>
        <row r="17">
          <cell r="E17">
            <v>0.9</v>
          </cell>
        </row>
        <row r="18">
          <cell r="E18">
            <v>0.83098591549295786</v>
          </cell>
        </row>
      </sheetData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4037;&#20316;&#31807;2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微软用户" refreshedDate="43473.411033680553" createdVersion="4" refreshedVersion="4" minRefreshableVersion="3" recordCount="830">
  <cacheSource type="worksheet">
    <worksheetSource name="表_查询来自_NW" r:id="rId2"/>
  </cacheSource>
  <cacheFields count="5">
    <cacheField name="订购日期" numFmtId="22">
      <sharedItems containsSemiMixedTypes="0" containsNonDate="0" containsDate="1" containsString="0" minDate="1996-07-04T00:00:00" maxDate="1998-05-07T00:00:00" count="480">
        <d v="1996-07-04T00:00:00"/>
        <d v="1996-07-05T00:00:00"/>
        <d v="1996-07-08T00:00:00"/>
        <d v="1996-07-09T00:00:00"/>
        <d v="1996-07-10T00:00:00"/>
        <d v="1996-07-11T00:00:00"/>
        <d v="1996-07-12T00:00:00"/>
        <d v="1996-07-15T00:00:00"/>
        <d v="1996-07-16T00:00:00"/>
        <d v="1996-07-17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2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3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5T00:00:00"/>
        <d v="1996-12-26T00:00:00"/>
        <d v="1996-12-27T00:00:00"/>
        <d v="1996-12-30T00:00:00"/>
        <d v="1996-12-31T00:00:00"/>
        <d v="1997-01-0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7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28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6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4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1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7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5T00:00:00"/>
        <d v="1997-12-26T00:00:00"/>
        <d v="1997-12-29T00:00:00"/>
        <d v="1997-12-30T00:00:00"/>
        <d v="1997-12-31T00:00:00"/>
        <d v="1998-01-0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</sharedItems>
      <fieldGroup base="0">
        <rangePr groupBy="years" startDate="1996-07-04T00:00:00" endDate="1998-05-07T00:00:00"/>
        <groupItems count="5">
          <s v="&lt;1996-7-4"/>
          <s v="1996年"/>
          <s v="1997年"/>
          <s v="1998年"/>
          <s v="&gt;1998-5-7"/>
        </groupItems>
      </fieldGroup>
    </cacheField>
    <cacheField name="公司名称" numFmtId="0">
      <sharedItems count="89">
        <s v="山泰企业"/>
        <s v="东帝望"/>
        <s v="千固"/>
        <s v="实翼"/>
        <s v="福星制衣厂股份有限公司"/>
        <s v="浩天旅行社"/>
        <s v="永大企业"/>
        <s v="凯诚国际顾问公司"/>
        <s v="远东开发"/>
        <s v="正人资源"/>
        <s v="三捷实业"/>
        <s v="兰格英语"/>
        <s v="一诠精密工业"/>
        <s v="学仁贸易"/>
        <s v="五洲信托"/>
        <s v="国皓"/>
        <s v="升格企业"/>
        <s v="友恒信托"/>
        <s v="光远商贸"/>
        <s v="椅天文化事业"/>
        <s v="昇昕股份有限公司"/>
        <s v="高上补习班"/>
        <s v="阳林"/>
        <s v="协昌妮绒有限公司"/>
        <s v="仲堂企业"/>
        <s v="通恒机械"/>
        <s v="幸义房屋"/>
        <s v="德化食品"/>
        <s v="富泰人寿"/>
        <s v="宇欣实业"/>
        <s v="建国科技"/>
        <s v="光明杂志"/>
        <s v="同恒"/>
        <s v="亚太公司"/>
        <s v="师大贸易"/>
        <s v="凯旋科技"/>
        <s v="建资"/>
        <s v="瑞栈工艺"/>
        <s v="正太实业"/>
        <s v="东南实业"/>
        <s v="迈策船舶"/>
        <s v="上河工业"/>
        <s v="鑫增贸易"/>
        <s v="就业广兑"/>
        <s v="永业房屋"/>
        <s v="大钰贸易"/>
        <s v="迈多贸易"/>
        <s v="康浦"/>
        <s v="祥通"/>
        <s v="华科"/>
        <s v="康毅系统"/>
        <s v="百达电子"/>
        <s v="红阳事业"/>
        <s v="池春建设"/>
        <s v="顶上系统"/>
        <s v="国顶有限公司"/>
        <s v="艾德高科技"/>
        <s v="世邦"/>
        <s v="中通"/>
        <s v="坦森行贸易"/>
        <s v="东旗"/>
        <s v="中硕贸易"/>
        <s v="留学服务中心"/>
        <s v="汉典电机"/>
        <s v="五金机械"/>
        <s v="汉光企管"/>
        <s v="广通"/>
        <s v="保信人寿"/>
        <s v="嘉业"/>
        <s v="利合材料"/>
        <s v="文成"/>
        <s v="业兴"/>
        <s v="万海"/>
        <s v="大东补习班"/>
        <s v="春永建设"/>
        <s v="和福建设"/>
        <s v="森通"/>
        <s v="富同企业"/>
        <s v="威航货运有限公司"/>
        <s v="仪和贸易"/>
        <s v="悦海"/>
        <s v="伸格公司"/>
        <s v="兴中保险"/>
        <s v="志远有限公司"/>
        <s v="新巨企业"/>
        <s v="国银贸易"/>
        <s v="赐芳股份"/>
        <s v="霸力建设"/>
        <s v="三川实业有限公司"/>
      </sharedItems>
      <fieldGroup par="4"/>
    </cacheField>
    <cacheField name="订单ID" numFmtId="0">
      <sharedItems containsSemiMixedTypes="0" containsString="0" containsNumber="1" containsInteger="1" minValue="10248" maxValue="11077"/>
    </cacheField>
    <cacheField name="Expr1003" numFmtId="0">
      <sharedItems containsSemiMixedTypes="0" containsString="0" containsNumber="1" minValue="12.5" maxValue="16387.499987147748"/>
    </cacheField>
    <cacheField name="公司名称2" numFmtId="0" databaseField="0">
      <fieldGroup base="1">
        <discretePr count="89">
          <x v="2"/>
          <x v="2"/>
          <x v="1"/>
          <x v="1"/>
          <x v="1"/>
          <x v="2"/>
          <x v="1"/>
          <x v="2"/>
          <x v="1"/>
          <x v="0"/>
          <x v="2"/>
          <x v="2"/>
          <x v="1"/>
          <x v="1"/>
          <x v="1"/>
          <x v="1"/>
          <x v="1"/>
          <x v="1"/>
          <x v="2"/>
          <x v="1"/>
          <x v="2"/>
          <x v="0"/>
          <x v="1"/>
          <x v="1"/>
          <x v="2"/>
          <x v="1"/>
          <x v="1"/>
          <x v="2"/>
          <x v="1"/>
          <x v="1"/>
          <x v="1"/>
          <x v="1"/>
          <x v="2"/>
          <x v="2"/>
          <x v="1"/>
          <x v="1"/>
          <x v="1"/>
          <x v="1"/>
          <x v="2"/>
          <x v="2"/>
          <x v="2"/>
          <x v="2"/>
          <x v="1"/>
          <x v="2"/>
          <x v="1"/>
          <x v="0"/>
          <x v="2"/>
          <x v="2"/>
          <x v="1"/>
          <x v="1"/>
          <x v="2"/>
          <x v="2"/>
          <x v="2"/>
          <x v="1"/>
          <x v="1"/>
          <x v="1"/>
          <x v="2"/>
          <x v="2"/>
          <x v="2"/>
          <x v="2"/>
          <x v="2"/>
          <x v="1"/>
          <x v="1"/>
          <x v="2"/>
          <x v="2"/>
          <x v="2"/>
          <x v="1"/>
          <x v="1"/>
          <x v="2"/>
          <x v="2"/>
          <x v="2"/>
          <x v="2"/>
          <x v="2"/>
          <x v="2"/>
          <x v="2"/>
          <x v="2"/>
          <x v="2"/>
          <x v="2"/>
          <x v="2"/>
          <x v="1"/>
          <x v="2"/>
          <x v="2"/>
          <x v="2"/>
          <x v="2"/>
          <x v="2"/>
          <x v="2"/>
          <x v="2"/>
          <x v="2"/>
          <x v="2"/>
        </discretePr>
        <groupItems count="3">
          <s v="数据组1"/>
          <s v="数据组2"/>
          <s v="数据组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0">
  <r>
    <x v="0"/>
    <x v="0"/>
    <n v="10248"/>
    <n v="440"/>
  </r>
  <r>
    <x v="1"/>
    <x v="1"/>
    <n v="10249"/>
    <n v="1863.4"/>
  </r>
  <r>
    <x v="2"/>
    <x v="2"/>
    <n v="10251"/>
    <n v="654.05999975055454"/>
  </r>
  <r>
    <x v="2"/>
    <x v="3"/>
    <n v="10250"/>
    <n v="1552.5999896526337"/>
  </r>
  <r>
    <x v="3"/>
    <x v="4"/>
    <n v="10252"/>
    <n v="3597.8999980315566"/>
  </r>
  <r>
    <x v="4"/>
    <x v="3"/>
    <n v="10253"/>
    <n v="1444.8"/>
  </r>
  <r>
    <x v="5"/>
    <x v="5"/>
    <n v="10254"/>
    <n v="556.61999727487569"/>
  </r>
  <r>
    <x v="6"/>
    <x v="6"/>
    <n v="10255"/>
    <n v="2490.5"/>
  </r>
  <r>
    <x v="7"/>
    <x v="7"/>
    <n v="10256"/>
    <n v="517.79999999999995"/>
  </r>
  <r>
    <x v="8"/>
    <x v="8"/>
    <n v="10257"/>
    <n v="1119.9000000000001"/>
  </r>
  <r>
    <x v="9"/>
    <x v="9"/>
    <n v="10258"/>
    <n v="1614.8799939841033"/>
  </r>
  <r>
    <x v="10"/>
    <x v="10"/>
    <n v="10259"/>
    <n v="100.8"/>
  </r>
  <r>
    <x v="11"/>
    <x v="11"/>
    <n v="10261"/>
    <n v="448"/>
  </r>
  <r>
    <x v="11"/>
    <x v="12"/>
    <n v="10260"/>
    <n v="1504.65"/>
  </r>
  <r>
    <x v="12"/>
    <x v="13"/>
    <n v="10262"/>
    <n v="583.99999939203258"/>
  </r>
  <r>
    <x v="13"/>
    <x v="9"/>
    <n v="10263"/>
    <n v="1873.8"/>
  </r>
  <r>
    <x v="14"/>
    <x v="14"/>
    <n v="10264"/>
    <n v="695.62499885261059"/>
  </r>
  <r>
    <x v="15"/>
    <x v="15"/>
    <n v="10265"/>
    <n v="1176"/>
  </r>
  <r>
    <x v="16"/>
    <x v="16"/>
    <n v="10266"/>
    <n v="346.55999972820285"/>
  </r>
  <r>
    <x v="17"/>
    <x v="17"/>
    <n v="10267"/>
    <n v="3536.5999803543091"/>
  </r>
  <r>
    <x v="18"/>
    <x v="18"/>
    <n v="10268"/>
    <n v="1101.2"/>
  </r>
  <r>
    <x v="19"/>
    <x v="19"/>
    <n v="10269"/>
    <n v="642.19999949634075"/>
  </r>
  <r>
    <x v="20"/>
    <x v="16"/>
    <n v="10270"/>
    <n v="1376"/>
  </r>
  <r>
    <x v="20"/>
    <x v="20"/>
    <n v="10271"/>
    <n v="48"/>
  </r>
  <r>
    <x v="21"/>
    <x v="13"/>
    <n v="10272"/>
    <n v="1456"/>
  </r>
  <r>
    <x v="22"/>
    <x v="21"/>
    <n v="10273"/>
    <n v="2037.2799984335898"/>
  </r>
  <r>
    <x v="23"/>
    <x v="0"/>
    <n v="10274"/>
    <n v="538.6"/>
  </r>
  <r>
    <x v="24"/>
    <x v="22"/>
    <n v="10275"/>
    <n v="291.83999977111819"/>
  </r>
  <r>
    <x v="25"/>
    <x v="23"/>
    <n v="10276"/>
    <n v="420"/>
  </r>
  <r>
    <x v="26"/>
    <x v="24"/>
    <n v="10277"/>
    <n v="1200.8"/>
  </r>
  <r>
    <x v="27"/>
    <x v="25"/>
    <n v="10278"/>
    <n v="1488.8"/>
  </r>
  <r>
    <x v="28"/>
    <x v="26"/>
    <n v="10279"/>
    <n v="351"/>
  </r>
  <r>
    <x v="29"/>
    <x v="27"/>
    <n v="10281"/>
    <n v="86.5"/>
  </r>
  <r>
    <x v="29"/>
    <x v="25"/>
    <n v="10280"/>
    <n v="613.20000000000005"/>
  </r>
  <r>
    <x v="30"/>
    <x v="27"/>
    <n v="10282"/>
    <n v="155.4"/>
  </r>
  <r>
    <x v="31"/>
    <x v="28"/>
    <n v="10283"/>
    <n v="1414.8000000000002"/>
  </r>
  <r>
    <x v="32"/>
    <x v="26"/>
    <n v="10284"/>
    <n v="1170.375"/>
  </r>
  <r>
    <x v="33"/>
    <x v="21"/>
    <n v="10285"/>
    <n v="1743.3599935054781"/>
  </r>
  <r>
    <x v="34"/>
    <x v="21"/>
    <n v="10286"/>
    <n v="3016"/>
  </r>
  <r>
    <x v="35"/>
    <x v="29"/>
    <n v="10287"/>
    <n v="818.99999582767487"/>
  </r>
  <r>
    <x v="36"/>
    <x v="30"/>
    <n v="10288"/>
    <n v="80.099999867379665"/>
  </r>
  <r>
    <x v="37"/>
    <x v="31"/>
    <n v="10289"/>
    <n v="479.4"/>
  </r>
  <r>
    <x v="38"/>
    <x v="11"/>
    <n v="10291"/>
    <n v="497.51999917626381"/>
  </r>
  <r>
    <x v="38"/>
    <x v="32"/>
    <n v="10290"/>
    <n v="2169"/>
  </r>
  <r>
    <x v="39"/>
    <x v="33"/>
    <n v="10292"/>
    <n v="1296"/>
  </r>
  <r>
    <x v="40"/>
    <x v="23"/>
    <n v="10293"/>
    <n v="848.7"/>
  </r>
  <r>
    <x v="41"/>
    <x v="13"/>
    <n v="10294"/>
    <n v="1887.6000000000001"/>
  </r>
  <r>
    <x v="42"/>
    <x v="0"/>
    <n v="10295"/>
    <n v="121.6"/>
  </r>
  <r>
    <x v="43"/>
    <x v="28"/>
    <n v="10296"/>
    <n v="1050.5999999999999"/>
  </r>
  <r>
    <x v="44"/>
    <x v="15"/>
    <n v="10297"/>
    <n v="1420"/>
  </r>
  <r>
    <x v="45"/>
    <x v="34"/>
    <n v="10298"/>
    <n v="2645"/>
  </r>
  <r>
    <x v="46"/>
    <x v="29"/>
    <n v="10299"/>
    <n v="349.5"/>
  </r>
  <r>
    <x v="47"/>
    <x v="35"/>
    <n v="10301"/>
    <n v="755"/>
  </r>
  <r>
    <x v="47"/>
    <x v="22"/>
    <n v="10300"/>
    <n v="608"/>
  </r>
  <r>
    <x v="48"/>
    <x v="4"/>
    <n v="10302"/>
    <n v="2708.7999999999997"/>
  </r>
  <r>
    <x v="49"/>
    <x v="36"/>
    <n v="10303"/>
    <n v="1117.7999981492758"/>
  </r>
  <r>
    <x v="50"/>
    <x v="23"/>
    <n v="10304"/>
    <n v="954.4"/>
  </r>
  <r>
    <x v="51"/>
    <x v="37"/>
    <n v="10305"/>
    <n v="3741.2999938055873"/>
  </r>
  <r>
    <x v="52"/>
    <x v="27"/>
    <n v="10306"/>
    <n v="498.5"/>
  </r>
  <r>
    <x v="53"/>
    <x v="38"/>
    <n v="10307"/>
    <n v="424"/>
  </r>
  <r>
    <x v="54"/>
    <x v="39"/>
    <n v="10308"/>
    <n v="88.8"/>
  </r>
  <r>
    <x v="55"/>
    <x v="34"/>
    <n v="10309"/>
    <n v="1762"/>
  </r>
  <r>
    <x v="56"/>
    <x v="40"/>
    <n v="10311"/>
    <n v="268.8"/>
  </r>
  <r>
    <x v="56"/>
    <x v="41"/>
    <n v="10310"/>
    <n v="336"/>
  </r>
  <r>
    <x v="57"/>
    <x v="35"/>
    <n v="10312"/>
    <n v="1614.8"/>
  </r>
  <r>
    <x v="58"/>
    <x v="21"/>
    <n v="10313"/>
    <n v="182.4"/>
  </r>
  <r>
    <x v="59"/>
    <x v="13"/>
    <n v="10314"/>
    <n v="2094.2999965324998"/>
  </r>
  <r>
    <x v="60"/>
    <x v="42"/>
    <n v="10315"/>
    <n v="516.79999999999995"/>
  </r>
  <r>
    <x v="61"/>
    <x v="13"/>
    <n v="10316"/>
    <n v="2835"/>
  </r>
  <r>
    <x v="62"/>
    <x v="38"/>
    <n v="10317"/>
    <n v="288"/>
  </r>
  <r>
    <x v="63"/>
    <x v="42"/>
    <n v="10318"/>
    <n v="240.4"/>
  </r>
  <r>
    <x v="64"/>
    <x v="23"/>
    <n v="10319"/>
    <n v="1191.2"/>
  </r>
  <r>
    <x v="65"/>
    <x v="16"/>
    <n v="10320"/>
    <n v="516"/>
  </r>
  <r>
    <x v="65"/>
    <x v="42"/>
    <n v="10321"/>
    <n v="144"/>
  </r>
  <r>
    <x v="66"/>
    <x v="43"/>
    <n v="10322"/>
    <n v="112"/>
  </r>
  <r>
    <x v="67"/>
    <x v="44"/>
    <n v="10323"/>
    <n v="164.4"/>
  </r>
  <r>
    <x v="68"/>
    <x v="45"/>
    <n v="10324"/>
    <n v="5275.7149650245901"/>
  </r>
  <r>
    <x v="69"/>
    <x v="44"/>
    <n v="10325"/>
    <n v="1497"/>
  </r>
  <r>
    <x v="70"/>
    <x v="46"/>
    <n v="10326"/>
    <n v="982"/>
  </r>
  <r>
    <x v="71"/>
    <x v="14"/>
    <n v="10327"/>
    <n v="1809.9999932572246"/>
  </r>
  <r>
    <x v="72"/>
    <x v="47"/>
    <n v="10328"/>
    <n v="1168"/>
  </r>
  <r>
    <x v="73"/>
    <x v="20"/>
    <n v="10329"/>
    <n v="4578.429996409267"/>
  </r>
  <r>
    <x v="74"/>
    <x v="28"/>
    <n v="10330"/>
    <n v="1648.9999884366989"/>
  </r>
  <r>
    <x v="74"/>
    <x v="48"/>
    <n v="10331"/>
    <n v="88.5"/>
  </r>
  <r>
    <x v="75"/>
    <x v="49"/>
    <n v="10332"/>
    <n v="1786.8799933433534"/>
  </r>
  <r>
    <x v="76"/>
    <x v="16"/>
    <n v="10333"/>
    <n v="877.19999885559082"/>
  </r>
  <r>
    <x v="77"/>
    <x v="2"/>
    <n v="10334"/>
    <n v="144.80000000000001"/>
  </r>
  <r>
    <x v="78"/>
    <x v="34"/>
    <n v="10335"/>
    <n v="2036.1599924147129"/>
  </r>
  <r>
    <x v="79"/>
    <x v="50"/>
    <n v="10336"/>
    <n v="285.11999952793121"/>
  </r>
  <r>
    <x v="80"/>
    <x v="17"/>
    <n v="10337"/>
    <n v="2467"/>
  </r>
  <r>
    <x v="81"/>
    <x v="37"/>
    <n v="10338"/>
    <n v="934.5"/>
  </r>
  <r>
    <x v="82"/>
    <x v="49"/>
    <n v="10339"/>
    <n v="3353.999998372793"/>
  </r>
  <r>
    <x v="83"/>
    <x v="51"/>
    <n v="10341"/>
    <n v="352.59999763965607"/>
  </r>
  <r>
    <x v="83"/>
    <x v="48"/>
    <n v="10340"/>
    <n v="2436.1799980893729"/>
  </r>
  <r>
    <x v="84"/>
    <x v="17"/>
    <n v="10342"/>
    <n v="1840.6399931430817"/>
  </r>
  <r>
    <x v="85"/>
    <x v="26"/>
    <n v="10343"/>
    <n v="1583.9999999701977"/>
  </r>
  <r>
    <x v="86"/>
    <x v="19"/>
    <n v="10344"/>
    <n v="2296"/>
  </r>
  <r>
    <x v="87"/>
    <x v="21"/>
    <n v="10345"/>
    <n v="2924.8"/>
  </r>
  <r>
    <x v="88"/>
    <x v="13"/>
    <n v="10346"/>
    <n v="1618.8799983263016"/>
  </r>
  <r>
    <x v="89"/>
    <x v="52"/>
    <n v="10347"/>
    <n v="814.4199954867363"/>
  </r>
  <r>
    <x v="90"/>
    <x v="35"/>
    <n v="10348"/>
    <n v="363.59999871253967"/>
  </r>
  <r>
    <x v="91"/>
    <x v="20"/>
    <n v="10349"/>
    <n v="141.6"/>
  </r>
  <r>
    <x v="92"/>
    <x v="53"/>
    <n v="10350"/>
    <n v="642.05999893695116"/>
  </r>
  <r>
    <x v="92"/>
    <x v="9"/>
    <n v="10351"/>
    <n v="5398.724995844439"/>
  </r>
  <r>
    <x v="93"/>
    <x v="47"/>
    <n v="10352"/>
    <n v="136.29999929666519"/>
  </r>
  <r>
    <x v="94"/>
    <x v="54"/>
    <n v="10353"/>
    <n v="8593.279967987537"/>
  </r>
  <r>
    <x v="95"/>
    <x v="43"/>
    <n v="10354"/>
    <n v="568.79999999999995"/>
  </r>
  <r>
    <x v="96"/>
    <x v="55"/>
    <n v="10355"/>
    <n v="480"/>
  </r>
  <r>
    <x v="97"/>
    <x v="35"/>
    <n v="10356"/>
    <n v="1106.4000000000001"/>
  </r>
  <r>
    <x v="98"/>
    <x v="28"/>
    <n v="10357"/>
    <n v="1167.6799971342086"/>
  </r>
  <r>
    <x v="99"/>
    <x v="53"/>
    <n v="10358"/>
    <n v="429.39999966323376"/>
  </r>
  <r>
    <x v="100"/>
    <x v="56"/>
    <n v="10359"/>
    <n v="3471.6799972772596"/>
  </r>
  <r>
    <x v="101"/>
    <x v="21"/>
    <n v="10361"/>
    <n v="2046.239996612072"/>
  </r>
  <r>
    <x v="101"/>
    <x v="15"/>
    <n v="10360"/>
    <n v="7390.2"/>
  </r>
  <r>
    <x v="102"/>
    <x v="48"/>
    <n v="10362"/>
    <n v="1549.6"/>
  </r>
  <r>
    <x v="103"/>
    <x v="57"/>
    <n v="10363"/>
    <n v="447.2"/>
  </r>
  <r>
    <x v="103"/>
    <x v="58"/>
    <n v="10364"/>
    <n v="950"/>
  </r>
  <r>
    <x v="104"/>
    <x v="59"/>
    <n v="10365"/>
    <n v="403.2"/>
  </r>
  <r>
    <x v="105"/>
    <x v="60"/>
    <n v="10366"/>
    <n v="136"/>
  </r>
  <r>
    <x v="105"/>
    <x v="61"/>
    <n v="10367"/>
    <n v="834.19999999999993"/>
  </r>
  <r>
    <x v="106"/>
    <x v="9"/>
    <n v="10368"/>
    <n v="1689.7799978479743"/>
  </r>
  <r>
    <x v="107"/>
    <x v="20"/>
    <n v="10369"/>
    <n v="2390.4"/>
  </r>
  <r>
    <x v="108"/>
    <x v="53"/>
    <n v="10371"/>
    <n v="72.959999728202817"/>
  </r>
  <r>
    <x v="108"/>
    <x v="5"/>
    <n v="10370"/>
    <n v="1117.5999977588654"/>
  </r>
  <r>
    <x v="109"/>
    <x v="62"/>
    <n v="10372"/>
    <n v="9210.9000000000015"/>
  </r>
  <r>
    <x v="110"/>
    <x v="63"/>
    <n v="10374"/>
    <n v="459"/>
  </r>
  <r>
    <x v="110"/>
    <x v="34"/>
    <n v="10373"/>
    <n v="1366.3999949097633"/>
  </r>
  <r>
    <x v="111"/>
    <x v="64"/>
    <n v="10375"/>
    <n v="338"/>
  </r>
  <r>
    <x v="112"/>
    <x v="56"/>
    <n v="10377"/>
    <n v="863.59999394416809"/>
  </r>
  <r>
    <x v="112"/>
    <x v="49"/>
    <n v="10376"/>
    <n v="398.99999968707561"/>
  </r>
  <r>
    <x v="113"/>
    <x v="14"/>
    <n v="10378"/>
    <n v="103.2"/>
  </r>
  <r>
    <x v="114"/>
    <x v="11"/>
    <n v="10379"/>
    <n v="863.27999857068062"/>
  </r>
  <r>
    <x v="115"/>
    <x v="28"/>
    <n v="10381"/>
    <n v="112"/>
  </r>
  <r>
    <x v="115"/>
    <x v="34"/>
    <n v="10380"/>
    <n v="1313.8199984207749"/>
  </r>
  <r>
    <x v="116"/>
    <x v="9"/>
    <n v="10382"/>
    <n v="2900"/>
  </r>
  <r>
    <x v="117"/>
    <x v="55"/>
    <n v="10383"/>
    <n v="899"/>
  </r>
  <r>
    <x v="117"/>
    <x v="25"/>
    <n v="10384"/>
    <n v="2222.4"/>
  </r>
  <r>
    <x v="118"/>
    <x v="20"/>
    <n v="10385"/>
    <n v="691.19999742507935"/>
  </r>
  <r>
    <x v="119"/>
    <x v="65"/>
    <n v="10387"/>
    <n v="1058.4000000000001"/>
  </r>
  <r>
    <x v="119"/>
    <x v="52"/>
    <n v="10386"/>
    <n v="166"/>
  </r>
  <r>
    <x v="120"/>
    <x v="56"/>
    <n v="10388"/>
    <n v="1228.7999993264675"/>
  </r>
  <r>
    <x v="121"/>
    <x v="66"/>
    <n v="10389"/>
    <n v="1832.8"/>
  </r>
  <r>
    <x v="122"/>
    <x v="57"/>
    <n v="10391"/>
    <n v="86.4"/>
  </r>
  <r>
    <x v="122"/>
    <x v="9"/>
    <n v="10390"/>
    <n v="2090.879997253418"/>
  </r>
  <r>
    <x v="123"/>
    <x v="54"/>
    <n v="10392"/>
    <n v="1440"/>
  </r>
  <r>
    <x v="124"/>
    <x v="45"/>
    <n v="10393"/>
    <n v="2556.9499999999998"/>
  </r>
  <r>
    <x v="124"/>
    <x v="64"/>
    <n v="10394"/>
    <n v="442"/>
  </r>
  <r>
    <x v="125"/>
    <x v="8"/>
    <n v="10395"/>
    <n v="2122.9199968665839"/>
  </r>
  <r>
    <x v="126"/>
    <x v="50"/>
    <n v="10397"/>
    <n v="716.7199949741364"/>
  </r>
  <r>
    <x v="126"/>
    <x v="17"/>
    <n v="10396"/>
    <n v="1903.8"/>
  </r>
  <r>
    <x v="127"/>
    <x v="45"/>
    <n v="10398"/>
    <n v="2505.5999965667725"/>
  </r>
  <r>
    <x v="128"/>
    <x v="61"/>
    <n v="10399"/>
    <n v="1765.6"/>
  </r>
  <r>
    <x v="129"/>
    <x v="13"/>
    <n v="10401"/>
    <n v="3868.6"/>
  </r>
  <r>
    <x v="129"/>
    <x v="58"/>
    <n v="10400"/>
    <n v="3063"/>
  </r>
  <r>
    <x v="130"/>
    <x v="9"/>
    <n v="10402"/>
    <n v="2713.5"/>
  </r>
  <r>
    <x v="131"/>
    <x v="22"/>
    <n v="10404"/>
    <n v="1591.2499987520278"/>
  </r>
  <r>
    <x v="131"/>
    <x v="9"/>
    <n v="10403"/>
    <n v="855.01499400436876"/>
  </r>
  <r>
    <x v="132"/>
    <x v="67"/>
    <n v="10405"/>
    <n v="400"/>
  </r>
  <r>
    <x v="133"/>
    <x v="62"/>
    <n v="10406"/>
    <n v="1830.7799972072244"/>
  </r>
  <r>
    <x v="133"/>
    <x v="12"/>
    <n v="10407"/>
    <n v="1194"/>
  </r>
  <r>
    <x v="134"/>
    <x v="68"/>
    <n v="10408"/>
    <n v="1622.4"/>
  </r>
  <r>
    <x v="135"/>
    <x v="69"/>
    <n v="10409"/>
    <n v="319.2"/>
  </r>
  <r>
    <x v="136"/>
    <x v="66"/>
    <n v="10410"/>
    <n v="802"/>
  </r>
  <r>
    <x v="136"/>
    <x v="66"/>
    <n v="10411"/>
    <n v="966.79999639838934"/>
  </r>
  <r>
    <x v="137"/>
    <x v="16"/>
    <n v="10412"/>
    <n v="334.7999994456768"/>
  </r>
  <r>
    <x v="138"/>
    <x v="53"/>
    <n v="10413"/>
    <n v="2123.1999999999998"/>
  </r>
  <r>
    <x v="138"/>
    <x v="52"/>
    <n v="10414"/>
    <n v="224.82999990209936"/>
  </r>
  <r>
    <x v="139"/>
    <x v="64"/>
    <n v="10415"/>
    <n v="102.4"/>
  </r>
  <r>
    <x v="140"/>
    <x v="51"/>
    <n v="10417"/>
    <n v="11188.4"/>
  </r>
  <r>
    <x v="140"/>
    <x v="16"/>
    <n v="10416"/>
    <n v="720"/>
  </r>
  <r>
    <x v="141"/>
    <x v="21"/>
    <n v="10418"/>
    <n v="1814.8"/>
  </r>
  <r>
    <x v="142"/>
    <x v="6"/>
    <n v="10419"/>
    <n v="2097.5999983549118"/>
  </r>
  <r>
    <x v="143"/>
    <x v="7"/>
    <n v="10420"/>
    <n v="1707.8399971723557"/>
  </r>
  <r>
    <x v="143"/>
    <x v="11"/>
    <n v="10421"/>
    <n v="1194.2699968636036"/>
  </r>
  <r>
    <x v="144"/>
    <x v="70"/>
    <n v="10422"/>
    <n v="49.8"/>
  </r>
  <r>
    <x v="145"/>
    <x v="49"/>
    <n v="10424"/>
    <n v="9194.5599657475959"/>
  </r>
  <r>
    <x v="145"/>
    <x v="71"/>
    <n v="10423"/>
    <n v="1020"/>
  </r>
  <r>
    <x v="146"/>
    <x v="53"/>
    <n v="10425"/>
    <n v="360"/>
  </r>
  <r>
    <x v="147"/>
    <x v="54"/>
    <n v="10427"/>
    <n v="651"/>
  </r>
  <r>
    <x v="147"/>
    <x v="60"/>
    <n v="10426"/>
    <n v="338.2"/>
  </r>
  <r>
    <x v="148"/>
    <x v="30"/>
    <n v="10428"/>
    <n v="192"/>
  </r>
  <r>
    <x v="149"/>
    <x v="34"/>
    <n v="10429"/>
    <n v="1441.375"/>
  </r>
  <r>
    <x v="150"/>
    <x v="66"/>
    <n v="10431"/>
    <n v="1892.25"/>
  </r>
  <r>
    <x v="150"/>
    <x v="9"/>
    <n v="10430"/>
    <n v="4899.1999866366386"/>
  </r>
  <r>
    <x v="151"/>
    <x v="20"/>
    <n v="10432"/>
    <n v="485"/>
  </r>
  <r>
    <x v="152"/>
    <x v="50"/>
    <n v="10433"/>
    <n v="851.2"/>
  </r>
  <r>
    <x v="152"/>
    <x v="14"/>
    <n v="10434"/>
    <n v="321.11999845504761"/>
  </r>
  <r>
    <x v="153"/>
    <x v="72"/>
    <n v="10435"/>
    <n v="631.6"/>
  </r>
  <r>
    <x v="154"/>
    <x v="15"/>
    <n v="10436"/>
    <n v="1994.5199967771769"/>
  </r>
  <r>
    <x v="154"/>
    <x v="16"/>
    <n v="10437"/>
    <n v="393"/>
  </r>
  <r>
    <x v="155"/>
    <x v="1"/>
    <n v="10438"/>
    <n v="453.9999983087182"/>
  </r>
  <r>
    <x v="156"/>
    <x v="49"/>
    <n v="10439"/>
    <n v="1078"/>
  </r>
  <r>
    <x v="157"/>
    <x v="45"/>
    <n v="10440"/>
    <n v="4924.1349654704336"/>
  </r>
  <r>
    <x v="157"/>
    <x v="37"/>
    <n v="10441"/>
    <n v="1755"/>
  </r>
  <r>
    <x v="158"/>
    <x v="9"/>
    <n v="10442"/>
    <n v="1792"/>
  </r>
  <r>
    <x v="159"/>
    <x v="30"/>
    <n v="10443"/>
    <n v="517.43999969959259"/>
  </r>
  <r>
    <x v="159"/>
    <x v="25"/>
    <n v="10444"/>
    <n v="1031.7"/>
  </r>
  <r>
    <x v="160"/>
    <x v="25"/>
    <n v="10445"/>
    <n v="174.9"/>
  </r>
  <r>
    <x v="161"/>
    <x v="1"/>
    <n v="10446"/>
    <n v="246.23999959230423"/>
  </r>
  <r>
    <x v="161"/>
    <x v="29"/>
    <n v="10447"/>
    <n v="914.4"/>
  </r>
  <r>
    <x v="162"/>
    <x v="73"/>
    <n v="10448"/>
    <n v="443.4"/>
  </r>
  <r>
    <x v="163"/>
    <x v="15"/>
    <n v="10449"/>
    <n v="1838.2"/>
  </r>
  <r>
    <x v="164"/>
    <x v="21"/>
    <n v="10451"/>
    <n v="3849.6599936261773"/>
  </r>
  <r>
    <x v="164"/>
    <x v="2"/>
    <n v="10450"/>
    <n v="425.11999841630461"/>
  </r>
  <r>
    <x v="165"/>
    <x v="45"/>
    <n v="10452"/>
    <n v="2018.49999884516"/>
  </r>
  <r>
    <x v="166"/>
    <x v="53"/>
    <n v="10454"/>
    <n v="331.19999876618385"/>
  </r>
  <r>
    <x v="166"/>
    <x v="55"/>
    <n v="10453"/>
    <n v="407.6999993249774"/>
  </r>
  <r>
    <x v="167"/>
    <x v="16"/>
    <n v="10455"/>
    <n v="2684"/>
  </r>
  <r>
    <x v="168"/>
    <x v="44"/>
    <n v="10456"/>
    <n v="557.5999960899353"/>
  </r>
  <r>
    <x v="168"/>
    <x v="44"/>
    <n v="10457"/>
    <n v="1584"/>
  </r>
  <r>
    <x v="169"/>
    <x v="4"/>
    <n v="10458"/>
    <n v="3891"/>
  </r>
  <r>
    <x v="170"/>
    <x v="2"/>
    <n v="10459"/>
    <n v="1659.1999995708466"/>
  </r>
  <r>
    <x v="171"/>
    <x v="28"/>
    <n v="10461"/>
    <n v="1538.7"/>
  </r>
  <r>
    <x v="171"/>
    <x v="14"/>
    <n v="10460"/>
    <n v="176.1"/>
  </r>
  <r>
    <x v="172"/>
    <x v="72"/>
    <n v="10462"/>
    <n v="156"/>
  </r>
  <r>
    <x v="173"/>
    <x v="4"/>
    <n v="10463"/>
    <n v="713.3"/>
  </r>
  <r>
    <x v="173"/>
    <x v="47"/>
    <n v="10464"/>
    <n v="1609.2799964427948"/>
  </r>
  <r>
    <x v="174"/>
    <x v="61"/>
    <n v="10465"/>
    <n v="2517.9999970048666"/>
  </r>
  <r>
    <x v="175"/>
    <x v="32"/>
    <n v="10466"/>
    <n v="216"/>
  </r>
  <r>
    <x v="175"/>
    <x v="22"/>
    <n v="10467"/>
    <n v="235.2"/>
  </r>
  <r>
    <x v="176"/>
    <x v="44"/>
    <n v="10468"/>
    <n v="717.6"/>
  </r>
  <r>
    <x v="177"/>
    <x v="19"/>
    <n v="10469"/>
    <n v="956.67499329149723"/>
  </r>
  <r>
    <x v="178"/>
    <x v="31"/>
    <n v="10471"/>
    <n v="1328"/>
  </r>
  <r>
    <x v="178"/>
    <x v="48"/>
    <n v="10470"/>
    <n v="1820.8"/>
  </r>
  <r>
    <x v="179"/>
    <x v="56"/>
    <n v="10472"/>
    <n v="1036.7999997854233"/>
  </r>
  <r>
    <x v="180"/>
    <x v="43"/>
    <n v="10474"/>
    <n v="1249.1000000000001"/>
  </r>
  <r>
    <x v="180"/>
    <x v="42"/>
    <n v="10473"/>
    <n v="230.4"/>
  </r>
  <r>
    <x v="181"/>
    <x v="4"/>
    <n v="10475"/>
    <n v="1505.1799894452095"/>
  </r>
  <r>
    <x v="182"/>
    <x v="50"/>
    <n v="10477"/>
    <n v="558"/>
  </r>
  <r>
    <x v="182"/>
    <x v="8"/>
    <n v="10476"/>
    <n v="180.47999997138976"/>
  </r>
  <r>
    <x v="183"/>
    <x v="2"/>
    <n v="10478"/>
    <n v="471.1999996304512"/>
  </r>
  <r>
    <x v="184"/>
    <x v="13"/>
    <n v="10479"/>
    <n v="10495.6"/>
  </r>
  <r>
    <x v="185"/>
    <x v="68"/>
    <n v="10480"/>
    <n v="756"/>
  </r>
  <r>
    <x v="185"/>
    <x v="29"/>
    <n v="10481"/>
    <n v="1472"/>
  </r>
  <r>
    <x v="186"/>
    <x v="74"/>
    <n v="10482"/>
    <n v="147"/>
  </r>
  <r>
    <x v="187"/>
    <x v="31"/>
    <n v="10484"/>
    <n v="386.2"/>
  </r>
  <r>
    <x v="187"/>
    <x v="19"/>
    <n v="10483"/>
    <n v="668.79999947547913"/>
  </r>
  <r>
    <x v="188"/>
    <x v="67"/>
    <n v="10485"/>
    <n v="1583.9999973773956"/>
  </r>
  <r>
    <x v="189"/>
    <x v="62"/>
    <n v="10487"/>
    <n v="889.7"/>
  </r>
  <r>
    <x v="189"/>
    <x v="8"/>
    <n v="10486"/>
    <n v="1272"/>
  </r>
  <r>
    <x v="190"/>
    <x v="17"/>
    <n v="10488"/>
    <n v="1511.9999992847443"/>
  </r>
  <r>
    <x v="191"/>
    <x v="54"/>
    <n v="10489"/>
    <n v="439.2"/>
  </r>
  <r>
    <x v="192"/>
    <x v="47"/>
    <n v="10491"/>
    <n v="259.50499818027021"/>
  </r>
  <r>
    <x v="192"/>
    <x v="8"/>
    <n v="10490"/>
    <n v="3163.2"/>
  </r>
  <r>
    <x v="193"/>
    <x v="66"/>
    <n v="10492"/>
    <n v="851.19999933242798"/>
  </r>
  <r>
    <x v="194"/>
    <x v="53"/>
    <n v="10493"/>
    <n v="608.3999989926815"/>
  </r>
  <r>
    <x v="194"/>
    <x v="32"/>
    <n v="10494"/>
    <n v="912"/>
  </r>
  <r>
    <x v="195"/>
    <x v="75"/>
    <n v="10495"/>
    <n v="278"/>
  </r>
  <r>
    <x v="196"/>
    <x v="26"/>
    <n v="10497"/>
    <n v="1380.6"/>
  </r>
  <r>
    <x v="196"/>
    <x v="33"/>
    <n v="10496"/>
    <n v="189.99999985098839"/>
  </r>
  <r>
    <x v="197"/>
    <x v="8"/>
    <n v="10498"/>
    <n v="575"/>
  </r>
  <r>
    <x v="198"/>
    <x v="28"/>
    <n v="10499"/>
    <n v="1412"/>
  </r>
  <r>
    <x v="199"/>
    <x v="53"/>
    <n v="10500"/>
    <n v="523.25999958962211"/>
  </r>
  <r>
    <x v="199"/>
    <x v="76"/>
    <n v="10501"/>
    <n v="149"/>
  </r>
  <r>
    <x v="200"/>
    <x v="43"/>
    <n v="10502"/>
    <n v="816.3"/>
  </r>
  <r>
    <x v="201"/>
    <x v="34"/>
    <n v="10503"/>
    <n v="2048.5"/>
  </r>
  <r>
    <x v="201"/>
    <x v="19"/>
    <n v="10504"/>
    <n v="1388.5"/>
  </r>
  <r>
    <x v="202"/>
    <x v="49"/>
    <n v="10505"/>
    <n v="147.9"/>
  </r>
  <r>
    <x v="203"/>
    <x v="59"/>
    <n v="10507"/>
    <n v="749.06249474734068"/>
  </r>
  <r>
    <x v="203"/>
    <x v="44"/>
    <n v="10506"/>
    <n v="415.79999931156635"/>
  </r>
  <r>
    <x v="204"/>
    <x v="12"/>
    <n v="10508"/>
    <n v="240"/>
  </r>
  <r>
    <x v="205"/>
    <x v="76"/>
    <n v="10509"/>
    <n v="136.80000000000001"/>
  </r>
  <r>
    <x v="206"/>
    <x v="45"/>
    <n v="10510"/>
    <n v="4707.5399995842572"/>
  </r>
  <r>
    <x v="206"/>
    <x v="48"/>
    <n v="10511"/>
    <n v="2549.9999821186066"/>
  </r>
  <r>
    <x v="207"/>
    <x v="52"/>
    <n v="10512"/>
    <n v="525.29999631643295"/>
  </r>
  <r>
    <x v="208"/>
    <x v="35"/>
    <n v="10513"/>
    <n v="1941.9999927654862"/>
  </r>
  <r>
    <x v="208"/>
    <x v="9"/>
    <n v="10514"/>
    <n v="8623.4500000000007"/>
  </r>
  <r>
    <x v="209"/>
    <x v="21"/>
    <n v="10515"/>
    <n v="9921.299973487854"/>
  </r>
  <r>
    <x v="210"/>
    <x v="77"/>
    <n v="10517"/>
    <n v="352"/>
  </r>
  <r>
    <x v="210"/>
    <x v="34"/>
    <n v="10516"/>
    <n v="2381.0499965213239"/>
  </r>
  <r>
    <x v="211"/>
    <x v="23"/>
    <n v="10518"/>
    <n v="4150.05"/>
  </r>
  <r>
    <x v="212"/>
    <x v="5"/>
    <n v="10519"/>
    <n v="2314.1999993771315"/>
  </r>
  <r>
    <x v="213"/>
    <x v="65"/>
    <n v="10520"/>
    <n v="200"/>
  </r>
  <r>
    <x v="213"/>
    <x v="78"/>
    <n v="10521"/>
    <n v="225.5"/>
  </r>
  <r>
    <x v="214"/>
    <x v="26"/>
    <n v="10522"/>
    <n v="2318.2399949401615"/>
  </r>
  <r>
    <x v="215"/>
    <x v="56"/>
    <n v="10523"/>
    <n v="2444.3099959529936"/>
  </r>
  <r>
    <x v="215"/>
    <x v="25"/>
    <n v="10524"/>
    <n v="3192.65"/>
  </r>
  <r>
    <x v="216"/>
    <x v="48"/>
    <n v="10525"/>
    <n v="818.39999958872795"/>
  </r>
  <r>
    <x v="217"/>
    <x v="21"/>
    <n v="10527"/>
    <n v="1502.9999975115061"/>
  </r>
  <r>
    <x v="217"/>
    <x v="16"/>
    <n v="10526"/>
    <n v="1151.3999923467636"/>
  </r>
  <r>
    <x v="218"/>
    <x v="79"/>
    <n v="10528"/>
    <n v="392.19999994039534"/>
  </r>
  <r>
    <x v="219"/>
    <x v="80"/>
    <n v="10529"/>
    <n v="946"/>
  </r>
  <r>
    <x v="220"/>
    <x v="54"/>
    <n v="10530"/>
    <n v="4180"/>
  </r>
  <r>
    <x v="220"/>
    <x v="69"/>
    <n v="10531"/>
    <n v="110"/>
  </r>
  <r>
    <x v="221"/>
    <x v="58"/>
    <n v="10532"/>
    <n v="796.35"/>
  </r>
  <r>
    <x v="222"/>
    <x v="14"/>
    <n v="10533"/>
    <n v="2222.1999989122151"/>
  </r>
  <r>
    <x v="222"/>
    <x v="26"/>
    <n v="10534"/>
    <n v="465.69999922960994"/>
  </r>
  <r>
    <x v="223"/>
    <x v="59"/>
    <n v="10535"/>
    <n v="1940.8499967865646"/>
  </r>
  <r>
    <x v="224"/>
    <x v="26"/>
    <n v="10536"/>
    <n v="1645"/>
  </r>
  <r>
    <x v="224"/>
    <x v="6"/>
    <n v="10537"/>
    <n v="1823.8"/>
  </r>
  <r>
    <x v="225"/>
    <x v="31"/>
    <n v="10538"/>
    <n v="139.80000000000001"/>
  </r>
  <r>
    <x v="226"/>
    <x v="31"/>
    <n v="10539"/>
    <n v="355.5"/>
  </r>
  <r>
    <x v="227"/>
    <x v="21"/>
    <n v="10540"/>
    <n v="10191.700000000001"/>
  </r>
  <r>
    <x v="227"/>
    <x v="3"/>
    <n v="10541"/>
    <n v="1946.5199967771769"/>
  </r>
  <r>
    <x v="228"/>
    <x v="44"/>
    <n v="10542"/>
    <n v="469.10999963209031"/>
  </r>
  <r>
    <x v="229"/>
    <x v="28"/>
    <n v="10543"/>
    <n v="1504.4999894499779"/>
  </r>
  <r>
    <x v="229"/>
    <x v="38"/>
    <n v="10544"/>
    <n v="417.2"/>
  </r>
  <r>
    <x v="230"/>
    <x v="74"/>
    <n v="10545"/>
    <n v="210"/>
  </r>
  <r>
    <x v="231"/>
    <x v="56"/>
    <n v="10547"/>
    <n v="1792.7999954223633"/>
  </r>
  <r>
    <x v="231"/>
    <x v="2"/>
    <n v="10546"/>
    <n v="2812"/>
  </r>
  <r>
    <x v="232"/>
    <x v="1"/>
    <n v="10548"/>
    <n v="240.1"/>
  </r>
  <r>
    <x v="233"/>
    <x v="21"/>
    <n v="10549"/>
    <n v="3554.2749750763178"/>
  </r>
  <r>
    <x v="234"/>
    <x v="36"/>
    <n v="10550"/>
    <n v="683.29999902099371"/>
  </r>
  <r>
    <x v="234"/>
    <x v="47"/>
    <n v="10551"/>
    <n v="1677.2999936938286"/>
  </r>
  <r>
    <x v="235"/>
    <x v="8"/>
    <n v="10552"/>
    <n v="880.5"/>
  </r>
  <r>
    <x v="236"/>
    <x v="16"/>
    <n v="10553"/>
    <n v="1546.3"/>
  </r>
  <r>
    <x v="236"/>
    <x v="12"/>
    <n v="10554"/>
    <n v="1728.5249986443669"/>
  </r>
  <r>
    <x v="237"/>
    <x v="45"/>
    <n v="10555"/>
    <n v="2944.3999890312552"/>
  </r>
  <r>
    <x v="238"/>
    <x v="51"/>
    <n v="10556"/>
    <n v="835.2"/>
  </r>
  <r>
    <x v="238"/>
    <x v="26"/>
    <n v="10557"/>
    <n v="1152.5"/>
  </r>
  <r>
    <x v="239"/>
    <x v="55"/>
    <n v="10558"/>
    <n v="2142.9"/>
  </r>
  <r>
    <x v="240"/>
    <x v="15"/>
    <n v="10559"/>
    <n v="520.40999959185717"/>
  </r>
  <r>
    <x v="241"/>
    <x v="14"/>
    <n v="10561"/>
    <n v="2844.5"/>
  </r>
  <r>
    <x v="241"/>
    <x v="17"/>
    <n v="10560"/>
    <n v="1072.425"/>
  </r>
  <r>
    <x v="242"/>
    <x v="30"/>
    <n v="10562"/>
    <n v="488.69999919086695"/>
  </r>
  <r>
    <x v="243"/>
    <x v="13"/>
    <n v="10564"/>
    <n v="1234.0499990321696"/>
  </r>
  <r>
    <x v="243"/>
    <x v="29"/>
    <n v="10563"/>
    <n v="965"/>
  </r>
  <r>
    <x v="244"/>
    <x v="49"/>
    <n v="10565"/>
    <n v="639.89999894052744"/>
  </r>
  <r>
    <x v="245"/>
    <x v="15"/>
    <n v="10566"/>
    <n v="1760.9999889135361"/>
  </r>
  <r>
    <x v="245"/>
    <x v="34"/>
    <n v="10567"/>
    <n v="2518.9999912083149"/>
  </r>
  <r>
    <x v="246"/>
    <x v="60"/>
    <n v="10568"/>
    <n v="155"/>
  </r>
  <r>
    <x v="247"/>
    <x v="13"/>
    <n v="10569"/>
    <n v="889.9999986961484"/>
  </r>
  <r>
    <x v="248"/>
    <x v="49"/>
    <n v="10570"/>
    <n v="2465.2499980665743"/>
  </r>
  <r>
    <x v="248"/>
    <x v="9"/>
    <n v="10571"/>
    <n v="550.58749613910913"/>
  </r>
  <r>
    <x v="249"/>
    <x v="25"/>
    <n v="10572"/>
    <n v="1501.0849990379065"/>
  </r>
  <r>
    <x v="250"/>
    <x v="81"/>
    <n v="10574"/>
    <n v="764.3"/>
  </r>
  <r>
    <x v="250"/>
    <x v="59"/>
    <n v="10573"/>
    <n v="2082"/>
  </r>
  <r>
    <x v="251"/>
    <x v="24"/>
    <n v="10575"/>
    <n v="2147.4"/>
  </r>
  <r>
    <x v="252"/>
    <x v="81"/>
    <n v="10577"/>
    <n v="569"/>
  </r>
  <r>
    <x v="252"/>
    <x v="23"/>
    <n v="10576"/>
    <n v="838.45"/>
  </r>
  <r>
    <x v="253"/>
    <x v="31"/>
    <n v="10578"/>
    <n v="477"/>
  </r>
  <r>
    <x v="254"/>
    <x v="82"/>
    <n v="10579"/>
    <n v="317.75"/>
  </r>
  <r>
    <x v="255"/>
    <x v="52"/>
    <n v="10581"/>
    <n v="309.99999884516001"/>
  </r>
  <r>
    <x v="255"/>
    <x v="12"/>
    <n v="10580"/>
    <n v="1013.7449992049485"/>
  </r>
  <r>
    <x v="256"/>
    <x v="76"/>
    <n v="10582"/>
    <n v="330"/>
  </r>
  <r>
    <x v="257"/>
    <x v="15"/>
    <n v="10584"/>
    <n v="593.74999953433871"/>
  </r>
  <r>
    <x v="257"/>
    <x v="16"/>
    <n v="10583"/>
    <n v="2237.4999929904939"/>
  </r>
  <r>
    <x v="258"/>
    <x v="7"/>
    <n v="10585"/>
    <n v="142.5"/>
  </r>
  <r>
    <x v="259"/>
    <x v="30"/>
    <n v="10586"/>
    <n v="23.799999833106995"/>
  </r>
  <r>
    <x v="259"/>
    <x v="11"/>
    <n v="10587"/>
    <n v="807.38"/>
  </r>
  <r>
    <x v="260"/>
    <x v="21"/>
    <n v="10588"/>
    <n v="3119.9999883770943"/>
  </r>
  <r>
    <x v="261"/>
    <x v="79"/>
    <n v="10589"/>
    <n v="72"/>
  </r>
  <r>
    <x v="262"/>
    <x v="49"/>
    <n v="10590"/>
    <n v="1100.9999994188547"/>
  </r>
  <r>
    <x v="262"/>
    <x v="61"/>
    <n v="10591"/>
    <n v="812.5"/>
  </r>
  <r>
    <x v="263"/>
    <x v="26"/>
    <n v="10592"/>
    <n v="516.46749959494923"/>
  </r>
  <r>
    <x v="264"/>
    <x v="37"/>
    <n v="10594"/>
    <n v="565.5"/>
  </r>
  <r>
    <x v="264"/>
    <x v="26"/>
    <n v="10593"/>
    <n v="1994.399992570281"/>
  </r>
  <r>
    <x v="265"/>
    <x v="9"/>
    <n v="10595"/>
    <n v="4725"/>
  </r>
  <r>
    <x v="266"/>
    <x v="54"/>
    <n v="10597"/>
    <n v="718.07999877780674"/>
  </r>
  <r>
    <x v="266"/>
    <x v="19"/>
    <n v="10596"/>
    <n v="1180.8799956008793"/>
  </r>
  <r>
    <x v="267"/>
    <x v="13"/>
    <n v="10598"/>
    <n v="2388.5"/>
  </r>
  <r>
    <x v="268"/>
    <x v="31"/>
    <n v="10599"/>
    <n v="493"/>
  </r>
  <r>
    <x v="269"/>
    <x v="64"/>
    <n v="10600"/>
    <n v="479.8"/>
  </r>
  <r>
    <x v="269"/>
    <x v="8"/>
    <n v="10601"/>
    <n v="2285"/>
  </r>
  <r>
    <x v="270"/>
    <x v="61"/>
    <n v="10602"/>
    <n v="48.75"/>
  </r>
  <r>
    <x v="271"/>
    <x v="45"/>
    <n v="10603"/>
    <n v="1482.999999627471"/>
  </r>
  <r>
    <x v="271"/>
    <x v="47"/>
    <n v="10604"/>
    <n v="230.84999961778522"/>
  </r>
  <r>
    <x v="272"/>
    <x v="49"/>
    <n v="10605"/>
    <n v="4109.6999967768788"/>
  </r>
  <r>
    <x v="273"/>
    <x v="45"/>
    <n v="10607"/>
    <n v="6475.4000000000005"/>
  </r>
  <r>
    <x v="273"/>
    <x v="33"/>
    <n v="10606"/>
    <n v="1130.3999957889318"/>
  </r>
  <r>
    <x v="274"/>
    <x v="1"/>
    <n v="10608"/>
    <n v="1064"/>
  </r>
  <r>
    <x v="275"/>
    <x v="40"/>
    <n v="10609"/>
    <n v="424"/>
  </r>
  <r>
    <x v="276"/>
    <x v="53"/>
    <n v="10610"/>
    <n v="299.25"/>
  </r>
  <r>
    <x v="276"/>
    <x v="63"/>
    <n v="10611"/>
    <n v="808"/>
  </r>
  <r>
    <x v="277"/>
    <x v="45"/>
    <n v="10612"/>
    <n v="6375"/>
  </r>
  <r>
    <x v="278"/>
    <x v="76"/>
    <n v="10614"/>
    <n v="464"/>
  </r>
  <r>
    <x v="278"/>
    <x v="8"/>
    <n v="10613"/>
    <n v="353.19999992847443"/>
  </r>
  <r>
    <x v="279"/>
    <x v="83"/>
    <n v="10615"/>
    <n v="120"/>
  </r>
  <r>
    <x v="280"/>
    <x v="79"/>
    <n v="10616"/>
    <n v="4806.9999966472387"/>
  </r>
  <r>
    <x v="280"/>
    <x v="79"/>
    <n v="10617"/>
    <n v="1402.4999901652336"/>
  </r>
  <r>
    <x v="281"/>
    <x v="49"/>
    <n v="10618"/>
    <n v="2697.5"/>
  </r>
  <r>
    <x v="282"/>
    <x v="49"/>
    <n v="10619"/>
    <n v="1260"/>
  </r>
  <r>
    <x v="283"/>
    <x v="75"/>
    <n v="10620"/>
    <n v="57.5"/>
  </r>
  <r>
    <x v="283"/>
    <x v="42"/>
    <n v="10621"/>
    <n v="758.5"/>
  </r>
  <r>
    <x v="284"/>
    <x v="29"/>
    <n v="10622"/>
    <n v="559.99999932944775"/>
  </r>
  <r>
    <x v="285"/>
    <x v="84"/>
    <n v="10624"/>
    <n v="1393.24"/>
  </r>
  <r>
    <x v="285"/>
    <x v="17"/>
    <n v="10623"/>
    <n v="1336.9499986171722"/>
  </r>
  <r>
    <x v="286"/>
    <x v="39"/>
    <n v="10625"/>
    <n v="479.75"/>
  </r>
  <r>
    <x v="287"/>
    <x v="45"/>
    <n v="10627"/>
    <n v="1185.7499968707561"/>
  </r>
  <r>
    <x v="287"/>
    <x v="25"/>
    <n v="10626"/>
    <n v="1503.6"/>
  </r>
  <r>
    <x v="288"/>
    <x v="15"/>
    <n v="10628"/>
    <n v="450"/>
  </r>
  <r>
    <x v="288"/>
    <x v="36"/>
    <n v="10629"/>
    <n v="2775.05"/>
  </r>
  <r>
    <x v="289"/>
    <x v="44"/>
    <n v="10630"/>
    <n v="903.59999978542328"/>
  </r>
  <r>
    <x v="290"/>
    <x v="53"/>
    <n v="10631"/>
    <n v="55.799999907612801"/>
  </r>
  <r>
    <x v="290"/>
    <x v="35"/>
    <n v="10632"/>
    <n v="588.999999538064"/>
  </r>
  <r>
    <x v="291"/>
    <x v="68"/>
    <n v="10634"/>
    <n v="4985.5"/>
  </r>
  <r>
    <x v="291"/>
    <x v="9"/>
    <n v="10633"/>
    <n v="5510.592461358011"/>
  </r>
  <r>
    <x v="292"/>
    <x v="22"/>
    <n v="10635"/>
    <n v="1326.2249991949648"/>
  </r>
  <r>
    <x v="293"/>
    <x v="62"/>
    <n v="10637"/>
    <n v="2761.9374979985878"/>
  </r>
  <r>
    <x v="293"/>
    <x v="16"/>
    <n v="10636"/>
    <n v="629.5"/>
  </r>
  <r>
    <x v="294"/>
    <x v="67"/>
    <n v="10638"/>
    <n v="2720.05"/>
  </r>
  <r>
    <x v="294"/>
    <x v="65"/>
    <n v="10639"/>
    <n v="500"/>
  </r>
  <r>
    <x v="295"/>
    <x v="35"/>
    <n v="10640"/>
    <n v="708.75"/>
  </r>
  <r>
    <x v="296"/>
    <x v="51"/>
    <n v="10642"/>
    <n v="695.99999740719795"/>
  </r>
  <r>
    <x v="296"/>
    <x v="8"/>
    <n v="10641"/>
    <n v="2054"/>
  </r>
  <r>
    <x v="297"/>
    <x v="7"/>
    <n v="10644"/>
    <n v="1371.7999992519617"/>
  </r>
  <r>
    <x v="297"/>
    <x v="46"/>
    <n v="10643"/>
    <n v="814.5"/>
  </r>
  <r>
    <x v="298"/>
    <x v="3"/>
    <n v="10645"/>
    <n v="1535"/>
  </r>
  <r>
    <x v="299"/>
    <x v="11"/>
    <n v="10647"/>
    <n v="636"/>
  </r>
  <r>
    <x v="299"/>
    <x v="34"/>
    <n v="10646"/>
    <n v="1446"/>
  </r>
  <r>
    <x v="300"/>
    <x v="29"/>
    <n v="10648"/>
    <n v="372.37499959766865"/>
  </r>
  <r>
    <x v="300"/>
    <x v="80"/>
    <n v="10649"/>
    <n v="1434"/>
  </r>
  <r>
    <x v="301"/>
    <x v="52"/>
    <n v="10650"/>
    <n v="1779.1999993890524"/>
  </r>
  <r>
    <x v="302"/>
    <x v="35"/>
    <n v="10651"/>
    <n v="397.8"/>
  </r>
  <r>
    <x v="302"/>
    <x v="71"/>
    <n v="10652"/>
    <n v="318.83499999999998"/>
  </r>
  <r>
    <x v="303"/>
    <x v="25"/>
    <n v="10654"/>
    <n v="601.82999900355935"/>
  </r>
  <r>
    <x v="303"/>
    <x v="17"/>
    <n v="10653"/>
    <n v="1083.1499982066453"/>
  </r>
  <r>
    <x v="304"/>
    <x v="30"/>
    <n v="10655"/>
    <n v="154.39999942481518"/>
  </r>
  <r>
    <x v="305"/>
    <x v="45"/>
    <n v="10657"/>
    <n v="4371.6000000000004"/>
  </r>
  <r>
    <x v="305"/>
    <x v="79"/>
    <n v="10656"/>
    <n v="604.21499899961054"/>
  </r>
  <r>
    <x v="306"/>
    <x v="21"/>
    <n v="10658"/>
    <n v="4464.5999969691038"/>
  </r>
  <r>
    <x v="306"/>
    <x v="62"/>
    <n v="10659"/>
    <n v="1227.019999037683"/>
  </r>
  <r>
    <x v="307"/>
    <x v="64"/>
    <n v="10660"/>
    <n v="1701"/>
  </r>
  <r>
    <x v="308"/>
    <x v="34"/>
    <n v="10661"/>
    <n v="562.59999790415168"/>
  </r>
  <r>
    <x v="308"/>
    <x v="38"/>
    <n v="10662"/>
    <n v="125"/>
  </r>
  <r>
    <x v="309"/>
    <x v="47"/>
    <n v="10664"/>
    <n v="1288.387490965426"/>
  </r>
  <r>
    <x v="309"/>
    <x v="48"/>
    <n v="10663"/>
    <n v="1930.399998486042"/>
  </r>
  <r>
    <x v="310"/>
    <x v="38"/>
    <n v="10665"/>
    <n v="1295"/>
  </r>
  <r>
    <x v="311"/>
    <x v="6"/>
    <n v="10666"/>
    <n v="4666.9399999999996"/>
  </r>
  <r>
    <x v="311"/>
    <x v="9"/>
    <n v="10667"/>
    <n v="1536.7999942749739"/>
  </r>
  <r>
    <x v="312"/>
    <x v="51"/>
    <n v="10669"/>
    <n v="570"/>
  </r>
  <r>
    <x v="312"/>
    <x v="35"/>
    <n v="10668"/>
    <n v="625.27499896474183"/>
  </r>
  <r>
    <x v="313"/>
    <x v="17"/>
    <n v="10670"/>
    <n v="2301.75"/>
  </r>
  <r>
    <x v="314"/>
    <x v="85"/>
    <n v="10671"/>
    <n v="920.1"/>
  </r>
  <r>
    <x v="314"/>
    <x v="25"/>
    <n v="10672"/>
    <n v="3815.249994110316"/>
  </r>
  <r>
    <x v="315"/>
    <x v="42"/>
    <n v="10674"/>
    <n v="45"/>
  </r>
  <r>
    <x v="315"/>
    <x v="83"/>
    <n v="10673"/>
    <n v="412.35"/>
  </r>
  <r>
    <x v="316"/>
    <x v="17"/>
    <n v="10675"/>
    <n v="1423"/>
  </r>
  <r>
    <x v="317"/>
    <x v="59"/>
    <n v="10677"/>
    <n v="813.36499429643152"/>
  </r>
  <r>
    <x v="317"/>
    <x v="23"/>
    <n v="10676"/>
    <n v="534.85"/>
  </r>
  <r>
    <x v="318"/>
    <x v="45"/>
    <n v="10678"/>
    <n v="5256.5"/>
  </r>
  <r>
    <x v="318"/>
    <x v="15"/>
    <n v="10679"/>
    <n v="660"/>
  </r>
  <r>
    <x v="319"/>
    <x v="37"/>
    <n v="10680"/>
    <n v="1261.875"/>
  </r>
  <r>
    <x v="320"/>
    <x v="59"/>
    <n v="10682"/>
    <n v="375.5"/>
  </r>
  <r>
    <x v="320"/>
    <x v="79"/>
    <n v="10681"/>
    <n v="1287.399999409914"/>
  </r>
  <r>
    <x v="321"/>
    <x v="40"/>
    <n v="10683"/>
    <n v="63"/>
  </r>
  <r>
    <x v="321"/>
    <x v="12"/>
    <n v="10684"/>
    <n v="1768"/>
  </r>
  <r>
    <x v="322"/>
    <x v="71"/>
    <n v="10685"/>
    <n v="801.1"/>
  </r>
  <r>
    <x v="323"/>
    <x v="54"/>
    <n v="10686"/>
    <n v="1404.4499965131283"/>
  </r>
  <r>
    <x v="323"/>
    <x v="34"/>
    <n v="10687"/>
    <n v="4960.8999999999996"/>
  </r>
  <r>
    <x v="324"/>
    <x v="25"/>
    <n v="10689"/>
    <n v="472.5"/>
  </r>
  <r>
    <x v="324"/>
    <x v="61"/>
    <n v="10688"/>
    <n v="3160.5999950915575"/>
  </r>
  <r>
    <x v="325"/>
    <x v="3"/>
    <n v="10690"/>
    <n v="862.5"/>
  </r>
  <r>
    <x v="326"/>
    <x v="21"/>
    <n v="10691"/>
    <n v="10164.800000000001"/>
  </r>
  <r>
    <x v="326"/>
    <x v="31"/>
    <n v="10692"/>
    <n v="878"/>
  </r>
  <r>
    <x v="327"/>
    <x v="21"/>
    <n v="10694"/>
    <n v="4825"/>
  </r>
  <r>
    <x v="327"/>
    <x v="19"/>
    <n v="10693"/>
    <n v="2071.1999895572662"/>
  </r>
  <r>
    <x v="328"/>
    <x v="83"/>
    <n v="10695"/>
    <n v="642"/>
  </r>
  <r>
    <x v="329"/>
    <x v="67"/>
    <n v="10697"/>
    <n v="805.42499999999995"/>
  </r>
  <r>
    <x v="329"/>
    <x v="19"/>
    <n v="10696"/>
    <n v="996"/>
  </r>
  <r>
    <x v="330"/>
    <x v="9"/>
    <n v="10698"/>
    <n v="3436.4434975519407"/>
  </r>
  <r>
    <x v="330"/>
    <x v="24"/>
    <n v="10699"/>
    <n v="114"/>
  </r>
  <r>
    <x v="331"/>
    <x v="45"/>
    <n v="10700"/>
    <n v="1638.3999938964844"/>
  </r>
  <r>
    <x v="332"/>
    <x v="39"/>
    <n v="10702"/>
    <n v="330"/>
  </r>
  <r>
    <x v="332"/>
    <x v="34"/>
    <n v="10701"/>
    <n v="2864.4999799132347"/>
  </r>
  <r>
    <x v="333"/>
    <x v="62"/>
    <n v="10704"/>
    <n v="595.5"/>
  </r>
  <r>
    <x v="333"/>
    <x v="14"/>
    <n v="10703"/>
    <n v="2545"/>
  </r>
  <r>
    <x v="334"/>
    <x v="8"/>
    <n v="10705"/>
    <n v="378"/>
  </r>
  <r>
    <x v="335"/>
    <x v="55"/>
    <n v="10707"/>
    <n v="1640.9999974966049"/>
  </r>
  <r>
    <x v="335"/>
    <x v="37"/>
    <n v="10706"/>
    <n v="1893"/>
  </r>
  <r>
    <x v="336"/>
    <x v="41"/>
    <n v="10708"/>
    <n v="180.4"/>
  </r>
  <r>
    <x v="336"/>
    <x v="71"/>
    <n v="10709"/>
    <n v="3424"/>
  </r>
  <r>
    <x v="337"/>
    <x v="70"/>
    <n v="10710"/>
    <n v="93.5"/>
  </r>
  <r>
    <x v="338"/>
    <x v="45"/>
    <n v="10711"/>
    <n v="4451.7"/>
  </r>
  <r>
    <x v="338"/>
    <x v="34"/>
    <n v="10712"/>
    <n v="1233.4799999266863"/>
  </r>
  <r>
    <x v="339"/>
    <x v="45"/>
    <n v="10713"/>
    <n v="2827.9"/>
  </r>
  <r>
    <x v="339"/>
    <x v="45"/>
    <n v="10714"/>
    <n v="2205.75"/>
  </r>
  <r>
    <x v="340"/>
    <x v="48"/>
    <n v="10715"/>
    <n v="1296"/>
  </r>
  <r>
    <x v="341"/>
    <x v="73"/>
    <n v="10716"/>
    <n v="706"/>
  </r>
  <r>
    <x v="341"/>
    <x v="17"/>
    <n v="10717"/>
    <n v="1270.7499990910292"/>
  </r>
  <r>
    <x v="342"/>
    <x v="82"/>
    <n v="10719"/>
    <n v="844.25250000000005"/>
  </r>
  <r>
    <x v="342"/>
    <x v="44"/>
    <n v="10718"/>
    <n v="3463"/>
  </r>
  <r>
    <x v="343"/>
    <x v="11"/>
    <n v="10720"/>
    <n v="550"/>
  </r>
  <r>
    <x v="344"/>
    <x v="45"/>
    <n v="10722"/>
    <n v="1570"/>
  </r>
  <r>
    <x v="344"/>
    <x v="21"/>
    <n v="10721"/>
    <n v="923.87499927543104"/>
  </r>
  <r>
    <x v="345"/>
    <x v="49"/>
    <n v="10724"/>
    <n v="638.5"/>
  </r>
  <r>
    <x v="345"/>
    <x v="19"/>
    <n v="10723"/>
    <n v="468.45"/>
  </r>
  <r>
    <x v="346"/>
    <x v="52"/>
    <n v="10725"/>
    <n v="287.8"/>
  </r>
  <r>
    <x v="347"/>
    <x v="30"/>
    <n v="10727"/>
    <n v="1624.4999987259507"/>
  </r>
  <r>
    <x v="347"/>
    <x v="58"/>
    <n v="10726"/>
    <n v="655"/>
  </r>
  <r>
    <x v="348"/>
    <x v="67"/>
    <n v="10729"/>
    <n v="1850"/>
  </r>
  <r>
    <x v="348"/>
    <x v="62"/>
    <n v="10728"/>
    <n v="1296.75"/>
  </r>
  <r>
    <x v="349"/>
    <x v="48"/>
    <n v="10730"/>
    <n v="484.26249962020665"/>
  </r>
  <r>
    <x v="350"/>
    <x v="5"/>
    <n v="10731"/>
    <n v="1890.4999985173345"/>
  </r>
  <r>
    <x v="350"/>
    <x v="48"/>
    <n v="10732"/>
    <n v="360"/>
  </r>
  <r>
    <x v="351"/>
    <x v="25"/>
    <n v="10733"/>
    <n v="1459"/>
  </r>
  <r>
    <x v="351"/>
    <x v="71"/>
    <n v="10734"/>
    <n v="1498.35"/>
  </r>
  <r>
    <x v="352"/>
    <x v="82"/>
    <n v="10735"/>
    <n v="536.39999911189079"/>
  </r>
  <r>
    <x v="353"/>
    <x v="0"/>
    <n v="10737"/>
    <n v="139.80000000000001"/>
  </r>
  <r>
    <x v="353"/>
    <x v="34"/>
    <n v="10736"/>
    <n v="997"/>
  </r>
  <r>
    <x v="354"/>
    <x v="86"/>
    <n v="10738"/>
    <n v="52.35"/>
  </r>
  <r>
    <x v="354"/>
    <x v="0"/>
    <n v="10739"/>
    <n v="240"/>
  </r>
  <r>
    <x v="355"/>
    <x v="19"/>
    <n v="10740"/>
    <n v="1415.9999947249889"/>
  </r>
  <r>
    <x v="356"/>
    <x v="66"/>
    <n v="10742"/>
    <n v="3118"/>
  </r>
  <r>
    <x v="356"/>
    <x v="55"/>
    <n v="10741"/>
    <n v="227.99999915063381"/>
  </r>
  <r>
    <x v="357"/>
    <x v="55"/>
    <n v="10743"/>
    <n v="319.19999974966049"/>
  </r>
  <r>
    <x v="357"/>
    <x v="61"/>
    <n v="10744"/>
    <n v="735.99999725818634"/>
  </r>
  <r>
    <x v="358"/>
    <x v="21"/>
    <n v="10745"/>
    <n v="4529.8"/>
  </r>
  <r>
    <x v="359"/>
    <x v="54"/>
    <n v="10747"/>
    <n v="1912.85"/>
  </r>
  <r>
    <x v="359"/>
    <x v="5"/>
    <n v="10746"/>
    <n v="2311.6999999999998"/>
  </r>
  <r>
    <x v="360"/>
    <x v="45"/>
    <n v="10748"/>
    <n v="2196"/>
  </r>
  <r>
    <x v="360"/>
    <x v="42"/>
    <n v="10749"/>
    <n v="1080"/>
  </r>
  <r>
    <x v="361"/>
    <x v="16"/>
    <n v="10750"/>
    <n v="1590.5624888464808"/>
  </r>
  <r>
    <x v="362"/>
    <x v="77"/>
    <n v="10752"/>
    <n v="252"/>
  </r>
  <r>
    <x v="362"/>
    <x v="6"/>
    <n v="10751"/>
    <n v="1631.4839989572763"/>
  </r>
  <r>
    <x v="363"/>
    <x v="70"/>
    <n v="10753"/>
    <n v="88"/>
  </r>
  <r>
    <x v="363"/>
    <x v="22"/>
    <n v="10754"/>
    <n v="55.2"/>
  </r>
  <r>
    <x v="364"/>
    <x v="48"/>
    <n v="10755"/>
    <n v="1948.5"/>
  </r>
  <r>
    <x v="365"/>
    <x v="45"/>
    <n v="10757"/>
    <n v="3082"/>
  </r>
  <r>
    <x v="365"/>
    <x v="20"/>
    <n v="10756"/>
    <n v="1989.9999925866723"/>
  </r>
  <r>
    <x v="366"/>
    <x v="39"/>
    <n v="10759"/>
    <n v="320"/>
  </r>
  <r>
    <x v="366"/>
    <x v="6"/>
    <n v="10758"/>
    <n v="1644.6"/>
  </r>
  <r>
    <x v="367"/>
    <x v="80"/>
    <n v="10760"/>
    <n v="2917"/>
  </r>
  <r>
    <x v="368"/>
    <x v="14"/>
    <n v="10762"/>
    <n v="4337"/>
  </r>
  <r>
    <x v="368"/>
    <x v="13"/>
    <n v="10761"/>
    <n v="507"/>
  </r>
  <r>
    <x v="369"/>
    <x v="68"/>
    <n v="10763"/>
    <n v="616"/>
  </r>
  <r>
    <x v="369"/>
    <x v="9"/>
    <n v="10764"/>
    <n v="2285.9999962151051"/>
  </r>
  <r>
    <x v="370"/>
    <x v="21"/>
    <n v="10765"/>
    <n v="1515.5999974906445"/>
  </r>
  <r>
    <x v="371"/>
    <x v="4"/>
    <n v="10767"/>
    <n v="28"/>
  </r>
  <r>
    <x v="371"/>
    <x v="12"/>
    <n v="10766"/>
    <n v="2310"/>
  </r>
  <r>
    <x v="372"/>
    <x v="55"/>
    <n v="10768"/>
    <n v="1477"/>
  </r>
  <r>
    <x v="372"/>
    <x v="61"/>
    <n v="10769"/>
    <n v="1684.2749997060746"/>
  </r>
  <r>
    <x v="373"/>
    <x v="3"/>
    <n v="10770"/>
    <n v="236.25"/>
  </r>
  <r>
    <x v="374"/>
    <x v="26"/>
    <n v="10772"/>
    <n v="3603.22"/>
  </r>
  <r>
    <x v="374"/>
    <x v="9"/>
    <n v="10771"/>
    <n v="344"/>
  </r>
  <r>
    <x v="375"/>
    <x v="14"/>
    <n v="10774"/>
    <n v="868.75"/>
  </r>
  <r>
    <x v="375"/>
    <x v="9"/>
    <n v="10773"/>
    <n v="2030.3999972306192"/>
  </r>
  <r>
    <x v="376"/>
    <x v="84"/>
    <n v="10775"/>
    <n v="228"/>
  </r>
  <r>
    <x v="377"/>
    <x v="71"/>
    <n v="10777"/>
    <n v="223.99999916553497"/>
  </r>
  <r>
    <x v="377"/>
    <x v="9"/>
    <n v="10776"/>
    <n v="6635.274994796142"/>
  </r>
  <r>
    <x v="378"/>
    <x v="28"/>
    <n v="10780"/>
    <n v="720"/>
  </r>
  <r>
    <x v="378"/>
    <x v="25"/>
    <n v="10778"/>
    <n v="96.5"/>
  </r>
  <r>
    <x v="378"/>
    <x v="24"/>
    <n v="10779"/>
    <n v="1335"/>
  </r>
  <r>
    <x v="379"/>
    <x v="16"/>
    <n v="10781"/>
    <n v="975.87999766841529"/>
  </r>
  <r>
    <x v="379"/>
    <x v="78"/>
    <n v="10782"/>
    <n v="12.5"/>
  </r>
  <r>
    <x v="380"/>
    <x v="18"/>
    <n v="10785"/>
    <n v="387.5"/>
  </r>
  <r>
    <x v="380"/>
    <x v="3"/>
    <n v="10783"/>
    <n v="1442.5"/>
  </r>
  <r>
    <x v="380"/>
    <x v="22"/>
    <n v="10784"/>
    <n v="1487.9999935626984"/>
  </r>
  <r>
    <x v="381"/>
    <x v="53"/>
    <n v="10787"/>
    <n v="2622.7599979430438"/>
  </r>
  <r>
    <x v="381"/>
    <x v="62"/>
    <n v="10786"/>
    <n v="1531.0799942962826"/>
  </r>
  <r>
    <x v="382"/>
    <x v="21"/>
    <n v="10788"/>
    <n v="731.49999942630529"/>
  </r>
  <r>
    <x v="382"/>
    <x v="68"/>
    <n v="10789"/>
    <n v="3687"/>
  </r>
  <r>
    <x v="382"/>
    <x v="71"/>
    <n v="10790"/>
    <n v="722.49999493360519"/>
  </r>
  <r>
    <x v="383"/>
    <x v="63"/>
    <n v="10792"/>
    <n v="399.85"/>
  </r>
  <r>
    <x v="383"/>
    <x v="17"/>
    <n v="10791"/>
    <n v="1829.7569985649734"/>
  </r>
  <r>
    <x v="384"/>
    <x v="55"/>
    <n v="10793"/>
    <n v="191.1"/>
  </r>
  <r>
    <x v="384"/>
    <x v="11"/>
    <n v="10794"/>
    <n v="314.75999882742764"/>
  </r>
  <r>
    <x v="384"/>
    <x v="9"/>
    <n v="10795"/>
    <n v="2158"/>
  </r>
  <r>
    <x v="385"/>
    <x v="57"/>
    <n v="10797"/>
    <n v="420"/>
  </r>
  <r>
    <x v="385"/>
    <x v="8"/>
    <n v="10796"/>
    <n v="2341.3639920023084"/>
  </r>
  <r>
    <x v="386"/>
    <x v="56"/>
    <n v="10800"/>
    <n v="1468.934997567907"/>
  </r>
  <r>
    <x v="386"/>
    <x v="42"/>
    <n v="10798"/>
    <n v="446.6"/>
  </r>
  <r>
    <x v="386"/>
    <x v="44"/>
    <n v="10799"/>
    <n v="1553.4999987483025"/>
  </r>
  <r>
    <x v="387"/>
    <x v="51"/>
    <n v="10802"/>
    <n v="2942.8125"/>
  </r>
  <r>
    <x v="387"/>
    <x v="46"/>
    <n v="10801"/>
    <n v="3026.8500000000004"/>
  </r>
  <r>
    <x v="388"/>
    <x v="56"/>
    <n v="10804"/>
    <n v="2278.3999995231629"/>
  </r>
  <r>
    <x v="388"/>
    <x v="7"/>
    <n v="10803"/>
    <n v="1193.0099990643562"/>
  </r>
  <r>
    <x v="388"/>
    <x v="41"/>
    <n v="10805"/>
    <n v="2775"/>
  </r>
  <r>
    <x v="389"/>
    <x v="2"/>
    <n v="10806"/>
    <n v="439.6"/>
  </r>
  <r>
    <x v="389"/>
    <x v="70"/>
    <n v="10807"/>
    <n v="18.399999999999999"/>
  </r>
  <r>
    <x v="390"/>
    <x v="75"/>
    <n v="10810"/>
    <n v="187"/>
  </r>
  <r>
    <x v="390"/>
    <x v="7"/>
    <n v="10809"/>
    <n v="140"/>
  </r>
  <r>
    <x v="390"/>
    <x v="37"/>
    <n v="10808"/>
    <n v="1410.999990105629"/>
  </r>
  <r>
    <x v="391"/>
    <x v="67"/>
    <n v="10811"/>
    <n v="852"/>
  </r>
  <r>
    <x v="391"/>
    <x v="30"/>
    <n v="10812"/>
    <n v="1692.7999976277351"/>
  </r>
  <r>
    <x v="392"/>
    <x v="45"/>
    <n v="10815"/>
    <n v="40"/>
  </r>
  <r>
    <x v="392"/>
    <x v="2"/>
    <n v="10814"/>
    <n v="1788.4499888122082"/>
  </r>
  <r>
    <x v="392"/>
    <x v="29"/>
    <n v="10813"/>
    <n v="602.39999932050705"/>
  </r>
  <r>
    <x v="393"/>
    <x v="79"/>
    <n v="10816"/>
    <n v="8446.4499933756888"/>
  </r>
  <r>
    <x v="393"/>
    <x v="44"/>
    <n v="10817"/>
    <n v="10952.844978627563"/>
  </r>
  <r>
    <x v="394"/>
    <x v="78"/>
    <n v="10819"/>
    <n v="477"/>
  </r>
  <r>
    <x v="394"/>
    <x v="13"/>
    <n v="10820"/>
    <n v="1140"/>
  </r>
  <r>
    <x v="394"/>
    <x v="22"/>
    <n v="10818"/>
    <n v="833"/>
  </r>
  <r>
    <x v="395"/>
    <x v="81"/>
    <n v="10822"/>
    <n v="237.9"/>
  </r>
  <r>
    <x v="395"/>
    <x v="20"/>
    <n v="10821"/>
    <n v="678"/>
  </r>
  <r>
    <x v="396"/>
    <x v="28"/>
    <n v="10823"/>
    <n v="2825.9999958053231"/>
  </r>
  <r>
    <x v="396"/>
    <x v="57"/>
    <n v="10825"/>
    <n v="1030.76"/>
  </r>
  <r>
    <x v="396"/>
    <x v="14"/>
    <n v="10824"/>
    <n v="250.8"/>
  </r>
  <r>
    <x v="397"/>
    <x v="15"/>
    <n v="10826"/>
    <n v="730"/>
  </r>
  <r>
    <x v="397"/>
    <x v="48"/>
    <n v="10827"/>
    <n v="843"/>
  </r>
  <r>
    <x v="398"/>
    <x v="73"/>
    <n v="10828"/>
    <n v="932"/>
  </r>
  <r>
    <x v="398"/>
    <x v="42"/>
    <n v="10829"/>
    <n v="1764"/>
  </r>
  <r>
    <x v="398"/>
    <x v="33"/>
    <n v="10830"/>
    <n v="1974"/>
  </r>
  <r>
    <x v="399"/>
    <x v="53"/>
    <n v="10832"/>
    <n v="475.10999860167499"/>
  </r>
  <r>
    <x v="399"/>
    <x v="65"/>
    <n v="10831"/>
    <n v="2684.4"/>
  </r>
  <r>
    <x v="400"/>
    <x v="39"/>
    <n v="10835"/>
    <n v="848.99999991059303"/>
  </r>
  <r>
    <x v="400"/>
    <x v="33"/>
    <n v="10834"/>
    <n v="1432.7139988763629"/>
  </r>
  <r>
    <x v="400"/>
    <x v="12"/>
    <n v="10833"/>
    <n v="906.92999849840999"/>
  </r>
  <r>
    <x v="401"/>
    <x v="25"/>
    <n v="10837"/>
    <n v="1064.5"/>
  </r>
  <r>
    <x v="401"/>
    <x v="9"/>
    <n v="10836"/>
    <n v="4705.5"/>
  </r>
  <r>
    <x v="402"/>
    <x v="67"/>
    <n v="10838"/>
    <n v="1938.375"/>
  </r>
  <r>
    <x v="402"/>
    <x v="67"/>
    <n v="10840"/>
    <n v="211.19999921321869"/>
  </r>
  <r>
    <x v="402"/>
    <x v="33"/>
    <n v="10839"/>
    <n v="827.54999862983823"/>
  </r>
  <r>
    <x v="403"/>
    <x v="4"/>
    <n v="10841"/>
    <n v="4581"/>
  </r>
  <r>
    <x v="403"/>
    <x v="23"/>
    <n v="10842"/>
    <n v="975"/>
  </r>
  <r>
    <x v="404"/>
    <x v="54"/>
    <n v="10844"/>
    <n v="735"/>
  </r>
  <r>
    <x v="404"/>
    <x v="21"/>
    <n v="10845"/>
    <n v="3812.699996329844"/>
  </r>
  <r>
    <x v="404"/>
    <x v="2"/>
    <n v="10843"/>
    <n v="159"/>
  </r>
  <r>
    <x v="405"/>
    <x v="45"/>
    <n v="10847"/>
    <n v="4931.9199816271666"/>
  </r>
  <r>
    <x v="405"/>
    <x v="4"/>
    <n v="10846"/>
    <n v="1112"/>
  </r>
  <r>
    <x v="406"/>
    <x v="2"/>
    <n v="10850"/>
    <n v="628.99999558925629"/>
  </r>
  <r>
    <x v="406"/>
    <x v="72"/>
    <n v="10848"/>
    <n v="931.5"/>
  </r>
  <r>
    <x v="406"/>
    <x v="44"/>
    <n v="10849"/>
    <n v="967.81899664938442"/>
  </r>
  <r>
    <x v="407"/>
    <x v="13"/>
    <n v="10852"/>
    <n v="2984"/>
  </r>
  <r>
    <x v="407"/>
    <x v="29"/>
    <n v="10851"/>
    <n v="2602.9999979585409"/>
  </r>
  <r>
    <x v="408"/>
    <x v="37"/>
    <n v="10855"/>
    <n v="2227.8874981179833"/>
  </r>
  <r>
    <x v="408"/>
    <x v="76"/>
    <n v="10853"/>
    <n v="625"/>
  </r>
  <r>
    <x v="408"/>
    <x v="9"/>
    <n v="10854"/>
    <n v="2966.499979197979"/>
  </r>
  <r>
    <x v="409"/>
    <x v="59"/>
    <n v="10856"/>
    <n v="660"/>
  </r>
  <r>
    <x v="409"/>
    <x v="25"/>
    <n v="10857"/>
    <n v="2048.2125000000001"/>
  </r>
  <r>
    <x v="410"/>
    <x v="87"/>
    <n v="10858"/>
    <n v="649"/>
  </r>
  <r>
    <x v="410"/>
    <x v="85"/>
    <n v="10860"/>
    <n v="519"/>
  </r>
  <r>
    <x v="410"/>
    <x v="17"/>
    <n v="10859"/>
    <n v="1078.6875"/>
  </r>
  <r>
    <x v="411"/>
    <x v="26"/>
    <n v="10862"/>
    <n v="581"/>
  </r>
  <r>
    <x v="411"/>
    <x v="19"/>
    <n v="10861"/>
    <n v="3523.4"/>
  </r>
  <r>
    <x v="412"/>
    <x v="21"/>
    <n v="10865"/>
    <n v="16387.499987147748"/>
  </r>
  <r>
    <x v="412"/>
    <x v="55"/>
    <n v="10864"/>
    <n v="282"/>
  </r>
  <r>
    <x v="412"/>
    <x v="8"/>
    <n v="10863"/>
    <n v="441.14999690651894"/>
  </r>
  <r>
    <x v="413"/>
    <x v="25"/>
    <n v="10866"/>
    <n v="1096.1999999999998"/>
  </r>
  <r>
    <x v="413"/>
    <x v="38"/>
    <n v="10867"/>
    <n v="98.4"/>
  </r>
  <r>
    <x v="414"/>
    <x v="56"/>
    <n v="10869"/>
    <n v="1630"/>
  </r>
  <r>
    <x v="414"/>
    <x v="63"/>
    <n v="10870"/>
    <n v="160"/>
  </r>
  <r>
    <x v="414"/>
    <x v="62"/>
    <n v="10868"/>
    <n v="1920.5999987483024"/>
  </r>
  <r>
    <x v="415"/>
    <x v="36"/>
    <n v="10872"/>
    <n v="2058.4599983856083"/>
  </r>
  <r>
    <x v="415"/>
    <x v="48"/>
    <n v="10871"/>
    <n v="1979.2299984477461"/>
  </r>
  <r>
    <x v="416"/>
    <x v="36"/>
    <n v="10874"/>
    <n v="310"/>
  </r>
  <r>
    <x v="416"/>
    <x v="25"/>
    <n v="10875"/>
    <n v="709.54999970272183"/>
  </r>
  <r>
    <x v="416"/>
    <x v="83"/>
    <n v="10873"/>
    <n v="336.8"/>
  </r>
  <r>
    <x v="417"/>
    <x v="48"/>
    <n v="10876"/>
    <n v="917"/>
  </r>
  <r>
    <x v="417"/>
    <x v="29"/>
    <n v="10877"/>
    <n v="1955.125"/>
  </r>
  <r>
    <x v="418"/>
    <x v="21"/>
    <n v="10878"/>
    <n v="1538.9999987930059"/>
  </r>
  <r>
    <x v="418"/>
    <x v="14"/>
    <n v="10880"/>
    <n v="1499.9999944120646"/>
  </r>
  <r>
    <x v="418"/>
    <x v="83"/>
    <n v="10879"/>
    <n v="611.29999999999995"/>
  </r>
  <r>
    <x v="419"/>
    <x v="45"/>
    <n v="10882"/>
    <n v="892.63999619483945"/>
  </r>
  <r>
    <x v="419"/>
    <x v="78"/>
    <n v="10881"/>
    <n v="150"/>
  </r>
  <r>
    <x v="420"/>
    <x v="4"/>
    <n v="10885"/>
    <n v="1209"/>
  </r>
  <r>
    <x v="420"/>
    <x v="82"/>
    <n v="10884"/>
    <n v="1378.0699989192187"/>
  </r>
  <r>
    <x v="420"/>
    <x v="38"/>
    <n v="10883"/>
    <n v="36"/>
  </r>
  <r>
    <x v="421"/>
    <x v="60"/>
    <n v="10887"/>
    <n v="70"/>
  </r>
  <r>
    <x v="421"/>
    <x v="3"/>
    <n v="10886"/>
    <n v="3127.5"/>
  </r>
  <r>
    <x v="422"/>
    <x v="36"/>
    <n v="10888"/>
    <n v="605"/>
  </r>
  <r>
    <x v="422"/>
    <x v="40"/>
    <n v="10890"/>
    <n v="860.1"/>
  </r>
  <r>
    <x v="422"/>
    <x v="13"/>
    <n v="10889"/>
    <n v="11380"/>
  </r>
  <r>
    <x v="423"/>
    <x v="26"/>
    <n v="10891"/>
    <n v="368.93249971065671"/>
  </r>
  <r>
    <x v="423"/>
    <x v="80"/>
    <n v="10892"/>
    <n v="2089.9999983608723"/>
  </r>
  <r>
    <x v="424"/>
    <x v="45"/>
    <n v="10894"/>
    <n v="2753.0999978408217"/>
  </r>
  <r>
    <x v="424"/>
    <x v="44"/>
    <n v="10893"/>
    <n v="5502.11"/>
  </r>
  <r>
    <x v="424"/>
    <x v="9"/>
    <n v="10895"/>
    <n v="6379.4"/>
  </r>
  <r>
    <x v="425"/>
    <x v="34"/>
    <n v="10897"/>
    <n v="10835.240000000002"/>
  </r>
  <r>
    <x v="425"/>
    <x v="80"/>
    <n v="10896"/>
    <n v="750.5"/>
  </r>
  <r>
    <x v="426"/>
    <x v="28"/>
    <n v="10899"/>
    <n v="122.39999914169312"/>
  </r>
  <r>
    <x v="426"/>
    <x v="7"/>
    <n v="10900"/>
    <n v="33.75"/>
  </r>
  <r>
    <x v="426"/>
    <x v="69"/>
    <n v="10898"/>
    <n v="30"/>
  </r>
  <r>
    <x v="427"/>
    <x v="14"/>
    <n v="10902"/>
    <n v="863.42999394536014"/>
  </r>
  <r>
    <x v="427"/>
    <x v="8"/>
    <n v="10901"/>
    <n v="934.5"/>
  </r>
  <r>
    <x v="428"/>
    <x v="7"/>
    <n v="10905"/>
    <n v="341.9999997317791"/>
  </r>
  <r>
    <x v="428"/>
    <x v="3"/>
    <n v="10903"/>
    <n v="932.05"/>
  </r>
  <r>
    <x v="428"/>
    <x v="19"/>
    <n v="10904"/>
    <n v="1924.25"/>
  </r>
  <r>
    <x v="429"/>
    <x v="86"/>
    <n v="10907"/>
    <n v="108.5"/>
  </r>
  <r>
    <x v="429"/>
    <x v="63"/>
    <n v="10906"/>
    <n v="427.5"/>
  </r>
  <r>
    <x v="430"/>
    <x v="65"/>
    <n v="10909"/>
    <n v="670"/>
  </r>
  <r>
    <x v="430"/>
    <x v="30"/>
    <n v="10908"/>
    <n v="663.09999947994947"/>
  </r>
  <r>
    <x v="430"/>
    <x v="36"/>
    <n v="10911"/>
    <n v="858"/>
  </r>
  <r>
    <x v="430"/>
    <x v="62"/>
    <n v="10913"/>
    <n v="768.75"/>
  </r>
  <r>
    <x v="430"/>
    <x v="34"/>
    <n v="10912"/>
    <n v="6200.5499999999993"/>
  </r>
  <r>
    <x v="430"/>
    <x v="83"/>
    <n v="10910"/>
    <n v="452.9"/>
  </r>
  <r>
    <x v="431"/>
    <x v="73"/>
    <n v="10916"/>
    <n v="686.7"/>
  </r>
  <r>
    <x v="431"/>
    <x v="62"/>
    <n v="10914"/>
    <n v="537.5"/>
  </r>
  <r>
    <x v="431"/>
    <x v="23"/>
    <n v="10915"/>
    <n v="539.5"/>
  </r>
  <r>
    <x v="432"/>
    <x v="67"/>
    <n v="10919"/>
    <n v="1122.8"/>
  </r>
  <r>
    <x v="432"/>
    <x v="27"/>
    <n v="10917"/>
    <n v="365.89"/>
  </r>
  <r>
    <x v="432"/>
    <x v="66"/>
    <n v="10918"/>
    <n v="1447.5"/>
  </r>
  <r>
    <x v="433"/>
    <x v="53"/>
    <n v="10923"/>
    <n v="748.79999721050262"/>
  </r>
  <r>
    <x v="433"/>
    <x v="55"/>
    <n v="10920"/>
    <n v="390"/>
  </r>
  <r>
    <x v="433"/>
    <x v="3"/>
    <n v="10922"/>
    <n v="742.5"/>
  </r>
  <r>
    <x v="433"/>
    <x v="61"/>
    <n v="10921"/>
    <n v="1936"/>
  </r>
  <r>
    <x v="434"/>
    <x v="39"/>
    <n v="10926"/>
    <n v="514.4"/>
  </r>
  <r>
    <x v="434"/>
    <x v="3"/>
    <n v="10925"/>
    <n v="475.14999666810036"/>
  </r>
  <r>
    <x v="434"/>
    <x v="25"/>
    <n v="10924"/>
    <n v="1835.6999970376492"/>
  </r>
  <r>
    <x v="435"/>
    <x v="87"/>
    <n v="10927"/>
    <n v="800"/>
  </r>
  <r>
    <x v="435"/>
    <x v="60"/>
    <n v="10928"/>
    <n v="137.5"/>
  </r>
  <r>
    <x v="435"/>
    <x v="17"/>
    <n v="10929"/>
    <n v="1174.75"/>
  </r>
  <r>
    <x v="436"/>
    <x v="4"/>
    <n v="10930"/>
    <n v="2255.4999970272183"/>
  </r>
  <r>
    <x v="436"/>
    <x v="48"/>
    <n v="10932"/>
    <n v="1788.629997960478"/>
  </r>
  <r>
    <x v="436"/>
    <x v="42"/>
    <n v="10933"/>
    <n v="920.6"/>
  </r>
  <r>
    <x v="436"/>
    <x v="6"/>
    <n v="10931"/>
    <n v="799.19999849796295"/>
  </r>
  <r>
    <x v="437"/>
    <x v="7"/>
    <n v="10935"/>
    <n v="619.5"/>
  </r>
  <r>
    <x v="437"/>
    <x v="26"/>
    <n v="10934"/>
    <n v="500"/>
  </r>
  <r>
    <x v="437"/>
    <x v="79"/>
    <n v="10936"/>
    <n v="455.99999830126762"/>
  </r>
  <r>
    <x v="438"/>
    <x v="21"/>
    <n v="10938"/>
    <n v="2731.875"/>
  </r>
  <r>
    <x v="438"/>
    <x v="78"/>
    <n v="10937"/>
    <n v="644.79999999999995"/>
  </r>
  <r>
    <x v="438"/>
    <x v="22"/>
    <n v="10939"/>
    <n v="637.49999552965164"/>
  </r>
  <r>
    <x v="439"/>
    <x v="45"/>
    <n v="10941"/>
    <n v="4011.75"/>
  </r>
  <r>
    <x v="439"/>
    <x v="31"/>
    <n v="10943"/>
    <n v="711"/>
  </r>
  <r>
    <x v="439"/>
    <x v="30"/>
    <n v="10942"/>
    <n v="560"/>
  </r>
  <r>
    <x v="439"/>
    <x v="48"/>
    <n v="10940"/>
    <n v="360"/>
  </r>
  <r>
    <x v="440"/>
    <x v="66"/>
    <n v="10944"/>
    <n v="1025.325"/>
  </r>
  <r>
    <x v="440"/>
    <x v="61"/>
    <n v="10946"/>
    <n v="1407.5"/>
  </r>
  <r>
    <x v="440"/>
    <x v="24"/>
    <n v="10945"/>
    <n v="245"/>
  </r>
  <r>
    <x v="441"/>
    <x v="31"/>
    <n v="10947"/>
    <n v="220"/>
  </r>
  <r>
    <x v="441"/>
    <x v="66"/>
    <n v="10949"/>
    <n v="4422"/>
  </r>
  <r>
    <x v="441"/>
    <x v="36"/>
    <n v="10948"/>
    <n v="2362.25"/>
  </r>
  <r>
    <x v="442"/>
    <x v="55"/>
    <n v="10953"/>
    <n v="4441.2499965168536"/>
  </r>
  <r>
    <x v="442"/>
    <x v="88"/>
    <n v="10952"/>
    <n v="518.69999970197682"/>
  </r>
  <r>
    <x v="442"/>
    <x v="22"/>
    <n v="10950"/>
    <n v="110"/>
  </r>
  <r>
    <x v="442"/>
    <x v="6"/>
    <n v="10951"/>
    <n v="458.75499964021145"/>
  </r>
  <r>
    <x v="443"/>
    <x v="67"/>
    <n v="10954"/>
    <n v="1659.5349903613328"/>
  </r>
  <r>
    <x v="443"/>
    <x v="76"/>
    <n v="10956"/>
    <n v="677"/>
  </r>
  <r>
    <x v="443"/>
    <x v="14"/>
    <n v="10955"/>
    <n v="74.399999722838402"/>
  </r>
  <r>
    <x v="444"/>
    <x v="69"/>
    <n v="10958"/>
    <n v="781"/>
  </r>
  <r>
    <x v="444"/>
    <x v="71"/>
    <n v="10959"/>
    <n v="131.74999907612801"/>
  </r>
  <r>
    <x v="444"/>
    <x v="8"/>
    <n v="10957"/>
    <n v="1762.7"/>
  </r>
  <r>
    <x v="445"/>
    <x v="21"/>
    <n v="10962"/>
    <n v="3584"/>
  </r>
  <r>
    <x v="445"/>
    <x v="47"/>
    <n v="10963"/>
    <n v="57.799999594688416"/>
  </r>
  <r>
    <x v="445"/>
    <x v="62"/>
    <n v="10961"/>
    <n v="1119.8999999687076"/>
  </r>
  <r>
    <x v="445"/>
    <x v="8"/>
    <n v="10960"/>
    <n v="265.35000000000002"/>
  </r>
  <r>
    <x v="446"/>
    <x v="86"/>
    <n v="10964"/>
    <n v="2052.5"/>
  </r>
  <r>
    <x v="446"/>
    <x v="5"/>
    <n v="10966"/>
    <n v="1098.4599937558173"/>
  </r>
  <r>
    <x v="446"/>
    <x v="37"/>
    <n v="10965"/>
    <n v="848"/>
  </r>
  <r>
    <x v="447"/>
    <x v="1"/>
    <n v="10967"/>
    <n v="910.4"/>
  </r>
  <r>
    <x v="447"/>
    <x v="32"/>
    <n v="10969"/>
    <n v="108"/>
  </r>
  <r>
    <x v="447"/>
    <x v="9"/>
    <n v="10968"/>
    <n v="1408"/>
  </r>
  <r>
    <x v="448"/>
    <x v="87"/>
    <n v="10972"/>
    <n v="251.5"/>
  </r>
  <r>
    <x v="448"/>
    <x v="87"/>
    <n v="10973"/>
    <n v="291.55"/>
  </r>
  <r>
    <x v="448"/>
    <x v="85"/>
    <n v="10971"/>
    <n v="1733.06"/>
  </r>
  <r>
    <x v="448"/>
    <x v="46"/>
    <n v="10970"/>
    <n v="223.99999916553497"/>
  </r>
  <r>
    <x v="449"/>
    <x v="66"/>
    <n v="10975"/>
    <n v="717.5"/>
  </r>
  <r>
    <x v="449"/>
    <x v="20"/>
    <n v="10974"/>
    <n v="439"/>
  </r>
  <r>
    <x v="449"/>
    <x v="8"/>
    <n v="10976"/>
    <n v="912"/>
  </r>
  <r>
    <x v="450"/>
    <x v="14"/>
    <n v="10977"/>
    <n v="2233"/>
  </r>
  <r>
    <x v="450"/>
    <x v="80"/>
    <n v="10978"/>
    <n v="1303.1949921518565"/>
  </r>
  <r>
    <x v="450"/>
    <x v="9"/>
    <n v="10979"/>
    <n v="4813.5"/>
  </r>
  <r>
    <x v="451"/>
    <x v="45"/>
    <n v="10983"/>
    <n v="720.8999969959259"/>
  </r>
  <r>
    <x v="451"/>
    <x v="66"/>
    <n v="10982"/>
    <n v="1014"/>
  </r>
  <r>
    <x v="451"/>
    <x v="3"/>
    <n v="10981"/>
    <n v="15810"/>
  </r>
  <r>
    <x v="451"/>
    <x v="14"/>
    <n v="10980"/>
    <n v="247.99999907612801"/>
  </r>
  <r>
    <x v="452"/>
    <x v="45"/>
    <n v="10984"/>
    <n v="1809.75"/>
  </r>
  <r>
    <x v="452"/>
    <x v="69"/>
    <n v="10986"/>
    <n v="2220"/>
  </r>
  <r>
    <x v="452"/>
    <x v="34"/>
    <n v="10985"/>
    <n v="2023.3799966499209"/>
  </r>
  <r>
    <x v="453"/>
    <x v="11"/>
    <n v="10989"/>
    <n v="1353.6"/>
  </r>
  <r>
    <x v="453"/>
    <x v="13"/>
    <n v="10988"/>
    <n v="3574.799997061491"/>
  </r>
  <r>
    <x v="453"/>
    <x v="58"/>
    <n v="10987"/>
    <n v="2772"/>
  </r>
  <r>
    <x v="454"/>
    <x v="21"/>
    <n v="10991"/>
    <n v="2295.9999914467335"/>
  </r>
  <r>
    <x v="454"/>
    <x v="41"/>
    <n v="10992"/>
    <n v="69.599999999999994"/>
  </r>
  <r>
    <x v="454"/>
    <x v="14"/>
    <n v="10993"/>
    <n v="4895.4375"/>
  </r>
  <r>
    <x v="454"/>
    <x v="9"/>
    <n v="10990"/>
    <n v="4288.8499744832516"/>
  </r>
  <r>
    <x v="455"/>
    <x v="21"/>
    <n v="10996"/>
    <n v="560"/>
  </r>
  <r>
    <x v="455"/>
    <x v="43"/>
    <n v="10995"/>
    <n v="1196"/>
  </r>
  <r>
    <x v="455"/>
    <x v="61"/>
    <n v="10994"/>
    <n v="940.49999926239252"/>
  </r>
  <r>
    <x v="456"/>
    <x v="28"/>
    <n v="10997"/>
    <n v="1885"/>
  </r>
  <r>
    <x v="456"/>
    <x v="63"/>
    <n v="10998"/>
    <n v="686"/>
  </r>
  <r>
    <x v="456"/>
    <x v="12"/>
    <n v="10999"/>
    <n v="1197.9499990604818"/>
  </r>
  <r>
    <x v="457"/>
    <x v="45"/>
    <n v="11002"/>
    <n v="1811.0999963879585"/>
  </r>
  <r>
    <x v="457"/>
    <x v="14"/>
    <n v="11001"/>
    <n v="2769"/>
  </r>
  <r>
    <x v="457"/>
    <x v="84"/>
    <n v="11003"/>
    <n v="326"/>
  </r>
  <r>
    <x v="457"/>
    <x v="13"/>
    <n v="11000"/>
    <n v="903.75"/>
  </r>
  <r>
    <x v="458"/>
    <x v="79"/>
    <n v="11006"/>
    <n v="329.685"/>
  </r>
  <r>
    <x v="458"/>
    <x v="80"/>
    <n v="11004"/>
    <n v="295.38"/>
  </r>
  <r>
    <x v="458"/>
    <x v="83"/>
    <n v="11005"/>
    <n v="586"/>
  </r>
  <r>
    <x v="459"/>
    <x v="36"/>
    <n v="11009"/>
    <n v="616.5"/>
  </r>
  <r>
    <x v="459"/>
    <x v="50"/>
    <n v="11007"/>
    <n v="2633.9"/>
  </r>
  <r>
    <x v="459"/>
    <x v="9"/>
    <n v="11008"/>
    <n v="4680.8999966830015"/>
  </r>
  <r>
    <x v="460"/>
    <x v="27"/>
    <n v="11013"/>
    <n v="361"/>
  </r>
  <r>
    <x v="460"/>
    <x v="30"/>
    <n v="11010"/>
    <n v="645"/>
  </r>
  <r>
    <x v="460"/>
    <x v="48"/>
    <n v="11011"/>
    <n v="933.49999960511923"/>
  </r>
  <r>
    <x v="460"/>
    <x v="17"/>
    <n v="11012"/>
    <n v="2825.2999977841973"/>
  </r>
  <r>
    <x v="461"/>
    <x v="67"/>
    <n v="11014"/>
    <n v="243.17999959737062"/>
  </r>
  <r>
    <x v="461"/>
    <x v="65"/>
    <n v="11015"/>
    <n v="622.35"/>
  </r>
  <r>
    <x v="461"/>
    <x v="48"/>
    <n v="11016"/>
    <n v="491.5"/>
  </r>
  <r>
    <x v="462"/>
    <x v="73"/>
    <n v="11019"/>
    <n v="76"/>
  </r>
  <r>
    <x v="462"/>
    <x v="9"/>
    <n v="11017"/>
    <n v="6750"/>
  </r>
  <r>
    <x v="462"/>
    <x v="38"/>
    <n v="11018"/>
    <n v="1575"/>
  </r>
  <r>
    <x v="463"/>
    <x v="21"/>
    <n v="11021"/>
    <n v="6306.24"/>
  </r>
  <r>
    <x v="463"/>
    <x v="31"/>
    <n v="11023"/>
    <n v="1500"/>
  </r>
  <r>
    <x v="463"/>
    <x v="3"/>
    <n v="11022"/>
    <n v="1402"/>
  </r>
  <r>
    <x v="463"/>
    <x v="12"/>
    <n v="11020"/>
    <n v="632.39999556541443"/>
  </r>
  <r>
    <x v="464"/>
    <x v="16"/>
    <n v="11025"/>
    <n v="269.99999955296516"/>
  </r>
  <r>
    <x v="464"/>
    <x v="70"/>
    <n v="11026"/>
    <n v="1030"/>
  </r>
  <r>
    <x v="464"/>
    <x v="58"/>
    <n v="11024"/>
    <n v="1966.81"/>
  </r>
  <r>
    <x v="465"/>
    <x v="66"/>
    <n v="11027"/>
    <n v="877.72499999999991"/>
  </r>
  <r>
    <x v="465"/>
    <x v="5"/>
    <n v="11029"/>
    <n v="1286.8"/>
  </r>
  <r>
    <x v="465"/>
    <x v="44"/>
    <n v="11028"/>
    <n v="2160"/>
  </r>
  <r>
    <x v="466"/>
    <x v="45"/>
    <n v="11030"/>
    <n v="12615.05"/>
  </r>
  <r>
    <x v="466"/>
    <x v="45"/>
    <n v="11031"/>
    <n v="2393.5"/>
  </r>
  <r>
    <x v="466"/>
    <x v="19"/>
    <n v="11032"/>
    <n v="8902.5"/>
  </r>
  <r>
    <x v="466"/>
    <x v="6"/>
    <n v="11033"/>
    <n v="3232.7999946475029"/>
  </r>
  <r>
    <x v="467"/>
    <x v="4"/>
    <n v="11035"/>
    <n v="1754.5"/>
  </r>
  <r>
    <x v="467"/>
    <x v="37"/>
    <n v="11034"/>
    <n v="539.39999977648256"/>
  </r>
  <r>
    <x v="467"/>
    <x v="57"/>
    <n v="11036"/>
    <n v="1692"/>
  </r>
  <r>
    <x v="468"/>
    <x v="67"/>
    <n v="11039"/>
    <n v="3090"/>
  </r>
  <r>
    <x v="468"/>
    <x v="4"/>
    <n v="11038"/>
    <n v="732.59999972581863"/>
  </r>
  <r>
    <x v="468"/>
    <x v="36"/>
    <n v="11037"/>
    <n v="60"/>
  </r>
  <r>
    <x v="469"/>
    <x v="86"/>
    <n v="11043"/>
    <n v="210"/>
  </r>
  <r>
    <x v="469"/>
    <x v="5"/>
    <n v="11041"/>
    <n v="1772.9999983012676"/>
  </r>
  <r>
    <x v="469"/>
    <x v="32"/>
    <n v="11042"/>
    <n v="405.75"/>
  </r>
  <r>
    <x v="469"/>
    <x v="79"/>
    <n v="11040"/>
    <n v="200"/>
  </r>
  <r>
    <x v="470"/>
    <x v="66"/>
    <n v="11045"/>
    <n v="1309.5"/>
  </r>
  <r>
    <x v="470"/>
    <x v="63"/>
    <n v="11044"/>
    <n v="591.6"/>
  </r>
  <r>
    <x v="470"/>
    <x v="35"/>
    <n v="11046"/>
    <n v="1485.7999988347292"/>
  </r>
  <r>
    <x v="471"/>
    <x v="66"/>
    <n v="11048"/>
    <n v="525"/>
  </r>
  <r>
    <x v="471"/>
    <x v="71"/>
    <n v="11049"/>
    <n v="273.59999898076057"/>
  </r>
  <r>
    <x v="471"/>
    <x v="58"/>
    <n v="11047"/>
    <n v="817.875"/>
  </r>
  <r>
    <x v="472"/>
    <x v="53"/>
    <n v="11051"/>
    <n v="35.999999865889549"/>
  </r>
  <r>
    <x v="472"/>
    <x v="54"/>
    <n v="11053"/>
    <n v="3054.9999910034239"/>
  </r>
  <r>
    <x v="472"/>
    <x v="3"/>
    <n v="11052"/>
    <n v="1331.9999950379133"/>
  </r>
  <r>
    <x v="472"/>
    <x v="14"/>
    <n v="11050"/>
    <n v="809.99999865889549"/>
  </r>
  <r>
    <x v="473"/>
    <x v="78"/>
    <n v="11054"/>
    <n v="305"/>
  </r>
  <r>
    <x v="473"/>
    <x v="8"/>
    <n v="11055"/>
    <n v="1727.5"/>
  </r>
  <r>
    <x v="473"/>
    <x v="58"/>
    <n v="11056"/>
    <n v="3740"/>
  </r>
  <r>
    <x v="474"/>
    <x v="77"/>
    <n v="11057"/>
    <n v="45"/>
  </r>
  <r>
    <x v="474"/>
    <x v="76"/>
    <n v="11058"/>
    <n v="858"/>
  </r>
  <r>
    <x v="474"/>
    <x v="29"/>
    <n v="11059"/>
    <n v="1838"/>
  </r>
  <r>
    <x v="475"/>
    <x v="30"/>
    <n v="11062"/>
    <n v="406.39999848604202"/>
  </r>
  <r>
    <x v="475"/>
    <x v="34"/>
    <n v="11063"/>
    <n v="1342.9499984718859"/>
  </r>
  <r>
    <x v="475"/>
    <x v="70"/>
    <n v="11060"/>
    <n v="266"/>
  </r>
  <r>
    <x v="475"/>
    <x v="79"/>
    <n v="11061"/>
    <n v="510"/>
  </r>
  <r>
    <x v="476"/>
    <x v="45"/>
    <n v="11064"/>
    <n v="4330.3999941602351"/>
  </r>
  <r>
    <x v="476"/>
    <x v="28"/>
    <n v="11065"/>
    <n v="189.42000000000002"/>
  </r>
  <r>
    <x v="476"/>
    <x v="19"/>
    <n v="11066"/>
    <n v="928.75"/>
  </r>
  <r>
    <x v="477"/>
    <x v="62"/>
    <n v="11068"/>
    <n v="2027.0799857854843"/>
  </r>
  <r>
    <x v="477"/>
    <x v="57"/>
    <n v="11067"/>
    <n v="86.85"/>
  </r>
  <r>
    <x v="477"/>
    <x v="23"/>
    <n v="11069"/>
    <n v="360"/>
  </r>
  <r>
    <x v="478"/>
    <x v="28"/>
    <n v="11071"/>
    <n v="484.49999962002039"/>
  </r>
  <r>
    <x v="478"/>
    <x v="43"/>
    <n v="11073"/>
    <n v="300"/>
  </r>
  <r>
    <x v="478"/>
    <x v="26"/>
    <n v="11070"/>
    <n v="1629.9749903231859"/>
  </r>
  <r>
    <x v="478"/>
    <x v="9"/>
    <n v="11072"/>
    <n v="5218"/>
  </r>
  <r>
    <x v="479"/>
    <x v="51"/>
    <n v="11074"/>
    <n v="232.08499981798232"/>
  </r>
  <r>
    <x v="479"/>
    <x v="48"/>
    <n v="11076"/>
    <n v="792.75"/>
  </r>
  <r>
    <x v="479"/>
    <x v="13"/>
    <n v="11077"/>
    <n v="1255.7204986971803"/>
  </r>
  <r>
    <x v="479"/>
    <x v="6"/>
    <n v="11075"/>
    <n v="498.099996507167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4" cacheId="1" applyNumberFormats="0" applyBorderFormats="0" applyFontFormats="0" applyPatternFormats="0" applyAlignmentFormats="0" applyWidthHeightFormats="1" dataCaption="值" updatedVersion="5" minRefreshableVersion="3" useAutoFormatting="1" itemPrintTitles="1" createdVersion="4" indent="0" outline="1" outlineData="1" multipleFieldFilters="0" chartFormat="4">
  <location ref="F11:J15" firstHeaderRow="0" firstDataRow="1" firstDataCol="1" rowPageCount="1" colPageCount="1"/>
  <pivotFields count="5">
    <pivotField axis="axisPage" numFmtId="22" showAll="0">
      <items count="6">
        <item x="0"/>
        <item x="1"/>
        <item x="2"/>
        <item x="3"/>
        <item x="4"/>
        <item t="default"/>
      </items>
    </pivotField>
    <pivotField axis="axisRow" showAll="0" sortType="descending">
      <items count="90">
        <item x="56"/>
        <item x="87"/>
        <item x="51"/>
        <item x="67"/>
        <item x="53"/>
        <item x="74"/>
        <item x="86"/>
        <item x="73"/>
        <item x="45"/>
        <item x="27"/>
        <item x="54"/>
        <item x="1"/>
        <item x="39"/>
        <item x="60"/>
        <item x="4"/>
        <item x="28"/>
        <item x="77"/>
        <item x="21"/>
        <item x="31"/>
        <item x="18"/>
        <item x="66"/>
        <item x="55"/>
        <item x="15"/>
        <item x="85"/>
        <item x="63"/>
        <item x="65"/>
        <item x="5"/>
        <item x="75"/>
        <item x="52"/>
        <item x="49"/>
        <item x="68"/>
        <item x="30"/>
        <item x="36"/>
        <item x="43"/>
        <item x="7"/>
        <item x="35"/>
        <item x="47"/>
        <item x="50"/>
        <item x="11"/>
        <item x="69"/>
        <item x="62"/>
        <item x="40"/>
        <item x="46"/>
        <item x="2"/>
        <item x="37"/>
        <item x="88"/>
        <item x="10"/>
        <item x="76"/>
        <item x="0"/>
        <item x="41"/>
        <item x="81"/>
        <item x="16"/>
        <item x="20"/>
        <item x="34"/>
        <item x="3"/>
        <item x="57"/>
        <item x="59"/>
        <item x="25"/>
        <item x="32"/>
        <item x="72"/>
        <item x="78"/>
        <item x="70"/>
        <item x="64"/>
        <item x="14"/>
        <item x="48"/>
        <item x="23"/>
        <item x="84"/>
        <item x="42"/>
        <item x="82"/>
        <item x="26"/>
        <item x="13"/>
        <item x="33"/>
        <item x="22"/>
        <item x="71"/>
        <item x="12"/>
        <item x="79"/>
        <item x="19"/>
        <item x="6"/>
        <item x="44"/>
        <item x="17"/>
        <item x="29"/>
        <item x="8"/>
        <item x="80"/>
        <item x="9"/>
        <item x="38"/>
        <item x="83"/>
        <item x="61"/>
        <item x="58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axis="axisRow" showAll="0" defaultSubtotal="0">
      <items count="3">
        <item n="频繁" sd="0" x="0"/>
        <item n="一般" sd="0" x="1"/>
        <item n="难得" sd="0" x="2"/>
      </items>
    </pivotField>
  </pivotFields>
  <rowFields count="2">
    <field x="4"/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item="2" hier="-1"/>
  </pageFields>
  <dataFields count="4">
    <dataField name="计数项:订单ID" fld="2" subtotal="count" baseField="1" baseItem="0"/>
    <dataField name="计数项:订单ID2" fld="2" subtotal="count" showDataAs="percentOfCol" baseField="4" baseItem="1" numFmtId="10"/>
    <dataField name="平均值项:Expr1003" fld="3" subtotal="average" baseField="4" baseItem="0"/>
    <dataField name="求和项:Expr1003_2" fld="3" showDataAs="percentOfCol" baseField="4" baseItem="1" numFmtId="10"/>
  </dataFields>
  <chartFormats count="8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查询来自 NW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订购日期" tableColumnId="1"/>
      <queryTableField id="2" name="公司名称" tableColumnId="2"/>
      <queryTableField id="3" name="订单ID" tableColumnId="3"/>
      <queryTableField id="4" name="Expr1003" tableColumnId="4"/>
    </queryTableFields>
  </queryTableRefresh>
</queryTable>
</file>

<file path=xl/queryTables/queryTable2.xml><?xml version="1.0" encoding="utf-8"?>
<queryTable xmlns="http://schemas.openxmlformats.org/spreadsheetml/2006/main" name="查询来自 abcsales_1" connectionId="2" autoFormatId="16" applyNumberFormats="0" applyBorderFormats="0" applyFontFormats="1" applyPatternFormats="1" applyAlignmentFormats="0" applyWidthHeightFormats="0">
  <queryTableRefresh nextId="6">
    <queryTableFields count="4">
      <queryTableField id="1" name="日期"/>
      <queryTableField id="2" name="省份"/>
      <queryTableField id="3" name="类别"/>
      <queryTableField id="4" name="净销售额"/>
    </queryTableFields>
    <queryTableDeletedFields count="1">
      <deletedField name="毛销售额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表_查询来自_NW4" displayName="表_查询来自_NW4" ref="A1:D831" tableType="queryTable" totalsRowShown="0">
  <autoFilter ref="A1:D831"/>
  <tableColumns count="4">
    <tableColumn id="1" uniqueName="1" name="订购日期" queryTableFieldId="1" dataDxfId="0"/>
    <tableColumn id="2" uniqueName="2" name="公司名称" queryTableFieldId="2"/>
    <tableColumn id="3" uniqueName="3" name="订单ID" queryTableFieldId="3"/>
    <tableColumn id="4" uniqueName="4" name="Expr1003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2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1"/>
  <sheetViews>
    <sheetView topLeftCell="A37" workbookViewId="0">
      <selection activeCell="G40" sqref="G40"/>
    </sheetView>
  </sheetViews>
  <sheetFormatPr defaultColWidth="8.875" defaultRowHeight="13.5" x14ac:dyDescent="0.15"/>
  <cols>
    <col min="1" max="1" width="19.875" style="47" customWidth="1"/>
    <col min="2" max="5" width="8.875" style="47"/>
    <col min="6" max="6" width="9.25" style="47" customWidth="1"/>
    <col min="7" max="7" width="14.5" style="47" customWidth="1"/>
    <col min="8" max="8" width="15.625" style="47" customWidth="1"/>
    <col min="9" max="9" width="19.25" style="47" customWidth="1"/>
    <col min="10" max="10" width="19.375" style="47" customWidth="1"/>
    <col min="11" max="16384" width="8.875" style="47"/>
  </cols>
  <sheetData>
    <row r="1" spans="1:10" x14ac:dyDescent="0.15">
      <c r="A1" s="47" t="s">
        <v>150</v>
      </c>
      <c r="B1" s="47" t="s">
        <v>153</v>
      </c>
      <c r="C1" s="47" t="s">
        <v>152</v>
      </c>
      <c r="D1" s="47" t="s">
        <v>151</v>
      </c>
    </row>
    <row r="2" spans="1:10" x14ac:dyDescent="0.15">
      <c r="A2" s="48">
        <v>35250</v>
      </c>
      <c r="B2" s="47" t="s">
        <v>134</v>
      </c>
      <c r="C2" s="47">
        <v>10248</v>
      </c>
      <c r="D2" s="47">
        <v>440</v>
      </c>
    </row>
    <row r="3" spans="1:10" x14ac:dyDescent="0.15">
      <c r="A3" s="48">
        <v>35251</v>
      </c>
      <c r="B3" s="47" t="s">
        <v>111</v>
      </c>
      <c r="C3" s="47">
        <v>10249</v>
      </c>
      <c r="D3" s="47">
        <v>1863.4</v>
      </c>
    </row>
    <row r="4" spans="1:10" x14ac:dyDescent="0.15">
      <c r="A4" s="48">
        <v>35254</v>
      </c>
      <c r="B4" s="47" t="s">
        <v>127</v>
      </c>
      <c r="C4" s="47">
        <v>10251</v>
      </c>
      <c r="D4" s="47">
        <v>654.05999975055454</v>
      </c>
    </row>
    <row r="5" spans="1:10" x14ac:dyDescent="0.15">
      <c r="A5" s="48">
        <v>35254</v>
      </c>
      <c r="B5" s="47" t="s">
        <v>75</v>
      </c>
      <c r="C5" s="47">
        <v>10250</v>
      </c>
      <c r="D5" s="47">
        <v>1552.5999896526337</v>
      </c>
    </row>
    <row r="6" spans="1:10" x14ac:dyDescent="0.15">
      <c r="A6" s="48">
        <v>35255</v>
      </c>
      <c r="B6" s="47" t="s">
        <v>86</v>
      </c>
      <c r="C6" s="47">
        <v>10252</v>
      </c>
      <c r="D6" s="47">
        <v>3597.8999980315566</v>
      </c>
    </row>
    <row r="7" spans="1:10" x14ac:dyDescent="0.15">
      <c r="A7" s="48">
        <v>35256</v>
      </c>
      <c r="B7" s="47" t="s">
        <v>75</v>
      </c>
      <c r="C7" s="47">
        <v>10253</v>
      </c>
      <c r="D7" s="47">
        <v>1444.8</v>
      </c>
    </row>
    <row r="8" spans="1:10" x14ac:dyDescent="0.15">
      <c r="A8" s="48">
        <v>35257</v>
      </c>
      <c r="B8" s="47" t="s">
        <v>83</v>
      </c>
      <c r="C8" s="47">
        <v>10254</v>
      </c>
      <c r="D8" s="47">
        <v>556.61999727487569</v>
      </c>
    </row>
    <row r="9" spans="1:10" x14ac:dyDescent="0.15">
      <c r="A9" s="48">
        <v>35258</v>
      </c>
      <c r="B9" s="47" t="s">
        <v>51</v>
      </c>
      <c r="C9" s="47">
        <v>10255</v>
      </c>
      <c r="D9" s="47">
        <v>2490.5</v>
      </c>
      <c r="F9" s="52" t="s">
        <v>150</v>
      </c>
      <c r="G9" s="48" t="s">
        <v>149</v>
      </c>
    </row>
    <row r="10" spans="1:10" x14ac:dyDescent="0.15">
      <c r="A10" s="48">
        <v>35261</v>
      </c>
      <c r="B10" s="47" t="s">
        <v>117</v>
      </c>
      <c r="C10" s="47">
        <v>10256</v>
      </c>
      <c r="D10" s="47">
        <v>517.79999999999995</v>
      </c>
    </row>
    <row r="11" spans="1:10" x14ac:dyDescent="0.15">
      <c r="A11" s="48">
        <v>35262</v>
      </c>
      <c r="B11" s="47" t="s">
        <v>72</v>
      </c>
      <c r="C11" s="47">
        <v>10257</v>
      </c>
      <c r="D11" s="47">
        <v>1119.9000000000001</v>
      </c>
      <c r="F11" s="52" t="s">
        <v>148</v>
      </c>
      <c r="G11" s="47" t="s">
        <v>147</v>
      </c>
      <c r="H11" s="47" t="s">
        <v>146</v>
      </c>
      <c r="I11" s="47" t="s">
        <v>145</v>
      </c>
      <c r="J11" s="47" t="s">
        <v>144</v>
      </c>
    </row>
    <row r="12" spans="1:10" x14ac:dyDescent="0.15">
      <c r="A12" s="48">
        <v>35263</v>
      </c>
      <c r="B12" s="47" t="s">
        <v>55</v>
      </c>
      <c r="C12" s="47">
        <v>10258</v>
      </c>
      <c r="D12" s="47">
        <v>1614.8799939841033</v>
      </c>
      <c r="F12" s="51" t="s">
        <v>143</v>
      </c>
      <c r="G12" s="50">
        <v>46</v>
      </c>
      <c r="H12" s="49">
        <v>0.11274509803921569</v>
      </c>
      <c r="I12" s="50">
        <v>3628.6901800602859</v>
      </c>
      <c r="J12" s="49">
        <v>0.27049708452973975</v>
      </c>
    </row>
    <row r="13" spans="1:10" x14ac:dyDescent="0.15">
      <c r="A13" s="48">
        <v>35264</v>
      </c>
      <c r="B13" s="47" t="s">
        <v>142</v>
      </c>
      <c r="C13" s="47">
        <v>10259</v>
      </c>
      <c r="D13" s="47">
        <v>100.8</v>
      </c>
      <c r="F13" s="51" t="s">
        <v>141</v>
      </c>
      <c r="G13" s="50">
        <v>231</v>
      </c>
      <c r="H13" s="49">
        <v>0.56617647058823528</v>
      </c>
      <c r="I13" s="50">
        <v>1405.5698687184154</v>
      </c>
      <c r="J13" s="49">
        <v>0.52616176528602387</v>
      </c>
    </row>
    <row r="14" spans="1:10" x14ac:dyDescent="0.15">
      <c r="A14" s="48">
        <v>35265</v>
      </c>
      <c r="B14" s="47" t="s">
        <v>105</v>
      </c>
      <c r="C14" s="47">
        <v>10261</v>
      </c>
      <c r="D14" s="47">
        <v>448</v>
      </c>
      <c r="F14" s="51" t="s">
        <v>140</v>
      </c>
      <c r="G14" s="50">
        <v>131</v>
      </c>
      <c r="H14" s="49">
        <v>0.32107843137254904</v>
      </c>
      <c r="I14" s="50">
        <v>957.85354895614557</v>
      </c>
      <c r="J14" s="49">
        <v>0.20334115018423649</v>
      </c>
    </row>
    <row r="15" spans="1:10" x14ac:dyDescent="0.15">
      <c r="A15" s="48">
        <v>35265</v>
      </c>
      <c r="B15" s="47" t="s">
        <v>91</v>
      </c>
      <c r="C15" s="47">
        <v>10260</v>
      </c>
      <c r="D15" s="47">
        <v>1504.65</v>
      </c>
      <c r="F15" s="51" t="s">
        <v>139</v>
      </c>
      <c r="G15" s="50">
        <v>408</v>
      </c>
      <c r="H15" s="49">
        <v>1</v>
      </c>
      <c r="I15" s="50">
        <v>1512.463732524466</v>
      </c>
      <c r="J15" s="49">
        <v>1</v>
      </c>
    </row>
    <row r="16" spans="1:10" x14ac:dyDescent="0.15">
      <c r="A16" s="48">
        <v>35268</v>
      </c>
      <c r="B16" s="47" t="s">
        <v>52</v>
      </c>
      <c r="C16" s="47">
        <v>10262</v>
      </c>
      <c r="D16" s="47">
        <v>583.99999939203258</v>
      </c>
    </row>
    <row r="17" spans="1:4" x14ac:dyDescent="0.15">
      <c r="A17" s="48">
        <v>35269</v>
      </c>
      <c r="B17" s="47" t="s">
        <v>55</v>
      </c>
      <c r="C17" s="47">
        <v>10263</v>
      </c>
      <c r="D17" s="47">
        <v>1873.8</v>
      </c>
    </row>
    <row r="18" spans="1:4" x14ac:dyDescent="0.15">
      <c r="A18" s="48">
        <v>35270</v>
      </c>
      <c r="B18" s="47" t="s">
        <v>74</v>
      </c>
      <c r="C18" s="47">
        <v>10264</v>
      </c>
      <c r="D18" s="47">
        <v>695.62499885261059</v>
      </c>
    </row>
    <row r="19" spans="1:4" x14ac:dyDescent="0.15">
      <c r="A19" s="48">
        <v>35271</v>
      </c>
      <c r="B19" s="47" t="s">
        <v>129</v>
      </c>
      <c r="C19" s="47">
        <v>10265</v>
      </c>
      <c r="D19" s="47">
        <v>1176</v>
      </c>
    </row>
    <row r="20" spans="1:4" x14ac:dyDescent="0.15">
      <c r="A20" s="48">
        <v>35272</v>
      </c>
      <c r="B20" s="47" t="s">
        <v>90</v>
      </c>
      <c r="C20" s="47">
        <v>10266</v>
      </c>
      <c r="D20" s="47">
        <v>346.55999972820285</v>
      </c>
    </row>
    <row r="21" spans="1:4" x14ac:dyDescent="0.15">
      <c r="A21" s="48">
        <v>35275</v>
      </c>
      <c r="B21" s="47" t="s">
        <v>97</v>
      </c>
      <c r="C21" s="47">
        <v>10267</v>
      </c>
      <c r="D21" s="47">
        <v>3536.5999803543091</v>
      </c>
    </row>
    <row r="22" spans="1:4" x14ac:dyDescent="0.15">
      <c r="A22" s="48">
        <v>35276</v>
      </c>
      <c r="B22" s="47" t="s">
        <v>133</v>
      </c>
      <c r="C22" s="47">
        <v>10268</v>
      </c>
      <c r="D22" s="47">
        <v>1101.2</v>
      </c>
    </row>
    <row r="23" spans="1:4" x14ac:dyDescent="0.15">
      <c r="A23" s="48">
        <v>35277</v>
      </c>
      <c r="B23" s="47" t="s">
        <v>62</v>
      </c>
      <c r="C23" s="47">
        <v>10269</v>
      </c>
      <c r="D23" s="47">
        <v>642.19999949634075</v>
      </c>
    </row>
    <row r="24" spans="1:4" x14ac:dyDescent="0.15">
      <c r="A24" s="48">
        <v>35278</v>
      </c>
      <c r="B24" s="47" t="s">
        <v>90</v>
      </c>
      <c r="C24" s="47">
        <v>10270</v>
      </c>
      <c r="D24" s="47">
        <v>1376</v>
      </c>
    </row>
    <row r="25" spans="1:4" x14ac:dyDescent="0.15">
      <c r="A25" s="48">
        <v>35278</v>
      </c>
      <c r="B25" s="47" t="s">
        <v>107</v>
      </c>
      <c r="C25" s="47">
        <v>10271</v>
      </c>
      <c r="D25" s="47">
        <v>48</v>
      </c>
    </row>
    <row r="26" spans="1:4" x14ac:dyDescent="0.15">
      <c r="A26" s="48">
        <v>35279</v>
      </c>
      <c r="B26" s="47" t="s">
        <v>52</v>
      </c>
      <c r="C26" s="47">
        <v>10272</v>
      </c>
      <c r="D26" s="47">
        <v>1456</v>
      </c>
    </row>
    <row r="27" spans="1:4" x14ac:dyDescent="0.15">
      <c r="A27" s="48">
        <v>35282</v>
      </c>
      <c r="B27" s="47" t="s">
        <v>93</v>
      </c>
      <c r="C27" s="47">
        <v>10273</v>
      </c>
      <c r="D27" s="47">
        <v>2037.2799984335898</v>
      </c>
    </row>
    <row r="28" spans="1:4" x14ac:dyDescent="0.15">
      <c r="A28" s="48">
        <v>35283</v>
      </c>
      <c r="B28" s="47" t="s">
        <v>134</v>
      </c>
      <c r="C28" s="47">
        <v>10274</v>
      </c>
      <c r="D28" s="47">
        <v>538.6</v>
      </c>
    </row>
    <row r="29" spans="1:4" x14ac:dyDescent="0.15">
      <c r="A29" s="48">
        <v>35284</v>
      </c>
      <c r="B29" s="47" t="s">
        <v>113</v>
      </c>
      <c r="C29" s="47">
        <v>10275</v>
      </c>
      <c r="D29" s="47">
        <v>291.83999977111819</v>
      </c>
    </row>
    <row r="30" spans="1:4" x14ac:dyDescent="0.15">
      <c r="A30" s="48">
        <v>35285</v>
      </c>
      <c r="B30" s="47" t="s">
        <v>59</v>
      </c>
      <c r="C30" s="47">
        <v>10276</v>
      </c>
      <c r="D30" s="47">
        <v>420</v>
      </c>
    </row>
    <row r="31" spans="1:4" x14ac:dyDescent="0.15">
      <c r="A31" s="48">
        <v>35286</v>
      </c>
      <c r="B31" s="47" t="s">
        <v>116</v>
      </c>
      <c r="C31" s="47">
        <v>10277</v>
      </c>
      <c r="D31" s="47">
        <v>1200.8</v>
      </c>
    </row>
    <row r="32" spans="1:4" x14ac:dyDescent="0.15">
      <c r="A32" s="48">
        <v>35289</v>
      </c>
      <c r="B32" s="47" t="s">
        <v>120</v>
      </c>
      <c r="C32" s="47">
        <v>10278</v>
      </c>
      <c r="D32" s="47">
        <v>1488.8</v>
      </c>
    </row>
    <row r="33" spans="1:4" x14ac:dyDescent="0.15">
      <c r="A33" s="48">
        <v>35290</v>
      </c>
      <c r="B33" s="47" t="s">
        <v>56</v>
      </c>
      <c r="C33" s="47">
        <v>10279</v>
      </c>
      <c r="D33" s="47">
        <v>351</v>
      </c>
    </row>
    <row r="34" spans="1:4" x14ac:dyDescent="0.15">
      <c r="A34" s="48">
        <v>35291</v>
      </c>
      <c r="B34" s="47" t="s">
        <v>98</v>
      </c>
      <c r="C34" s="47">
        <v>10281</v>
      </c>
      <c r="D34" s="47">
        <v>86.5</v>
      </c>
    </row>
    <row r="35" spans="1:4" x14ac:dyDescent="0.15">
      <c r="A35" s="48">
        <v>35291</v>
      </c>
      <c r="B35" s="47" t="s">
        <v>120</v>
      </c>
      <c r="C35" s="47">
        <v>10280</v>
      </c>
      <c r="D35" s="47">
        <v>613.20000000000005</v>
      </c>
    </row>
    <row r="36" spans="1:4" x14ac:dyDescent="0.15">
      <c r="A36" s="48">
        <v>35292</v>
      </c>
      <c r="B36" s="47" t="s">
        <v>98</v>
      </c>
      <c r="C36" s="47">
        <v>10282</v>
      </c>
      <c r="D36" s="47">
        <v>155.4</v>
      </c>
    </row>
    <row r="37" spans="1:4" x14ac:dyDescent="0.15">
      <c r="A37" s="48">
        <v>35293</v>
      </c>
      <c r="B37" s="47" t="s">
        <v>58</v>
      </c>
      <c r="C37" s="47">
        <v>10283</v>
      </c>
      <c r="D37" s="47">
        <v>1414.8000000000002</v>
      </c>
    </row>
    <row r="38" spans="1:4" x14ac:dyDescent="0.15">
      <c r="A38" s="48">
        <v>35296</v>
      </c>
      <c r="B38" s="47" t="s">
        <v>56</v>
      </c>
      <c r="C38" s="47">
        <v>10284</v>
      </c>
      <c r="D38" s="47">
        <v>1170.375</v>
      </c>
    </row>
    <row r="39" spans="1:4" x14ac:dyDescent="0.15">
      <c r="A39" s="48">
        <v>35297</v>
      </c>
      <c r="B39" s="47" t="s">
        <v>93</v>
      </c>
      <c r="C39" s="47">
        <v>10285</v>
      </c>
      <c r="D39" s="47">
        <v>1743.3599935054781</v>
      </c>
    </row>
    <row r="40" spans="1:4" x14ac:dyDescent="0.15">
      <c r="A40" s="48">
        <v>35298</v>
      </c>
      <c r="B40" s="47" t="s">
        <v>93</v>
      </c>
      <c r="C40" s="47">
        <v>10286</v>
      </c>
      <c r="D40" s="47">
        <v>3016</v>
      </c>
    </row>
    <row r="41" spans="1:4" x14ac:dyDescent="0.15">
      <c r="A41" s="48">
        <v>35299</v>
      </c>
      <c r="B41" s="47" t="s">
        <v>68</v>
      </c>
      <c r="C41" s="47">
        <v>10287</v>
      </c>
      <c r="D41" s="47">
        <v>818.99999582767487</v>
      </c>
    </row>
    <row r="42" spans="1:4" x14ac:dyDescent="0.15">
      <c r="A42" s="48">
        <v>35300</v>
      </c>
      <c r="B42" s="47" t="s">
        <v>67</v>
      </c>
      <c r="C42" s="47">
        <v>10288</v>
      </c>
      <c r="D42" s="47">
        <v>80.099999867379665</v>
      </c>
    </row>
    <row r="43" spans="1:4" x14ac:dyDescent="0.15">
      <c r="A43" s="48">
        <v>35303</v>
      </c>
      <c r="B43" s="47" t="s">
        <v>92</v>
      </c>
      <c r="C43" s="47">
        <v>10289</v>
      </c>
      <c r="D43" s="47">
        <v>479.4</v>
      </c>
    </row>
    <row r="44" spans="1:4" x14ac:dyDescent="0.15">
      <c r="A44" s="48">
        <v>35304</v>
      </c>
      <c r="B44" s="47" t="s">
        <v>105</v>
      </c>
      <c r="C44" s="47">
        <v>10291</v>
      </c>
      <c r="D44" s="47">
        <v>497.51999917626381</v>
      </c>
    </row>
    <row r="45" spans="1:4" x14ac:dyDescent="0.15">
      <c r="A45" s="48">
        <v>35304</v>
      </c>
      <c r="B45" s="47" t="s">
        <v>82</v>
      </c>
      <c r="C45" s="47">
        <v>10290</v>
      </c>
      <c r="D45" s="47">
        <v>2169</v>
      </c>
    </row>
    <row r="46" spans="1:4" x14ac:dyDescent="0.15">
      <c r="A46" s="48">
        <v>35305</v>
      </c>
      <c r="B46" s="47" t="s">
        <v>128</v>
      </c>
      <c r="C46" s="47">
        <v>10292</v>
      </c>
      <c r="D46" s="47">
        <v>1296</v>
      </c>
    </row>
    <row r="47" spans="1:4" x14ac:dyDescent="0.15">
      <c r="A47" s="48">
        <v>35306</v>
      </c>
      <c r="B47" s="47" t="s">
        <v>59</v>
      </c>
      <c r="C47" s="47">
        <v>10293</v>
      </c>
      <c r="D47" s="47">
        <v>848.7</v>
      </c>
    </row>
    <row r="48" spans="1:4" x14ac:dyDescent="0.15">
      <c r="A48" s="48">
        <v>35307</v>
      </c>
      <c r="B48" s="47" t="s">
        <v>52</v>
      </c>
      <c r="C48" s="47">
        <v>10294</v>
      </c>
      <c r="D48" s="47">
        <v>1887.6000000000001</v>
      </c>
    </row>
    <row r="49" spans="1:4" x14ac:dyDescent="0.15">
      <c r="A49" s="48">
        <v>35310</v>
      </c>
      <c r="B49" s="47" t="s">
        <v>134</v>
      </c>
      <c r="C49" s="47">
        <v>10295</v>
      </c>
      <c r="D49" s="47">
        <v>121.6</v>
      </c>
    </row>
    <row r="50" spans="1:4" x14ac:dyDescent="0.15">
      <c r="A50" s="48">
        <v>35311</v>
      </c>
      <c r="B50" s="47" t="s">
        <v>58</v>
      </c>
      <c r="C50" s="47">
        <v>10296</v>
      </c>
      <c r="D50" s="47">
        <v>1050.5999999999999</v>
      </c>
    </row>
    <row r="51" spans="1:4" x14ac:dyDescent="0.15">
      <c r="A51" s="48">
        <v>35312</v>
      </c>
      <c r="B51" s="47" t="s">
        <v>129</v>
      </c>
      <c r="C51" s="47">
        <v>10297</v>
      </c>
      <c r="D51" s="47">
        <v>1420</v>
      </c>
    </row>
    <row r="52" spans="1:4" x14ac:dyDescent="0.15">
      <c r="A52" s="48">
        <v>35313</v>
      </c>
      <c r="B52" s="47" t="s">
        <v>66</v>
      </c>
      <c r="C52" s="47">
        <v>10298</v>
      </c>
      <c r="D52" s="47">
        <v>2645</v>
      </c>
    </row>
    <row r="53" spans="1:4" x14ac:dyDescent="0.15">
      <c r="A53" s="48">
        <v>35314</v>
      </c>
      <c r="B53" s="47" t="s">
        <v>68</v>
      </c>
      <c r="C53" s="47">
        <v>10299</v>
      </c>
      <c r="D53" s="47">
        <v>349.5</v>
      </c>
    </row>
    <row r="54" spans="1:4" x14ac:dyDescent="0.15">
      <c r="A54" s="48">
        <v>35317</v>
      </c>
      <c r="B54" s="47" t="s">
        <v>80</v>
      </c>
      <c r="C54" s="47">
        <v>10301</v>
      </c>
      <c r="D54" s="47">
        <v>755</v>
      </c>
    </row>
    <row r="55" spans="1:4" x14ac:dyDescent="0.15">
      <c r="A55" s="48">
        <v>35317</v>
      </c>
      <c r="B55" s="47" t="s">
        <v>113</v>
      </c>
      <c r="C55" s="47">
        <v>10300</v>
      </c>
      <c r="D55" s="47">
        <v>608</v>
      </c>
    </row>
    <row r="56" spans="1:4" x14ac:dyDescent="0.15">
      <c r="A56" s="48">
        <v>35318</v>
      </c>
      <c r="B56" s="47" t="s">
        <v>86</v>
      </c>
      <c r="C56" s="47">
        <v>10302</v>
      </c>
      <c r="D56" s="47">
        <v>2708.7999999999997</v>
      </c>
    </row>
    <row r="57" spans="1:4" x14ac:dyDescent="0.15">
      <c r="A57" s="48">
        <v>35319</v>
      </c>
      <c r="B57" s="47" t="s">
        <v>85</v>
      </c>
      <c r="C57" s="47">
        <v>10303</v>
      </c>
      <c r="D57" s="47">
        <v>1117.7999981492758</v>
      </c>
    </row>
    <row r="58" spans="1:4" x14ac:dyDescent="0.15">
      <c r="A58" s="48">
        <v>35320</v>
      </c>
      <c r="B58" s="47" t="s">
        <v>59</v>
      </c>
      <c r="C58" s="47">
        <v>10304</v>
      </c>
      <c r="D58" s="47">
        <v>954.4</v>
      </c>
    </row>
    <row r="59" spans="1:4" x14ac:dyDescent="0.15">
      <c r="A59" s="48">
        <v>35321</v>
      </c>
      <c r="B59" s="47" t="s">
        <v>88</v>
      </c>
      <c r="C59" s="47">
        <v>10305</v>
      </c>
      <c r="D59" s="47">
        <v>3741.2999938055873</v>
      </c>
    </row>
    <row r="60" spans="1:4" x14ac:dyDescent="0.15">
      <c r="A60" s="48">
        <v>35324</v>
      </c>
      <c r="B60" s="47" t="s">
        <v>98</v>
      </c>
      <c r="C60" s="47">
        <v>10306</v>
      </c>
      <c r="D60" s="47">
        <v>498.5</v>
      </c>
    </row>
    <row r="61" spans="1:4" x14ac:dyDescent="0.15">
      <c r="A61" s="48">
        <v>35325</v>
      </c>
      <c r="B61" s="47" t="s">
        <v>94</v>
      </c>
      <c r="C61" s="47">
        <v>10307</v>
      </c>
      <c r="D61" s="47">
        <v>424</v>
      </c>
    </row>
    <row r="62" spans="1:4" x14ac:dyDescent="0.15">
      <c r="A62" s="48">
        <v>35326</v>
      </c>
      <c r="B62" s="47" t="s">
        <v>121</v>
      </c>
      <c r="C62" s="47">
        <v>10308</v>
      </c>
      <c r="D62" s="47">
        <v>88.8</v>
      </c>
    </row>
    <row r="63" spans="1:4" x14ac:dyDescent="0.15">
      <c r="A63" s="48">
        <v>35327</v>
      </c>
      <c r="B63" s="47" t="s">
        <v>66</v>
      </c>
      <c r="C63" s="47">
        <v>10309</v>
      </c>
      <c r="D63" s="47">
        <v>1762</v>
      </c>
    </row>
    <row r="64" spans="1:4" x14ac:dyDescent="0.15">
      <c r="A64" s="48">
        <v>35328</v>
      </c>
      <c r="B64" s="47" t="s">
        <v>122</v>
      </c>
      <c r="C64" s="47">
        <v>10311</v>
      </c>
      <c r="D64" s="47">
        <v>268.8</v>
      </c>
    </row>
    <row r="65" spans="1:4" x14ac:dyDescent="0.15">
      <c r="A65" s="48">
        <v>35328</v>
      </c>
      <c r="B65" s="47" t="s">
        <v>104</v>
      </c>
      <c r="C65" s="47">
        <v>10310</v>
      </c>
      <c r="D65" s="47">
        <v>336</v>
      </c>
    </row>
    <row r="66" spans="1:4" x14ac:dyDescent="0.15">
      <c r="A66" s="48">
        <v>35331</v>
      </c>
      <c r="B66" s="47" t="s">
        <v>80</v>
      </c>
      <c r="C66" s="47">
        <v>10312</v>
      </c>
      <c r="D66" s="47">
        <v>1614.8</v>
      </c>
    </row>
    <row r="67" spans="1:4" x14ac:dyDescent="0.15">
      <c r="A67" s="48">
        <v>35332</v>
      </c>
      <c r="B67" s="47" t="s">
        <v>93</v>
      </c>
      <c r="C67" s="47">
        <v>10313</v>
      </c>
      <c r="D67" s="47">
        <v>182.4</v>
      </c>
    </row>
    <row r="68" spans="1:4" x14ac:dyDescent="0.15">
      <c r="A68" s="48">
        <v>35333</v>
      </c>
      <c r="B68" s="47" t="s">
        <v>52</v>
      </c>
      <c r="C68" s="47">
        <v>10314</v>
      </c>
      <c r="D68" s="47">
        <v>2094.2999965324998</v>
      </c>
    </row>
    <row r="69" spans="1:4" x14ac:dyDescent="0.15">
      <c r="A69" s="48">
        <v>35334</v>
      </c>
      <c r="B69" s="47" t="s">
        <v>118</v>
      </c>
      <c r="C69" s="47">
        <v>10315</v>
      </c>
      <c r="D69" s="47">
        <v>516.79999999999995</v>
      </c>
    </row>
    <row r="70" spans="1:4" x14ac:dyDescent="0.15">
      <c r="A70" s="48">
        <v>35335</v>
      </c>
      <c r="B70" s="47" t="s">
        <v>52</v>
      </c>
      <c r="C70" s="47">
        <v>10316</v>
      </c>
      <c r="D70" s="47">
        <v>2835</v>
      </c>
    </row>
    <row r="71" spans="1:4" x14ac:dyDescent="0.15">
      <c r="A71" s="48">
        <v>35338</v>
      </c>
      <c r="B71" s="47" t="s">
        <v>94</v>
      </c>
      <c r="C71" s="47">
        <v>10317</v>
      </c>
      <c r="D71" s="47">
        <v>288</v>
      </c>
    </row>
    <row r="72" spans="1:4" x14ac:dyDescent="0.15">
      <c r="A72" s="48">
        <v>35339</v>
      </c>
      <c r="B72" s="47" t="s">
        <v>118</v>
      </c>
      <c r="C72" s="47">
        <v>10318</v>
      </c>
      <c r="D72" s="47">
        <v>240.4</v>
      </c>
    </row>
    <row r="73" spans="1:4" x14ac:dyDescent="0.15">
      <c r="A73" s="48">
        <v>35340</v>
      </c>
      <c r="B73" s="47" t="s">
        <v>59</v>
      </c>
      <c r="C73" s="47">
        <v>10319</v>
      </c>
      <c r="D73" s="47">
        <v>1191.2</v>
      </c>
    </row>
    <row r="74" spans="1:4" x14ac:dyDescent="0.15">
      <c r="A74" s="48">
        <v>35341</v>
      </c>
      <c r="B74" s="47" t="s">
        <v>90</v>
      </c>
      <c r="C74" s="47">
        <v>10320</v>
      </c>
      <c r="D74" s="47">
        <v>516</v>
      </c>
    </row>
    <row r="75" spans="1:4" x14ac:dyDescent="0.15">
      <c r="A75" s="48">
        <v>35341</v>
      </c>
      <c r="B75" s="47" t="s">
        <v>118</v>
      </c>
      <c r="C75" s="47">
        <v>10321</v>
      </c>
      <c r="D75" s="47">
        <v>144</v>
      </c>
    </row>
    <row r="76" spans="1:4" x14ac:dyDescent="0.15">
      <c r="A76" s="48">
        <v>35342</v>
      </c>
      <c r="B76" s="47" t="s">
        <v>57</v>
      </c>
      <c r="C76" s="47">
        <v>10322</v>
      </c>
      <c r="D76" s="47">
        <v>112</v>
      </c>
    </row>
    <row r="77" spans="1:4" x14ac:dyDescent="0.15">
      <c r="A77" s="48">
        <v>35345</v>
      </c>
      <c r="B77" s="47" t="s">
        <v>89</v>
      </c>
      <c r="C77" s="47">
        <v>10323</v>
      </c>
      <c r="D77" s="47">
        <v>164.4</v>
      </c>
    </row>
    <row r="78" spans="1:4" x14ac:dyDescent="0.15">
      <c r="A78" s="48">
        <v>35346</v>
      </c>
      <c r="B78" s="47" t="s">
        <v>63</v>
      </c>
      <c r="C78" s="47">
        <v>10324</v>
      </c>
      <c r="D78" s="47">
        <v>5275.7149650245901</v>
      </c>
    </row>
    <row r="79" spans="1:4" x14ac:dyDescent="0.15">
      <c r="A79" s="48">
        <v>35347</v>
      </c>
      <c r="B79" s="47" t="s">
        <v>89</v>
      </c>
      <c r="C79" s="47">
        <v>10325</v>
      </c>
      <c r="D79" s="47">
        <v>1497</v>
      </c>
    </row>
    <row r="80" spans="1:4" x14ac:dyDescent="0.15">
      <c r="A80" s="48">
        <v>35348</v>
      </c>
      <c r="B80" s="47" t="s">
        <v>108</v>
      </c>
      <c r="C80" s="47">
        <v>10326</v>
      </c>
      <c r="D80" s="47">
        <v>982</v>
      </c>
    </row>
    <row r="81" spans="1:4" x14ac:dyDescent="0.15">
      <c r="A81" s="48">
        <v>35349</v>
      </c>
      <c r="B81" s="47" t="s">
        <v>74</v>
      </c>
      <c r="C81" s="47">
        <v>10327</v>
      </c>
      <c r="D81" s="47">
        <v>1809.9999932572246</v>
      </c>
    </row>
    <row r="82" spans="1:4" x14ac:dyDescent="0.15">
      <c r="A82" s="48">
        <v>35352</v>
      </c>
      <c r="B82" s="47" t="s">
        <v>112</v>
      </c>
      <c r="C82" s="47">
        <v>10328</v>
      </c>
      <c r="D82" s="47">
        <v>1168</v>
      </c>
    </row>
    <row r="83" spans="1:4" x14ac:dyDescent="0.15">
      <c r="A83" s="48">
        <v>35353</v>
      </c>
      <c r="B83" s="47" t="s">
        <v>107</v>
      </c>
      <c r="C83" s="47">
        <v>10329</v>
      </c>
      <c r="D83" s="47">
        <v>4578.429996409267</v>
      </c>
    </row>
    <row r="84" spans="1:4" x14ac:dyDescent="0.15">
      <c r="A84" s="48">
        <v>35354</v>
      </c>
      <c r="B84" s="47" t="s">
        <v>58</v>
      </c>
      <c r="C84" s="47">
        <v>10330</v>
      </c>
      <c r="D84" s="47">
        <v>1648.9999884366989</v>
      </c>
    </row>
    <row r="85" spans="1:4" x14ac:dyDescent="0.15">
      <c r="A85" s="48">
        <v>35354</v>
      </c>
      <c r="B85" s="47" t="s">
        <v>53</v>
      </c>
      <c r="C85" s="47">
        <v>10331</v>
      </c>
      <c r="D85" s="47">
        <v>88.5</v>
      </c>
    </row>
    <row r="86" spans="1:4" x14ac:dyDescent="0.15">
      <c r="A86" s="48">
        <v>35355</v>
      </c>
      <c r="B86" s="47" t="s">
        <v>136</v>
      </c>
      <c r="C86" s="47">
        <v>10332</v>
      </c>
      <c r="D86" s="47">
        <v>1786.8799933433534</v>
      </c>
    </row>
    <row r="87" spans="1:4" x14ac:dyDescent="0.15">
      <c r="A87" s="48">
        <v>35356</v>
      </c>
      <c r="B87" s="47" t="s">
        <v>90</v>
      </c>
      <c r="C87" s="47">
        <v>10333</v>
      </c>
      <c r="D87" s="47">
        <v>877.19999885559082</v>
      </c>
    </row>
    <row r="88" spans="1:4" x14ac:dyDescent="0.15">
      <c r="A88" s="48">
        <v>35359</v>
      </c>
      <c r="B88" s="47" t="s">
        <v>127</v>
      </c>
      <c r="C88" s="47">
        <v>10334</v>
      </c>
      <c r="D88" s="47">
        <v>144.80000000000001</v>
      </c>
    </row>
    <row r="89" spans="1:4" x14ac:dyDescent="0.15">
      <c r="A89" s="48">
        <v>35360</v>
      </c>
      <c r="B89" s="47" t="s">
        <v>66</v>
      </c>
      <c r="C89" s="47">
        <v>10335</v>
      </c>
      <c r="D89" s="47">
        <v>2036.1599924147129</v>
      </c>
    </row>
    <row r="90" spans="1:4" x14ac:dyDescent="0.15">
      <c r="A90" s="48">
        <v>35361</v>
      </c>
      <c r="B90" s="47" t="s">
        <v>99</v>
      </c>
      <c r="C90" s="47">
        <v>10336</v>
      </c>
      <c r="D90" s="47">
        <v>285.11999952793121</v>
      </c>
    </row>
    <row r="91" spans="1:4" x14ac:dyDescent="0.15">
      <c r="A91" s="48">
        <v>35362</v>
      </c>
      <c r="B91" s="47" t="s">
        <v>97</v>
      </c>
      <c r="C91" s="47">
        <v>10337</v>
      </c>
      <c r="D91" s="47">
        <v>2467</v>
      </c>
    </row>
    <row r="92" spans="1:4" x14ac:dyDescent="0.15">
      <c r="A92" s="48">
        <v>35363</v>
      </c>
      <c r="B92" s="47" t="s">
        <v>88</v>
      </c>
      <c r="C92" s="47">
        <v>10338</v>
      </c>
      <c r="D92" s="47">
        <v>934.5</v>
      </c>
    </row>
    <row r="93" spans="1:4" x14ac:dyDescent="0.15">
      <c r="A93" s="48">
        <v>35366</v>
      </c>
      <c r="B93" s="47" t="s">
        <v>136</v>
      </c>
      <c r="C93" s="47">
        <v>10339</v>
      </c>
      <c r="D93" s="47">
        <v>3353.999998372793</v>
      </c>
    </row>
    <row r="94" spans="1:4" x14ac:dyDescent="0.15">
      <c r="A94" s="48">
        <v>35367</v>
      </c>
      <c r="B94" s="47" t="s">
        <v>54</v>
      </c>
      <c r="C94" s="47">
        <v>10341</v>
      </c>
      <c r="D94" s="47">
        <v>352.59999763965607</v>
      </c>
    </row>
    <row r="95" spans="1:4" x14ac:dyDescent="0.15">
      <c r="A95" s="48">
        <v>35367</v>
      </c>
      <c r="B95" s="47" t="s">
        <v>53</v>
      </c>
      <c r="C95" s="47">
        <v>10340</v>
      </c>
      <c r="D95" s="47">
        <v>2436.1799980893729</v>
      </c>
    </row>
    <row r="96" spans="1:4" x14ac:dyDescent="0.15">
      <c r="A96" s="48">
        <v>35368</v>
      </c>
      <c r="B96" s="47" t="s">
        <v>97</v>
      </c>
      <c r="C96" s="47">
        <v>10342</v>
      </c>
      <c r="D96" s="47">
        <v>1840.6399931430817</v>
      </c>
    </row>
    <row r="97" spans="1:4" x14ac:dyDescent="0.15">
      <c r="A97" s="48">
        <v>35369</v>
      </c>
      <c r="B97" s="47" t="s">
        <v>56</v>
      </c>
      <c r="C97" s="47">
        <v>10343</v>
      </c>
      <c r="D97" s="47">
        <v>1583.9999999701977</v>
      </c>
    </row>
    <row r="98" spans="1:4" x14ac:dyDescent="0.15">
      <c r="A98" s="48">
        <v>35370</v>
      </c>
      <c r="B98" s="47" t="s">
        <v>62</v>
      </c>
      <c r="C98" s="47">
        <v>10344</v>
      </c>
      <c r="D98" s="47">
        <v>2296</v>
      </c>
    </row>
    <row r="99" spans="1:4" x14ac:dyDescent="0.15">
      <c r="A99" s="48">
        <v>35373</v>
      </c>
      <c r="B99" s="47" t="s">
        <v>93</v>
      </c>
      <c r="C99" s="47">
        <v>10345</v>
      </c>
      <c r="D99" s="47">
        <v>2924.8</v>
      </c>
    </row>
    <row r="100" spans="1:4" x14ac:dyDescent="0.15">
      <c r="A100" s="48">
        <v>35374</v>
      </c>
      <c r="B100" s="47" t="s">
        <v>52</v>
      </c>
      <c r="C100" s="47">
        <v>10346</v>
      </c>
      <c r="D100" s="47">
        <v>1618.8799983263016</v>
      </c>
    </row>
    <row r="101" spans="1:4" x14ac:dyDescent="0.15">
      <c r="A101" s="48">
        <v>35375</v>
      </c>
      <c r="B101" s="47" t="s">
        <v>135</v>
      </c>
      <c r="C101" s="47">
        <v>10347</v>
      </c>
      <c r="D101" s="47">
        <v>814.4199954867363</v>
      </c>
    </row>
    <row r="102" spans="1:4" x14ac:dyDescent="0.15">
      <c r="A102" s="48">
        <v>35376</v>
      </c>
      <c r="B102" s="47" t="s">
        <v>80</v>
      </c>
      <c r="C102" s="47">
        <v>10348</v>
      </c>
      <c r="D102" s="47">
        <v>363.59999871253967</v>
      </c>
    </row>
    <row r="103" spans="1:4" x14ac:dyDescent="0.15">
      <c r="A103" s="48">
        <v>35377</v>
      </c>
      <c r="B103" s="47" t="s">
        <v>107</v>
      </c>
      <c r="C103" s="47">
        <v>10349</v>
      </c>
      <c r="D103" s="47">
        <v>141.6</v>
      </c>
    </row>
    <row r="104" spans="1:4" x14ac:dyDescent="0.15">
      <c r="A104" s="48">
        <v>35380</v>
      </c>
      <c r="B104" s="47" t="s">
        <v>77</v>
      </c>
      <c r="C104" s="47">
        <v>10350</v>
      </c>
      <c r="D104" s="47">
        <v>642.05999893695116</v>
      </c>
    </row>
    <row r="105" spans="1:4" x14ac:dyDescent="0.15">
      <c r="A105" s="48">
        <v>35380</v>
      </c>
      <c r="B105" s="47" t="s">
        <v>55</v>
      </c>
      <c r="C105" s="47">
        <v>10351</v>
      </c>
      <c r="D105" s="47">
        <v>5398.724995844439</v>
      </c>
    </row>
    <row r="106" spans="1:4" x14ac:dyDescent="0.15">
      <c r="A106" s="48">
        <v>35381</v>
      </c>
      <c r="B106" s="47" t="s">
        <v>112</v>
      </c>
      <c r="C106" s="47">
        <v>10352</v>
      </c>
      <c r="D106" s="47">
        <v>136.29999929666519</v>
      </c>
    </row>
    <row r="107" spans="1:4" x14ac:dyDescent="0.15">
      <c r="A107" s="48">
        <v>35382</v>
      </c>
      <c r="B107" s="47" t="s">
        <v>76</v>
      </c>
      <c r="C107" s="47">
        <v>10353</v>
      </c>
      <c r="D107" s="47">
        <v>8593.279967987537</v>
      </c>
    </row>
    <row r="108" spans="1:4" x14ac:dyDescent="0.15">
      <c r="A108" s="48">
        <v>35383</v>
      </c>
      <c r="B108" s="47" t="s">
        <v>57</v>
      </c>
      <c r="C108" s="47">
        <v>10354</v>
      </c>
      <c r="D108" s="47">
        <v>568.79999999999995</v>
      </c>
    </row>
    <row r="109" spans="1:4" x14ac:dyDescent="0.15">
      <c r="A109" s="48">
        <v>35384</v>
      </c>
      <c r="B109" s="47" t="s">
        <v>115</v>
      </c>
      <c r="C109" s="47">
        <v>10355</v>
      </c>
      <c r="D109" s="47">
        <v>480</v>
      </c>
    </row>
    <row r="110" spans="1:4" x14ac:dyDescent="0.15">
      <c r="A110" s="48">
        <v>35387</v>
      </c>
      <c r="B110" s="47" t="s">
        <v>80</v>
      </c>
      <c r="C110" s="47">
        <v>10356</v>
      </c>
      <c r="D110" s="47">
        <v>1106.4000000000001</v>
      </c>
    </row>
    <row r="111" spans="1:4" x14ac:dyDescent="0.15">
      <c r="A111" s="48">
        <v>35388</v>
      </c>
      <c r="B111" s="47" t="s">
        <v>58</v>
      </c>
      <c r="C111" s="47">
        <v>10357</v>
      </c>
      <c r="D111" s="47">
        <v>1167.6799971342086</v>
      </c>
    </row>
    <row r="112" spans="1:4" x14ac:dyDescent="0.15">
      <c r="A112" s="48">
        <v>35389</v>
      </c>
      <c r="B112" s="47" t="s">
        <v>77</v>
      </c>
      <c r="C112" s="47">
        <v>10358</v>
      </c>
      <c r="D112" s="47">
        <v>429.39999966323376</v>
      </c>
    </row>
    <row r="113" spans="1:4" x14ac:dyDescent="0.15">
      <c r="A113" s="48">
        <v>35390</v>
      </c>
      <c r="B113" s="47" t="s">
        <v>124</v>
      </c>
      <c r="C113" s="47">
        <v>10359</v>
      </c>
      <c r="D113" s="47">
        <v>3471.6799972772596</v>
      </c>
    </row>
    <row r="114" spans="1:4" x14ac:dyDescent="0.15">
      <c r="A114" s="48">
        <v>35391</v>
      </c>
      <c r="B114" s="47" t="s">
        <v>93</v>
      </c>
      <c r="C114" s="47">
        <v>10361</v>
      </c>
      <c r="D114" s="47">
        <v>2046.239996612072</v>
      </c>
    </row>
    <row r="115" spans="1:4" x14ac:dyDescent="0.15">
      <c r="A115" s="48">
        <v>35391</v>
      </c>
      <c r="B115" s="47" t="s">
        <v>129</v>
      </c>
      <c r="C115" s="47">
        <v>10360</v>
      </c>
      <c r="D115" s="47">
        <v>7390.2</v>
      </c>
    </row>
    <row r="116" spans="1:4" x14ac:dyDescent="0.15">
      <c r="A116" s="48">
        <v>35394</v>
      </c>
      <c r="B116" s="47" t="s">
        <v>53</v>
      </c>
      <c r="C116" s="47">
        <v>10362</v>
      </c>
      <c r="D116" s="47">
        <v>1549.6</v>
      </c>
    </row>
    <row r="117" spans="1:4" x14ac:dyDescent="0.15">
      <c r="A117" s="48">
        <v>35395</v>
      </c>
      <c r="B117" s="47" t="s">
        <v>60</v>
      </c>
      <c r="C117" s="47">
        <v>10363</v>
      </c>
      <c r="D117" s="47">
        <v>447.2</v>
      </c>
    </row>
    <row r="118" spans="1:4" x14ac:dyDescent="0.15">
      <c r="A118" s="48">
        <v>35395</v>
      </c>
      <c r="B118" s="47" t="s">
        <v>71</v>
      </c>
      <c r="C118" s="47">
        <v>10364</v>
      </c>
      <c r="D118" s="47">
        <v>950</v>
      </c>
    </row>
    <row r="119" spans="1:4" x14ac:dyDescent="0.15">
      <c r="A119" s="48">
        <v>35396</v>
      </c>
      <c r="B119" s="47" t="s">
        <v>125</v>
      </c>
      <c r="C119" s="47">
        <v>10365</v>
      </c>
      <c r="D119" s="47">
        <v>403.2</v>
      </c>
    </row>
    <row r="120" spans="1:4" x14ac:dyDescent="0.15">
      <c r="A120" s="48">
        <v>35397</v>
      </c>
      <c r="B120" s="47" t="s">
        <v>119</v>
      </c>
      <c r="C120" s="47">
        <v>10366</v>
      </c>
      <c r="D120" s="47">
        <v>136</v>
      </c>
    </row>
    <row r="121" spans="1:4" x14ac:dyDescent="0.15">
      <c r="A121" s="48">
        <v>35397</v>
      </c>
      <c r="B121" s="47" t="s">
        <v>103</v>
      </c>
      <c r="C121" s="47">
        <v>10367</v>
      </c>
      <c r="D121" s="47">
        <v>834.19999999999993</v>
      </c>
    </row>
    <row r="122" spans="1:4" x14ac:dyDescent="0.15">
      <c r="A122" s="48">
        <v>35398</v>
      </c>
      <c r="B122" s="47" t="s">
        <v>55</v>
      </c>
      <c r="C122" s="47">
        <v>10368</v>
      </c>
      <c r="D122" s="47">
        <v>1689.7799978479743</v>
      </c>
    </row>
    <row r="123" spans="1:4" x14ac:dyDescent="0.15">
      <c r="A123" s="48">
        <v>35401</v>
      </c>
      <c r="B123" s="47" t="s">
        <v>107</v>
      </c>
      <c r="C123" s="47">
        <v>10369</v>
      </c>
      <c r="D123" s="47">
        <v>2390.4</v>
      </c>
    </row>
    <row r="124" spans="1:4" x14ac:dyDescent="0.15">
      <c r="A124" s="48">
        <v>35402</v>
      </c>
      <c r="B124" s="47" t="s">
        <v>77</v>
      </c>
      <c r="C124" s="47">
        <v>10371</v>
      </c>
      <c r="D124" s="47">
        <v>72.959999728202817</v>
      </c>
    </row>
    <row r="125" spans="1:4" x14ac:dyDescent="0.15">
      <c r="A125" s="48">
        <v>35402</v>
      </c>
      <c r="B125" s="47" t="s">
        <v>83</v>
      </c>
      <c r="C125" s="47">
        <v>10370</v>
      </c>
      <c r="D125" s="47">
        <v>1117.5999977588654</v>
      </c>
    </row>
    <row r="126" spans="1:4" x14ac:dyDescent="0.15">
      <c r="A126" s="48">
        <v>35403</v>
      </c>
      <c r="B126" s="47" t="s">
        <v>61</v>
      </c>
      <c r="C126" s="47">
        <v>10372</v>
      </c>
      <c r="D126" s="47">
        <v>9210.9000000000015</v>
      </c>
    </row>
    <row r="127" spans="1:4" x14ac:dyDescent="0.15">
      <c r="A127" s="48">
        <v>35404</v>
      </c>
      <c r="B127" s="47" t="s">
        <v>81</v>
      </c>
      <c r="C127" s="47">
        <v>10374</v>
      </c>
      <c r="D127" s="47">
        <v>459</v>
      </c>
    </row>
    <row r="128" spans="1:4" x14ac:dyDescent="0.15">
      <c r="A128" s="48">
        <v>35404</v>
      </c>
      <c r="B128" s="47" t="s">
        <v>66</v>
      </c>
      <c r="C128" s="47">
        <v>10373</v>
      </c>
      <c r="D128" s="47">
        <v>1366.3999949097633</v>
      </c>
    </row>
    <row r="129" spans="1:4" x14ac:dyDescent="0.15">
      <c r="A129" s="48">
        <v>35405</v>
      </c>
      <c r="B129" s="47" t="s">
        <v>137</v>
      </c>
      <c r="C129" s="47">
        <v>10375</v>
      </c>
      <c r="D129" s="47">
        <v>338</v>
      </c>
    </row>
    <row r="130" spans="1:4" x14ac:dyDescent="0.15">
      <c r="A130" s="48">
        <v>35408</v>
      </c>
      <c r="B130" s="47" t="s">
        <v>124</v>
      </c>
      <c r="C130" s="47">
        <v>10377</v>
      </c>
      <c r="D130" s="47">
        <v>863.59999394416809</v>
      </c>
    </row>
    <row r="131" spans="1:4" x14ac:dyDescent="0.15">
      <c r="A131" s="48">
        <v>35408</v>
      </c>
      <c r="B131" s="47" t="s">
        <v>136</v>
      </c>
      <c r="C131" s="47">
        <v>10376</v>
      </c>
      <c r="D131" s="47">
        <v>398.99999968707561</v>
      </c>
    </row>
    <row r="132" spans="1:4" x14ac:dyDescent="0.15">
      <c r="A132" s="48">
        <v>35409</v>
      </c>
      <c r="B132" s="47" t="s">
        <v>74</v>
      </c>
      <c r="C132" s="47">
        <v>10378</v>
      </c>
      <c r="D132" s="47">
        <v>103.2</v>
      </c>
    </row>
    <row r="133" spans="1:4" x14ac:dyDescent="0.15">
      <c r="A133" s="48">
        <v>35410</v>
      </c>
      <c r="B133" s="47" t="s">
        <v>105</v>
      </c>
      <c r="C133" s="47">
        <v>10379</v>
      </c>
      <c r="D133" s="47">
        <v>863.27999857068062</v>
      </c>
    </row>
    <row r="134" spans="1:4" x14ac:dyDescent="0.15">
      <c r="A134" s="48">
        <v>35411</v>
      </c>
      <c r="B134" s="47" t="s">
        <v>58</v>
      </c>
      <c r="C134" s="47">
        <v>10381</v>
      </c>
      <c r="D134" s="47">
        <v>112</v>
      </c>
    </row>
    <row r="135" spans="1:4" x14ac:dyDescent="0.15">
      <c r="A135" s="48">
        <v>35411</v>
      </c>
      <c r="B135" s="47" t="s">
        <v>66</v>
      </c>
      <c r="C135" s="47">
        <v>10380</v>
      </c>
      <c r="D135" s="47">
        <v>1313.8199984207749</v>
      </c>
    </row>
    <row r="136" spans="1:4" x14ac:dyDescent="0.15">
      <c r="A136" s="48">
        <v>35412</v>
      </c>
      <c r="B136" s="47" t="s">
        <v>55</v>
      </c>
      <c r="C136" s="47">
        <v>10382</v>
      </c>
      <c r="D136" s="47">
        <v>2900</v>
      </c>
    </row>
    <row r="137" spans="1:4" x14ac:dyDescent="0.15">
      <c r="A137" s="48">
        <v>35415</v>
      </c>
      <c r="B137" s="47" t="s">
        <v>115</v>
      </c>
      <c r="C137" s="47">
        <v>10383</v>
      </c>
      <c r="D137" s="47">
        <v>899</v>
      </c>
    </row>
    <row r="138" spans="1:4" x14ac:dyDescent="0.15">
      <c r="A138" s="48">
        <v>35415</v>
      </c>
      <c r="B138" s="47" t="s">
        <v>120</v>
      </c>
      <c r="C138" s="47">
        <v>10384</v>
      </c>
      <c r="D138" s="47">
        <v>2222.4</v>
      </c>
    </row>
    <row r="139" spans="1:4" x14ac:dyDescent="0.15">
      <c r="A139" s="48">
        <v>35416</v>
      </c>
      <c r="B139" s="47" t="s">
        <v>107</v>
      </c>
      <c r="C139" s="47">
        <v>10385</v>
      </c>
      <c r="D139" s="47">
        <v>691.19999742507935</v>
      </c>
    </row>
    <row r="140" spans="1:4" x14ac:dyDescent="0.15">
      <c r="A140" s="48">
        <v>35417</v>
      </c>
      <c r="B140" s="47" t="s">
        <v>96</v>
      </c>
      <c r="C140" s="47">
        <v>10387</v>
      </c>
      <c r="D140" s="47">
        <v>1058.4000000000001</v>
      </c>
    </row>
    <row r="141" spans="1:4" x14ac:dyDescent="0.15">
      <c r="A141" s="48">
        <v>35417</v>
      </c>
      <c r="B141" s="47" t="s">
        <v>135</v>
      </c>
      <c r="C141" s="47">
        <v>10386</v>
      </c>
      <c r="D141" s="47">
        <v>166</v>
      </c>
    </row>
    <row r="142" spans="1:4" x14ac:dyDescent="0.15">
      <c r="A142" s="48">
        <v>35418</v>
      </c>
      <c r="B142" s="47" t="s">
        <v>124</v>
      </c>
      <c r="C142" s="47">
        <v>10388</v>
      </c>
      <c r="D142" s="47">
        <v>1228.7999993264675</v>
      </c>
    </row>
    <row r="143" spans="1:4" x14ac:dyDescent="0.15">
      <c r="A143" s="48">
        <v>35419</v>
      </c>
      <c r="B143" s="47" t="s">
        <v>79</v>
      </c>
      <c r="C143" s="47">
        <v>10389</v>
      </c>
      <c r="D143" s="47">
        <v>1832.8</v>
      </c>
    </row>
    <row r="144" spans="1:4" x14ac:dyDescent="0.15">
      <c r="A144" s="48">
        <v>35422</v>
      </c>
      <c r="B144" s="47" t="s">
        <v>60</v>
      </c>
      <c r="C144" s="47">
        <v>10391</v>
      </c>
      <c r="D144" s="47">
        <v>86.4</v>
      </c>
    </row>
    <row r="145" spans="1:4" x14ac:dyDescent="0.15">
      <c r="A145" s="48">
        <v>35422</v>
      </c>
      <c r="B145" s="47" t="s">
        <v>55</v>
      </c>
      <c r="C145" s="47">
        <v>10390</v>
      </c>
      <c r="D145" s="47">
        <v>2090.879997253418</v>
      </c>
    </row>
    <row r="146" spans="1:4" x14ac:dyDescent="0.15">
      <c r="A146" s="48">
        <v>35423</v>
      </c>
      <c r="B146" s="47" t="s">
        <v>76</v>
      </c>
      <c r="C146" s="47">
        <v>10392</v>
      </c>
      <c r="D146" s="47">
        <v>1440</v>
      </c>
    </row>
    <row r="147" spans="1:4" x14ac:dyDescent="0.15">
      <c r="A147" s="48">
        <v>35424</v>
      </c>
      <c r="B147" s="47" t="s">
        <v>63</v>
      </c>
      <c r="C147" s="47">
        <v>10393</v>
      </c>
      <c r="D147" s="47">
        <v>2556.9499999999998</v>
      </c>
    </row>
    <row r="148" spans="1:4" x14ac:dyDescent="0.15">
      <c r="A148" s="48">
        <v>35424</v>
      </c>
      <c r="B148" s="47" t="s">
        <v>137</v>
      </c>
      <c r="C148" s="47">
        <v>10394</v>
      </c>
      <c r="D148" s="47">
        <v>442</v>
      </c>
    </row>
    <row r="149" spans="1:4" x14ac:dyDescent="0.15">
      <c r="A149" s="48">
        <v>35425</v>
      </c>
      <c r="B149" s="47" t="s">
        <v>72</v>
      </c>
      <c r="C149" s="47">
        <v>10395</v>
      </c>
      <c r="D149" s="47">
        <v>2122.9199968665839</v>
      </c>
    </row>
    <row r="150" spans="1:4" x14ac:dyDescent="0.15">
      <c r="A150" s="48">
        <v>35426</v>
      </c>
      <c r="B150" s="47" t="s">
        <v>99</v>
      </c>
      <c r="C150" s="47">
        <v>10397</v>
      </c>
      <c r="D150" s="47">
        <v>716.7199949741364</v>
      </c>
    </row>
    <row r="151" spans="1:4" x14ac:dyDescent="0.15">
      <c r="A151" s="48">
        <v>35426</v>
      </c>
      <c r="B151" s="47" t="s">
        <v>97</v>
      </c>
      <c r="C151" s="47">
        <v>10396</v>
      </c>
      <c r="D151" s="47">
        <v>1903.8</v>
      </c>
    </row>
    <row r="152" spans="1:4" x14ac:dyDescent="0.15">
      <c r="A152" s="48">
        <v>35429</v>
      </c>
      <c r="B152" s="47" t="s">
        <v>63</v>
      </c>
      <c r="C152" s="47">
        <v>10398</v>
      </c>
      <c r="D152" s="47">
        <v>2505.5999965667725</v>
      </c>
    </row>
    <row r="153" spans="1:4" x14ac:dyDescent="0.15">
      <c r="A153" s="48">
        <v>35430</v>
      </c>
      <c r="B153" s="47" t="s">
        <v>103</v>
      </c>
      <c r="C153" s="47">
        <v>10399</v>
      </c>
      <c r="D153" s="47">
        <v>1765.6</v>
      </c>
    </row>
    <row r="154" spans="1:4" x14ac:dyDescent="0.15">
      <c r="A154" s="48">
        <v>35431</v>
      </c>
      <c r="B154" s="47" t="s">
        <v>52</v>
      </c>
      <c r="C154" s="47">
        <v>10401</v>
      </c>
      <c r="D154" s="47">
        <v>3868.6</v>
      </c>
    </row>
    <row r="155" spans="1:4" x14ac:dyDescent="0.15">
      <c r="A155" s="48">
        <v>35431</v>
      </c>
      <c r="B155" s="47" t="s">
        <v>71</v>
      </c>
      <c r="C155" s="47">
        <v>10400</v>
      </c>
      <c r="D155" s="47">
        <v>3063</v>
      </c>
    </row>
    <row r="156" spans="1:4" x14ac:dyDescent="0.15">
      <c r="A156" s="48">
        <v>35432</v>
      </c>
      <c r="B156" s="47" t="s">
        <v>55</v>
      </c>
      <c r="C156" s="47">
        <v>10402</v>
      </c>
      <c r="D156" s="47">
        <v>2713.5</v>
      </c>
    </row>
    <row r="157" spans="1:4" x14ac:dyDescent="0.15">
      <c r="A157" s="48">
        <v>35433</v>
      </c>
      <c r="B157" s="47" t="s">
        <v>113</v>
      </c>
      <c r="C157" s="47">
        <v>10404</v>
      </c>
      <c r="D157" s="47">
        <v>1591.2499987520278</v>
      </c>
    </row>
    <row r="158" spans="1:4" x14ac:dyDescent="0.15">
      <c r="A158" s="48">
        <v>35433</v>
      </c>
      <c r="B158" s="47" t="s">
        <v>55</v>
      </c>
      <c r="C158" s="47">
        <v>10403</v>
      </c>
      <c r="D158" s="47">
        <v>855.01499400436876</v>
      </c>
    </row>
    <row r="159" spans="1:4" x14ac:dyDescent="0.15">
      <c r="A159" s="48">
        <v>35436</v>
      </c>
      <c r="B159" s="47" t="s">
        <v>87</v>
      </c>
      <c r="C159" s="47">
        <v>10405</v>
      </c>
      <c r="D159" s="47">
        <v>400</v>
      </c>
    </row>
    <row r="160" spans="1:4" x14ac:dyDescent="0.15">
      <c r="A160" s="48">
        <v>35437</v>
      </c>
      <c r="B160" s="47" t="s">
        <v>61</v>
      </c>
      <c r="C160" s="47">
        <v>10406</v>
      </c>
      <c r="D160" s="47">
        <v>1830.7799972072244</v>
      </c>
    </row>
    <row r="161" spans="1:4" x14ac:dyDescent="0.15">
      <c r="A161" s="48">
        <v>35437</v>
      </c>
      <c r="B161" s="47" t="s">
        <v>91</v>
      </c>
      <c r="C161" s="47">
        <v>10407</v>
      </c>
      <c r="D161" s="47">
        <v>1194</v>
      </c>
    </row>
    <row r="162" spans="1:4" x14ac:dyDescent="0.15">
      <c r="A162" s="48">
        <v>35438</v>
      </c>
      <c r="B162" s="47" t="s">
        <v>132</v>
      </c>
      <c r="C162" s="47">
        <v>10408</v>
      </c>
      <c r="D162" s="47">
        <v>1622.4</v>
      </c>
    </row>
    <row r="163" spans="1:4" x14ac:dyDescent="0.15">
      <c r="A163" s="48">
        <v>35439</v>
      </c>
      <c r="B163" s="47" t="s">
        <v>106</v>
      </c>
      <c r="C163" s="47">
        <v>10409</v>
      </c>
      <c r="D163" s="47">
        <v>319.2</v>
      </c>
    </row>
    <row r="164" spans="1:4" x14ac:dyDescent="0.15">
      <c r="A164" s="48">
        <v>35440</v>
      </c>
      <c r="B164" s="47" t="s">
        <v>79</v>
      </c>
      <c r="C164" s="47">
        <v>10410</v>
      </c>
      <c r="D164" s="47">
        <v>802</v>
      </c>
    </row>
    <row r="165" spans="1:4" x14ac:dyDescent="0.15">
      <c r="A165" s="48">
        <v>35440</v>
      </c>
      <c r="B165" s="47" t="s">
        <v>79</v>
      </c>
      <c r="C165" s="47">
        <v>10411</v>
      </c>
      <c r="D165" s="47">
        <v>966.79999639838934</v>
      </c>
    </row>
    <row r="166" spans="1:4" x14ac:dyDescent="0.15">
      <c r="A166" s="48">
        <v>35443</v>
      </c>
      <c r="B166" s="47" t="s">
        <v>90</v>
      </c>
      <c r="C166" s="47">
        <v>10412</v>
      </c>
      <c r="D166" s="47">
        <v>334.7999994456768</v>
      </c>
    </row>
    <row r="167" spans="1:4" x14ac:dyDescent="0.15">
      <c r="A167" s="48">
        <v>35444</v>
      </c>
      <c r="B167" s="47" t="s">
        <v>77</v>
      </c>
      <c r="C167" s="47">
        <v>10413</v>
      </c>
      <c r="D167" s="47">
        <v>2123.1999999999998</v>
      </c>
    </row>
    <row r="168" spans="1:4" x14ac:dyDescent="0.15">
      <c r="A168" s="48">
        <v>35444</v>
      </c>
      <c r="B168" s="47" t="s">
        <v>135</v>
      </c>
      <c r="C168" s="47">
        <v>10414</v>
      </c>
      <c r="D168" s="47">
        <v>224.82999990209936</v>
      </c>
    </row>
    <row r="169" spans="1:4" x14ac:dyDescent="0.15">
      <c r="A169" s="48">
        <v>35445</v>
      </c>
      <c r="B169" s="47" t="s">
        <v>137</v>
      </c>
      <c r="C169" s="47">
        <v>10415</v>
      </c>
      <c r="D169" s="47">
        <v>102.4</v>
      </c>
    </row>
    <row r="170" spans="1:4" x14ac:dyDescent="0.15">
      <c r="A170" s="48">
        <v>35446</v>
      </c>
      <c r="B170" s="47" t="s">
        <v>54</v>
      </c>
      <c r="C170" s="47">
        <v>10417</v>
      </c>
      <c r="D170" s="47">
        <v>11188.4</v>
      </c>
    </row>
    <row r="171" spans="1:4" x14ac:dyDescent="0.15">
      <c r="A171" s="48">
        <v>35446</v>
      </c>
      <c r="B171" s="47" t="s">
        <v>90</v>
      </c>
      <c r="C171" s="47">
        <v>10416</v>
      </c>
      <c r="D171" s="47">
        <v>720</v>
      </c>
    </row>
    <row r="172" spans="1:4" x14ac:dyDescent="0.15">
      <c r="A172" s="48">
        <v>35447</v>
      </c>
      <c r="B172" s="47" t="s">
        <v>93</v>
      </c>
      <c r="C172" s="47">
        <v>10418</v>
      </c>
      <c r="D172" s="47">
        <v>1814.8</v>
      </c>
    </row>
    <row r="173" spans="1:4" x14ac:dyDescent="0.15">
      <c r="A173" s="48">
        <v>35450</v>
      </c>
      <c r="B173" s="47" t="s">
        <v>51</v>
      </c>
      <c r="C173" s="47">
        <v>10419</v>
      </c>
      <c r="D173" s="47">
        <v>2097.5999983549118</v>
      </c>
    </row>
    <row r="174" spans="1:4" x14ac:dyDescent="0.15">
      <c r="A174" s="48">
        <v>35451</v>
      </c>
      <c r="B174" s="47" t="s">
        <v>117</v>
      </c>
      <c r="C174" s="47">
        <v>10420</v>
      </c>
      <c r="D174" s="47">
        <v>1707.8399971723557</v>
      </c>
    </row>
    <row r="175" spans="1:4" x14ac:dyDescent="0.15">
      <c r="A175" s="48">
        <v>35451</v>
      </c>
      <c r="B175" s="47" t="s">
        <v>105</v>
      </c>
      <c r="C175" s="47">
        <v>10421</v>
      </c>
      <c r="D175" s="47">
        <v>1194.2699968636036</v>
      </c>
    </row>
    <row r="176" spans="1:4" x14ac:dyDescent="0.15">
      <c r="A176" s="48">
        <v>35452</v>
      </c>
      <c r="B176" s="47" t="s">
        <v>65</v>
      </c>
      <c r="C176" s="47">
        <v>10422</v>
      </c>
      <c r="D176" s="47">
        <v>49.8</v>
      </c>
    </row>
    <row r="177" spans="1:4" x14ac:dyDescent="0.15">
      <c r="A177" s="48">
        <v>35453</v>
      </c>
      <c r="B177" s="47" t="s">
        <v>136</v>
      </c>
      <c r="C177" s="47">
        <v>10424</v>
      </c>
      <c r="D177" s="47">
        <v>9194.5599657475959</v>
      </c>
    </row>
    <row r="178" spans="1:4" x14ac:dyDescent="0.15">
      <c r="A178" s="48">
        <v>35453</v>
      </c>
      <c r="B178" s="47" t="s">
        <v>78</v>
      </c>
      <c r="C178" s="47">
        <v>10423</v>
      </c>
      <c r="D178" s="47">
        <v>1020</v>
      </c>
    </row>
    <row r="179" spans="1:4" x14ac:dyDescent="0.15">
      <c r="A179" s="48">
        <v>35454</v>
      </c>
      <c r="B179" s="47" t="s">
        <v>77</v>
      </c>
      <c r="C179" s="47">
        <v>10425</v>
      </c>
      <c r="D179" s="47">
        <v>360</v>
      </c>
    </row>
    <row r="180" spans="1:4" x14ac:dyDescent="0.15">
      <c r="A180" s="48">
        <v>35457</v>
      </c>
      <c r="B180" s="47" t="s">
        <v>76</v>
      </c>
      <c r="C180" s="47">
        <v>10427</v>
      </c>
      <c r="D180" s="47">
        <v>651</v>
      </c>
    </row>
    <row r="181" spans="1:4" x14ac:dyDescent="0.15">
      <c r="A181" s="48">
        <v>35457</v>
      </c>
      <c r="B181" s="47" t="s">
        <v>119</v>
      </c>
      <c r="C181" s="47">
        <v>10426</v>
      </c>
      <c r="D181" s="47">
        <v>338.2</v>
      </c>
    </row>
    <row r="182" spans="1:4" x14ac:dyDescent="0.15">
      <c r="A182" s="48">
        <v>35458</v>
      </c>
      <c r="B182" s="47" t="s">
        <v>67</v>
      </c>
      <c r="C182" s="47">
        <v>10428</v>
      </c>
      <c r="D182" s="47">
        <v>192</v>
      </c>
    </row>
    <row r="183" spans="1:4" x14ac:dyDescent="0.15">
      <c r="A183" s="48">
        <v>35459</v>
      </c>
      <c r="B183" s="47" t="s">
        <v>66</v>
      </c>
      <c r="C183" s="47">
        <v>10429</v>
      </c>
      <c r="D183" s="47">
        <v>1441.375</v>
      </c>
    </row>
    <row r="184" spans="1:4" x14ac:dyDescent="0.15">
      <c r="A184" s="48">
        <v>35460</v>
      </c>
      <c r="B184" s="47" t="s">
        <v>79</v>
      </c>
      <c r="C184" s="47">
        <v>10431</v>
      </c>
      <c r="D184" s="47">
        <v>1892.25</v>
      </c>
    </row>
    <row r="185" spans="1:4" x14ac:dyDescent="0.15">
      <c r="A185" s="48">
        <v>35460</v>
      </c>
      <c r="B185" s="47" t="s">
        <v>55</v>
      </c>
      <c r="C185" s="47">
        <v>10430</v>
      </c>
      <c r="D185" s="47">
        <v>4899.1999866366386</v>
      </c>
    </row>
    <row r="186" spans="1:4" x14ac:dyDescent="0.15">
      <c r="A186" s="48">
        <v>35461</v>
      </c>
      <c r="B186" s="47" t="s">
        <v>107</v>
      </c>
      <c r="C186" s="47">
        <v>10432</v>
      </c>
      <c r="D186" s="47">
        <v>485</v>
      </c>
    </row>
    <row r="187" spans="1:4" x14ac:dyDescent="0.15">
      <c r="A187" s="48">
        <v>35464</v>
      </c>
      <c r="B187" s="47" t="s">
        <v>99</v>
      </c>
      <c r="C187" s="47">
        <v>10433</v>
      </c>
      <c r="D187" s="47">
        <v>851.2</v>
      </c>
    </row>
    <row r="188" spans="1:4" x14ac:dyDescent="0.15">
      <c r="A188" s="48">
        <v>35464</v>
      </c>
      <c r="B188" s="47" t="s">
        <v>74</v>
      </c>
      <c r="C188" s="47">
        <v>10434</v>
      </c>
      <c r="D188" s="47">
        <v>321.11999845504761</v>
      </c>
    </row>
    <row r="189" spans="1:4" x14ac:dyDescent="0.15">
      <c r="A189" s="48">
        <v>35465</v>
      </c>
      <c r="B189" s="47" t="s">
        <v>126</v>
      </c>
      <c r="C189" s="47">
        <v>10435</v>
      </c>
      <c r="D189" s="47">
        <v>631.6</v>
      </c>
    </row>
    <row r="190" spans="1:4" x14ac:dyDescent="0.15">
      <c r="A190" s="48">
        <v>35466</v>
      </c>
      <c r="B190" s="47" t="s">
        <v>129</v>
      </c>
      <c r="C190" s="47">
        <v>10436</v>
      </c>
      <c r="D190" s="47">
        <v>1994.5199967771769</v>
      </c>
    </row>
    <row r="191" spans="1:4" x14ac:dyDescent="0.15">
      <c r="A191" s="48">
        <v>35466</v>
      </c>
      <c r="B191" s="47" t="s">
        <v>90</v>
      </c>
      <c r="C191" s="47">
        <v>10437</v>
      </c>
      <c r="D191" s="47">
        <v>393</v>
      </c>
    </row>
    <row r="192" spans="1:4" x14ac:dyDescent="0.15">
      <c r="A192" s="48">
        <v>35467</v>
      </c>
      <c r="B192" s="47" t="s">
        <v>111</v>
      </c>
      <c r="C192" s="47">
        <v>10438</v>
      </c>
      <c r="D192" s="47">
        <v>453.9999983087182</v>
      </c>
    </row>
    <row r="193" spans="1:4" x14ac:dyDescent="0.15">
      <c r="A193" s="48">
        <v>35468</v>
      </c>
      <c r="B193" s="47" t="s">
        <v>136</v>
      </c>
      <c r="C193" s="47">
        <v>10439</v>
      </c>
      <c r="D193" s="47">
        <v>1078</v>
      </c>
    </row>
    <row r="194" spans="1:4" x14ac:dyDescent="0.15">
      <c r="A194" s="48">
        <v>35471</v>
      </c>
      <c r="B194" s="47" t="s">
        <v>63</v>
      </c>
      <c r="C194" s="47">
        <v>10440</v>
      </c>
      <c r="D194" s="47">
        <v>4924.1349654704336</v>
      </c>
    </row>
    <row r="195" spans="1:4" x14ac:dyDescent="0.15">
      <c r="A195" s="48">
        <v>35471</v>
      </c>
      <c r="B195" s="47" t="s">
        <v>88</v>
      </c>
      <c r="C195" s="47">
        <v>10441</v>
      </c>
      <c r="D195" s="47">
        <v>1755</v>
      </c>
    </row>
    <row r="196" spans="1:4" x14ac:dyDescent="0.15">
      <c r="A196" s="48">
        <v>35472</v>
      </c>
      <c r="B196" s="47" t="s">
        <v>55</v>
      </c>
      <c r="C196" s="47">
        <v>10442</v>
      </c>
      <c r="D196" s="47">
        <v>1792</v>
      </c>
    </row>
    <row r="197" spans="1:4" x14ac:dyDescent="0.15">
      <c r="A197" s="48">
        <v>35473</v>
      </c>
      <c r="B197" s="47" t="s">
        <v>67</v>
      </c>
      <c r="C197" s="47">
        <v>10443</v>
      </c>
      <c r="D197" s="47">
        <v>517.43999969959259</v>
      </c>
    </row>
    <row r="198" spans="1:4" x14ac:dyDescent="0.15">
      <c r="A198" s="48">
        <v>35473</v>
      </c>
      <c r="B198" s="47" t="s">
        <v>120</v>
      </c>
      <c r="C198" s="47">
        <v>10444</v>
      </c>
      <c r="D198" s="47">
        <v>1031.7</v>
      </c>
    </row>
    <row r="199" spans="1:4" x14ac:dyDescent="0.15">
      <c r="A199" s="48">
        <v>35474</v>
      </c>
      <c r="B199" s="47" t="s">
        <v>120</v>
      </c>
      <c r="C199" s="47">
        <v>10445</v>
      </c>
      <c r="D199" s="47">
        <v>174.9</v>
      </c>
    </row>
    <row r="200" spans="1:4" x14ac:dyDescent="0.15">
      <c r="A200" s="48">
        <v>35475</v>
      </c>
      <c r="B200" s="47" t="s">
        <v>111</v>
      </c>
      <c r="C200" s="47">
        <v>10446</v>
      </c>
      <c r="D200" s="47">
        <v>246.23999959230423</v>
      </c>
    </row>
    <row r="201" spans="1:4" x14ac:dyDescent="0.15">
      <c r="A201" s="48">
        <v>35475</v>
      </c>
      <c r="B201" s="47" t="s">
        <v>68</v>
      </c>
      <c r="C201" s="47">
        <v>10447</v>
      </c>
      <c r="D201" s="47">
        <v>914.4</v>
      </c>
    </row>
    <row r="202" spans="1:4" x14ac:dyDescent="0.15">
      <c r="A202" s="48">
        <v>35478</v>
      </c>
      <c r="B202" s="47" t="s">
        <v>95</v>
      </c>
      <c r="C202" s="47">
        <v>10448</v>
      </c>
      <c r="D202" s="47">
        <v>443.4</v>
      </c>
    </row>
    <row r="203" spans="1:4" x14ac:dyDescent="0.15">
      <c r="A203" s="48">
        <v>35479</v>
      </c>
      <c r="B203" s="47" t="s">
        <v>129</v>
      </c>
      <c r="C203" s="47">
        <v>10449</v>
      </c>
      <c r="D203" s="47">
        <v>1838.2</v>
      </c>
    </row>
    <row r="204" spans="1:4" x14ac:dyDescent="0.15">
      <c r="A204" s="48">
        <v>35480</v>
      </c>
      <c r="B204" s="47" t="s">
        <v>93</v>
      </c>
      <c r="C204" s="47">
        <v>10451</v>
      </c>
      <c r="D204" s="47">
        <v>3849.6599936261773</v>
      </c>
    </row>
    <row r="205" spans="1:4" x14ac:dyDescent="0.15">
      <c r="A205" s="48">
        <v>35480</v>
      </c>
      <c r="B205" s="47" t="s">
        <v>127</v>
      </c>
      <c r="C205" s="47">
        <v>10450</v>
      </c>
      <c r="D205" s="47">
        <v>425.11999841630461</v>
      </c>
    </row>
    <row r="206" spans="1:4" x14ac:dyDescent="0.15">
      <c r="A206" s="48">
        <v>35481</v>
      </c>
      <c r="B206" s="47" t="s">
        <v>63</v>
      </c>
      <c r="C206" s="47">
        <v>10452</v>
      </c>
      <c r="D206" s="47">
        <v>2018.49999884516</v>
      </c>
    </row>
    <row r="207" spans="1:4" x14ac:dyDescent="0.15">
      <c r="A207" s="48">
        <v>35482</v>
      </c>
      <c r="B207" s="47" t="s">
        <v>77</v>
      </c>
      <c r="C207" s="47">
        <v>10454</v>
      </c>
      <c r="D207" s="47">
        <v>331.19999876618385</v>
      </c>
    </row>
    <row r="208" spans="1:4" x14ac:dyDescent="0.15">
      <c r="A208" s="48">
        <v>35482</v>
      </c>
      <c r="B208" s="47" t="s">
        <v>115</v>
      </c>
      <c r="C208" s="47">
        <v>10453</v>
      </c>
      <c r="D208" s="47">
        <v>407.6999993249774</v>
      </c>
    </row>
    <row r="209" spans="1:4" x14ac:dyDescent="0.15">
      <c r="A209" s="48">
        <v>35485</v>
      </c>
      <c r="B209" s="47" t="s">
        <v>90</v>
      </c>
      <c r="C209" s="47">
        <v>10455</v>
      </c>
      <c r="D209" s="47">
        <v>2684</v>
      </c>
    </row>
    <row r="210" spans="1:4" x14ac:dyDescent="0.15">
      <c r="A210" s="48">
        <v>35486</v>
      </c>
      <c r="B210" s="47" t="s">
        <v>89</v>
      </c>
      <c r="C210" s="47">
        <v>10456</v>
      </c>
      <c r="D210" s="47">
        <v>557.5999960899353</v>
      </c>
    </row>
    <row r="211" spans="1:4" x14ac:dyDescent="0.15">
      <c r="A211" s="48">
        <v>35486</v>
      </c>
      <c r="B211" s="47" t="s">
        <v>89</v>
      </c>
      <c r="C211" s="47">
        <v>10457</v>
      </c>
      <c r="D211" s="47">
        <v>1584</v>
      </c>
    </row>
    <row r="212" spans="1:4" x14ac:dyDescent="0.15">
      <c r="A212" s="48">
        <v>35487</v>
      </c>
      <c r="B212" s="47" t="s">
        <v>86</v>
      </c>
      <c r="C212" s="47">
        <v>10458</v>
      </c>
      <c r="D212" s="47">
        <v>3891</v>
      </c>
    </row>
    <row r="213" spans="1:4" x14ac:dyDescent="0.15">
      <c r="A213" s="48">
        <v>35488</v>
      </c>
      <c r="B213" s="47" t="s">
        <v>127</v>
      </c>
      <c r="C213" s="47">
        <v>10459</v>
      </c>
      <c r="D213" s="47">
        <v>1659.1999995708466</v>
      </c>
    </row>
    <row r="214" spans="1:4" x14ac:dyDescent="0.15">
      <c r="A214" s="48">
        <v>35489</v>
      </c>
      <c r="B214" s="47" t="s">
        <v>58</v>
      </c>
      <c r="C214" s="47">
        <v>10461</v>
      </c>
      <c r="D214" s="47">
        <v>1538.7</v>
      </c>
    </row>
    <row r="215" spans="1:4" x14ac:dyDescent="0.15">
      <c r="A215" s="48">
        <v>35489</v>
      </c>
      <c r="B215" s="47" t="s">
        <v>74</v>
      </c>
      <c r="C215" s="47">
        <v>10460</v>
      </c>
      <c r="D215" s="47">
        <v>176.1</v>
      </c>
    </row>
    <row r="216" spans="1:4" x14ac:dyDescent="0.15">
      <c r="A216" s="48">
        <v>35492</v>
      </c>
      <c r="B216" s="47" t="s">
        <v>126</v>
      </c>
      <c r="C216" s="47">
        <v>10462</v>
      </c>
      <c r="D216" s="47">
        <v>156</v>
      </c>
    </row>
    <row r="217" spans="1:4" x14ac:dyDescent="0.15">
      <c r="A217" s="48">
        <v>35493</v>
      </c>
      <c r="B217" s="47" t="s">
        <v>86</v>
      </c>
      <c r="C217" s="47">
        <v>10463</v>
      </c>
      <c r="D217" s="47">
        <v>713.3</v>
      </c>
    </row>
    <row r="218" spans="1:4" x14ac:dyDescent="0.15">
      <c r="A218" s="48">
        <v>35493</v>
      </c>
      <c r="B218" s="47" t="s">
        <v>112</v>
      </c>
      <c r="C218" s="47">
        <v>10464</v>
      </c>
      <c r="D218" s="47">
        <v>1609.2799964427948</v>
      </c>
    </row>
    <row r="219" spans="1:4" x14ac:dyDescent="0.15">
      <c r="A219" s="48">
        <v>35494</v>
      </c>
      <c r="B219" s="47" t="s">
        <v>103</v>
      </c>
      <c r="C219" s="47">
        <v>10465</v>
      </c>
      <c r="D219" s="47">
        <v>2517.9999970048666</v>
      </c>
    </row>
    <row r="220" spans="1:4" x14ac:dyDescent="0.15">
      <c r="A220" s="48">
        <v>35495</v>
      </c>
      <c r="B220" s="47" t="s">
        <v>82</v>
      </c>
      <c r="C220" s="47">
        <v>10466</v>
      </c>
      <c r="D220" s="47">
        <v>216</v>
      </c>
    </row>
    <row r="221" spans="1:4" x14ac:dyDescent="0.15">
      <c r="A221" s="48">
        <v>35495</v>
      </c>
      <c r="B221" s="47" t="s">
        <v>113</v>
      </c>
      <c r="C221" s="47">
        <v>10467</v>
      </c>
      <c r="D221" s="47">
        <v>235.2</v>
      </c>
    </row>
    <row r="222" spans="1:4" x14ac:dyDescent="0.15">
      <c r="A222" s="48">
        <v>35496</v>
      </c>
      <c r="B222" s="47" t="s">
        <v>89</v>
      </c>
      <c r="C222" s="47">
        <v>10468</v>
      </c>
      <c r="D222" s="47">
        <v>717.6</v>
      </c>
    </row>
    <row r="223" spans="1:4" x14ac:dyDescent="0.15">
      <c r="A223" s="48">
        <v>35499</v>
      </c>
      <c r="B223" s="47" t="s">
        <v>62</v>
      </c>
      <c r="C223" s="47">
        <v>10469</v>
      </c>
      <c r="D223" s="47">
        <v>956.67499329149723</v>
      </c>
    </row>
    <row r="224" spans="1:4" x14ac:dyDescent="0.15">
      <c r="A224" s="48">
        <v>35500</v>
      </c>
      <c r="B224" s="47" t="s">
        <v>92</v>
      </c>
      <c r="C224" s="47">
        <v>10471</v>
      </c>
      <c r="D224" s="47">
        <v>1328</v>
      </c>
    </row>
    <row r="225" spans="1:4" x14ac:dyDescent="0.15">
      <c r="A225" s="48">
        <v>35500</v>
      </c>
      <c r="B225" s="47" t="s">
        <v>53</v>
      </c>
      <c r="C225" s="47">
        <v>10470</v>
      </c>
      <c r="D225" s="47">
        <v>1820.8</v>
      </c>
    </row>
    <row r="226" spans="1:4" x14ac:dyDescent="0.15">
      <c r="A226" s="48">
        <v>35501</v>
      </c>
      <c r="B226" s="47" t="s">
        <v>124</v>
      </c>
      <c r="C226" s="47">
        <v>10472</v>
      </c>
      <c r="D226" s="47">
        <v>1036.7999997854233</v>
      </c>
    </row>
    <row r="227" spans="1:4" x14ac:dyDescent="0.15">
      <c r="A227" s="48">
        <v>35502</v>
      </c>
      <c r="B227" s="47" t="s">
        <v>57</v>
      </c>
      <c r="C227" s="47">
        <v>10474</v>
      </c>
      <c r="D227" s="47">
        <v>1249.1000000000001</v>
      </c>
    </row>
    <row r="228" spans="1:4" x14ac:dyDescent="0.15">
      <c r="A228" s="48">
        <v>35502</v>
      </c>
      <c r="B228" s="47" t="s">
        <v>118</v>
      </c>
      <c r="C228" s="47">
        <v>10473</v>
      </c>
      <c r="D228" s="47">
        <v>230.4</v>
      </c>
    </row>
    <row r="229" spans="1:4" x14ac:dyDescent="0.15">
      <c r="A229" s="48">
        <v>35503</v>
      </c>
      <c r="B229" s="47" t="s">
        <v>86</v>
      </c>
      <c r="C229" s="47">
        <v>10475</v>
      </c>
      <c r="D229" s="47">
        <v>1505.1799894452095</v>
      </c>
    </row>
    <row r="230" spans="1:4" x14ac:dyDescent="0.15">
      <c r="A230" s="48">
        <v>35506</v>
      </c>
      <c r="B230" s="47" t="s">
        <v>99</v>
      </c>
      <c r="C230" s="47">
        <v>10477</v>
      </c>
      <c r="D230" s="47">
        <v>558</v>
      </c>
    </row>
    <row r="231" spans="1:4" x14ac:dyDescent="0.15">
      <c r="A231" s="48">
        <v>35506</v>
      </c>
      <c r="B231" s="47" t="s">
        <v>72</v>
      </c>
      <c r="C231" s="47">
        <v>10476</v>
      </c>
      <c r="D231" s="47">
        <v>180.47999997138976</v>
      </c>
    </row>
    <row r="232" spans="1:4" x14ac:dyDescent="0.15">
      <c r="A232" s="48">
        <v>35507</v>
      </c>
      <c r="B232" s="47" t="s">
        <v>127</v>
      </c>
      <c r="C232" s="47">
        <v>10478</v>
      </c>
      <c r="D232" s="47">
        <v>471.1999996304512</v>
      </c>
    </row>
    <row r="233" spans="1:4" x14ac:dyDescent="0.15">
      <c r="A233" s="48">
        <v>35508</v>
      </c>
      <c r="B233" s="47" t="s">
        <v>52</v>
      </c>
      <c r="C233" s="47">
        <v>10479</v>
      </c>
      <c r="D233" s="47">
        <v>10495.6</v>
      </c>
    </row>
    <row r="234" spans="1:4" x14ac:dyDescent="0.15">
      <c r="A234" s="48">
        <v>35509</v>
      </c>
      <c r="B234" s="47" t="s">
        <v>132</v>
      </c>
      <c r="C234" s="47">
        <v>10480</v>
      </c>
      <c r="D234" s="47">
        <v>756</v>
      </c>
    </row>
    <row r="235" spans="1:4" x14ac:dyDescent="0.15">
      <c r="A235" s="48">
        <v>35509</v>
      </c>
      <c r="B235" s="47" t="s">
        <v>68</v>
      </c>
      <c r="C235" s="47">
        <v>10481</v>
      </c>
      <c r="D235" s="47">
        <v>1472</v>
      </c>
    </row>
    <row r="236" spans="1:4" x14ac:dyDescent="0.15">
      <c r="A236" s="48">
        <v>35510</v>
      </c>
      <c r="B236" s="47" t="s">
        <v>138</v>
      </c>
      <c r="C236" s="47">
        <v>10482</v>
      </c>
      <c r="D236" s="47">
        <v>147</v>
      </c>
    </row>
    <row r="237" spans="1:4" x14ac:dyDescent="0.15">
      <c r="A237" s="48">
        <v>35513</v>
      </c>
      <c r="B237" s="47" t="s">
        <v>92</v>
      </c>
      <c r="C237" s="47">
        <v>10484</v>
      </c>
      <c r="D237" s="47">
        <v>386.2</v>
      </c>
    </row>
    <row r="238" spans="1:4" x14ac:dyDescent="0.15">
      <c r="A238" s="48">
        <v>35513</v>
      </c>
      <c r="B238" s="47" t="s">
        <v>62</v>
      </c>
      <c r="C238" s="47">
        <v>10483</v>
      </c>
      <c r="D238" s="47">
        <v>668.79999947547913</v>
      </c>
    </row>
    <row r="239" spans="1:4" x14ac:dyDescent="0.15">
      <c r="A239" s="48">
        <v>35514</v>
      </c>
      <c r="B239" s="47" t="s">
        <v>87</v>
      </c>
      <c r="C239" s="47">
        <v>10485</v>
      </c>
      <c r="D239" s="47">
        <v>1583.9999973773956</v>
      </c>
    </row>
    <row r="240" spans="1:4" x14ac:dyDescent="0.15">
      <c r="A240" s="48">
        <v>35515</v>
      </c>
      <c r="B240" s="47" t="s">
        <v>61</v>
      </c>
      <c r="C240" s="47">
        <v>10487</v>
      </c>
      <c r="D240" s="47">
        <v>889.7</v>
      </c>
    </row>
    <row r="241" spans="1:4" x14ac:dyDescent="0.15">
      <c r="A241" s="48">
        <v>35515</v>
      </c>
      <c r="B241" s="47" t="s">
        <v>72</v>
      </c>
      <c r="C241" s="47">
        <v>10486</v>
      </c>
      <c r="D241" s="47">
        <v>1272</v>
      </c>
    </row>
    <row r="242" spans="1:4" x14ac:dyDescent="0.15">
      <c r="A242" s="48">
        <v>35516</v>
      </c>
      <c r="B242" s="47" t="s">
        <v>97</v>
      </c>
      <c r="C242" s="47">
        <v>10488</v>
      </c>
      <c r="D242" s="47">
        <v>1511.9999992847443</v>
      </c>
    </row>
    <row r="243" spans="1:4" x14ac:dyDescent="0.15">
      <c r="A243" s="48">
        <v>35517</v>
      </c>
      <c r="B243" s="47" t="s">
        <v>76</v>
      </c>
      <c r="C243" s="47">
        <v>10489</v>
      </c>
      <c r="D243" s="47">
        <v>439.2</v>
      </c>
    </row>
    <row r="244" spans="1:4" x14ac:dyDescent="0.15">
      <c r="A244" s="48">
        <v>35520</v>
      </c>
      <c r="B244" s="47" t="s">
        <v>112</v>
      </c>
      <c r="C244" s="47">
        <v>10491</v>
      </c>
      <c r="D244" s="47">
        <v>259.50499818027021</v>
      </c>
    </row>
    <row r="245" spans="1:4" x14ac:dyDescent="0.15">
      <c r="A245" s="48">
        <v>35520</v>
      </c>
      <c r="B245" s="47" t="s">
        <v>72</v>
      </c>
      <c r="C245" s="47">
        <v>10490</v>
      </c>
      <c r="D245" s="47">
        <v>3163.2</v>
      </c>
    </row>
    <row r="246" spans="1:4" x14ac:dyDescent="0.15">
      <c r="A246" s="48">
        <v>35521</v>
      </c>
      <c r="B246" s="47" t="s">
        <v>79</v>
      </c>
      <c r="C246" s="47">
        <v>10492</v>
      </c>
      <c r="D246" s="47">
        <v>851.19999933242798</v>
      </c>
    </row>
    <row r="247" spans="1:4" x14ac:dyDescent="0.15">
      <c r="A247" s="48">
        <v>35522</v>
      </c>
      <c r="B247" s="47" t="s">
        <v>77</v>
      </c>
      <c r="C247" s="47">
        <v>10493</v>
      </c>
      <c r="D247" s="47">
        <v>608.3999989926815</v>
      </c>
    </row>
    <row r="248" spans="1:4" x14ac:dyDescent="0.15">
      <c r="A248" s="48">
        <v>35522</v>
      </c>
      <c r="B248" s="47" t="s">
        <v>82</v>
      </c>
      <c r="C248" s="47">
        <v>10494</v>
      </c>
      <c r="D248" s="47">
        <v>912</v>
      </c>
    </row>
    <row r="249" spans="1:4" x14ac:dyDescent="0.15">
      <c r="A249" s="48">
        <v>35523</v>
      </c>
      <c r="B249" s="47" t="s">
        <v>131</v>
      </c>
      <c r="C249" s="47">
        <v>10495</v>
      </c>
      <c r="D249" s="47">
        <v>278</v>
      </c>
    </row>
    <row r="250" spans="1:4" x14ac:dyDescent="0.15">
      <c r="A250" s="48">
        <v>35524</v>
      </c>
      <c r="B250" s="47" t="s">
        <v>56</v>
      </c>
      <c r="C250" s="47">
        <v>10497</v>
      </c>
      <c r="D250" s="47">
        <v>1380.6</v>
      </c>
    </row>
    <row r="251" spans="1:4" x14ac:dyDescent="0.15">
      <c r="A251" s="48">
        <v>35524</v>
      </c>
      <c r="B251" s="47" t="s">
        <v>128</v>
      </c>
      <c r="C251" s="47">
        <v>10496</v>
      </c>
      <c r="D251" s="47">
        <v>189.99999985098839</v>
      </c>
    </row>
    <row r="252" spans="1:4" x14ac:dyDescent="0.15">
      <c r="A252" s="48">
        <v>35527</v>
      </c>
      <c r="B252" s="47" t="s">
        <v>72</v>
      </c>
      <c r="C252" s="47">
        <v>10498</v>
      </c>
      <c r="D252" s="47">
        <v>575</v>
      </c>
    </row>
    <row r="253" spans="1:4" x14ac:dyDescent="0.15">
      <c r="A253" s="48">
        <v>35528</v>
      </c>
      <c r="B253" s="47" t="s">
        <v>58</v>
      </c>
      <c r="C253" s="47">
        <v>10499</v>
      </c>
      <c r="D253" s="47">
        <v>1412</v>
      </c>
    </row>
    <row r="254" spans="1:4" x14ac:dyDescent="0.15">
      <c r="A254" s="48">
        <v>35529</v>
      </c>
      <c r="B254" s="47" t="s">
        <v>77</v>
      </c>
      <c r="C254" s="47">
        <v>10500</v>
      </c>
      <c r="D254" s="47">
        <v>523.25999958962211</v>
      </c>
    </row>
    <row r="255" spans="1:4" x14ac:dyDescent="0.15">
      <c r="A255" s="48">
        <v>35529</v>
      </c>
      <c r="B255" s="47" t="s">
        <v>69</v>
      </c>
      <c r="C255" s="47">
        <v>10501</v>
      </c>
      <c r="D255" s="47">
        <v>149</v>
      </c>
    </row>
    <row r="256" spans="1:4" x14ac:dyDescent="0.15">
      <c r="A256" s="48">
        <v>35530</v>
      </c>
      <c r="B256" s="47" t="s">
        <v>57</v>
      </c>
      <c r="C256" s="47">
        <v>10502</v>
      </c>
      <c r="D256" s="47">
        <v>816.3</v>
      </c>
    </row>
    <row r="257" spans="1:4" x14ac:dyDescent="0.15">
      <c r="A257" s="48">
        <v>35531</v>
      </c>
      <c r="B257" s="47" t="s">
        <v>66</v>
      </c>
      <c r="C257" s="47">
        <v>10503</v>
      </c>
      <c r="D257" s="47">
        <v>2048.5</v>
      </c>
    </row>
    <row r="258" spans="1:4" x14ac:dyDescent="0.15">
      <c r="A258" s="48">
        <v>35531</v>
      </c>
      <c r="B258" s="47" t="s">
        <v>62</v>
      </c>
      <c r="C258" s="47">
        <v>10504</v>
      </c>
      <c r="D258" s="47">
        <v>1388.5</v>
      </c>
    </row>
    <row r="259" spans="1:4" x14ac:dyDescent="0.15">
      <c r="A259" s="48">
        <v>35534</v>
      </c>
      <c r="B259" s="47" t="s">
        <v>136</v>
      </c>
      <c r="C259" s="47">
        <v>10505</v>
      </c>
      <c r="D259" s="47">
        <v>147.9</v>
      </c>
    </row>
    <row r="260" spans="1:4" x14ac:dyDescent="0.15">
      <c r="A260" s="48">
        <v>35535</v>
      </c>
      <c r="B260" s="47" t="s">
        <v>125</v>
      </c>
      <c r="C260" s="47">
        <v>10507</v>
      </c>
      <c r="D260" s="47">
        <v>749.06249474734068</v>
      </c>
    </row>
    <row r="261" spans="1:4" x14ac:dyDescent="0.15">
      <c r="A261" s="48">
        <v>35535</v>
      </c>
      <c r="B261" s="47" t="s">
        <v>89</v>
      </c>
      <c r="C261" s="47">
        <v>10506</v>
      </c>
      <c r="D261" s="47">
        <v>415.79999931156635</v>
      </c>
    </row>
    <row r="262" spans="1:4" x14ac:dyDescent="0.15">
      <c r="A262" s="48">
        <v>35536</v>
      </c>
      <c r="B262" s="47" t="s">
        <v>91</v>
      </c>
      <c r="C262" s="47">
        <v>10508</v>
      </c>
      <c r="D262" s="47">
        <v>240</v>
      </c>
    </row>
    <row r="263" spans="1:4" x14ac:dyDescent="0.15">
      <c r="A263" s="48">
        <v>35537</v>
      </c>
      <c r="B263" s="47" t="s">
        <v>69</v>
      </c>
      <c r="C263" s="47">
        <v>10509</v>
      </c>
      <c r="D263" s="47">
        <v>136.80000000000001</v>
      </c>
    </row>
    <row r="264" spans="1:4" x14ac:dyDescent="0.15">
      <c r="A264" s="48">
        <v>35538</v>
      </c>
      <c r="B264" s="47" t="s">
        <v>63</v>
      </c>
      <c r="C264" s="47">
        <v>10510</v>
      </c>
      <c r="D264" s="47">
        <v>4707.5399995842572</v>
      </c>
    </row>
    <row r="265" spans="1:4" x14ac:dyDescent="0.15">
      <c r="A265" s="48">
        <v>35538</v>
      </c>
      <c r="B265" s="47" t="s">
        <v>53</v>
      </c>
      <c r="C265" s="47">
        <v>10511</v>
      </c>
      <c r="D265" s="47">
        <v>2549.9999821186066</v>
      </c>
    </row>
    <row r="266" spans="1:4" x14ac:dyDescent="0.15">
      <c r="A266" s="48">
        <v>35541</v>
      </c>
      <c r="B266" s="47" t="s">
        <v>135</v>
      </c>
      <c r="C266" s="47">
        <v>10512</v>
      </c>
      <c r="D266" s="47">
        <v>525.29999631643295</v>
      </c>
    </row>
    <row r="267" spans="1:4" x14ac:dyDescent="0.15">
      <c r="A267" s="48">
        <v>35542</v>
      </c>
      <c r="B267" s="47" t="s">
        <v>80</v>
      </c>
      <c r="C267" s="47">
        <v>10513</v>
      </c>
      <c r="D267" s="47">
        <v>1941.9999927654862</v>
      </c>
    </row>
    <row r="268" spans="1:4" x14ac:dyDescent="0.15">
      <c r="A268" s="48">
        <v>35542</v>
      </c>
      <c r="B268" s="47" t="s">
        <v>55</v>
      </c>
      <c r="C268" s="47">
        <v>10514</v>
      </c>
      <c r="D268" s="47">
        <v>8623.4500000000007</v>
      </c>
    </row>
    <row r="269" spans="1:4" x14ac:dyDescent="0.15">
      <c r="A269" s="48">
        <v>35543</v>
      </c>
      <c r="B269" s="47" t="s">
        <v>93</v>
      </c>
      <c r="C269" s="47">
        <v>10515</v>
      </c>
      <c r="D269" s="47">
        <v>9921.299973487854</v>
      </c>
    </row>
    <row r="270" spans="1:4" x14ac:dyDescent="0.15">
      <c r="A270" s="48">
        <v>35544</v>
      </c>
      <c r="B270" s="47" t="s">
        <v>70</v>
      </c>
      <c r="C270" s="47">
        <v>10517</v>
      </c>
      <c r="D270" s="47">
        <v>352</v>
      </c>
    </row>
    <row r="271" spans="1:4" x14ac:dyDescent="0.15">
      <c r="A271" s="48">
        <v>35544</v>
      </c>
      <c r="B271" s="47" t="s">
        <v>66</v>
      </c>
      <c r="C271" s="47">
        <v>10516</v>
      </c>
      <c r="D271" s="47">
        <v>2381.0499965213239</v>
      </c>
    </row>
    <row r="272" spans="1:4" x14ac:dyDescent="0.15">
      <c r="A272" s="48">
        <v>35545</v>
      </c>
      <c r="B272" s="47" t="s">
        <v>59</v>
      </c>
      <c r="C272" s="47">
        <v>10518</v>
      </c>
      <c r="D272" s="47">
        <v>4150.05</v>
      </c>
    </row>
    <row r="273" spans="1:4" x14ac:dyDescent="0.15">
      <c r="A273" s="48">
        <v>35548</v>
      </c>
      <c r="B273" s="47" t="s">
        <v>83</v>
      </c>
      <c r="C273" s="47">
        <v>10519</v>
      </c>
      <c r="D273" s="47">
        <v>2314.1999993771315</v>
      </c>
    </row>
    <row r="274" spans="1:4" x14ac:dyDescent="0.15">
      <c r="A274" s="48">
        <v>35549</v>
      </c>
      <c r="B274" s="47" t="s">
        <v>96</v>
      </c>
      <c r="C274" s="47">
        <v>10520</v>
      </c>
      <c r="D274" s="47">
        <v>200</v>
      </c>
    </row>
    <row r="275" spans="1:4" x14ac:dyDescent="0.15">
      <c r="A275" s="48">
        <v>35549</v>
      </c>
      <c r="B275" s="47" t="s">
        <v>73</v>
      </c>
      <c r="C275" s="47">
        <v>10521</v>
      </c>
      <c r="D275" s="47">
        <v>225.5</v>
      </c>
    </row>
    <row r="276" spans="1:4" x14ac:dyDescent="0.15">
      <c r="A276" s="48">
        <v>35550</v>
      </c>
      <c r="B276" s="47" t="s">
        <v>56</v>
      </c>
      <c r="C276" s="47">
        <v>10522</v>
      </c>
      <c r="D276" s="47">
        <v>2318.2399949401615</v>
      </c>
    </row>
    <row r="277" spans="1:4" x14ac:dyDescent="0.15">
      <c r="A277" s="48">
        <v>35551</v>
      </c>
      <c r="B277" s="47" t="s">
        <v>124</v>
      </c>
      <c r="C277" s="47">
        <v>10523</v>
      </c>
      <c r="D277" s="47">
        <v>2444.3099959529936</v>
      </c>
    </row>
    <row r="278" spans="1:4" x14ac:dyDescent="0.15">
      <c r="A278" s="48">
        <v>35551</v>
      </c>
      <c r="B278" s="47" t="s">
        <v>120</v>
      </c>
      <c r="C278" s="47">
        <v>10524</v>
      </c>
      <c r="D278" s="47">
        <v>3192.65</v>
      </c>
    </row>
    <row r="279" spans="1:4" x14ac:dyDescent="0.15">
      <c r="A279" s="48">
        <v>35552</v>
      </c>
      <c r="B279" s="47" t="s">
        <v>53</v>
      </c>
      <c r="C279" s="47">
        <v>10525</v>
      </c>
      <c r="D279" s="47">
        <v>818.39999958872795</v>
      </c>
    </row>
    <row r="280" spans="1:4" x14ac:dyDescent="0.15">
      <c r="A280" s="48">
        <v>35555</v>
      </c>
      <c r="B280" s="47" t="s">
        <v>93</v>
      </c>
      <c r="C280" s="47">
        <v>10527</v>
      </c>
      <c r="D280" s="47">
        <v>1502.9999975115061</v>
      </c>
    </row>
    <row r="281" spans="1:4" x14ac:dyDescent="0.15">
      <c r="A281" s="48">
        <v>35555</v>
      </c>
      <c r="B281" s="47" t="s">
        <v>90</v>
      </c>
      <c r="C281" s="47">
        <v>10526</v>
      </c>
      <c r="D281" s="47">
        <v>1151.3999923467636</v>
      </c>
    </row>
    <row r="282" spans="1:4" x14ac:dyDescent="0.15">
      <c r="A282" s="48">
        <v>35556</v>
      </c>
      <c r="B282" s="47" t="s">
        <v>64</v>
      </c>
      <c r="C282" s="47">
        <v>10528</v>
      </c>
      <c r="D282" s="47">
        <v>392.19999994039534</v>
      </c>
    </row>
    <row r="283" spans="1:4" x14ac:dyDescent="0.15">
      <c r="A283" s="48">
        <v>35557</v>
      </c>
      <c r="B283" s="47" t="s">
        <v>101</v>
      </c>
      <c r="C283" s="47">
        <v>10529</v>
      </c>
      <c r="D283" s="47">
        <v>946</v>
      </c>
    </row>
    <row r="284" spans="1:4" x14ac:dyDescent="0.15">
      <c r="A284" s="48">
        <v>35558</v>
      </c>
      <c r="B284" s="47" t="s">
        <v>76</v>
      </c>
      <c r="C284" s="47">
        <v>10530</v>
      </c>
      <c r="D284" s="47">
        <v>4180</v>
      </c>
    </row>
    <row r="285" spans="1:4" x14ac:dyDescent="0.15">
      <c r="A285" s="48">
        <v>35558</v>
      </c>
      <c r="B285" s="47" t="s">
        <v>106</v>
      </c>
      <c r="C285" s="47">
        <v>10531</v>
      </c>
      <c r="D285" s="47">
        <v>110</v>
      </c>
    </row>
    <row r="286" spans="1:4" x14ac:dyDescent="0.15">
      <c r="A286" s="48">
        <v>35559</v>
      </c>
      <c r="B286" s="47" t="s">
        <v>71</v>
      </c>
      <c r="C286" s="47">
        <v>10532</v>
      </c>
      <c r="D286" s="47">
        <v>796.35</v>
      </c>
    </row>
    <row r="287" spans="1:4" x14ac:dyDescent="0.15">
      <c r="A287" s="48">
        <v>35562</v>
      </c>
      <c r="B287" s="47" t="s">
        <v>74</v>
      </c>
      <c r="C287" s="47">
        <v>10533</v>
      </c>
      <c r="D287" s="47">
        <v>2222.1999989122151</v>
      </c>
    </row>
    <row r="288" spans="1:4" x14ac:dyDescent="0.15">
      <c r="A288" s="48">
        <v>35562</v>
      </c>
      <c r="B288" s="47" t="s">
        <v>56</v>
      </c>
      <c r="C288" s="47">
        <v>10534</v>
      </c>
      <c r="D288" s="47">
        <v>465.69999922960994</v>
      </c>
    </row>
    <row r="289" spans="1:4" x14ac:dyDescent="0.15">
      <c r="A289" s="48">
        <v>35563</v>
      </c>
      <c r="B289" s="47" t="s">
        <v>125</v>
      </c>
      <c r="C289" s="47">
        <v>10535</v>
      </c>
      <c r="D289" s="47">
        <v>1940.8499967865646</v>
      </c>
    </row>
    <row r="290" spans="1:4" x14ac:dyDescent="0.15">
      <c r="A290" s="48">
        <v>35564</v>
      </c>
      <c r="B290" s="47" t="s">
        <v>56</v>
      </c>
      <c r="C290" s="47">
        <v>10536</v>
      </c>
      <c r="D290" s="47">
        <v>1645</v>
      </c>
    </row>
    <row r="291" spans="1:4" x14ac:dyDescent="0.15">
      <c r="A291" s="48">
        <v>35564</v>
      </c>
      <c r="B291" s="47" t="s">
        <v>51</v>
      </c>
      <c r="C291" s="47">
        <v>10537</v>
      </c>
      <c r="D291" s="47">
        <v>1823.8</v>
      </c>
    </row>
    <row r="292" spans="1:4" x14ac:dyDescent="0.15">
      <c r="A292" s="48">
        <v>35565</v>
      </c>
      <c r="B292" s="47" t="s">
        <v>92</v>
      </c>
      <c r="C292" s="47">
        <v>10538</v>
      </c>
      <c r="D292" s="47">
        <v>139.80000000000001</v>
      </c>
    </row>
    <row r="293" spans="1:4" x14ac:dyDescent="0.15">
      <c r="A293" s="48">
        <v>35566</v>
      </c>
      <c r="B293" s="47" t="s">
        <v>92</v>
      </c>
      <c r="C293" s="47">
        <v>10539</v>
      </c>
      <c r="D293" s="47">
        <v>355.5</v>
      </c>
    </row>
    <row r="294" spans="1:4" x14ac:dyDescent="0.15">
      <c r="A294" s="48">
        <v>35569</v>
      </c>
      <c r="B294" s="47" t="s">
        <v>93</v>
      </c>
      <c r="C294" s="47">
        <v>10540</v>
      </c>
      <c r="D294" s="47">
        <v>10191.700000000001</v>
      </c>
    </row>
    <row r="295" spans="1:4" x14ac:dyDescent="0.15">
      <c r="A295" s="48">
        <v>35569</v>
      </c>
      <c r="B295" s="47" t="s">
        <v>75</v>
      </c>
      <c r="C295" s="47">
        <v>10541</v>
      </c>
      <c r="D295" s="47">
        <v>1946.5199967771769</v>
      </c>
    </row>
    <row r="296" spans="1:4" x14ac:dyDescent="0.15">
      <c r="A296" s="48">
        <v>35570</v>
      </c>
      <c r="B296" s="47" t="s">
        <v>89</v>
      </c>
      <c r="C296" s="47">
        <v>10542</v>
      </c>
      <c r="D296" s="47">
        <v>469.10999963209031</v>
      </c>
    </row>
    <row r="297" spans="1:4" x14ac:dyDescent="0.15">
      <c r="A297" s="48">
        <v>35571</v>
      </c>
      <c r="B297" s="47" t="s">
        <v>58</v>
      </c>
      <c r="C297" s="47">
        <v>10543</v>
      </c>
      <c r="D297" s="47">
        <v>1504.4999894499779</v>
      </c>
    </row>
    <row r="298" spans="1:4" x14ac:dyDescent="0.15">
      <c r="A298" s="48">
        <v>35571</v>
      </c>
      <c r="B298" s="47" t="s">
        <v>94</v>
      </c>
      <c r="C298" s="47">
        <v>10544</v>
      </c>
      <c r="D298" s="47">
        <v>417.2</v>
      </c>
    </row>
    <row r="299" spans="1:4" x14ac:dyDescent="0.15">
      <c r="A299" s="48">
        <v>35572</v>
      </c>
      <c r="B299" s="47" t="s">
        <v>138</v>
      </c>
      <c r="C299" s="47">
        <v>10545</v>
      </c>
      <c r="D299" s="47">
        <v>210</v>
      </c>
    </row>
    <row r="300" spans="1:4" x14ac:dyDescent="0.15">
      <c r="A300" s="48">
        <v>35573</v>
      </c>
      <c r="B300" s="47" t="s">
        <v>124</v>
      </c>
      <c r="C300" s="47">
        <v>10547</v>
      </c>
      <c r="D300" s="47">
        <v>1792.7999954223633</v>
      </c>
    </row>
    <row r="301" spans="1:4" x14ac:dyDescent="0.15">
      <c r="A301" s="48">
        <v>35573</v>
      </c>
      <c r="B301" s="47" t="s">
        <v>127</v>
      </c>
      <c r="C301" s="47">
        <v>10546</v>
      </c>
      <c r="D301" s="47">
        <v>2812</v>
      </c>
    </row>
    <row r="302" spans="1:4" x14ac:dyDescent="0.15">
      <c r="A302" s="48">
        <v>35576</v>
      </c>
      <c r="B302" s="47" t="s">
        <v>111</v>
      </c>
      <c r="C302" s="47">
        <v>10548</v>
      </c>
      <c r="D302" s="47">
        <v>240.1</v>
      </c>
    </row>
    <row r="303" spans="1:4" x14ac:dyDescent="0.15">
      <c r="A303" s="48">
        <v>35577</v>
      </c>
      <c r="B303" s="47" t="s">
        <v>93</v>
      </c>
      <c r="C303" s="47">
        <v>10549</v>
      </c>
      <c r="D303" s="47">
        <v>3554.2749750763178</v>
      </c>
    </row>
    <row r="304" spans="1:4" x14ac:dyDescent="0.15">
      <c r="A304" s="48">
        <v>35578</v>
      </c>
      <c r="B304" s="47" t="s">
        <v>85</v>
      </c>
      <c r="C304" s="47">
        <v>10550</v>
      </c>
      <c r="D304" s="47">
        <v>683.29999902099371</v>
      </c>
    </row>
    <row r="305" spans="1:4" x14ac:dyDescent="0.15">
      <c r="A305" s="48">
        <v>35578</v>
      </c>
      <c r="B305" s="47" t="s">
        <v>112</v>
      </c>
      <c r="C305" s="47">
        <v>10551</v>
      </c>
      <c r="D305" s="47">
        <v>1677.2999936938286</v>
      </c>
    </row>
    <row r="306" spans="1:4" x14ac:dyDescent="0.15">
      <c r="A306" s="48">
        <v>35579</v>
      </c>
      <c r="B306" s="47" t="s">
        <v>72</v>
      </c>
      <c r="C306" s="47">
        <v>10552</v>
      </c>
      <c r="D306" s="47">
        <v>880.5</v>
      </c>
    </row>
    <row r="307" spans="1:4" x14ac:dyDescent="0.15">
      <c r="A307" s="48">
        <v>35580</v>
      </c>
      <c r="B307" s="47" t="s">
        <v>90</v>
      </c>
      <c r="C307" s="47">
        <v>10553</v>
      </c>
      <c r="D307" s="47">
        <v>1546.3</v>
      </c>
    </row>
    <row r="308" spans="1:4" x14ac:dyDescent="0.15">
      <c r="A308" s="48">
        <v>35580</v>
      </c>
      <c r="B308" s="47" t="s">
        <v>91</v>
      </c>
      <c r="C308" s="47">
        <v>10554</v>
      </c>
      <c r="D308" s="47">
        <v>1728.5249986443669</v>
      </c>
    </row>
    <row r="309" spans="1:4" x14ac:dyDescent="0.15">
      <c r="A309" s="48">
        <v>35583</v>
      </c>
      <c r="B309" s="47" t="s">
        <v>63</v>
      </c>
      <c r="C309" s="47">
        <v>10555</v>
      </c>
      <c r="D309" s="47">
        <v>2944.3999890312552</v>
      </c>
    </row>
    <row r="310" spans="1:4" x14ac:dyDescent="0.15">
      <c r="A310" s="48">
        <v>35584</v>
      </c>
      <c r="B310" s="47" t="s">
        <v>54</v>
      </c>
      <c r="C310" s="47">
        <v>10556</v>
      </c>
      <c r="D310" s="47">
        <v>835.2</v>
      </c>
    </row>
    <row r="311" spans="1:4" x14ac:dyDescent="0.15">
      <c r="A311" s="48">
        <v>35584</v>
      </c>
      <c r="B311" s="47" t="s">
        <v>56</v>
      </c>
      <c r="C311" s="47">
        <v>10557</v>
      </c>
      <c r="D311" s="47">
        <v>1152.5</v>
      </c>
    </row>
    <row r="312" spans="1:4" x14ac:dyDescent="0.15">
      <c r="A312" s="48">
        <v>35585</v>
      </c>
      <c r="B312" s="47" t="s">
        <v>115</v>
      </c>
      <c r="C312" s="47">
        <v>10558</v>
      </c>
      <c r="D312" s="47">
        <v>2142.9</v>
      </c>
    </row>
    <row r="313" spans="1:4" x14ac:dyDescent="0.15">
      <c r="A313" s="48">
        <v>35586</v>
      </c>
      <c r="B313" s="47" t="s">
        <v>129</v>
      </c>
      <c r="C313" s="47">
        <v>10559</v>
      </c>
      <c r="D313" s="47">
        <v>520.40999959185717</v>
      </c>
    </row>
    <row r="314" spans="1:4" x14ac:dyDescent="0.15">
      <c r="A314" s="48">
        <v>35587</v>
      </c>
      <c r="B314" s="47" t="s">
        <v>74</v>
      </c>
      <c r="C314" s="47">
        <v>10561</v>
      </c>
      <c r="D314" s="47">
        <v>2844.5</v>
      </c>
    </row>
    <row r="315" spans="1:4" x14ac:dyDescent="0.15">
      <c r="A315" s="48">
        <v>35587</v>
      </c>
      <c r="B315" s="47" t="s">
        <v>97</v>
      </c>
      <c r="C315" s="47">
        <v>10560</v>
      </c>
      <c r="D315" s="47">
        <v>1072.425</v>
      </c>
    </row>
    <row r="316" spans="1:4" x14ac:dyDescent="0.15">
      <c r="A316" s="48">
        <v>35590</v>
      </c>
      <c r="B316" s="47" t="s">
        <v>67</v>
      </c>
      <c r="C316" s="47">
        <v>10562</v>
      </c>
      <c r="D316" s="47">
        <v>488.69999919086695</v>
      </c>
    </row>
    <row r="317" spans="1:4" x14ac:dyDescent="0.15">
      <c r="A317" s="48">
        <v>35591</v>
      </c>
      <c r="B317" s="47" t="s">
        <v>52</v>
      </c>
      <c r="C317" s="47">
        <v>10564</v>
      </c>
      <c r="D317" s="47">
        <v>1234.0499990321696</v>
      </c>
    </row>
    <row r="318" spans="1:4" x14ac:dyDescent="0.15">
      <c r="A318" s="48">
        <v>35591</v>
      </c>
      <c r="B318" s="47" t="s">
        <v>68</v>
      </c>
      <c r="C318" s="47">
        <v>10563</v>
      </c>
      <c r="D318" s="47">
        <v>965</v>
      </c>
    </row>
    <row r="319" spans="1:4" x14ac:dyDescent="0.15">
      <c r="A319" s="48">
        <v>35592</v>
      </c>
      <c r="B319" s="47" t="s">
        <v>136</v>
      </c>
      <c r="C319" s="47">
        <v>10565</v>
      </c>
      <c r="D319" s="47">
        <v>639.89999894052744</v>
      </c>
    </row>
    <row r="320" spans="1:4" x14ac:dyDescent="0.15">
      <c r="A320" s="48">
        <v>35593</v>
      </c>
      <c r="B320" s="47" t="s">
        <v>129</v>
      </c>
      <c r="C320" s="47">
        <v>10566</v>
      </c>
      <c r="D320" s="47">
        <v>1760.9999889135361</v>
      </c>
    </row>
    <row r="321" spans="1:4" x14ac:dyDescent="0.15">
      <c r="A321" s="48">
        <v>35593</v>
      </c>
      <c r="B321" s="47" t="s">
        <v>66</v>
      </c>
      <c r="C321" s="47">
        <v>10567</v>
      </c>
      <c r="D321" s="47">
        <v>2518.9999912083149</v>
      </c>
    </row>
    <row r="322" spans="1:4" x14ac:dyDescent="0.15">
      <c r="A322" s="48">
        <v>35594</v>
      </c>
      <c r="B322" s="47" t="s">
        <v>119</v>
      </c>
      <c r="C322" s="47">
        <v>10568</v>
      </c>
      <c r="D322" s="47">
        <v>155</v>
      </c>
    </row>
    <row r="323" spans="1:4" x14ac:dyDescent="0.15">
      <c r="A323" s="48">
        <v>35597</v>
      </c>
      <c r="B323" s="47" t="s">
        <v>52</v>
      </c>
      <c r="C323" s="47">
        <v>10569</v>
      </c>
      <c r="D323" s="47">
        <v>889.9999986961484</v>
      </c>
    </row>
    <row r="324" spans="1:4" x14ac:dyDescent="0.15">
      <c r="A324" s="48">
        <v>35598</v>
      </c>
      <c r="B324" s="47" t="s">
        <v>136</v>
      </c>
      <c r="C324" s="47">
        <v>10570</v>
      </c>
      <c r="D324" s="47">
        <v>2465.2499980665743</v>
      </c>
    </row>
    <row r="325" spans="1:4" x14ac:dyDescent="0.15">
      <c r="A325" s="48">
        <v>35598</v>
      </c>
      <c r="B325" s="47" t="s">
        <v>55</v>
      </c>
      <c r="C325" s="47">
        <v>10571</v>
      </c>
      <c r="D325" s="47">
        <v>550.58749613910913</v>
      </c>
    </row>
    <row r="326" spans="1:4" x14ac:dyDescent="0.15">
      <c r="A326" s="48">
        <v>35599</v>
      </c>
      <c r="B326" s="47" t="s">
        <v>120</v>
      </c>
      <c r="C326" s="47">
        <v>10572</v>
      </c>
      <c r="D326" s="47">
        <v>1501.0849990379065</v>
      </c>
    </row>
    <row r="327" spans="1:4" x14ac:dyDescent="0.15">
      <c r="A327" s="48">
        <v>35600</v>
      </c>
      <c r="B327" s="47" t="s">
        <v>130</v>
      </c>
      <c r="C327" s="47">
        <v>10574</v>
      </c>
      <c r="D327" s="47">
        <v>764.3</v>
      </c>
    </row>
    <row r="328" spans="1:4" x14ac:dyDescent="0.15">
      <c r="A328" s="48">
        <v>35600</v>
      </c>
      <c r="B328" s="47" t="s">
        <v>125</v>
      </c>
      <c r="C328" s="47">
        <v>10573</v>
      </c>
      <c r="D328" s="47">
        <v>2082</v>
      </c>
    </row>
    <row r="329" spans="1:4" x14ac:dyDescent="0.15">
      <c r="A329" s="48">
        <v>35601</v>
      </c>
      <c r="B329" s="47" t="s">
        <v>116</v>
      </c>
      <c r="C329" s="47">
        <v>10575</v>
      </c>
      <c r="D329" s="47">
        <v>2147.4</v>
      </c>
    </row>
    <row r="330" spans="1:4" x14ac:dyDescent="0.15">
      <c r="A330" s="48">
        <v>35604</v>
      </c>
      <c r="B330" s="47" t="s">
        <v>130</v>
      </c>
      <c r="C330" s="47">
        <v>10577</v>
      </c>
      <c r="D330" s="47">
        <v>569</v>
      </c>
    </row>
    <row r="331" spans="1:4" x14ac:dyDescent="0.15">
      <c r="A331" s="48">
        <v>35604</v>
      </c>
      <c r="B331" s="47" t="s">
        <v>59</v>
      </c>
      <c r="C331" s="47">
        <v>10576</v>
      </c>
      <c r="D331" s="47">
        <v>838.45</v>
      </c>
    </row>
    <row r="332" spans="1:4" x14ac:dyDescent="0.15">
      <c r="A332" s="48">
        <v>35605</v>
      </c>
      <c r="B332" s="47" t="s">
        <v>92</v>
      </c>
      <c r="C332" s="47">
        <v>10578</v>
      </c>
      <c r="D332" s="47">
        <v>477</v>
      </c>
    </row>
    <row r="333" spans="1:4" x14ac:dyDescent="0.15">
      <c r="A333" s="48">
        <v>35606</v>
      </c>
      <c r="B333" s="47" t="s">
        <v>123</v>
      </c>
      <c r="C333" s="47">
        <v>10579</v>
      </c>
      <c r="D333" s="47">
        <v>317.75</v>
      </c>
    </row>
    <row r="334" spans="1:4" x14ac:dyDescent="0.15">
      <c r="A334" s="48">
        <v>35607</v>
      </c>
      <c r="B334" s="47" t="s">
        <v>135</v>
      </c>
      <c r="C334" s="47">
        <v>10581</v>
      </c>
      <c r="D334" s="47">
        <v>309.99999884516001</v>
      </c>
    </row>
    <row r="335" spans="1:4" x14ac:dyDescent="0.15">
      <c r="A335" s="48">
        <v>35607</v>
      </c>
      <c r="B335" s="47" t="s">
        <v>91</v>
      </c>
      <c r="C335" s="47">
        <v>10580</v>
      </c>
      <c r="D335" s="47">
        <v>1013.7449992049485</v>
      </c>
    </row>
    <row r="336" spans="1:4" x14ac:dyDescent="0.15">
      <c r="A336" s="48">
        <v>35608</v>
      </c>
      <c r="B336" s="47" t="s">
        <v>69</v>
      </c>
      <c r="C336" s="47">
        <v>10582</v>
      </c>
      <c r="D336" s="47">
        <v>330</v>
      </c>
    </row>
    <row r="337" spans="1:4" x14ac:dyDescent="0.15">
      <c r="A337" s="48">
        <v>35611</v>
      </c>
      <c r="B337" s="47" t="s">
        <v>129</v>
      </c>
      <c r="C337" s="47">
        <v>10584</v>
      </c>
      <c r="D337" s="47">
        <v>593.74999953433871</v>
      </c>
    </row>
    <row r="338" spans="1:4" x14ac:dyDescent="0.15">
      <c r="A338" s="48">
        <v>35611</v>
      </c>
      <c r="B338" s="47" t="s">
        <v>90</v>
      </c>
      <c r="C338" s="47">
        <v>10583</v>
      </c>
      <c r="D338" s="47">
        <v>2237.4999929904939</v>
      </c>
    </row>
    <row r="339" spans="1:4" x14ac:dyDescent="0.15">
      <c r="A339" s="48">
        <v>35612</v>
      </c>
      <c r="B339" s="47" t="s">
        <v>117</v>
      </c>
      <c r="C339" s="47">
        <v>10585</v>
      </c>
      <c r="D339" s="47">
        <v>142.5</v>
      </c>
    </row>
    <row r="340" spans="1:4" x14ac:dyDescent="0.15">
      <c r="A340" s="48">
        <v>35613</v>
      </c>
      <c r="B340" s="47" t="s">
        <v>67</v>
      </c>
      <c r="C340" s="47">
        <v>10586</v>
      </c>
      <c r="D340" s="47">
        <v>23.799999833106995</v>
      </c>
    </row>
    <row r="341" spans="1:4" x14ac:dyDescent="0.15">
      <c r="A341" s="48">
        <v>35613</v>
      </c>
      <c r="B341" s="47" t="s">
        <v>105</v>
      </c>
      <c r="C341" s="47">
        <v>10587</v>
      </c>
      <c r="D341" s="47">
        <v>807.38</v>
      </c>
    </row>
    <row r="342" spans="1:4" x14ac:dyDescent="0.15">
      <c r="A342" s="48">
        <v>35614</v>
      </c>
      <c r="B342" s="47" t="s">
        <v>93</v>
      </c>
      <c r="C342" s="47">
        <v>10588</v>
      </c>
      <c r="D342" s="47">
        <v>3119.9999883770943</v>
      </c>
    </row>
    <row r="343" spans="1:4" x14ac:dyDescent="0.15">
      <c r="A343" s="48">
        <v>35615</v>
      </c>
      <c r="B343" s="47" t="s">
        <v>64</v>
      </c>
      <c r="C343" s="47">
        <v>10589</v>
      </c>
      <c r="D343" s="47">
        <v>72</v>
      </c>
    </row>
    <row r="344" spans="1:4" x14ac:dyDescent="0.15">
      <c r="A344" s="48">
        <v>35618</v>
      </c>
      <c r="B344" s="47" t="s">
        <v>136</v>
      </c>
      <c r="C344" s="47">
        <v>10590</v>
      </c>
      <c r="D344" s="47">
        <v>1100.9999994188547</v>
      </c>
    </row>
    <row r="345" spans="1:4" x14ac:dyDescent="0.15">
      <c r="A345" s="48">
        <v>35618</v>
      </c>
      <c r="B345" s="47" t="s">
        <v>103</v>
      </c>
      <c r="C345" s="47">
        <v>10591</v>
      </c>
      <c r="D345" s="47">
        <v>812.5</v>
      </c>
    </row>
    <row r="346" spans="1:4" x14ac:dyDescent="0.15">
      <c r="A346" s="48">
        <v>35619</v>
      </c>
      <c r="B346" s="47" t="s">
        <v>56</v>
      </c>
      <c r="C346" s="47">
        <v>10592</v>
      </c>
      <c r="D346" s="47">
        <v>516.46749959494923</v>
      </c>
    </row>
    <row r="347" spans="1:4" x14ac:dyDescent="0.15">
      <c r="A347" s="48">
        <v>35620</v>
      </c>
      <c r="B347" s="47" t="s">
        <v>88</v>
      </c>
      <c r="C347" s="47">
        <v>10594</v>
      </c>
      <c r="D347" s="47">
        <v>565.5</v>
      </c>
    </row>
    <row r="348" spans="1:4" x14ac:dyDescent="0.15">
      <c r="A348" s="48">
        <v>35620</v>
      </c>
      <c r="B348" s="47" t="s">
        <v>56</v>
      </c>
      <c r="C348" s="47">
        <v>10593</v>
      </c>
      <c r="D348" s="47">
        <v>1994.399992570281</v>
      </c>
    </row>
    <row r="349" spans="1:4" x14ac:dyDescent="0.15">
      <c r="A349" s="48">
        <v>35621</v>
      </c>
      <c r="B349" s="47" t="s">
        <v>55</v>
      </c>
      <c r="C349" s="47">
        <v>10595</v>
      </c>
      <c r="D349" s="47">
        <v>4725</v>
      </c>
    </row>
    <row r="350" spans="1:4" x14ac:dyDescent="0.15">
      <c r="A350" s="48">
        <v>35622</v>
      </c>
      <c r="B350" s="47" t="s">
        <v>76</v>
      </c>
      <c r="C350" s="47">
        <v>10597</v>
      </c>
      <c r="D350" s="47">
        <v>718.07999877780674</v>
      </c>
    </row>
    <row r="351" spans="1:4" x14ac:dyDescent="0.15">
      <c r="A351" s="48">
        <v>35622</v>
      </c>
      <c r="B351" s="47" t="s">
        <v>62</v>
      </c>
      <c r="C351" s="47">
        <v>10596</v>
      </c>
      <c r="D351" s="47">
        <v>1180.8799956008793</v>
      </c>
    </row>
    <row r="352" spans="1:4" x14ac:dyDescent="0.15">
      <c r="A352" s="48">
        <v>35625</v>
      </c>
      <c r="B352" s="47" t="s">
        <v>52</v>
      </c>
      <c r="C352" s="47">
        <v>10598</v>
      </c>
      <c r="D352" s="47">
        <v>2388.5</v>
      </c>
    </row>
    <row r="353" spans="1:4" x14ac:dyDescent="0.15">
      <c r="A353" s="48">
        <v>35626</v>
      </c>
      <c r="B353" s="47" t="s">
        <v>92</v>
      </c>
      <c r="C353" s="47">
        <v>10599</v>
      </c>
      <c r="D353" s="47">
        <v>493</v>
      </c>
    </row>
    <row r="354" spans="1:4" x14ac:dyDescent="0.15">
      <c r="A354" s="48">
        <v>35627</v>
      </c>
      <c r="B354" s="47" t="s">
        <v>137</v>
      </c>
      <c r="C354" s="47">
        <v>10600</v>
      </c>
      <c r="D354" s="47">
        <v>479.8</v>
      </c>
    </row>
    <row r="355" spans="1:4" x14ac:dyDescent="0.15">
      <c r="A355" s="48">
        <v>35627</v>
      </c>
      <c r="B355" s="47" t="s">
        <v>72</v>
      </c>
      <c r="C355" s="47">
        <v>10601</v>
      </c>
      <c r="D355" s="47">
        <v>2285</v>
      </c>
    </row>
    <row r="356" spans="1:4" x14ac:dyDescent="0.15">
      <c r="A356" s="48">
        <v>35628</v>
      </c>
      <c r="B356" s="47" t="s">
        <v>103</v>
      </c>
      <c r="C356" s="47">
        <v>10602</v>
      </c>
      <c r="D356" s="47">
        <v>48.75</v>
      </c>
    </row>
    <row r="357" spans="1:4" x14ac:dyDescent="0.15">
      <c r="A357" s="48">
        <v>35629</v>
      </c>
      <c r="B357" s="47" t="s">
        <v>63</v>
      </c>
      <c r="C357" s="47">
        <v>10603</v>
      </c>
      <c r="D357" s="47">
        <v>1482.999999627471</v>
      </c>
    </row>
    <row r="358" spans="1:4" x14ac:dyDescent="0.15">
      <c r="A358" s="48">
        <v>35629</v>
      </c>
      <c r="B358" s="47" t="s">
        <v>112</v>
      </c>
      <c r="C358" s="47">
        <v>10604</v>
      </c>
      <c r="D358" s="47">
        <v>230.84999961778522</v>
      </c>
    </row>
    <row r="359" spans="1:4" x14ac:dyDescent="0.15">
      <c r="A359" s="48">
        <v>35632</v>
      </c>
      <c r="B359" s="47" t="s">
        <v>136</v>
      </c>
      <c r="C359" s="47">
        <v>10605</v>
      </c>
      <c r="D359" s="47">
        <v>4109.6999967768788</v>
      </c>
    </row>
    <row r="360" spans="1:4" x14ac:dyDescent="0.15">
      <c r="A360" s="48">
        <v>35633</v>
      </c>
      <c r="B360" s="47" t="s">
        <v>63</v>
      </c>
      <c r="C360" s="47">
        <v>10607</v>
      </c>
      <c r="D360" s="47">
        <v>6475.4000000000005</v>
      </c>
    </row>
    <row r="361" spans="1:4" x14ac:dyDescent="0.15">
      <c r="A361" s="48">
        <v>35633</v>
      </c>
      <c r="B361" s="47" t="s">
        <v>128</v>
      </c>
      <c r="C361" s="47">
        <v>10606</v>
      </c>
      <c r="D361" s="47">
        <v>1130.3999957889318</v>
      </c>
    </row>
    <row r="362" spans="1:4" x14ac:dyDescent="0.15">
      <c r="A362" s="48">
        <v>35634</v>
      </c>
      <c r="B362" s="47" t="s">
        <v>111</v>
      </c>
      <c r="C362" s="47">
        <v>10608</v>
      </c>
      <c r="D362" s="47">
        <v>1064</v>
      </c>
    </row>
    <row r="363" spans="1:4" x14ac:dyDescent="0.15">
      <c r="A363" s="48">
        <v>35635</v>
      </c>
      <c r="B363" s="47" t="s">
        <v>122</v>
      </c>
      <c r="C363" s="47">
        <v>10609</v>
      </c>
      <c r="D363" s="47">
        <v>424</v>
      </c>
    </row>
    <row r="364" spans="1:4" x14ac:dyDescent="0.15">
      <c r="A364" s="48">
        <v>35636</v>
      </c>
      <c r="B364" s="47" t="s">
        <v>77</v>
      </c>
      <c r="C364" s="47">
        <v>10610</v>
      </c>
      <c r="D364" s="47">
        <v>299.25</v>
      </c>
    </row>
    <row r="365" spans="1:4" x14ac:dyDescent="0.15">
      <c r="A365" s="48">
        <v>35636</v>
      </c>
      <c r="B365" s="47" t="s">
        <v>81</v>
      </c>
      <c r="C365" s="47">
        <v>10611</v>
      </c>
      <c r="D365" s="47">
        <v>808</v>
      </c>
    </row>
    <row r="366" spans="1:4" x14ac:dyDescent="0.15">
      <c r="A366" s="48">
        <v>35639</v>
      </c>
      <c r="B366" s="47" t="s">
        <v>63</v>
      </c>
      <c r="C366" s="47">
        <v>10612</v>
      </c>
      <c r="D366" s="47">
        <v>6375</v>
      </c>
    </row>
    <row r="367" spans="1:4" x14ac:dyDescent="0.15">
      <c r="A367" s="48">
        <v>35640</v>
      </c>
      <c r="B367" s="47" t="s">
        <v>69</v>
      </c>
      <c r="C367" s="47">
        <v>10614</v>
      </c>
      <c r="D367" s="47">
        <v>464</v>
      </c>
    </row>
    <row r="368" spans="1:4" x14ac:dyDescent="0.15">
      <c r="A368" s="48">
        <v>35640</v>
      </c>
      <c r="B368" s="47" t="s">
        <v>72</v>
      </c>
      <c r="C368" s="47">
        <v>10613</v>
      </c>
      <c r="D368" s="47">
        <v>353.19999992847443</v>
      </c>
    </row>
    <row r="369" spans="1:4" x14ac:dyDescent="0.15">
      <c r="A369" s="48">
        <v>35641</v>
      </c>
      <c r="B369" s="47" t="s">
        <v>100</v>
      </c>
      <c r="C369" s="47">
        <v>10615</v>
      </c>
      <c r="D369" s="47">
        <v>120</v>
      </c>
    </row>
    <row r="370" spans="1:4" x14ac:dyDescent="0.15">
      <c r="A370" s="48">
        <v>35642</v>
      </c>
      <c r="B370" s="47" t="s">
        <v>64</v>
      </c>
      <c r="C370" s="47">
        <v>10616</v>
      </c>
      <c r="D370" s="47">
        <v>4806.9999966472387</v>
      </c>
    </row>
    <row r="371" spans="1:4" x14ac:dyDescent="0.15">
      <c r="A371" s="48">
        <v>35642</v>
      </c>
      <c r="B371" s="47" t="s">
        <v>64</v>
      </c>
      <c r="C371" s="47">
        <v>10617</v>
      </c>
      <c r="D371" s="47">
        <v>1402.4999901652336</v>
      </c>
    </row>
    <row r="372" spans="1:4" x14ac:dyDescent="0.15">
      <c r="A372" s="48">
        <v>35643</v>
      </c>
      <c r="B372" s="47" t="s">
        <v>136</v>
      </c>
      <c r="C372" s="47">
        <v>10618</v>
      </c>
      <c r="D372" s="47">
        <v>2697.5</v>
      </c>
    </row>
    <row r="373" spans="1:4" x14ac:dyDescent="0.15">
      <c r="A373" s="48">
        <v>35646</v>
      </c>
      <c r="B373" s="47" t="s">
        <v>136</v>
      </c>
      <c r="C373" s="47">
        <v>10619</v>
      </c>
      <c r="D373" s="47">
        <v>1260</v>
      </c>
    </row>
    <row r="374" spans="1:4" x14ac:dyDescent="0.15">
      <c r="A374" s="48">
        <v>35647</v>
      </c>
      <c r="B374" s="47" t="s">
        <v>131</v>
      </c>
      <c r="C374" s="47">
        <v>10620</v>
      </c>
      <c r="D374" s="47">
        <v>57.5</v>
      </c>
    </row>
    <row r="375" spans="1:4" x14ac:dyDescent="0.15">
      <c r="A375" s="48">
        <v>35647</v>
      </c>
      <c r="B375" s="47" t="s">
        <v>118</v>
      </c>
      <c r="C375" s="47">
        <v>10621</v>
      </c>
      <c r="D375" s="47">
        <v>758.5</v>
      </c>
    </row>
    <row r="376" spans="1:4" x14ac:dyDescent="0.15">
      <c r="A376" s="48">
        <v>35648</v>
      </c>
      <c r="B376" s="47" t="s">
        <v>68</v>
      </c>
      <c r="C376" s="47">
        <v>10622</v>
      </c>
      <c r="D376" s="47">
        <v>559.99999932944775</v>
      </c>
    </row>
    <row r="377" spans="1:4" x14ac:dyDescent="0.15">
      <c r="A377" s="48">
        <v>35649</v>
      </c>
      <c r="B377" s="47" t="s">
        <v>102</v>
      </c>
      <c r="C377" s="47">
        <v>10624</v>
      </c>
      <c r="D377" s="47">
        <v>1393.24</v>
      </c>
    </row>
    <row r="378" spans="1:4" x14ac:dyDescent="0.15">
      <c r="A378" s="48">
        <v>35649</v>
      </c>
      <c r="B378" s="47" t="s">
        <v>97</v>
      </c>
      <c r="C378" s="47">
        <v>10623</v>
      </c>
      <c r="D378" s="47">
        <v>1336.9499986171722</v>
      </c>
    </row>
    <row r="379" spans="1:4" x14ac:dyDescent="0.15">
      <c r="A379" s="48">
        <v>35650</v>
      </c>
      <c r="B379" s="47" t="s">
        <v>121</v>
      </c>
      <c r="C379" s="47">
        <v>10625</v>
      </c>
      <c r="D379" s="47">
        <v>479.75</v>
      </c>
    </row>
    <row r="380" spans="1:4" x14ac:dyDescent="0.15">
      <c r="A380" s="48">
        <v>35653</v>
      </c>
      <c r="B380" s="47" t="s">
        <v>63</v>
      </c>
      <c r="C380" s="47">
        <v>10627</v>
      </c>
      <c r="D380" s="47">
        <v>1185.7499968707561</v>
      </c>
    </row>
    <row r="381" spans="1:4" x14ac:dyDescent="0.15">
      <c r="A381" s="48">
        <v>35653</v>
      </c>
      <c r="B381" s="47" t="s">
        <v>120</v>
      </c>
      <c r="C381" s="47">
        <v>10626</v>
      </c>
      <c r="D381" s="47">
        <v>1503.6</v>
      </c>
    </row>
    <row r="382" spans="1:4" x14ac:dyDescent="0.15">
      <c r="A382" s="48">
        <v>35654</v>
      </c>
      <c r="B382" s="47" t="s">
        <v>129</v>
      </c>
      <c r="C382" s="47">
        <v>10628</v>
      </c>
      <c r="D382" s="47">
        <v>450</v>
      </c>
    </row>
    <row r="383" spans="1:4" x14ac:dyDescent="0.15">
      <c r="A383" s="48">
        <v>35654</v>
      </c>
      <c r="B383" s="47" t="s">
        <v>85</v>
      </c>
      <c r="C383" s="47">
        <v>10629</v>
      </c>
      <c r="D383" s="47">
        <v>2775.05</v>
      </c>
    </row>
    <row r="384" spans="1:4" x14ac:dyDescent="0.15">
      <c r="A384" s="48">
        <v>35655</v>
      </c>
      <c r="B384" s="47" t="s">
        <v>89</v>
      </c>
      <c r="C384" s="47">
        <v>10630</v>
      </c>
      <c r="D384" s="47">
        <v>903.59999978542328</v>
      </c>
    </row>
    <row r="385" spans="1:4" x14ac:dyDescent="0.15">
      <c r="A385" s="48">
        <v>35656</v>
      </c>
      <c r="B385" s="47" t="s">
        <v>77</v>
      </c>
      <c r="C385" s="47">
        <v>10631</v>
      </c>
      <c r="D385" s="47">
        <v>55.799999907612801</v>
      </c>
    </row>
    <row r="386" spans="1:4" x14ac:dyDescent="0.15">
      <c r="A386" s="48">
        <v>35656</v>
      </c>
      <c r="B386" s="47" t="s">
        <v>80</v>
      </c>
      <c r="C386" s="47">
        <v>10632</v>
      </c>
      <c r="D386" s="47">
        <v>588.999999538064</v>
      </c>
    </row>
    <row r="387" spans="1:4" x14ac:dyDescent="0.15">
      <c r="A387" s="48">
        <v>35657</v>
      </c>
      <c r="B387" s="47" t="s">
        <v>132</v>
      </c>
      <c r="C387" s="47">
        <v>10634</v>
      </c>
      <c r="D387" s="47">
        <v>4985.5</v>
      </c>
    </row>
    <row r="388" spans="1:4" x14ac:dyDescent="0.15">
      <c r="A388" s="48">
        <v>35657</v>
      </c>
      <c r="B388" s="47" t="s">
        <v>55</v>
      </c>
      <c r="C388" s="47">
        <v>10633</v>
      </c>
      <c r="D388" s="47">
        <v>5510.592461358011</v>
      </c>
    </row>
    <row r="389" spans="1:4" x14ac:dyDescent="0.15">
      <c r="A389" s="48">
        <v>35660</v>
      </c>
      <c r="B389" s="47" t="s">
        <v>113</v>
      </c>
      <c r="C389" s="47">
        <v>10635</v>
      </c>
      <c r="D389" s="47">
        <v>1326.2249991949648</v>
      </c>
    </row>
    <row r="390" spans="1:4" x14ac:dyDescent="0.15">
      <c r="A390" s="48">
        <v>35661</v>
      </c>
      <c r="B390" s="47" t="s">
        <v>61</v>
      </c>
      <c r="C390" s="47">
        <v>10637</v>
      </c>
      <c r="D390" s="47">
        <v>2761.9374979985878</v>
      </c>
    </row>
    <row r="391" spans="1:4" x14ac:dyDescent="0.15">
      <c r="A391" s="48">
        <v>35661</v>
      </c>
      <c r="B391" s="47" t="s">
        <v>90</v>
      </c>
      <c r="C391" s="47">
        <v>10636</v>
      </c>
      <c r="D391" s="47">
        <v>629.5</v>
      </c>
    </row>
    <row r="392" spans="1:4" x14ac:dyDescent="0.15">
      <c r="A392" s="48">
        <v>35662</v>
      </c>
      <c r="B392" s="47" t="s">
        <v>87</v>
      </c>
      <c r="C392" s="47">
        <v>10638</v>
      </c>
      <c r="D392" s="47">
        <v>2720.05</v>
      </c>
    </row>
    <row r="393" spans="1:4" x14ac:dyDescent="0.15">
      <c r="A393" s="48">
        <v>35662</v>
      </c>
      <c r="B393" s="47" t="s">
        <v>96</v>
      </c>
      <c r="C393" s="47">
        <v>10639</v>
      </c>
      <c r="D393" s="47">
        <v>500</v>
      </c>
    </row>
    <row r="394" spans="1:4" x14ac:dyDescent="0.15">
      <c r="A394" s="48">
        <v>35663</v>
      </c>
      <c r="B394" s="47" t="s">
        <v>80</v>
      </c>
      <c r="C394" s="47">
        <v>10640</v>
      </c>
      <c r="D394" s="47">
        <v>708.75</v>
      </c>
    </row>
    <row r="395" spans="1:4" x14ac:dyDescent="0.15">
      <c r="A395" s="48">
        <v>35664</v>
      </c>
      <c r="B395" s="47" t="s">
        <v>54</v>
      </c>
      <c r="C395" s="47">
        <v>10642</v>
      </c>
      <c r="D395" s="47">
        <v>695.99999740719795</v>
      </c>
    </row>
    <row r="396" spans="1:4" x14ac:dyDescent="0.15">
      <c r="A396" s="48">
        <v>35664</v>
      </c>
      <c r="B396" s="47" t="s">
        <v>72</v>
      </c>
      <c r="C396" s="47">
        <v>10641</v>
      </c>
      <c r="D396" s="47">
        <v>2054</v>
      </c>
    </row>
    <row r="397" spans="1:4" x14ac:dyDescent="0.15">
      <c r="A397" s="48">
        <v>35667</v>
      </c>
      <c r="B397" s="47" t="s">
        <v>117</v>
      </c>
      <c r="C397" s="47">
        <v>10644</v>
      </c>
      <c r="D397" s="47">
        <v>1371.7999992519617</v>
      </c>
    </row>
    <row r="398" spans="1:4" x14ac:dyDescent="0.15">
      <c r="A398" s="48">
        <v>35667</v>
      </c>
      <c r="B398" s="47" t="s">
        <v>108</v>
      </c>
      <c r="C398" s="47">
        <v>10643</v>
      </c>
      <c r="D398" s="47">
        <v>814.5</v>
      </c>
    </row>
    <row r="399" spans="1:4" x14ac:dyDescent="0.15">
      <c r="A399" s="48">
        <v>35668</v>
      </c>
      <c r="B399" s="47" t="s">
        <v>75</v>
      </c>
      <c r="C399" s="47">
        <v>10645</v>
      </c>
      <c r="D399" s="47">
        <v>1535</v>
      </c>
    </row>
    <row r="400" spans="1:4" x14ac:dyDescent="0.15">
      <c r="A400" s="48">
        <v>35669</v>
      </c>
      <c r="B400" s="47" t="s">
        <v>105</v>
      </c>
      <c r="C400" s="47">
        <v>10647</v>
      </c>
      <c r="D400" s="47">
        <v>636</v>
      </c>
    </row>
    <row r="401" spans="1:4" x14ac:dyDescent="0.15">
      <c r="A401" s="48">
        <v>35669</v>
      </c>
      <c r="B401" s="47" t="s">
        <v>66</v>
      </c>
      <c r="C401" s="47">
        <v>10646</v>
      </c>
      <c r="D401" s="47">
        <v>1446</v>
      </c>
    </row>
    <row r="402" spans="1:4" x14ac:dyDescent="0.15">
      <c r="A402" s="48">
        <v>35670</v>
      </c>
      <c r="B402" s="47" t="s">
        <v>68</v>
      </c>
      <c r="C402" s="47">
        <v>10648</v>
      </c>
      <c r="D402" s="47">
        <v>372.37499959766865</v>
      </c>
    </row>
    <row r="403" spans="1:4" x14ac:dyDescent="0.15">
      <c r="A403" s="48">
        <v>35670</v>
      </c>
      <c r="B403" s="47" t="s">
        <v>101</v>
      </c>
      <c r="C403" s="47">
        <v>10649</v>
      </c>
      <c r="D403" s="47">
        <v>1434</v>
      </c>
    </row>
    <row r="404" spans="1:4" x14ac:dyDescent="0.15">
      <c r="A404" s="48">
        <v>35671</v>
      </c>
      <c r="B404" s="47" t="s">
        <v>135</v>
      </c>
      <c r="C404" s="47">
        <v>10650</v>
      </c>
      <c r="D404" s="47">
        <v>1779.1999993890524</v>
      </c>
    </row>
    <row r="405" spans="1:4" x14ac:dyDescent="0.15">
      <c r="A405" s="48">
        <v>35674</v>
      </c>
      <c r="B405" s="47" t="s">
        <v>80</v>
      </c>
      <c r="C405" s="47">
        <v>10651</v>
      </c>
      <c r="D405" s="47">
        <v>397.8</v>
      </c>
    </row>
    <row r="406" spans="1:4" x14ac:dyDescent="0.15">
      <c r="A406" s="48">
        <v>35674</v>
      </c>
      <c r="B406" s="47" t="s">
        <v>78</v>
      </c>
      <c r="C406" s="47">
        <v>10652</v>
      </c>
      <c r="D406" s="47">
        <v>318.83499999999998</v>
      </c>
    </row>
    <row r="407" spans="1:4" x14ac:dyDescent="0.15">
      <c r="A407" s="48">
        <v>35675</v>
      </c>
      <c r="B407" s="47" t="s">
        <v>120</v>
      </c>
      <c r="C407" s="47">
        <v>10654</v>
      </c>
      <c r="D407" s="47">
        <v>601.82999900355935</v>
      </c>
    </row>
    <row r="408" spans="1:4" x14ac:dyDescent="0.15">
      <c r="A408" s="48">
        <v>35675</v>
      </c>
      <c r="B408" s="47" t="s">
        <v>97</v>
      </c>
      <c r="C408" s="47">
        <v>10653</v>
      </c>
      <c r="D408" s="47">
        <v>1083.1499982066453</v>
      </c>
    </row>
    <row r="409" spans="1:4" x14ac:dyDescent="0.15">
      <c r="A409" s="48">
        <v>35676</v>
      </c>
      <c r="B409" s="47" t="s">
        <v>67</v>
      </c>
      <c r="C409" s="47">
        <v>10655</v>
      </c>
      <c r="D409" s="47">
        <v>154.39999942481518</v>
      </c>
    </row>
    <row r="410" spans="1:4" x14ac:dyDescent="0.15">
      <c r="A410" s="48">
        <v>35677</v>
      </c>
      <c r="B410" s="47" t="s">
        <v>63</v>
      </c>
      <c r="C410" s="47">
        <v>10657</v>
      </c>
      <c r="D410" s="47">
        <v>4371.6000000000004</v>
      </c>
    </row>
    <row r="411" spans="1:4" x14ac:dyDescent="0.15">
      <c r="A411" s="48">
        <v>35677</v>
      </c>
      <c r="B411" s="47" t="s">
        <v>64</v>
      </c>
      <c r="C411" s="47">
        <v>10656</v>
      </c>
      <c r="D411" s="47">
        <v>604.21499899961054</v>
      </c>
    </row>
    <row r="412" spans="1:4" x14ac:dyDescent="0.15">
      <c r="A412" s="48">
        <v>35678</v>
      </c>
      <c r="B412" s="47" t="s">
        <v>93</v>
      </c>
      <c r="C412" s="47">
        <v>10658</v>
      </c>
      <c r="D412" s="47">
        <v>4464.5999969691038</v>
      </c>
    </row>
    <row r="413" spans="1:4" x14ac:dyDescent="0.15">
      <c r="A413" s="48">
        <v>35678</v>
      </c>
      <c r="B413" s="47" t="s">
        <v>61</v>
      </c>
      <c r="C413" s="47">
        <v>10659</v>
      </c>
      <c r="D413" s="47">
        <v>1227.019999037683</v>
      </c>
    </row>
    <row r="414" spans="1:4" x14ac:dyDescent="0.15">
      <c r="A414" s="48">
        <v>35681</v>
      </c>
      <c r="B414" s="47" t="s">
        <v>137</v>
      </c>
      <c r="C414" s="47">
        <v>10660</v>
      </c>
      <c r="D414" s="47">
        <v>1701</v>
      </c>
    </row>
    <row r="415" spans="1:4" x14ac:dyDescent="0.15">
      <c r="A415" s="48">
        <v>35682</v>
      </c>
      <c r="B415" s="47" t="s">
        <v>66</v>
      </c>
      <c r="C415" s="47">
        <v>10661</v>
      </c>
      <c r="D415" s="47">
        <v>562.59999790415168</v>
      </c>
    </row>
    <row r="416" spans="1:4" x14ac:dyDescent="0.15">
      <c r="A416" s="48">
        <v>35682</v>
      </c>
      <c r="B416" s="47" t="s">
        <v>94</v>
      </c>
      <c r="C416" s="47">
        <v>10662</v>
      </c>
      <c r="D416" s="47">
        <v>125</v>
      </c>
    </row>
    <row r="417" spans="1:4" x14ac:dyDescent="0.15">
      <c r="A417" s="48">
        <v>35683</v>
      </c>
      <c r="B417" s="47" t="s">
        <v>112</v>
      </c>
      <c r="C417" s="47">
        <v>10664</v>
      </c>
      <c r="D417" s="47">
        <v>1288.387490965426</v>
      </c>
    </row>
    <row r="418" spans="1:4" x14ac:dyDescent="0.15">
      <c r="A418" s="48">
        <v>35683</v>
      </c>
      <c r="B418" s="47" t="s">
        <v>53</v>
      </c>
      <c r="C418" s="47">
        <v>10663</v>
      </c>
      <c r="D418" s="47">
        <v>1930.399998486042</v>
      </c>
    </row>
    <row r="419" spans="1:4" x14ac:dyDescent="0.15">
      <c r="A419" s="48">
        <v>35684</v>
      </c>
      <c r="B419" s="47" t="s">
        <v>94</v>
      </c>
      <c r="C419" s="47">
        <v>10665</v>
      </c>
      <c r="D419" s="47">
        <v>1295</v>
      </c>
    </row>
    <row r="420" spans="1:4" x14ac:dyDescent="0.15">
      <c r="A420" s="48">
        <v>35685</v>
      </c>
      <c r="B420" s="47" t="s">
        <v>51</v>
      </c>
      <c r="C420" s="47">
        <v>10666</v>
      </c>
      <c r="D420" s="47">
        <v>4666.9399999999996</v>
      </c>
    </row>
    <row r="421" spans="1:4" x14ac:dyDescent="0.15">
      <c r="A421" s="48">
        <v>35685</v>
      </c>
      <c r="B421" s="47" t="s">
        <v>55</v>
      </c>
      <c r="C421" s="47">
        <v>10667</v>
      </c>
      <c r="D421" s="47">
        <v>1536.7999942749739</v>
      </c>
    </row>
    <row r="422" spans="1:4" x14ac:dyDescent="0.15">
      <c r="A422" s="48">
        <v>35688</v>
      </c>
      <c r="B422" s="47" t="s">
        <v>54</v>
      </c>
      <c r="C422" s="47">
        <v>10669</v>
      </c>
      <c r="D422" s="47">
        <v>570</v>
      </c>
    </row>
    <row r="423" spans="1:4" x14ac:dyDescent="0.15">
      <c r="A423" s="48">
        <v>35688</v>
      </c>
      <c r="B423" s="47" t="s">
        <v>80</v>
      </c>
      <c r="C423" s="47">
        <v>10668</v>
      </c>
      <c r="D423" s="47">
        <v>625.27499896474183</v>
      </c>
    </row>
    <row r="424" spans="1:4" x14ac:dyDescent="0.15">
      <c r="A424" s="48">
        <v>35689</v>
      </c>
      <c r="B424" s="47" t="s">
        <v>97</v>
      </c>
      <c r="C424" s="47">
        <v>10670</v>
      </c>
      <c r="D424" s="47">
        <v>2301.75</v>
      </c>
    </row>
    <row r="425" spans="1:4" x14ac:dyDescent="0.15">
      <c r="A425" s="48">
        <v>35690</v>
      </c>
      <c r="B425" s="47" t="s">
        <v>109</v>
      </c>
      <c r="C425" s="47">
        <v>10671</v>
      </c>
      <c r="D425" s="47">
        <v>920.1</v>
      </c>
    </row>
    <row r="426" spans="1:4" x14ac:dyDescent="0.15">
      <c r="A426" s="48">
        <v>35690</v>
      </c>
      <c r="B426" s="47" t="s">
        <v>120</v>
      </c>
      <c r="C426" s="47">
        <v>10672</v>
      </c>
      <c r="D426" s="47">
        <v>3815.249994110316</v>
      </c>
    </row>
    <row r="427" spans="1:4" x14ac:dyDescent="0.15">
      <c r="A427" s="48">
        <v>35691</v>
      </c>
      <c r="B427" s="47" t="s">
        <v>118</v>
      </c>
      <c r="C427" s="47">
        <v>10674</v>
      </c>
      <c r="D427" s="47">
        <v>45</v>
      </c>
    </row>
    <row r="428" spans="1:4" x14ac:dyDescent="0.15">
      <c r="A428" s="48">
        <v>35691</v>
      </c>
      <c r="B428" s="47" t="s">
        <v>100</v>
      </c>
      <c r="C428" s="47">
        <v>10673</v>
      </c>
      <c r="D428" s="47">
        <v>412.35</v>
      </c>
    </row>
    <row r="429" spans="1:4" x14ac:dyDescent="0.15">
      <c r="A429" s="48">
        <v>35692</v>
      </c>
      <c r="B429" s="47" t="s">
        <v>97</v>
      </c>
      <c r="C429" s="47">
        <v>10675</v>
      </c>
      <c r="D429" s="47">
        <v>1423</v>
      </c>
    </row>
    <row r="430" spans="1:4" x14ac:dyDescent="0.15">
      <c r="A430" s="48">
        <v>35695</v>
      </c>
      <c r="B430" s="47" t="s">
        <v>125</v>
      </c>
      <c r="C430" s="47">
        <v>10677</v>
      </c>
      <c r="D430" s="47">
        <v>813.36499429643152</v>
      </c>
    </row>
    <row r="431" spans="1:4" x14ac:dyDescent="0.15">
      <c r="A431" s="48">
        <v>35695</v>
      </c>
      <c r="B431" s="47" t="s">
        <v>59</v>
      </c>
      <c r="C431" s="47">
        <v>10676</v>
      </c>
      <c r="D431" s="47">
        <v>534.85</v>
      </c>
    </row>
    <row r="432" spans="1:4" x14ac:dyDescent="0.15">
      <c r="A432" s="48">
        <v>35696</v>
      </c>
      <c r="B432" s="47" t="s">
        <v>63</v>
      </c>
      <c r="C432" s="47">
        <v>10678</v>
      </c>
      <c r="D432" s="47">
        <v>5256.5</v>
      </c>
    </row>
    <row r="433" spans="1:4" x14ac:dyDescent="0.15">
      <c r="A433" s="48">
        <v>35696</v>
      </c>
      <c r="B433" s="47" t="s">
        <v>129</v>
      </c>
      <c r="C433" s="47">
        <v>10679</v>
      </c>
      <c r="D433" s="47">
        <v>660</v>
      </c>
    </row>
    <row r="434" spans="1:4" x14ac:dyDescent="0.15">
      <c r="A434" s="48">
        <v>35697</v>
      </c>
      <c r="B434" s="47" t="s">
        <v>88</v>
      </c>
      <c r="C434" s="47">
        <v>10680</v>
      </c>
      <c r="D434" s="47">
        <v>1261.875</v>
      </c>
    </row>
    <row r="435" spans="1:4" x14ac:dyDescent="0.15">
      <c r="A435" s="48">
        <v>35698</v>
      </c>
      <c r="B435" s="47" t="s">
        <v>125</v>
      </c>
      <c r="C435" s="47">
        <v>10682</v>
      </c>
      <c r="D435" s="47">
        <v>375.5</v>
      </c>
    </row>
    <row r="436" spans="1:4" x14ac:dyDescent="0.15">
      <c r="A436" s="48">
        <v>35698</v>
      </c>
      <c r="B436" s="47" t="s">
        <v>64</v>
      </c>
      <c r="C436" s="47">
        <v>10681</v>
      </c>
      <c r="D436" s="47">
        <v>1287.399999409914</v>
      </c>
    </row>
    <row r="437" spans="1:4" x14ac:dyDescent="0.15">
      <c r="A437" s="48">
        <v>35699</v>
      </c>
      <c r="B437" s="47" t="s">
        <v>122</v>
      </c>
      <c r="C437" s="47">
        <v>10683</v>
      </c>
      <c r="D437" s="47">
        <v>63</v>
      </c>
    </row>
    <row r="438" spans="1:4" x14ac:dyDescent="0.15">
      <c r="A438" s="48">
        <v>35699</v>
      </c>
      <c r="B438" s="47" t="s">
        <v>91</v>
      </c>
      <c r="C438" s="47">
        <v>10684</v>
      </c>
      <c r="D438" s="47">
        <v>1768</v>
      </c>
    </row>
    <row r="439" spans="1:4" x14ac:dyDescent="0.15">
      <c r="A439" s="48">
        <v>35702</v>
      </c>
      <c r="B439" s="47" t="s">
        <v>78</v>
      </c>
      <c r="C439" s="47">
        <v>10685</v>
      </c>
      <c r="D439" s="47">
        <v>801.1</v>
      </c>
    </row>
    <row r="440" spans="1:4" x14ac:dyDescent="0.15">
      <c r="A440" s="48">
        <v>35703</v>
      </c>
      <c r="B440" s="47" t="s">
        <v>76</v>
      </c>
      <c r="C440" s="47">
        <v>10686</v>
      </c>
      <c r="D440" s="47">
        <v>1404.4499965131283</v>
      </c>
    </row>
    <row r="441" spans="1:4" x14ac:dyDescent="0.15">
      <c r="A441" s="48">
        <v>35703</v>
      </c>
      <c r="B441" s="47" t="s">
        <v>66</v>
      </c>
      <c r="C441" s="47">
        <v>10687</v>
      </c>
      <c r="D441" s="47">
        <v>4960.8999999999996</v>
      </c>
    </row>
    <row r="442" spans="1:4" x14ac:dyDescent="0.15">
      <c r="A442" s="48">
        <v>35704</v>
      </c>
      <c r="B442" s="47" t="s">
        <v>120</v>
      </c>
      <c r="C442" s="47">
        <v>10689</v>
      </c>
      <c r="D442" s="47">
        <v>472.5</v>
      </c>
    </row>
    <row r="443" spans="1:4" x14ac:dyDescent="0.15">
      <c r="A443" s="48">
        <v>35704</v>
      </c>
      <c r="B443" s="47" t="s">
        <v>103</v>
      </c>
      <c r="C443" s="47">
        <v>10688</v>
      </c>
      <c r="D443" s="47">
        <v>3160.5999950915575</v>
      </c>
    </row>
    <row r="444" spans="1:4" x14ac:dyDescent="0.15">
      <c r="A444" s="48">
        <v>35705</v>
      </c>
      <c r="B444" s="47" t="s">
        <v>75</v>
      </c>
      <c r="C444" s="47">
        <v>10690</v>
      </c>
      <c r="D444" s="47">
        <v>862.5</v>
      </c>
    </row>
    <row r="445" spans="1:4" x14ac:dyDescent="0.15">
      <c r="A445" s="48">
        <v>35706</v>
      </c>
      <c r="B445" s="47" t="s">
        <v>93</v>
      </c>
      <c r="C445" s="47">
        <v>10691</v>
      </c>
      <c r="D445" s="47">
        <v>10164.800000000001</v>
      </c>
    </row>
    <row r="446" spans="1:4" x14ac:dyDescent="0.15">
      <c r="A446" s="48">
        <v>35706</v>
      </c>
      <c r="B446" s="47" t="s">
        <v>92</v>
      </c>
      <c r="C446" s="47">
        <v>10692</v>
      </c>
      <c r="D446" s="47">
        <v>878</v>
      </c>
    </row>
    <row r="447" spans="1:4" x14ac:dyDescent="0.15">
      <c r="A447" s="48">
        <v>35709</v>
      </c>
      <c r="B447" s="47" t="s">
        <v>93</v>
      </c>
      <c r="C447" s="47">
        <v>10694</v>
      </c>
      <c r="D447" s="47">
        <v>4825</v>
      </c>
    </row>
    <row r="448" spans="1:4" x14ac:dyDescent="0.15">
      <c r="A448" s="48">
        <v>35709</v>
      </c>
      <c r="B448" s="47" t="s">
        <v>62</v>
      </c>
      <c r="C448" s="47">
        <v>10693</v>
      </c>
      <c r="D448" s="47">
        <v>2071.1999895572662</v>
      </c>
    </row>
    <row r="449" spans="1:4" x14ac:dyDescent="0.15">
      <c r="A449" s="48">
        <v>35710</v>
      </c>
      <c r="B449" s="47" t="s">
        <v>100</v>
      </c>
      <c r="C449" s="47">
        <v>10695</v>
      </c>
      <c r="D449" s="47">
        <v>642</v>
      </c>
    </row>
    <row r="450" spans="1:4" x14ac:dyDescent="0.15">
      <c r="A450" s="48">
        <v>35711</v>
      </c>
      <c r="B450" s="47" t="s">
        <v>87</v>
      </c>
      <c r="C450" s="47">
        <v>10697</v>
      </c>
      <c r="D450" s="47">
        <v>805.42499999999995</v>
      </c>
    </row>
    <row r="451" spans="1:4" x14ac:dyDescent="0.15">
      <c r="A451" s="48">
        <v>35711</v>
      </c>
      <c r="B451" s="47" t="s">
        <v>62</v>
      </c>
      <c r="C451" s="47">
        <v>10696</v>
      </c>
      <c r="D451" s="47">
        <v>996</v>
      </c>
    </row>
    <row r="452" spans="1:4" x14ac:dyDescent="0.15">
      <c r="A452" s="48">
        <v>35712</v>
      </c>
      <c r="B452" s="47" t="s">
        <v>55</v>
      </c>
      <c r="C452" s="47">
        <v>10698</v>
      </c>
      <c r="D452" s="47">
        <v>3436.4434975519407</v>
      </c>
    </row>
    <row r="453" spans="1:4" x14ac:dyDescent="0.15">
      <c r="A453" s="48">
        <v>35712</v>
      </c>
      <c r="B453" s="47" t="s">
        <v>116</v>
      </c>
      <c r="C453" s="47">
        <v>10699</v>
      </c>
      <c r="D453" s="47">
        <v>114</v>
      </c>
    </row>
    <row r="454" spans="1:4" x14ac:dyDescent="0.15">
      <c r="A454" s="48">
        <v>35713</v>
      </c>
      <c r="B454" s="47" t="s">
        <v>63</v>
      </c>
      <c r="C454" s="47">
        <v>10700</v>
      </c>
      <c r="D454" s="47">
        <v>1638.3999938964844</v>
      </c>
    </row>
    <row r="455" spans="1:4" x14ac:dyDescent="0.15">
      <c r="A455" s="48">
        <v>35716</v>
      </c>
      <c r="B455" s="47" t="s">
        <v>121</v>
      </c>
      <c r="C455" s="47">
        <v>10702</v>
      </c>
      <c r="D455" s="47">
        <v>330</v>
      </c>
    </row>
    <row r="456" spans="1:4" x14ac:dyDescent="0.15">
      <c r="A456" s="48">
        <v>35716</v>
      </c>
      <c r="B456" s="47" t="s">
        <v>66</v>
      </c>
      <c r="C456" s="47">
        <v>10701</v>
      </c>
      <c r="D456" s="47">
        <v>2864.4999799132347</v>
      </c>
    </row>
    <row r="457" spans="1:4" x14ac:dyDescent="0.15">
      <c r="A457" s="48">
        <v>35717</v>
      </c>
      <c r="B457" s="47" t="s">
        <v>61</v>
      </c>
      <c r="C457" s="47">
        <v>10704</v>
      </c>
      <c r="D457" s="47">
        <v>595.5</v>
      </c>
    </row>
    <row r="458" spans="1:4" x14ac:dyDescent="0.15">
      <c r="A458" s="48">
        <v>35717</v>
      </c>
      <c r="B458" s="47" t="s">
        <v>74</v>
      </c>
      <c r="C458" s="47">
        <v>10703</v>
      </c>
      <c r="D458" s="47">
        <v>2545</v>
      </c>
    </row>
    <row r="459" spans="1:4" x14ac:dyDescent="0.15">
      <c r="A459" s="48">
        <v>35718</v>
      </c>
      <c r="B459" s="47" t="s">
        <v>72</v>
      </c>
      <c r="C459" s="47">
        <v>10705</v>
      </c>
      <c r="D459" s="47">
        <v>378</v>
      </c>
    </row>
    <row r="460" spans="1:4" x14ac:dyDescent="0.15">
      <c r="A460" s="48">
        <v>35719</v>
      </c>
      <c r="B460" s="47" t="s">
        <v>115</v>
      </c>
      <c r="C460" s="47">
        <v>10707</v>
      </c>
      <c r="D460" s="47">
        <v>1640.9999974966049</v>
      </c>
    </row>
    <row r="461" spans="1:4" x14ac:dyDescent="0.15">
      <c r="A461" s="48">
        <v>35719</v>
      </c>
      <c r="B461" s="47" t="s">
        <v>88</v>
      </c>
      <c r="C461" s="47">
        <v>10706</v>
      </c>
      <c r="D461" s="47">
        <v>1893</v>
      </c>
    </row>
    <row r="462" spans="1:4" x14ac:dyDescent="0.15">
      <c r="A462" s="48">
        <v>35720</v>
      </c>
      <c r="B462" s="47" t="s">
        <v>104</v>
      </c>
      <c r="C462" s="47">
        <v>10708</v>
      </c>
      <c r="D462" s="47">
        <v>180.4</v>
      </c>
    </row>
    <row r="463" spans="1:4" x14ac:dyDescent="0.15">
      <c r="A463" s="48">
        <v>35720</v>
      </c>
      <c r="B463" s="47" t="s">
        <v>78</v>
      </c>
      <c r="C463" s="47">
        <v>10709</v>
      </c>
      <c r="D463" s="47">
        <v>3424</v>
      </c>
    </row>
    <row r="464" spans="1:4" x14ac:dyDescent="0.15">
      <c r="A464" s="48">
        <v>35723</v>
      </c>
      <c r="B464" s="47" t="s">
        <v>65</v>
      </c>
      <c r="C464" s="47">
        <v>10710</v>
      </c>
      <c r="D464" s="47">
        <v>93.5</v>
      </c>
    </row>
    <row r="465" spans="1:4" x14ac:dyDescent="0.15">
      <c r="A465" s="48">
        <v>35724</v>
      </c>
      <c r="B465" s="47" t="s">
        <v>63</v>
      </c>
      <c r="C465" s="47">
        <v>10711</v>
      </c>
      <c r="D465" s="47">
        <v>4451.7</v>
      </c>
    </row>
    <row r="466" spans="1:4" x14ac:dyDescent="0.15">
      <c r="A466" s="48">
        <v>35724</v>
      </c>
      <c r="B466" s="47" t="s">
        <v>66</v>
      </c>
      <c r="C466" s="47">
        <v>10712</v>
      </c>
      <c r="D466" s="47">
        <v>1233.4799999266863</v>
      </c>
    </row>
    <row r="467" spans="1:4" x14ac:dyDescent="0.15">
      <c r="A467" s="48">
        <v>35725</v>
      </c>
      <c r="B467" s="47" t="s">
        <v>63</v>
      </c>
      <c r="C467" s="47">
        <v>10713</v>
      </c>
      <c r="D467" s="47">
        <v>2827.9</v>
      </c>
    </row>
    <row r="468" spans="1:4" x14ac:dyDescent="0.15">
      <c r="A468" s="48">
        <v>35725</v>
      </c>
      <c r="B468" s="47" t="s">
        <v>63</v>
      </c>
      <c r="C468" s="47">
        <v>10714</v>
      </c>
      <c r="D468" s="47">
        <v>2205.75</v>
      </c>
    </row>
    <row r="469" spans="1:4" x14ac:dyDescent="0.15">
      <c r="A469" s="48">
        <v>35726</v>
      </c>
      <c r="B469" s="47" t="s">
        <v>53</v>
      </c>
      <c r="C469" s="47">
        <v>10715</v>
      </c>
      <c r="D469" s="47">
        <v>1296</v>
      </c>
    </row>
    <row r="470" spans="1:4" x14ac:dyDescent="0.15">
      <c r="A470" s="48">
        <v>35727</v>
      </c>
      <c r="B470" s="47" t="s">
        <v>95</v>
      </c>
      <c r="C470" s="47">
        <v>10716</v>
      </c>
      <c r="D470" s="47">
        <v>706</v>
      </c>
    </row>
    <row r="471" spans="1:4" x14ac:dyDescent="0.15">
      <c r="A471" s="48">
        <v>35727</v>
      </c>
      <c r="B471" s="47" t="s">
        <v>97</v>
      </c>
      <c r="C471" s="47">
        <v>10717</v>
      </c>
      <c r="D471" s="47">
        <v>1270.7499990910292</v>
      </c>
    </row>
    <row r="472" spans="1:4" x14ac:dyDescent="0.15">
      <c r="A472" s="48">
        <v>35730</v>
      </c>
      <c r="B472" s="47" t="s">
        <v>123</v>
      </c>
      <c r="C472" s="47">
        <v>10719</v>
      </c>
      <c r="D472" s="47">
        <v>844.25250000000005</v>
      </c>
    </row>
    <row r="473" spans="1:4" x14ac:dyDescent="0.15">
      <c r="A473" s="48">
        <v>35730</v>
      </c>
      <c r="B473" s="47" t="s">
        <v>89</v>
      </c>
      <c r="C473" s="47">
        <v>10718</v>
      </c>
      <c r="D473" s="47">
        <v>3463</v>
      </c>
    </row>
    <row r="474" spans="1:4" x14ac:dyDescent="0.15">
      <c r="A474" s="48">
        <v>35731</v>
      </c>
      <c r="B474" s="47" t="s">
        <v>105</v>
      </c>
      <c r="C474" s="47">
        <v>10720</v>
      </c>
      <c r="D474" s="47">
        <v>550</v>
      </c>
    </row>
    <row r="475" spans="1:4" x14ac:dyDescent="0.15">
      <c r="A475" s="48">
        <v>35732</v>
      </c>
      <c r="B475" s="47" t="s">
        <v>63</v>
      </c>
      <c r="C475" s="47">
        <v>10722</v>
      </c>
      <c r="D475" s="47">
        <v>1570</v>
      </c>
    </row>
    <row r="476" spans="1:4" x14ac:dyDescent="0.15">
      <c r="A476" s="48">
        <v>35732</v>
      </c>
      <c r="B476" s="47" t="s">
        <v>93</v>
      </c>
      <c r="C476" s="47">
        <v>10721</v>
      </c>
      <c r="D476" s="47">
        <v>923.87499927543104</v>
      </c>
    </row>
    <row r="477" spans="1:4" x14ac:dyDescent="0.15">
      <c r="A477" s="48">
        <v>35733</v>
      </c>
      <c r="B477" s="47" t="s">
        <v>136</v>
      </c>
      <c r="C477" s="47">
        <v>10724</v>
      </c>
      <c r="D477" s="47">
        <v>638.5</v>
      </c>
    </row>
    <row r="478" spans="1:4" x14ac:dyDescent="0.15">
      <c r="A478" s="48">
        <v>35733</v>
      </c>
      <c r="B478" s="47" t="s">
        <v>62</v>
      </c>
      <c r="C478" s="47">
        <v>10723</v>
      </c>
      <c r="D478" s="47">
        <v>468.45</v>
      </c>
    </row>
    <row r="479" spans="1:4" x14ac:dyDescent="0.15">
      <c r="A479" s="48">
        <v>35734</v>
      </c>
      <c r="B479" s="47" t="s">
        <v>135</v>
      </c>
      <c r="C479" s="47">
        <v>10725</v>
      </c>
      <c r="D479" s="47">
        <v>287.8</v>
      </c>
    </row>
    <row r="480" spans="1:4" x14ac:dyDescent="0.15">
      <c r="A480" s="48">
        <v>35737</v>
      </c>
      <c r="B480" s="47" t="s">
        <v>67</v>
      </c>
      <c r="C480" s="47">
        <v>10727</v>
      </c>
      <c r="D480" s="47">
        <v>1624.4999987259507</v>
      </c>
    </row>
    <row r="481" spans="1:4" x14ac:dyDescent="0.15">
      <c r="A481" s="48">
        <v>35737</v>
      </c>
      <c r="B481" s="47" t="s">
        <v>71</v>
      </c>
      <c r="C481" s="47">
        <v>10726</v>
      </c>
      <c r="D481" s="47">
        <v>655</v>
      </c>
    </row>
    <row r="482" spans="1:4" x14ac:dyDescent="0.15">
      <c r="A482" s="48">
        <v>35738</v>
      </c>
      <c r="B482" s="47" t="s">
        <v>87</v>
      </c>
      <c r="C482" s="47">
        <v>10729</v>
      </c>
      <c r="D482" s="47">
        <v>1850</v>
      </c>
    </row>
    <row r="483" spans="1:4" x14ac:dyDescent="0.15">
      <c r="A483" s="48">
        <v>35738</v>
      </c>
      <c r="B483" s="47" t="s">
        <v>61</v>
      </c>
      <c r="C483" s="47">
        <v>10728</v>
      </c>
      <c r="D483" s="47">
        <v>1296.75</v>
      </c>
    </row>
    <row r="484" spans="1:4" x14ac:dyDescent="0.15">
      <c r="A484" s="48">
        <v>35739</v>
      </c>
      <c r="B484" s="47" t="s">
        <v>53</v>
      </c>
      <c r="C484" s="47">
        <v>10730</v>
      </c>
      <c r="D484" s="47">
        <v>484.26249962020665</v>
      </c>
    </row>
    <row r="485" spans="1:4" x14ac:dyDescent="0.15">
      <c r="A485" s="48">
        <v>35740</v>
      </c>
      <c r="B485" s="47" t="s">
        <v>83</v>
      </c>
      <c r="C485" s="47">
        <v>10731</v>
      </c>
      <c r="D485" s="47">
        <v>1890.4999985173345</v>
      </c>
    </row>
    <row r="486" spans="1:4" x14ac:dyDescent="0.15">
      <c r="A486" s="48">
        <v>35740</v>
      </c>
      <c r="B486" s="47" t="s">
        <v>53</v>
      </c>
      <c r="C486" s="47">
        <v>10732</v>
      </c>
      <c r="D486" s="47">
        <v>360</v>
      </c>
    </row>
    <row r="487" spans="1:4" x14ac:dyDescent="0.15">
      <c r="A487" s="48">
        <v>35741</v>
      </c>
      <c r="B487" s="47" t="s">
        <v>120</v>
      </c>
      <c r="C487" s="47">
        <v>10733</v>
      </c>
      <c r="D487" s="47">
        <v>1459</v>
      </c>
    </row>
    <row r="488" spans="1:4" x14ac:dyDescent="0.15">
      <c r="A488" s="48">
        <v>35741</v>
      </c>
      <c r="B488" s="47" t="s">
        <v>78</v>
      </c>
      <c r="C488" s="47">
        <v>10734</v>
      </c>
      <c r="D488" s="47">
        <v>1498.35</v>
      </c>
    </row>
    <row r="489" spans="1:4" x14ac:dyDescent="0.15">
      <c r="A489" s="48">
        <v>35744</v>
      </c>
      <c r="B489" s="47" t="s">
        <v>123</v>
      </c>
      <c r="C489" s="47">
        <v>10735</v>
      </c>
      <c r="D489" s="47">
        <v>536.39999911189079</v>
      </c>
    </row>
    <row r="490" spans="1:4" x14ac:dyDescent="0.15">
      <c r="A490" s="48">
        <v>35745</v>
      </c>
      <c r="B490" s="47" t="s">
        <v>134</v>
      </c>
      <c r="C490" s="47">
        <v>10737</v>
      </c>
      <c r="D490" s="47">
        <v>139.80000000000001</v>
      </c>
    </row>
    <row r="491" spans="1:4" x14ac:dyDescent="0.15">
      <c r="A491" s="48">
        <v>35745</v>
      </c>
      <c r="B491" s="47" t="s">
        <v>66</v>
      </c>
      <c r="C491" s="47">
        <v>10736</v>
      </c>
      <c r="D491" s="47">
        <v>997</v>
      </c>
    </row>
    <row r="492" spans="1:4" x14ac:dyDescent="0.15">
      <c r="A492" s="48">
        <v>35746</v>
      </c>
      <c r="B492" s="47" t="s">
        <v>84</v>
      </c>
      <c r="C492" s="47">
        <v>10738</v>
      </c>
      <c r="D492" s="47">
        <v>52.35</v>
      </c>
    </row>
    <row r="493" spans="1:4" x14ac:dyDescent="0.15">
      <c r="A493" s="48">
        <v>35746</v>
      </c>
      <c r="B493" s="47" t="s">
        <v>134</v>
      </c>
      <c r="C493" s="47">
        <v>10739</v>
      </c>
      <c r="D493" s="47">
        <v>240</v>
      </c>
    </row>
    <row r="494" spans="1:4" x14ac:dyDescent="0.15">
      <c r="A494" s="48">
        <v>35747</v>
      </c>
      <c r="B494" s="47" t="s">
        <v>62</v>
      </c>
      <c r="C494" s="47">
        <v>10740</v>
      </c>
      <c r="D494" s="47">
        <v>1415.9999947249889</v>
      </c>
    </row>
    <row r="495" spans="1:4" x14ac:dyDescent="0.15">
      <c r="A495" s="48">
        <v>35748</v>
      </c>
      <c r="B495" s="47" t="s">
        <v>79</v>
      </c>
      <c r="C495" s="47">
        <v>10742</v>
      </c>
      <c r="D495" s="47">
        <v>3118</v>
      </c>
    </row>
    <row r="496" spans="1:4" x14ac:dyDescent="0.15">
      <c r="A496" s="48">
        <v>35748</v>
      </c>
      <c r="B496" s="47" t="s">
        <v>115</v>
      </c>
      <c r="C496" s="47">
        <v>10741</v>
      </c>
      <c r="D496" s="47">
        <v>227.99999915063381</v>
      </c>
    </row>
    <row r="497" spans="1:4" x14ac:dyDescent="0.15">
      <c r="A497" s="48">
        <v>35751</v>
      </c>
      <c r="B497" s="47" t="s">
        <v>115</v>
      </c>
      <c r="C497" s="47">
        <v>10743</v>
      </c>
      <c r="D497" s="47">
        <v>319.19999974966049</v>
      </c>
    </row>
    <row r="498" spans="1:4" x14ac:dyDescent="0.15">
      <c r="A498" s="48">
        <v>35751</v>
      </c>
      <c r="B498" s="47" t="s">
        <v>103</v>
      </c>
      <c r="C498" s="47">
        <v>10744</v>
      </c>
      <c r="D498" s="47">
        <v>735.99999725818634</v>
      </c>
    </row>
    <row r="499" spans="1:4" x14ac:dyDescent="0.15">
      <c r="A499" s="48">
        <v>35752</v>
      </c>
      <c r="B499" s="47" t="s">
        <v>93</v>
      </c>
      <c r="C499" s="47">
        <v>10745</v>
      </c>
      <c r="D499" s="47">
        <v>4529.8</v>
      </c>
    </row>
    <row r="500" spans="1:4" x14ac:dyDescent="0.15">
      <c r="A500" s="48">
        <v>35753</v>
      </c>
      <c r="B500" s="47" t="s">
        <v>76</v>
      </c>
      <c r="C500" s="47">
        <v>10747</v>
      </c>
      <c r="D500" s="47">
        <v>1912.85</v>
      </c>
    </row>
    <row r="501" spans="1:4" x14ac:dyDescent="0.15">
      <c r="A501" s="48">
        <v>35753</v>
      </c>
      <c r="B501" s="47" t="s">
        <v>83</v>
      </c>
      <c r="C501" s="47">
        <v>10746</v>
      </c>
      <c r="D501" s="47">
        <v>2311.6999999999998</v>
      </c>
    </row>
    <row r="502" spans="1:4" x14ac:dyDescent="0.15">
      <c r="A502" s="48">
        <v>35754</v>
      </c>
      <c r="B502" s="47" t="s">
        <v>63</v>
      </c>
      <c r="C502" s="47">
        <v>10748</v>
      </c>
      <c r="D502" s="47">
        <v>2196</v>
      </c>
    </row>
    <row r="503" spans="1:4" x14ac:dyDescent="0.15">
      <c r="A503" s="48">
        <v>35754</v>
      </c>
      <c r="B503" s="47" t="s">
        <v>118</v>
      </c>
      <c r="C503" s="47">
        <v>10749</v>
      </c>
      <c r="D503" s="47">
        <v>1080</v>
      </c>
    </row>
    <row r="504" spans="1:4" x14ac:dyDescent="0.15">
      <c r="A504" s="48">
        <v>35755</v>
      </c>
      <c r="B504" s="47" t="s">
        <v>90</v>
      </c>
      <c r="C504" s="47">
        <v>10750</v>
      </c>
      <c r="D504" s="47">
        <v>1590.5624888464808</v>
      </c>
    </row>
    <row r="505" spans="1:4" x14ac:dyDescent="0.15">
      <c r="A505" s="48">
        <v>35758</v>
      </c>
      <c r="B505" s="47" t="s">
        <v>70</v>
      </c>
      <c r="C505" s="47">
        <v>10752</v>
      </c>
      <c r="D505" s="47">
        <v>252</v>
      </c>
    </row>
    <row r="506" spans="1:4" x14ac:dyDescent="0.15">
      <c r="A506" s="48">
        <v>35758</v>
      </c>
      <c r="B506" s="47" t="s">
        <v>51</v>
      </c>
      <c r="C506" s="47">
        <v>10751</v>
      </c>
      <c r="D506" s="47">
        <v>1631.4839989572763</v>
      </c>
    </row>
    <row r="507" spans="1:4" x14ac:dyDescent="0.15">
      <c r="A507" s="48">
        <v>35759</v>
      </c>
      <c r="B507" s="47" t="s">
        <v>65</v>
      </c>
      <c r="C507" s="47">
        <v>10753</v>
      </c>
      <c r="D507" s="47">
        <v>88</v>
      </c>
    </row>
    <row r="508" spans="1:4" x14ac:dyDescent="0.15">
      <c r="A508" s="48">
        <v>35759</v>
      </c>
      <c r="B508" s="47" t="s">
        <v>113</v>
      </c>
      <c r="C508" s="47">
        <v>10754</v>
      </c>
      <c r="D508" s="47">
        <v>55.2</v>
      </c>
    </row>
    <row r="509" spans="1:4" x14ac:dyDescent="0.15">
      <c r="A509" s="48">
        <v>35760</v>
      </c>
      <c r="B509" s="47" t="s">
        <v>53</v>
      </c>
      <c r="C509" s="47">
        <v>10755</v>
      </c>
      <c r="D509" s="47">
        <v>1948.5</v>
      </c>
    </row>
    <row r="510" spans="1:4" x14ac:dyDescent="0.15">
      <c r="A510" s="48">
        <v>35761</v>
      </c>
      <c r="B510" s="47" t="s">
        <v>63</v>
      </c>
      <c r="C510" s="47">
        <v>10757</v>
      </c>
      <c r="D510" s="47">
        <v>3082</v>
      </c>
    </row>
    <row r="511" spans="1:4" x14ac:dyDescent="0.15">
      <c r="A511" s="48">
        <v>35761</v>
      </c>
      <c r="B511" s="47" t="s">
        <v>107</v>
      </c>
      <c r="C511" s="47">
        <v>10756</v>
      </c>
      <c r="D511" s="47">
        <v>1989.9999925866723</v>
      </c>
    </row>
    <row r="512" spans="1:4" x14ac:dyDescent="0.15">
      <c r="A512" s="48">
        <v>35762</v>
      </c>
      <c r="B512" s="47" t="s">
        <v>121</v>
      </c>
      <c r="C512" s="47">
        <v>10759</v>
      </c>
      <c r="D512" s="47">
        <v>320</v>
      </c>
    </row>
    <row r="513" spans="1:4" x14ac:dyDescent="0.15">
      <c r="A513" s="48">
        <v>35762</v>
      </c>
      <c r="B513" s="47" t="s">
        <v>51</v>
      </c>
      <c r="C513" s="47">
        <v>10758</v>
      </c>
      <c r="D513" s="47">
        <v>1644.6</v>
      </c>
    </row>
    <row r="514" spans="1:4" x14ac:dyDescent="0.15">
      <c r="A514" s="48">
        <v>35765</v>
      </c>
      <c r="B514" s="47" t="s">
        <v>101</v>
      </c>
      <c r="C514" s="47">
        <v>10760</v>
      </c>
      <c r="D514" s="47">
        <v>2917</v>
      </c>
    </row>
    <row r="515" spans="1:4" x14ac:dyDescent="0.15">
      <c r="A515" s="48">
        <v>35766</v>
      </c>
      <c r="B515" s="47" t="s">
        <v>74</v>
      </c>
      <c r="C515" s="47">
        <v>10762</v>
      </c>
      <c r="D515" s="47">
        <v>4337</v>
      </c>
    </row>
    <row r="516" spans="1:4" x14ac:dyDescent="0.15">
      <c r="A516" s="48">
        <v>35766</v>
      </c>
      <c r="B516" s="47" t="s">
        <v>52</v>
      </c>
      <c r="C516" s="47">
        <v>10761</v>
      </c>
      <c r="D516" s="47">
        <v>507</v>
      </c>
    </row>
    <row r="517" spans="1:4" x14ac:dyDescent="0.15">
      <c r="A517" s="48">
        <v>35767</v>
      </c>
      <c r="B517" s="47" t="s">
        <v>132</v>
      </c>
      <c r="C517" s="47">
        <v>10763</v>
      </c>
      <c r="D517" s="47">
        <v>616</v>
      </c>
    </row>
    <row r="518" spans="1:4" x14ac:dyDescent="0.15">
      <c r="A518" s="48">
        <v>35767</v>
      </c>
      <c r="B518" s="47" t="s">
        <v>55</v>
      </c>
      <c r="C518" s="47">
        <v>10764</v>
      </c>
      <c r="D518" s="47">
        <v>2285.9999962151051</v>
      </c>
    </row>
    <row r="519" spans="1:4" x14ac:dyDescent="0.15">
      <c r="A519" s="48">
        <v>35768</v>
      </c>
      <c r="B519" s="47" t="s">
        <v>93</v>
      </c>
      <c r="C519" s="47">
        <v>10765</v>
      </c>
      <c r="D519" s="47">
        <v>1515.5999974906445</v>
      </c>
    </row>
    <row r="520" spans="1:4" x14ac:dyDescent="0.15">
      <c r="A520" s="48">
        <v>35769</v>
      </c>
      <c r="B520" s="47" t="s">
        <v>86</v>
      </c>
      <c r="C520" s="47">
        <v>10767</v>
      </c>
      <c r="D520" s="47">
        <v>28</v>
      </c>
    </row>
    <row r="521" spans="1:4" x14ac:dyDescent="0.15">
      <c r="A521" s="48">
        <v>35769</v>
      </c>
      <c r="B521" s="47" t="s">
        <v>91</v>
      </c>
      <c r="C521" s="47">
        <v>10766</v>
      </c>
      <c r="D521" s="47">
        <v>2310</v>
      </c>
    </row>
    <row r="522" spans="1:4" x14ac:dyDescent="0.15">
      <c r="A522" s="48">
        <v>35772</v>
      </c>
      <c r="B522" s="47" t="s">
        <v>115</v>
      </c>
      <c r="C522" s="47">
        <v>10768</v>
      </c>
      <c r="D522" s="47">
        <v>1477</v>
      </c>
    </row>
    <row r="523" spans="1:4" x14ac:dyDescent="0.15">
      <c r="A523" s="48">
        <v>35772</v>
      </c>
      <c r="B523" s="47" t="s">
        <v>103</v>
      </c>
      <c r="C523" s="47">
        <v>10769</v>
      </c>
      <c r="D523" s="47">
        <v>1684.2749997060746</v>
      </c>
    </row>
    <row r="524" spans="1:4" x14ac:dyDescent="0.15">
      <c r="A524" s="48">
        <v>35773</v>
      </c>
      <c r="B524" s="47" t="s">
        <v>75</v>
      </c>
      <c r="C524" s="47">
        <v>10770</v>
      </c>
      <c r="D524" s="47">
        <v>236.25</v>
      </c>
    </row>
    <row r="525" spans="1:4" x14ac:dyDescent="0.15">
      <c r="A525" s="48">
        <v>35774</v>
      </c>
      <c r="B525" s="47" t="s">
        <v>56</v>
      </c>
      <c r="C525" s="47">
        <v>10772</v>
      </c>
      <c r="D525" s="47">
        <v>3603.22</v>
      </c>
    </row>
    <row r="526" spans="1:4" x14ac:dyDescent="0.15">
      <c r="A526" s="48">
        <v>35774</v>
      </c>
      <c r="B526" s="47" t="s">
        <v>55</v>
      </c>
      <c r="C526" s="47">
        <v>10771</v>
      </c>
      <c r="D526" s="47">
        <v>344</v>
      </c>
    </row>
    <row r="527" spans="1:4" x14ac:dyDescent="0.15">
      <c r="A527" s="48">
        <v>35775</v>
      </c>
      <c r="B527" s="47" t="s">
        <v>74</v>
      </c>
      <c r="C527" s="47">
        <v>10774</v>
      </c>
      <c r="D527" s="47">
        <v>868.75</v>
      </c>
    </row>
    <row r="528" spans="1:4" x14ac:dyDescent="0.15">
      <c r="A528" s="48">
        <v>35775</v>
      </c>
      <c r="B528" s="47" t="s">
        <v>55</v>
      </c>
      <c r="C528" s="47">
        <v>10773</v>
      </c>
      <c r="D528" s="47">
        <v>2030.3999972306192</v>
      </c>
    </row>
    <row r="529" spans="1:4" x14ac:dyDescent="0.15">
      <c r="A529" s="48">
        <v>35776</v>
      </c>
      <c r="B529" s="47" t="s">
        <v>102</v>
      </c>
      <c r="C529" s="47">
        <v>10775</v>
      </c>
      <c r="D529" s="47">
        <v>228</v>
      </c>
    </row>
    <row r="530" spans="1:4" x14ac:dyDescent="0.15">
      <c r="A530" s="48">
        <v>35779</v>
      </c>
      <c r="B530" s="47" t="s">
        <v>78</v>
      </c>
      <c r="C530" s="47">
        <v>10777</v>
      </c>
      <c r="D530" s="47">
        <v>223.99999916553497</v>
      </c>
    </row>
    <row r="531" spans="1:4" x14ac:dyDescent="0.15">
      <c r="A531" s="48">
        <v>35779</v>
      </c>
      <c r="B531" s="47" t="s">
        <v>55</v>
      </c>
      <c r="C531" s="47">
        <v>10776</v>
      </c>
      <c r="D531" s="47">
        <v>6635.274994796142</v>
      </c>
    </row>
    <row r="532" spans="1:4" x14ac:dyDescent="0.15">
      <c r="A532" s="48">
        <v>35780</v>
      </c>
      <c r="B532" s="47" t="s">
        <v>58</v>
      </c>
      <c r="C532" s="47">
        <v>10780</v>
      </c>
      <c r="D532" s="47">
        <v>720</v>
      </c>
    </row>
    <row r="533" spans="1:4" x14ac:dyDescent="0.15">
      <c r="A533" s="48">
        <v>35780</v>
      </c>
      <c r="B533" s="47" t="s">
        <v>120</v>
      </c>
      <c r="C533" s="47">
        <v>10778</v>
      </c>
      <c r="D533" s="47">
        <v>96.5</v>
      </c>
    </row>
    <row r="534" spans="1:4" x14ac:dyDescent="0.15">
      <c r="A534" s="48">
        <v>35780</v>
      </c>
      <c r="B534" s="47" t="s">
        <v>116</v>
      </c>
      <c r="C534" s="47">
        <v>10779</v>
      </c>
      <c r="D534" s="47">
        <v>1335</v>
      </c>
    </row>
    <row r="535" spans="1:4" x14ac:dyDescent="0.15">
      <c r="A535" s="48">
        <v>35781</v>
      </c>
      <c r="B535" s="47" t="s">
        <v>90</v>
      </c>
      <c r="C535" s="47">
        <v>10781</v>
      </c>
      <c r="D535" s="47">
        <v>975.87999766841529</v>
      </c>
    </row>
    <row r="536" spans="1:4" x14ac:dyDescent="0.15">
      <c r="A536" s="48">
        <v>35781</v>
      </c>
      <c r="B536" s="47" t="s">
        <v>73</v>
      </c>
      <c r="C536" s="47">
        <v>10782</v>
      </c>
      <c r="D536" s="47">
        <v>12.5</v>
      </c>
    </row>
    <row r="537" spans="1:4" x14ac:dyDescent="0.15">
      <c r="A537" s="48">
        <v>35782</v>
      </c>
      <c r="B537" s="47" t="s">
        <v>133</v>
      </c>
      <c r="C537" s="47">
        <v>10785</v>
      </c>
      <c r="D537" s="47">
        <v>387.5</v>
      </c>
    </row>
    <row r="538" spans="1:4" x14ac:dyDescent="0.15">
      <c r="A538" s="48">
        <v>35782</v>
      </c>
      <c r="B538" s="47" t="s">
        <v>75</v>
      </c>
      <c r="C538" s="47">
        <v>10783</v>
      </c>
      <c r="D538" s="47">
        <v>1442.5</v>
      </c>
    </row>
    <row r="539" spans="1:4" x14ac:dyDescent="0.15">
      <c r="A539" s="48">
        <v>35782</v>
      </c>
      <c r="B539" s="47" t="s">
        <v>113</v>
      </c>
      <c r="C539" s="47">
        <v>10784</v>
      </c>
      <c r="D539" s="47">
        <v>1487.9999935626984</v>
      </c>
    </row>
    <row r="540" spans="1:4" x14ac:dyDescent="0.15">
      <c r="A540" s="48">
        <v>35783</v>
      </c>
      <c r="B540" s="47" t="s">
        <v>77</v>
      </c>
      <c r="C540" s="47">
        <v>10787</v>
      </c>
      <c r="D540" s="47">
        <v>2622.7599979430438</v>
      </c>
    </row>
    <row r="541" spans="1:4" x14ac:dyDescent="0.15">
      <c r="A541" s="48">
        <v>35783</v>
      </c>
      <c r="B541" s="47" t="s">
        <v>61</v>
      </c>
      <c r="C541" s="47">
        <v>10786</v>
      </c>
      <c r="D541" s="47">
        <v>1531.0799942962826</v>
      </c>
    </row>
    <row r="542" spans="1:4" x14ac:dyDescent="0.15">
      <c r="A542" s="48">
        <v>35786</v>
      </c>
      <c r="B542" s="47" t="s">
        <v>93</v>
      </c>
      <c r="C542" s="47">
        <v>10788</v>
      </c>
      <c r="D542" s="47">
        <v>731.49999942630529</v>
      </c>
    </row>
    <row r="543" spans="1:4" x14ac:dyDescent="0.15">
      <c r="A543" s="48">
        <v>35786</v>
      </c>
      <c r="B543" s="47" t="s">
        <v>132</v>
      </c>
      <c r="C543" s="47">
        <v>10789</v>
      </c>
      <c r="D543" s="47">
        <v>3687</v>
      </c>
    </row>
    <row r="544" spans="1:4" x14ac:dyDescent="0.15">
      <c r="A544" s="48">
        <v>35786</v>
      </c>
      <c r="B544" s="47" t="s">
        <v>78</v>
      </c>
      <c r="C544" s="47">
        <v>10790</v>
      </c>
      <c r="D544" s="47">
        <v>722.49999493360519</v>
      </c>
    </row>
    <row r="545" spans="1:4" x14ac:dyDescent="0.15">
      <c r="A545" s="48">
        <v>35787</v>
      </c>
      <c r="B545" s="47" t="s">
        <v>81</v>
      </c>
      <c r="C545" s="47">
        <v>10792</v>
      </c>
      <c r="D545" s="47">
        <v>399.85</v>
      </c>
    </row>
    <row r="546" spans="1:4" x14ac:dyDescent="0.15">
      <c r="A546" s="48">
        <v>35787</v>
      </c>
      <c r="B546" s="47" t="s">
        <v>97</v>
      </c>
      <c r="C546" s="47">
        <v>10791</v>
      </c>
      <c r="D546" s="47">
        <v>1829.7569985649734</v>
      </c>
    </row>
    <row r="547" spans="1:4" x14ac:dyDescent="0.15">
      <c r="A547" s="48">
        <v>35788</v>
      </c>
      <c r="B547" s="47" t="s">
        <v>115</v>
      </c>
      <c r="C547" s="47">
        <v>10793</v>
      </c>
      <c r="D547" s="47">
        <v>191.1</v>
      </c>
    </row>
    <row r="548" spans="1:4" x14ac:dyDescent="0.15">
      <c r="A548" s="48">
        <v>35788</v>
      </c>
      <c r="B548" s="47" t="s">
        <v>105</v>
      </c>
      <c r="C548" s="47">
        <v>10794</v>
      </c>
      <c r="D548" s="47">
        <v>314.75999882742764</v>
      </c>
    </row>
    <row r="549" spans="1:4" x14ac:dyDescent="0.15">
      <c r="A549" s="48">
        <v>35788</v>
      </c>
      <c r="B549" s="47" t="s">
        <v>55</v>
      </c>
      <c r="C549" s="47">
        <v>10795</v>
      </c>
      <c r="D549" s="47">
        <v>2158</v>
      </c>
    </row>
    <row r="550" spans="1:4" x14ac:dyDescent="0.15">
      <c r="A550" s="48">
        <v>35789</v>
      </c>
      <c r="B550" s="47" t="s">
        <v>60</v>
      </c>
      <c r="C550" s="47">
        <v>10797</v>
      </c>
      <c r="D550" s="47">
        <v>420</v>
      </c>
    </row>
    <row r="551" spans="1:4" x14ac:dyDescent="0.15">
      <c r="A551" s="48">
        <v>35789</v>
      </c>
      <c r="B551" s="47" t="s">
        <v>72</v>
      </c>
      <c r="C551" s="47">
        <v>10796</v>
      </c>
      <c r="D551" s="47">
        <v>2341.3639920023084</v>
      </c>
    </row>
    <row r="552" spans="1:4" x14ac:dyDescent="0.15">
      <c r="A552" s="48">
        <v>35790</v>
      </c>
      <c r="B552" s="47" t="s">
        <v>124</v>
      </c>
      <c r="C552" s="47">
        <v>10800</v>
      </c>
      <c r="D552" s="47">
        <v>1468.934997567907</v>
      </c>
    </row>
    <row r="553" spans="1:4" x14ac:dyDescent="0.15">
      <c r="A553" s="48">
        <v>35790</v>
      </c>
      <c r="B553" s="47" t="s">
        <v>118</v>
      </c>
      <c r="C553" s="47">
        <v>10798</v>
      </c>
      <c r="D553" s="47">
        <v>446.6</v>
      </c>
    </row>
    <row r="554" spans="1:4" x14ac:dyDescent="0.15">
      <c r="A554" s="48">
        <v>35790</v>
      </c>
      <c r="B554" s="47" t="s">
        <v>89</v>
      </c>
      <c r="C554" s="47">
        <v>10799</v>
      </c>
      <c r="D554" s="47">
        <v>1553.4999987483025</v>
      </c>
    </row>
    <row r="555" spans="1:4" x14ac:dyDescent="0.15">
      <c r="A555" s="48">
        <v>35793</v>
      </c>
      <c r="B555" s="47" t="s">
        <v>54</v>
      </c>
      <c r="C555" s="47">
        <v>10802</v>
      </c>
      <c r="D555" s="47">
        <v>2942.8125</v>
      </c>
    </row>
    <row r="556" spans="1:4" x14ac:dyDescent="0.15">
      <c r="A556" s="48">
        <v>35793</v>
      </c>
      <c r="B556" s="47" t="s">
        <v>108</v>
      </c>
      <c r="C556" s="47">
        <v>10801</v>
      </c>
      <c r="D556" s="47">
        <v>3026.8500000000004</v>
      </c>
    </row>
    <row r="557" spans="1:4" x14ac:dyDescent="0.15">
      <c r="A557" s="48">
        <v>35794</v>
      </c>
      <c r="B557" s="47" t="s">
        <v>124</v>
      </c>
      <c r="C557" s="47">
        <v>10804</v>
      </c>
      <c r="D557" s="47">
        <v>2278.3999995231629</v>
      </c>
    </row>
    <row r="558" spans="1:4" x14ac:dyDescent="0.15">
      <c r="A558" s="48">
        <v>35794</v>
      </c>
      <c r="B558" s="47" t="s">
        <v>117</v>
      </c>
      <c r="C558" s="47">
        <v>10803</v>
      </c>
      <c r="D558" s="47">
        <v>1193.0099990643562</v>
      </c>
    </row>
    <row r="559" spans="1:4" x14ac:dyDescent="0.15">
      <c r="A559" s="48">
        <v>35794</v>
      </c>
      <c r="B559" s="47" t="s">
        <v>104</v>
      </c>
      <c r="C559" s="47">
        <v>10805</v>
      </c>
      <c r="D559" s="47">
        <v>2775</v>
      </c>
    </row>
    <row r="560" spans="1:4" x14ac:dyDescent="0.15">
      <c r="A560" s="48">
        <v>35795</v>
      </c>
      <c r="B560" s="47" t="s">
        <v>127</v>
      </c>
      <c r="C560" s="47">
        <v>10806</v>
      </c>
      <c r="D560" s="47">
        <v>439.6</v>
      </c>
    </row>
    <row r="561" spans="1:4" x14ac:dyDescent="0.15">
      <c r="A561" s="48">
        <v>35795</v>
      </c>
      <c r="B561" s="47" t="s">
        <v>65</v>
      </c>
      <c r="C561" s="47">
        <v>10807</v>
      </c>
      <c r="D561" s="47">
        <v>18.399999999999999</v>
      </c>
    </row>
    <row r="562" spans="1:4" x14ac:dyDescent="0.15">
      <c r="A562" s="48">
        <v>35796</v>
      </c>
      <c r="B562" s="47" t="s">
        <v>131</v>
      </c>
      <c r="C562" s="47">
        <v>10810</v>
      </c>
      <c r="D562" s="47">
        <v>187</v>
      </c>
    </row>
    <row r="563" spans="1:4" x14ac:dyDescent="0.15">
      <c r="A563" s="48">
        <v>35796</v>
      </c>
      <c r="B563" s="47" t="s">
        <v>117</v>
      </c>
      <c r="C563" s="47">
        <v>10809</v>
      </c>
      <c r="D563" s="47">
        <v>140</v>
      </c>
    </row>
    <row r="564" spans="1:4" x14ac:dyDescent="0.15">
      <c r="A564" s="48">
        <v>35796</v>
      </c>
      <c r="B564" s="47" t="s">
        <v>88</v>
      </c>
      <c r="C564" s="47">
        <v>10808</v>
      </c>
      <c r="D564" s="47">
        <v>1410.999990105629</v>
      </c>
    </row>
    <row r="565" spans="1:4" x14ac:dyDescent="0.15">
      <c r="A565" s="48">
        <v>35797</v>
      </c>
      <c r="B565" s="47" t="s">
        <v>87</v>
      </c>
      <c r="C565" s="47">
        <v>10811</v>
      </c>
      <c r="D565" s="47">
        <v>852</v>
      </c>
    </row>
    <row r="566" spans="1:4" x14ac:dyDescent="0.15">
      <c r="A566" s="48">
        <v>35797</v>
      </c>
      <c r="B566" s="47" t="s">
        <v>67</v>
      </c>
      <c r="C566" s="47">
        <v>10812</v>
      </c>
      <c r="D566" s="47">
        <v>1692.7999976277351</v>
      </c>
    </row>
    <row r="567" spans="1:4" x14ac:dyDescent="0.15">
      <c r="A567" s="48">
        <v>35800</v>
      </c>
      <c r="B567" s="47" t="s">
        <v>63</v>
      </c>
      <c r="C567" s="47">
        <v>10815</v>
      </c>
      <c r="D567" s="47">
        <v>40</v>
      </c>
    </row>
    <row r="568" spans="1:4" x14ac:dyDescent="0.15">
      <c r="A568" s="48">
        <v>35800</v>
      </c>
      <c r="B568" s="47" t="s">
        <v>127</v>
      </c>
      <c r="C568" s="47">
        <v>10814</v>
      </c>
      <c r="D568" s="47">
        <v>1788.4499888122082</v>
      </c>
    </row>
    <row r="569" spans="1:4" x14ac:dyDescent="0.15">
      <c r="A569" s="48">
        <v>35800</v>
      </c>
      <c r="B569" s="47" t="s">
        <v>68</v>
      </c>
      <c r="C569" s="47">
        <v>10813</v>
      </c>
      <c r="D569" s="47">
        <v>602.39999932050705</v>
      </c>
    </row>
    <row r="570" spans="1:4" x14ac:dyDescent="0.15">
      <c r="A570" s="48">
        <v>35801</v>
      </c>
      <c r="B570" s="47" t="s">
        <v>64</v>
      </c>
      <c r="C570" s="47">
        <v>10816</v>
      </c>
      <c r="D570" s="47">
        <v>8446.4499933756888</v>
      </c>
    </row>
    <row r="571" spans="1:4" x14ac:dyDescent="0.15">
      <c r="A571" s="48">
        <v>35801</v>
      </c>
      <c r="B571" s="47" t="s">
        <v>89</v>
      </c>
      <c r="C571" s="47">
        <v>10817</v>
      </c>
      <c r="D571" s="47">
        <v>10952.844978627563</v>
      </c>
    </row>
    <row r="572" spans="1:4" x14ac:dyDescent="0.15">
      <c r="A572" s="48">
        <v>35802</v>
      </c>
      <c r="B572" s="47" t="s">
        <v>73</v>
      </c>
      <c r="C572" s="47">
        <v>10819</v>
      </c>
      <c r="D572" s="47">
        <v>477</v>
      </c>
    </row>
    <row r="573" spans="1:4" x14ac:dyDescent="0.15">
      <c r="A573" s="48">
        <v>35802</v>
      </c>
      <c r="B573" s="47" t="s">
        <v>52</v>
      </c>
      <c r="C573" s="47">
        <v>10820</v>
      </c>
      <c r="D573" s="47">
        <v>1140</v>
      </c>
    </row>
    <row r="574" spans="1:4" x14ac:dyDescent="0.15">
      <c r="A574" s="48">
        <v>35802</v>
      </c>
      <c r="B574" s="47" t="s">
        <v>113</v>
      </c>
      <c r="C574" s="47">
        <v>10818</v>
      </c>
      <c r="D574" s="47">
        <v>833</v>
      </c>
    </row>
    <row r="575" spans="1:4" x14ac:dyDescent="0.15">
      <c r="A575" s="48">
        <v>35803</v>
      </c>
      <c r="B575" s="47" t="s">
        <v>130</v>
      </c>
      <c r="C575" s="47">
        <v>10822</v>
      </c>
      <c r="D575" s="47">
        <v>237.9</v>
      </c>
    </row>
    <row r="576" spans="1:4" x14ac:dyDescent="0.15">
      <c r="A576" s="48">
        <v>35803</v>
      </c>
      <c r="B576" s="47" t="s">
        <v>107</v>
      </c>
      <c r="C576" s="47">
        <v>10821</v>
      </c>
      <c r="D576" s="47">
        <v>678</v>
      </c>
    </row>
    <row r="577" spans="1:4" x14ac:dyDescent="0.15">
      <c r="A577" s="48">
        <v>35804</v>
      </c>
      <c r="B577" s="47" t="s">
        <v>58</v>
      </c>
      <c r="C577" s="47">
        <v>10823</v>
      </c>
      <c r="D577" s="47">
        <v>2825.9999958053231</v>
      </c>
    </row>
    <row r="578" spans="1:4" x14ac:dyDescent="0.15">
      <c r="A578" s="48">
        <v>35804</v>
      </c>
      <c r="B578" s="47" t="s">
        <v>60</v>
      </c>
      <c r="C578" s="47">
        <v>10825</v>
      </c>
      <c r="D578" s="47">
        <v>1030.76</v>
      </c>
    </row>
    <row r="579" spans="1:4" x14ac:dyDescent="0.15">
      <c r="A579" s="48">
        <v>35804</v>
      </c>
      <c r="B579" s="47" t="s">
        <v>74</v>
      </c>
      <c r="C579" s="47">
        <v>10824</v>
      </c>
      <c r="D579" s="47">
        <v>250.8</v>
      </c>
    </row>
    <row r="580" spans="1:4" x14ac:dyDescent="0.15">
      <c r="A580" s="48">
        <v>35807</v>
      </c>
      <c r="B580" s="47" t="s">
        <v>129</v>
      </c>
      <c r="C580" s="47">
        <v>10826</v>
      </c>
      <c r="D580" s="47">
        <v>730</v>
      </c>
    </row>
    <row r="581" spans="1:4" x14ac:dyDescent="0.15">
      <c r="A581" s="48">
        <v>35807</v>
      </c>
      <c r="B581" s="47" t="s">
        <v>53</v>
      </c>
      <c r="C581" s="47">
        <v>10827</v>
      </c>
      <c r="D581" s="47">
        <v>843</v>
      </c>
    </row>
    <row r="582" spans="1:4" x14ac:dyDescent="0.15">
      <c r="A582" s="48">
        <v>35808</v>
      </c>
      <c r="B582" s="47" t="s">
        <v>95</v>
      </c>
      <c r="C582" s="47">
        <v>10828</v>
      </c>
      <c r="D582" s="47">
        <v>932</v>
      </c>
    </row>
    <row r="583" spans="1:4" x14ac:dyDescent="0.15">
      <c r="A583" s="48">
        <v>35808</v>
      </c>
      <c r="B583" s="47" t="s">
        <v>118</v>
      </c>
      <c r="C583" s="47">
        <v>10829</v>
      </c>
      <c r="D583" s="47">
        <v>1764</v>
      </c>
    </row>
    <row r="584" spans="1:4" x14ac:dyDescent="0.15">
      <c r="A584" s="48">
        <v>35808</v>
      </c>
      <c r="B584" s="47" t="s">
        <v>128</v>
      </c>
      <c r="C584" s="47">
        <v>10830</v>
      </c>
      <c r="D584" s="47">
        <v>1974</v>
      </c>
    </row>
    <row r="585" spans="1:4" x14ac:dyDescent="0.15">
      <c r="A585" s="48">
        <v>35809</v>
      </c>
      <c r="B585" s="47" t="s">
        <v>77</v>
      </c>
      <c r="C585" s="47">
        <v>10832</v>
      </c>
      <c r="D585" s="47">
        <v>475.10999860167499</v>
      </c>
    </row>
    <row r="586" spans="1:4" x14ac:dyDescent="0.15">
      <c r="A586" s="48">
        <v>35809</v>
      </c>
      <c r="B586" s="47" t="s">
        <v>96</v>
      </c>
      <c r="C586" s="47">
        <v>10831</v>
      </c>
      <c r="D586" s="47">
        <v>2684.4</v>
      </c>
    </row>
    <row r="587" spans="1:4" x14ac:dyDescent="0.15">
      <c r="A587" s="48">
        <v>35810</v>
      </c>
      <c r="B587" s="47" t="s">
        <v>121</v>
      </c>
      <c r="C587" s="47">
        <v>10835</v>
      </c>
      <c r="D587" s="47">
        <v>848.99999991059303</v>
      </c>
    </row>
    <row r="588" spans="1:4" x14ac:dyDescent="0.15">
      <c r="A588" s="48">
        <v>35810</v>
      </c>
      <c r="B588" s="47" t="s">
        <v>128</v>
      </c>
      <c r="C588" s="47">
        <v>10834</v>
      </c>
      <c r="D588" s="47">
        <v>1432.7139988763629</v>
      </c>
    </row>
    <row r="589" spans="1:4" x14ac:dyDescent="0.15">
      <c r="A589" s="48">
        <v>35810</v>
      </c>
      <c r="B589" s="47" t="s">
        <v>91</v>
      </c>
      <c r="C589" s="47">
        <v>10833</v>
      </c>
      <c r="D589" s="47">
        <v>906.92999849840999</v>
      </c>
    </row>
    <row r="590" spans="1:4" x14ac:dyDescent="0.15">
      <c r="A590" s="48">
        <v>35811</v>
      </c>
      <c r="B590" s="47" t="s">
        <v>120</v>
      </c>
      <c r="C590" s="47">
        <v>10837</v>
      </c>
      <c r="D590" s="47">
        <v>1064.5</v>
      </c>
    </row>
    <row r="591" spans="1:4" x14ac:dyDescent="0.15">
      <c r="A591" s="48">
        <v>35811</v>
      </c>
      <c r="B591" s="47" t="s">
        <v>55</v>
      </c>
      <c r="C591" s="47">
        <v>10836</v>
      </c>
      <c r="D591" s="47">
        <v>4705.5</v>
      </c>
    </row>
    <row r="592" spans="1:4" x14ac:dyDescent="0.15">
      <c r="A592" s="48">
        <v>35814</v>
      </c>
      <c r="B592" s="47" t="s">
        <v>87</v>
      </c>
      <c r="C592" s="47">
        <v>10838</v>
      </c>
      <c r="D592" s="47">
        <v>1938.375</v>
      </c>
    </row>
    <row r="593" spans="1:4" x14ac:dyDescent="0.15">
      <c r="A593" s="48">
        <v>35814</v>
      </c>
      <c r="B593" s="47" t="s">
        <v>87</v>
      </c>
      <c r="C593" s="47">
        <v>10840</v>
      </c>
      <c r="D593" s="47">
        <v>211.19999921321869</v>
      </c>
    </row>
    <row r="594" spans="1:4" x14ac:dyDescent="0.15">
      <c r="A594" s="48">
        <v>35814</v>
      </c>
      <c r="B594" s="47" t="s">
        <v>128</v>
      </c>
      <c r="C594" s="47">
        <v>10839</v>
      </c>
      <c r="D594" s="47">
        <v>827.54999862983823</v>
      </c>
    </row>
    <row r="595" spans="1:4" x14ac:dyDescent="0.15">
      <c r="A595" s="48">
        <v>35815</v>
      </c>
      <c r="B595" s="47" t="s">
        <v>86</v>
      </c>
      <c r="C595" s="47">
        <v>10841</v>
      </c>
      <c r="D595" s="47">
        <v>4581</v>
      </c>
    </row>
    <row r="596" spans="1:4" x14ac:dyDescent="0.15">
      <c r="A596" s="48">
        <v>35815</v>
      </c>
      <c r="B596" s="47" t="s">
        <v>59</v>
      </c>
      <c r="C596" s="47">
        <v>10842</v>
      </c>
      <c r="D596" s="47">
        <v>975</v>
      </c>
    </row>
    <row r="597" spans="1:4" x14ac:dyDescent="0.15">
      <c r="A597" s="48">
        <v>35816</v>
      </c>
      <c r="B597" s="47" t="s">
        <v>76</v>
      </c>
      <c r="C597" s="47">
        <v>10844</v>
      </c>
      <c r="D597" s="47">
        <v>735</v>
      </c>
    </row>
    <row r="598" spans="1:4" x14ac:dyDescent="0.15">
      <c r="A598" s="48">
        <v>35816</v>
      </c>
      <c r="B598" s="47" t="s">
        <v>93</v>
      </c>
      <c r="C598" s="47">
        <v>10845</v>
      </c>
      <c r="D598" s="47">
        <v>3812.699996329844</v>
      </c>
    </row>
    <row r="599" spans="1:4" x14ac:dyDescent="0.15">
      <c r="A599" s="48">
        <v>35816</v>
      </c>
      <c r="B599" s="47" t="s">
        <v>127</v>
      </c>
      <c r="C599" s="47">
        <v>10843</v>
      </c>
      <c r="D599" s="47">
        <v>159</v>
      </c>
    </row>
    <row r="600" spans="1:4" x14ac:dyDescent="0.15">
      <c r="A600" s="48">
        <v>35817</v>
      </c>
      <c r="B600" s="47" t="s">
        <v>63</v>
      </c>
      <c r="C600" s="47">
        <v>10847</v>
      </c>
      <c r="D600" s="47">
        <v>4931.9199816271666</v>
      </c>
    </row>
    <row r="601" spans="1:4" x14ac:dyDescent="0.15">
      <c r="A601" s="48">
        <v>35817</v>
      </c>
      <c r="B601" s="47" t="s">
        <v>86</v>
      </c>
      <c r="C601" s="47">
        <v>10846</v>
      </c>
      <c r="D601" s="47">
        <v>1112</v>
      </c>
    </row>
    <row r="602" spans="1:4" x14ac:dyDescent="0.15">
      <c r="A602" s="48">
        <v>35818</v>
      </c>
      <c r="B602" s="47" t="s">
        <v>127</v>
      </c>
      <c r="C602" s="47">
        <v>10850</v>
      </c>
      <c r="D602" s="47">
        <v>628.99999558925629</v>
      </c>
    </row>
    <row r="603" spans="1:4" x14ac:dyDescent="0.15">
      <c r="A603" s="48">
        <v>35818</v>
      </c>
      <c r="B603" s="47" t="s">
        <v>126</v>
      </c>
      <c r="C603" s="47">
        <v>10848</v>
      </c>
      <c r="D603" s="47">
        <v>931.5</v>
      </c>
    </row>
    <row r="604" spans="1:4" x14ac:dyDescent="0.15">
      <c r="A604" s="48">
        <v>35818</v>
      </c>
      <c r="B604" s="47" t="s">
        <v>89</v>
      </c>
      <c r="C604" s="47">
        <v>10849</v>
      </c>
      <c r="D604" s="47">
        <v>967.81899664938442</v>
      </c>
    </row>
    <row r="605" spans="1:4" x14ac:dyDescent="0.15">
      <c r="A605" s="48">
        <v>35821</v>
      </c>
      <c r="B605" s="47" t="s">
        <v>52</v>
      </c>
      <c r="C605" s="47">
        <v>10852</v>
      </c>
      <c r="D605" s="47">
        <v>2984</v>
      </c>
    </row>
    <row r="606" spans="1:4" x14ac:dyDescent="0.15">
      <c r="A606" s="48">
        <v>35821</v>
      </c>
      <c r="B606" s="47" t="s">
        <v>68</v>
      </c>
      <c r="C606" s="47">
        <v>10851</v>
      </c>
      <c r="D606" s="47">
        <v>2602.9999979585409</v>
      </c>
    </row>
    <row r="607" spans="1:4" x14ac:dyDescent="0.15">
      <c r="A607" s="48">
        <v>35822</v>
      </c>
      <c r="B607" s="47" t="s">
        <v>88</v>
      </c>
      <c r="C607" s="47">
        <v>10855</v>
      </c>
      <c r="D607" s="47">
        <v>2227.8874981179833</v>
      </c>
    </row>
    <row r="608" spans="1:4" x14ac:dyDescent="0.15">
      <c r="A608" s="48">
        <v>35822</v>
      </c>
      <c r="B608" s="47" t="s">
        <v>69</v>
      </c>
      <c r="C608" s="47">
        <v>10853</v>
      </c>
      <c r="D608" s="47">
        <v>625</v>
      </c>
    </row>
    <row r="609" spans="1:4" x14ac:dyDescent="0.15">
      <c r="A609" s="48">
        <v>35822</v>
      </c>
      <c r="B609" s="47" t="s">
        <v>55</v>
      </c>
      <c r="C609" s="47">
        <v>10854</v>
      </c>
      <c r="D609" s="47">
        <v>2966.499979197979</v>
      </c>
    </row>
    <row r="610" spans="1:4" x14ac:dyDescent="0.15">
      <c r="A610" s="48">
        <v>35823</v>
      </c>
      <c r="B610" s="47" t="s">
        <v>125</v>
      </c>
      <c r="C610" s="47">
        <v>10856</v>
      </c>
      <c r="D610" s="47">
        <v>660</v>
      </c>
    </row>
    <row r="611" spans="1:4" x14ac:dyDescent="0.15">
      <c r="A611" s="48">
        <v>35823</v>
      </c>
      <c r="B611" s="47" t="s">
        <v>120</v>
      </c>
      <c r="C611" s="47">
        <v>10857</v>
      </c>
      <c r="D611" s="47">
        <v>2048.2125000000001</v>
      </c>
    </row>
    <row r="612" spans="1:4" x14ac:dyDescent="0.15">
      <c r="A612" s="48">
        <v>35824</v>
      </c>
      <c r="B612" s="47" t="s">
        <v>110</v>
      </c>
      <c r="C612" s="47">
        <v>10858</v>
      </c>
      <c r="D612" s="47">
        <v>649</v>
      </c>
    </row>
    <row r="613" spans="1:4" x14ac:dyDescent="0.15">
      <c r="A613" s="48">
        <v>35824</v>
      </c>
      <c r="B613" s="47" t="s">
        <v>109</v>
      </c>
      <c r="C613" s="47">
        <v>10860</v>
      </c>
      <c r="D613" s="47">
        <v>519</v>
      </c>
    </row>
    <row r="614" spans="1:4" x14ac:dyDescent="0.15">
      <c r="A614" s="48">
        <v>35824</v>
      </c>
      <c r="B614" s="47" t="s">
        <v>97</v>
      </c>
      <c r="C614" s="47">
        <v>10859</v>
      </c>
      <c r="D614" s="47">
        <v>1078.6875</v>
      </c>
    </row>
    <row r="615" spans="1:4" x14ac:dyDescent="0.15">
      <c r="A615" s="48">
        <v>35825</v>
      </c>
      <c r="B615" s="47" t="s">
        <v>56</v>
      </c>
      <c r="C615" s="47">
        <v>10862</v>
      </c>
      <c r="D615" s="47">
        <v>581</v>
      </c>
    </row>
    <row r="616" spans="1:4" x14ac:dyDescent="0.15">
      <c r="A616" s="48">
        <v>35825</v>
      </c>
      <c r="B616" s="47" t="s">
        <v>62</v>
      </c>
      <c r="C616" s="47">
        <v>10861</v>
      </c>
      <c r="D616" s="47">
        <v>3523.4</v>
      </c>
    </row>
    <row r="617" spans="1:4" x14ac:dyDescent="0.15">
      <c r="A617" s="48">
        <v>35828</v>
      </c>
      <c r="B617" s="47" t="s">
        <v>93</v>
      </c>
      <c r="C617" s="47">
        <v>10865</v>
      </c>
      <c r="D617" s="47">
        <v>16387.499987147748</v>
      </c>
    </row>
    <row r="618" spans="1:4" x14ac:dyDescent="0.15">
      <c r="A618" s="48">
        <v>35828</v>
      </c>
      <c r="B618" s="47" t="s">
        <v>115</v>
      </c>
      <c r="C618" s="47">
        <v>10864</v>
      </c>
      <c r="D618" s="47">
        <v>282</v>
      </c>
    </row>
    <row r="619" spans="1:4" x14ac:dyDescent="0.15">
      <c r="A619" s="48">
        <v>35828</v>
      </c>
      <c r="B619" s="47" t="s">
        <v>72</v>
      </c>
      <c r="C619" s="47">
        <v>10863</v>
      </c>
      <c r="D619" s="47">
        <v>441.14999690651894</v>
      </c>
    </row>
    <row r="620" spans="1:4" x14ac:dyDescent="0.15">
      <c r="A620" s="48">
        <v>35829</v>
      </c>
      <c r="B620" s="47" t="s">
        <v>120</v>
      </c>
      <c r="C620" s="47">
        <v>10866</v>
      </c>
      <c r="D620" s="47">
        <v>1096.1999999999998</v>
      </c>
    </row>
    <row r="621" spans="1:4" x14ac:dyDescent="0.15">
      <c r="A621" s="48">
        <v>35829</v>
      </c>
      <c r="B621" s="47" t="s">
        <v>94</v>
      </c>
      <c r="C621" s="47">
        <v>10867</v>
      </c>
      <c r="D621" s="47">
        <v>98.4</v>
      </c>
    </row>
    <row r="622" spans="1:4" x14ac:dyDescent="0.15">
      <c r="A622" s="48">
        <v>35830</v>
      </c>
      <c r="B622" s="47" t="s">
        <v>124</v>
      </c>
      <c r="C622" s="47">
        <v>10869</v>
      </c>
      <c r="D622" s="47">
        <v>1630</v>
      </c>
    </row>
    <row r="623" spans="1:4" x14ac:dyDescent="0.15">
      <c r="A623" s="48">
        <v>35830</v>
      </c>
      <c r="B623" s="47" t="s">
        <v>81</v>
      </c>
      <c r="C623" s="47">
        <v>10870</v>
      </c>
      <c r="D623" s="47">
        <v>160</v>
      </c>
    </row>
    <row r="624" spans="1:4" x14ac:dyDescent="0.15">
      <c r="A624" s="48">
        <v>35830</v>
      </c>
      <c r="B624" s="47" t="s">
        <v>61</v>
      </c>
      <c r="C624" s="47">
        <v>10868</v>
      </c>
      <c r="D624" s="47">
        <v>1920.5999987483024</v>
      </c>
    </row>
    <row r="625" spans="1:4" x14ac:dyDescent="0.15">
      <c r="A625" s="48">
        <v>35831</v>
      </c>
      <c r="B625" s="47" t="s">
        <v>85</v>
      </c>
      <c r="C625" s="47">
        <v>10872</v>
      </c>
      <c r="D625" s="47">
        <v>2058.4599983856083</v>
      </c>
    </row>
    <row r="626" spans="1:4" x14ac:dyDescent="0.15">
      <c r="A626" s="48">
        <v>35831</v>
      </c>
      <c r="B626" s="47" t="s">
        <v>53</v>
      </c>
      <c r="C626" s="47">
        <v>10871</v>
      </c>
      <c r="D626" s="47">
        <v>1979.2299984477461</v>
      </c>
    </row>
    <row r="627" spans="1:4" x14ac:dyDescent="0.15">
      <c r="A627" s="48">
        <v>35832</v>
      </c>
      <c r="B627" s="47" t="s">
        <v>85</v>
      </c>
      <c r="C627" s="47">
        <v>10874</v>
      </c>
      <c r="D627" s="47">
        <v>310</v>
      </c>
    </row>
    <row r="628" spans="1:4" x14ac:dyDescent="0.15">
      <c r="A628" s="48">
        <v>35832</v>
      </c>
      <c r="B628" s="47" t="s">
        <v>120</v>
      </c>
      <c r="C628" s="47">
        <v>10875</v>
      </c>
      <c r="D628" s="47">
        <v>709.54999970272183</v>
      </c>
    </row>
    <row r="629" spans="1:4" x14ac:dyDescent="0.15">
      <c r="A629" s="48">
        <v>35832</v>
      </c>
      <c r="B629" s="47" t="s">
        <v>100</v>
      </c>
      <c r="C629" s="47">
        <v>10873</v>
      </c>
      <c r="D629" s="47">
        <v>336.8</v>
      </c>
    </row>
    <row r="630" spans="1:4" x14ac:dyDescent="0.15">
      <c r="A630" s="48">
        <v>35835</v>
      </c>
      <c r="B630" s="47" t="s">
        <v>53</v>
      </c>
      <c r="C630" s="47">
        <v>10876</v>
      </c>
      <c r="D630" s="47">
        <v>917</v>
      </c>
    </row>
    <row r="631" spans="1:4" x14ac:dyDescent="0.15">
      <c r="A631" s="48">
        <v>35835</v>
      </c>
      <c r="B631" s="47" t="s">
        <v>68</v>
      </c>
      <c r="C631" s="47">
        <v>10877</v>
      </c>
      <c r="D631" s="47">
        <v>1955.125</v>
      </c>
    </row>
    <row r="632" spans="1:4" x14ac:dyDescent="0.15">
      <c r="A632" s="48">
        <v>35836</v>
      </c>
      <c r="B632" s="47" t="s">
        <v>93</v>
      </c>
      <c r="C632" s="47">
        <v>10878</v>
      </c>
      <c r="D632" s="47">
        <v>1538.9999987930059</v>
      </c>
    </row>
    <row r="633" spans="1:4" x14ac:dyDescent="0.15">
      <c r="A633" s="48">
        <v>35836</v>
      </c>
      <c r="B633" s="47" t="s">
        <v>74</v>
      </c>
      <c r="C633" s="47">
        <v>10880</v>
      </c>
      <c r="D633" s="47">
        <v>1499.9999944120646</v>
      </c>
    </row>
    <row r="634" spans="1:4" x14ac:dyDescent="0.15">
      <c r="A634" s="48">
        <v>35836</v>
      </c>
      <c r="B634" s="47" t="s">
        <v>100</v>
      </c>
      <c r="C634" s="47">
        <v>10879</v>
      </c>
      <c r="D634" s="47">
        <v>611.29999999999995</v>
      </c>
    </row>
    <row r="635" spans="1:4" x14ac:dyDescent="0.15">
      <c r="A635" s="48">
        <v>35837</v>
      </c>
      <c r="B635" s="47" t="s">
        <v>63</v>
      </c>
      <c r="C635" s="47">
        <v>10882</v>
      </c>
      <c r="D635" s="47">
        <v>892.63999619483945</v>
      </c>
    </row>
    <row r="636" spans="1:4" x14ac:dyDescent="0.15">
      <c r="A636" s="48">
        <v>35837</v>
      </c>
      <c r="B636" s="47" t="s">
        <v>73</v>
      </c>
      <c r="C636" s="47">
        <v>10881</v>
      </c>
      <c r="D636" s="47">
        <v>150</v>
      </c>
    </row>
    <row r="637" spans="1:4" x14ac:dyDescent="0.15">
      <c r="A637" s="48">
        <v>35838</v>
      </c>
      <c r="B637" s="47" t="s">
        <v>86</v>
      </c>
      <c r="C637" s="47">
        <v>10885</v>
      </c>
      <c r="D637" s="47">
        <v>1209</v>
      </c>
    </row>
    <row r="638" spans="1:4" x14ac:dyDescent="0.15">
      <c r="A638" s="48">
        <v>35838</v>
      </c>
      <c r="B638" s="47" t="s">
        <v>123</v>
      </c>
      <c r="C638" s="47">
        <v>10884</v>
      </c>
      <c r="D638" s="47">
        <v>1378.0699989192187</v>
      </c>
    </row>
    <row r="639" spans="1:4" x14ac:dyDescent="0.15">
      <c r="A639" s="48">
        <v>35838</v>
      </c>
      <c r="B639" s="47" t="s">
        <v>94</v>
      </c>
      <c r="C639" s="47">
        <v>10883</v>
      </c>
      <c r="D639" s="47">
        <v>36</v>
      </c>
    </row>
    <row r="640" spans="1:4" x14ac:dyDescent="0.15">
      <c r="A640" s="48">
        <v>35839</v>
      </c>
      <c r="B640" s="47" t="s">
        <v>119</v>
      </c>
      <c r="C640" s="47">
        <v>10887</v>
      </c>
      <c r="D640" s="47">
        <v>70</v>
      </c>
    </row>
    <row r="641" spans="1:4" x14ac:dyDescent="0.15">
      <c r="A641" s="48">
        <v>35839</v>
      </c>
      <c r="B641" s="47" t="s">
        <v>75</v>
      </c>
      <c r="C641" s="47">
        <v>10886</v>
      </c>
      <c r="D641" s="47">
        <v>3127.5</v>
      </c>
    </row>
    <row r="642" spans="1:4" x14ac:dyDescent="0.15">
      <c r="A642" s="48">
        <v>35842</v>
      </c>
      <c r="B642" s="47" t="s">
        <v>85</v>
      </c>
      <c r="C642" s="47">
        <v>10888</v>
      </c>
      <c r="D642" s="47">
        <v>605</v>
      </c>
    </row>
    <row r="643" spans="1:4" x14ac:dyDescent="0.15">
      <c r="A643" s="48">
        <v>35842</v>
      </c>
      <c r="B643" s="47" t="s">
        <v>122</v>
      </c>
      <c r="C643" s="47">
        <v>10890</v>
      </c>
      <c r="D643" s="47">
        <v>860.1</v>
      </c>
    </row>
    <row r="644" spans="1:4" x14ac:dyDescent="0.15">
      <c r="A644" s="48">
        <v>35842</v>
      </c>
      <c r="B644" s="47" t="s">
        <v>52</v>
      </c>
      <c r="C644" s="47">
        <v>10889</v>
      </c>
      <c r="D644" s="47">
        <v>11380</v>
      </c>
    </row>
    <row r="645" spans="1:4" x14ac:dyDescent="0.15">
      <c r="A645" s="48">
        <v>35843</v>
      </c>
      <c r="B645" s="47" t="s">
        <v>56</v>
      </c>
      <c r="C645" s="47">
        <v>10891</v>
      </c>
      <c r="D645" s="47">
        <v>368.93249971065671</v>
      </c>
    </row>
    <row r="646" spans="1:4" x14ac:dyDescent="0.15">
      <c r="A646" s="48">
        <v>35843</v>
      </c>
      <c r="B646" s="47" t="s">
        <v>101</v>
      </c>
      <c r="C646" s="47">
        <v>10892</v>
      </c>
      <c r="D646" s="47">
        <v>2089.9999983608723</v>
      </c>
    </row>
    <row r="647" spans="1:4" x14ac:dyDescent="0.15">
      <c r="A647" s="48">
        <v>35844</v>
      </c>
      <c r="B647" s="47" t="s">
        <v>63</v>
      </c>
      <c r="C647" s="47">
        <v>10894</v>
      </c>
      <c r="D647" s="47">
        <v>2753.0999978408217</v>
      </c>
    </row>
    <row r="648" spans="1:4" x14ac:dyDescent="0.15">
      <c r="A648" s="48">
        <v>35844</v>
      </c>
      <c r="B648" s="47" t="s">
        <v>89</v>
      </c>
      <c r="C648" s="47">
        <v>10893</v>
      </c>
      <c r="D648" s="47">
        <v>5502.11</v>
      </c>
    </row>
    <row r="649" spans="1:4" x14ac:dyDescent="0.15">
      <c r="A649" s="48">
        <v>35844</v>
      </c>
      <c r="B649" s="47" t="s">
        <v>55</v>
      </c>
      <c r="C649" s="47">
        <v>10895</v>
      </c>
      <c r="D649" s="47">
        <v>6379.4</v>
      </c>
    </row>
    <row r="650" spans="1:4" x14ac:dyDescent="0.15">
      <c r="A650" s="48">
        <v>35845</v>
      </c>
      <c r="B650" s="47" t="s">
        <v>66</v>
      </c>
      <c r="C650" s="47">
        <v>10897</v>
      </c>
      <c r="D650" s="47">
        <v>10835.240000000002</v>
      </c>
    </row>
    <row r="651" spans="1:4" x14ac:dyDescent="0.15">
      <c r="A651" s="48">
        <v>35845</v>
      </c>
      <c r="B651" s="47" t="s">
        <v>101</v>
      </c>
      <c r="C651" s="47">
        <v>10896</v>
      </c>
      <c r="D651" s="47">
        <v>750.5</v>
      </c>
    </row>
    <row r="652" spans="1:4" x14ac:dyDescent="0.15">
      <c r="A652" s="48">
        <v>35846</v>
      </c>
      <c r="B652" s="47" t="s">
        <v>58</v>
      </c>
      <c r="C652" s="47">
        <v>10899</v>
      </c>
      <c r="D652" s="47">
        <v>122.39999914169312</v>
      </c>
    </row>
    <row r="653" spans="1:4" x14ac:dyDescent="0.15">
      <c r="A653" s="48">
        <v>35846</v>
      </c>
      <c r="B653" s="47" t="s">
        <v>117</v>
      </c>
      <c r="C653" s="47">
        <v>10900</v>
      </c>
      <c r="D653" s="47">
        <v>33.75</v>
      </c>
    </row>
    <row r="654" spans="1:4" x14ac:dyDescent="0.15">
      <c r="A654" s="48">
        <v>35846</v>
      </c>
      <c r="B654" s="47" t="s">
        <v>106</v>
      </c>
      <c r="C654" s="47">
        <v>10898</v>
      </c>
      <c r="D654" s="47">
        <v>30</v>
      </c>
    </row>
    <row r="655" spans="1:4" x14ac:dyDescent="0.15">
      <c r="A655" s="48">
        <v>35849</v>
      </c>
      <c r="B655" s="47" t="s">
        <v>74</v>
      </c>
      <c r="C655" s="47">
        <v>10902</v>
      </c>
      <c r="D655" s="47">
        <v>863.42999394536014</v>
      </c>
    </row>
    <row r="656" spans="1:4" x14ac:dyDescent="0.15">
      <c r="A656" s="48">
        <v>35849</v>
      </c>
      <c r="B656" s="47" t="s">
        <v>72</v>
      </c>
      <c r="C656" s="47">
        <v>10901</v>
      </c>
      <c r="D656" s="47">
        <v>934.5</v>
      </c>
    </row>
    <row r="657" spans="1:4" x14ac:dyDescent="0.15">
      <c r="A657" s="48">
        <v>35850</v>
      </c>
      <c r="B657" s="47" t="s">
        <v>117</v>
      </c>
      <c r="C657" s="47">
        <v>10905</v>
      </c>
      <c r="D657" s="47">
        <v>341.9999997317791</v>
      </c>
    </row>
    <row r="658" spans="1:4" x14ac:dyDescent="0.15">
      <c r="A658" s="48">
        <v>35850</v>
      </c>
      <c r="B658" s="47" t="s">
        <v>75</v>
      </c>
      <c r="C658" s="47">
        <v>10903</v>
      </c>
      <c r="D658" s="47">
        <v>932.05</v>
      </c>
    </row>
    <row r="659" spans="1:4" x14ac:dyDescent="0.15">
      <c r="A659" s="48">
        <v>35850</v>
      </c>
      <c r="B659" s="47" t="s">
        <v>62</v>
      </c>
      <c r="C659" s="47">
        <v>10904</v>
      </c>
      <c r="D659" s="47">
        <v>1924.25</v>
      </c>
    </row>
    <row r="660" spans="1:4" x14ac:dyDescent="0.15">
      <c r="A660" s="48">
        <v>35851</v>
      </c>
      <c r="B660" s="47" t="s">
        <v>84</v>
      </c>
      <c r="C660" s="47">
        <v>10907</v>
      </c>
      <c r="D660" s="47">
        <v>108.5</v>
      </c>
    </row>
    <row r="661" spans="1:4" x14ac:dyDescent="0.15">
      <c r="A661" s="48">
        <v>35851</v>
      </c>
      <c r="B661" s="47" t="s">
        <v>81</v>
      </c>
      <c r="C661" s="47">
        <v>10906</v>
      </c>
      <c r="D661" s="47">
        <v>427.5</v>
      </c>
    </row>
    <row r="662" spans="1:4" x14ac:dyDescent="0.15">
      <c r="A662" s="48">
        <v>35852</v>
      </c>
      <c r="B662" s="47" t="s">
        <v>96</v>
      </c>
      <c r="C662" s="47">
        <v>10909</v>
      </c>
      <c r="D662" s="47">
        <v>670</v>
      </c>
    </row>
    <row r="663" spans="1:4" x14ac:dyDescent="0.15">
      <c r="A663" s="48">
        <v>35852</v>
      </c>
      <c r="B663" s="47" t="s">
        <v>67</v>
      </c>
      <c r="C663" s="47">
        <v>10908</v>
      </c>
      <c r="D663" s="47">
        <v>663.09999947994947</v>
      </c>
    </row>
    <row r="664" spans="1:4" x14ac:dyDescent="0.15">
      <c r="A664" s="48">
        <v>35852</v>
      </c>
      <c r="B664" s="47" t="s">
        <v>85</v>
      </c>
      <c r="C664" s="47">
        <v>10911</v>
      </c>
      <c r="D664" s="47">
        <v>858</v>
      </c>
    </row>
    <row r="665" spans="1:4" x14ac:dyDescent="0.15">
      <c r="A665" s="48">
        <v>35852</v>
      </c>
      <c r="B665" s="47" t="s">
        <v>61</v>
      </c>
      <c r="C665" s="47">
        <v>10913</v>
      </c>
      <c r="D665" s="47">
        <v>768.75</v>
      </c>
    </row>
    <row r="666" spans="1:4" x14ac:dyDescent="0.15">
      <c r="A666" s="48">
        <v>35852</v>
      </c>
      <c r="B666" s="47" t="s">
        <v>66</v>
      </c>
      <c r="C666" s="47">
        <v>10912</v>
      </c>
      <c r="D666" s="47">
        <v>6200.5499999999993</v>
      </c>
    </row>
    <row r="667" spans="1:4" x14ac:dyDescent="0.15">
      <c r="A667" s="48">
        <v>35852</v>
      </c>
      <c r="B667" s="47" t="s">
        <v>100</v>
      </c>
      <c r="C667" s="47">
        <v>10910</v>
      </c>
      <c r="D667" s="47">
        <v>452.9</v>
      </c>
    </row>
    <row r="668" spans="1:4" x14ac:dyDescent="0.15">
      <c r="A668" s="48">
        <v>35853</v>
      </c>
      <c r="B668" s="47" t="s">
        <v>95</v>
      </c>
      <c r="C668" s="47">
        <v>10916</v>
      </c>
      <c r="D668" s="47">
        <v>686.7</v>
      </c>
    </row>
    <row r="669" spans="1:4" x14ac:dyDescent="0.15">
      <c r="A669" s="48">
        <v>35853</v>
      </c>
      <c r="B669" s="47" t="s">
        <v>61</v>
      </c>
      <c r="C669" s="47">
        <v>10914</v>
      </c>
      <c r="D669" s="47">
        <v>537.5</v>
      </c>
    </row>
    <row r="670" spans="1:4" x14ac:dyDescent="0.15">
      <c r="A670" s="48">
        <v>35853</v>
      </c>
      <c r="B670" s="47" t="s">
        <v>59</v>
      </c>
      <c r="C670" s="47">
        <v>10915</v>
      </c>
      <c r="D670" s="47">
        <v>539.5</v>
      </c>
    </row>
    <row r="671" spans="1:4" x14ac:dyDescent="0.15">
      <c r="A671" s="48">
        <v>35856</v>
      </c>
      <c r="B671" s="47" t="s">
        <v>87</v>
      </c>
      <c r="C671" s="47">
        <v>10919</v>
      </c>
      <c r="D671" s="47">
        <v>1122.8</v>
      </c>
    </row>
    <row r="672" spans="1:4" x14ac:dyDescent="0.15">
      <c r="A672" s="48">
        <v>35856</v>
      </c>
      <c r="B672" s="47" t="s">
        <v>98</v>
      </c>
      <c r="C672" s="47">
        <v>10917</v>
      </c>
      <c r="D672" s="47">
        <v>365.89</v>
      </c>
    </row>
    <row r="673" spans="1:4" x14ac:dyDescent="0.15">
      <c r="A673" s="48">
        <v>35856</v>
      </c>
      <c r="B673" s="47" t="s">
        <v>79</v>
      </c>
      <c r="C673" s="47">
        <v>10918</v>
      </c>
      <c r="D673" s="47">
        <v>1447.5</v>
      </c>
    </row>
    <row r="674" spans="1:4" x14ac:dyDescent="0.15">
      <c r="A674" s="48">
        <v>35857</v>
      </c>
      <c r="B674" s="47" t="s">
        <v>77</v>
      </c>
      <c r="C674" s="47">
        <v>10923</v>
      </c>
      <c r="D674" s="47">
        <v>748.79999721050262</v>
      </c>
    </row>
    <row r="675" spans="1:4" x14ac:dyDescent="0.15">
      <c r="A675" s="48">
        <v>35857</v>
      </c>
      <c r="B675" s="47" t="s">
        <v>115</v>
      </c>
      <c r="C675" s="47">
        <v>10920</v>
      </c>
      <c r="D675" s="47">
        <v>390</v>
      </c>
    </row>
    <row r="676" spans="1:4" x14ac:dyDescent="0.15">
      <c r="A676" s="48">
        <v>35857</v>
      </c>
      <c r="B676" s="47" t="s">
        <v>75</v>
      </c>
      <c r="C676" s="47">
        <v>10922</v>
      </c>
      <c r="D676" s="47">
        <v>742.5</v>
      </c>
    </row>
    <row r="677" spans="1:4" x14ac:dyDescent="0.15">
      <c r="A677" s="48">
        <v>35857</v>
      </c>
      <c r="B677" s="47" t="s">
        <v>103</v>
      </c>
      <c r="C677" s="47">
        <v>10921</v>
      </c>
      <c r="D677" s="47">
        <v>1936</v>
      </c>
    </row>
    <row r="678" spans="1:4" x14ac:dyDescent="0.15">
      <c r="A678" s="48">
        <v>35858</v>
      </c>
      <c r="B678" s="47" t="s">
        <v>121</v>
      </c>
      <c r="C678" s="47">
        <v>10926</v>
      </c>
      <c r="D678" s="47">
        <v>514.4</v>
      </c>
    </row>
    <row r="679" spans="1:4" x14ac:dyDescent="0.15">
      <c r="A679" s="48">
        <v>35858</v>
      </c>
      <c r="B679" s="47" t="s">
        <v>75</v>
      </c>
      <c r="C679" s="47">
        <v>10925</v>
      </c>
      <c r="D679" s="47">
        <v>475.14999666810036</v>
      </c>
    </row>
    <row r="680" spans="1:4" x14ac:dyDescent="0.15">
      <c r="A680" s="48">
        <v>35858</v>
      </c>
      <c r="B680" s="47" t="s">
        <v>120</v>
      </c>
      <c r="C680" s="47">
        <v>10924</v>
      </c>
      <c r="D680" s="47">
        <v>1835.6999970376492</v>
      </c>
    </row>
    <row r="681" spans="1:4" x14ac:dyDescent="0.15">
      <c r="A681" s="48">
        <v>35859</v>
      </c>
      <c r="B681" s="47" t="s">
        <v>110</v>
      </c>
      <c r="C681" s="47">
        <v>10927</v>
      </c>
      <c r="D681" s="47">
        <v>800</v>
      </c>
    </row>
    <row r="682" spans="1:4" x14ac:dyDescent="0.15">
      <c r="A682" s="48">
        <v>35859</v>
      </c>
      <c r="B682" s="47" t="s">
        <v>119</v>
      </c>
      <c r="C682" s="47">
        <v>10928</v>
      </c>
      <c r="D682" s="47">
        <v>137.5</v>
      </c>
    </row>
    <row r="683" spans="1:4" x14ac:dyDescent="0.15">
      <c r="A683" s="48">
        <v>35859</v>
      </c>
      <c r="B683" s="47" t="s">
        <v>97</v>
      </c>
      <c r="C683" s="47">
        <v>10929</v>
      </c>
      <c r="D683" s="47">
        <v>1174.75</v>
      </c>
    </row>
    <row r="684" spans="1:4" x14ac:dyDescent="0.15">
      <c r="A684" s="48">
        <v>35860</v>
      </c>
      <c r="B684" s="47" t="s">
        <v>86</v>
      </c>
      <c r="C684" s="47">
        <v>10930</v>
      </c>
      <c r="D684" s="47">
        <v>2255.4999970272183</v>
      </c>
    </row>
    <row r="685" spans="1:4" x14ac:dyDescent="0.15">
      <c r="A685" s="48">
        <v>35860</v>
      </c>
      <c r="B685" s="47" t="s">
        <v>53</v>
      </c>
      <c r="C685" s="47">
        <v>10932</v>
      </c>
      <c r="D685" s="47">
        <v>1788.629997960478</v>
      </c>
    </row>
    <row r="686" spans="1:4" x14ac:dyDescent="0.15">
      <c r="A686" s="48">
        <v>35860</v>
      </c>
      <c r="B686" s="47" t="s">
        <v>118</v>
      </c>
      <c r="C686" s="47">
        <v>10933</v>
      </c>
      <c r="D686" s="47">
        <v>920.6</v>
      </c>
    </row>
    <row r="687" spans="1:4" x14ac:dyDescent="0.15">
      <c r="A687" s="48">
        <v>35860</v>
      </c>
      <c r="B687" s="47" t="s">
        <v>51</v>
      </c>
      <c r="C687" s="47">
        <v>10931</v>
      </c>
      <c r="D687" s="47">
        <v>799.19999849796295</v>
      </c>
    </row>
    <row r="688" spans="1:4" x14ac:dyDescent="0.15">
      <c r="A688" s="48">
        <v>35863</v>
      </c>
      <c r="B688" s="47" t="s">
        <v>117</v>
      </c>
      <c r="C688" s="47">
        <v>10935</v>
      </c>
      <c r="D688" s="47">
        <v>619.5</v>
      </c>
    </row>
    <row r="689" spans="1:4" x14ac:dyDescent="0.15">
      <c r="A689" s="48">
        <v>35863</v>
      </c>
      <c r="B689" s="47" t="s">
        <v>56</v>
      </c>
      <c r="C689" s="47">
        <v>10934</v>
      </c>
      <c r="D689" s="47">
        <v>500</v>
      </c>
    </row>
    <row r="690" spans="1:4" x14ac:dyDescent="0.15">
      <c r="A690" s="48">
        <v>35863</v>
      </c>
      <c r="B690" s="47" t="s">
        <v>64</v>
      </c>
      <c r="C690" s="47">
        <v>10936</v>
      </c>
      <c r="D690" s="47">
        <v>455.99999830126762</v>
      </c>
    </row>
    <row r="691" spans="1:4" x14ac:dyDescent="0.15">
      <c r="A691" s="48">
        <v>35864</v>
      </c>
      <c r="B691" s="47" t="s">
        <v>93</v>
      </c>
      <c r="C691" s="47">
        <v>10938</v>
      </c>
      <c r="D691" s="47">
        <v>2731.875</v>
      </c>
    </row>
    <row r="692" spans="1:4" x14ac:dyDescent="0.15">
      <c r="A692" s="48">
        <v>35864</v>
      </c>
      <c r="B692" s="47" t="s">
        <v>73</v>
      </c>
      <c r="C692" s="47">
        <v>10937</v>
      </c>
      <c r="D692" s="47">
        <v>644.79999999999995</v>
      </c>
    </row>
    <row r="693" spans="1:4" x14ac:dyDescent="0.15">
      <c r="A693" s="48">
        <v>35864</v>
      </c>
      <c r="B693" s="47" t="s">
        <v>113</v>
      </c>
      <c r="C693" s="47">
        <v>10939</v>
      </c>
      <c r="D693" s="47">
        <v>637.49999552965164</v>
      </c>
    </row>
    <row r="694" spans="1:4" x14ac:dyDescent="0.15">
      <c r="A694" s="48">
        <v>35865</v>
      </c>
      <c r="B694" s="47" t="s">
        <v>63</v>
      </c>
      <c r="C694" s="47">
        <v>10941</v>
      </c>
      <c r="D694" s="47">
        <v>4011.75</v>
      </c>
    </row>
    <row r="695" spans="1:4" x14ac:dyDescent="0.15">
      <c r="A695" s="48">
        <v>35865</v>
      </c>
      <c r="B695" s="47" t="s">
        <v>92</v>
      </c>
      <c r="C695" s="47">
        <v>10943</v>
      </c>
      <c r="D695" s="47">
        <v>711</v>
      </c>
    </row>
    <row r="696" spans="1:4" x14ac:dyDescent="0.15">
      <c r="A696" s="48">
        <v>35865</v>
      </c>
      <c r="B696" s="47" t="s">
        <v>67</v>
      </c>
      <c r="C696" s="47">
        <v>10942</v>
      </c>
      <c r="D696" s="47">
        <v>560</v>
      </c>
    </row>
    <row r="697" spans="1:4" x14ac:dyDescent="0.15">
      <c r="A697" s="48">
        <v>35865</v>
      </c>
      <c r="B697" s="47" t="s">
        <v>53</v>
      </c>
      <c r="C697" s="47">
        <v>10940</v>
      </c>
      <c r="D697" s="47">
        <v>360</v>
      </c>
    </row>
    <row r="698" spans="1:4" x14ac:dyDescent="0.15">
      <c r="A698" s="48">
        <v>35866</v>
      </c>
      <c r="B698" s="47" t="s">
        <v>79</v>
      </c>
      <c r="C698" s="47">
        <v>10944</v>
      </c>
      <c r="D698" s="47">
        <v>1025.325</v>
      </c>
    </row>
    <row r="699" spans="1:4" x14ac:dyDescent="0.15">
      <c r="A699" s="48">
        <v>35866</v>
      </c>
      <c r="B699" s="47" t="s">
        <v>103</v>
      </c>
      <c r="C699" s="47">
        <v>10946</v>
      </c>
      <c r="D699" s="47">
        <v>1407.5</v>
      </c>
    </row>
    <row r="700" spans="1:4" x14ac:dyDescent="0.15">
      <c r="A700" s="48">
        <v>35866</v>
      </c>
      <c r="B700" s="47" t="s">
        <v>116</v>
      </c>
      <c r="C700" s="47">
        <v>10945</v>
      </c>
      <c r="D700" s="47">
        <v>245</v>
      </c>
    </row>
    <row r="701" spans="1:4" x14ac:dyDescent="0.15">
      <c r="A701" s="48">
        <v>35867</v>
      </c>
      <c r="B701" s="47" t="s">
        <v>92</v>
      </c>
      <c r="C701" s="47">
        <v>10947</v>
      </c>
      <c r="D701" s="47">
        <v>220</v>
      </c>
    </row>
    <row r="702" spans="1:4" x14ac:dyDescent="0.15">
      <c r="A702" s="48">
        <v>35867</v>
      </c>
      <c r="B702" s="47" t="s">
        <v>79</v>
      </c>
      <c r="C702" s="47">
        <v>10949</v>
      </c>
      <c r="D702" s="47">
        <v>4422</v>
      </c>
    </row>
    <row r="703" spans="1:4" x14ac:dyDescent="0.15">
      <c r="A703" s="48">
        <v>35867</v>
      </c>
      <c r="B703" s="47" t="s">
        <v>85</v>
      </c>
      <c r="C703" s="47">
        <v>10948</v>
      </c>
      <c r="D703" s="47">
        <v>2362.25</v>
      </c>
    </row>
    <row r="704" spans="1:4" x14ac:dyDescent="0.15">
      <c r="A704" s="48">
        <v>35870</v>
      </c>
      <c r="B704" s="47" t="s">
        <v>115</v>
      </c>
      <c r="C704" s="47">
        <v>10953</v>
      </c>
      <c r="D704" s="47">
        <v>4441.2499965168536</v>
      </c>
    </row>
    <row r="705" spans="1:4" x14ac:dyDescent="0.15">
      <c r="A705" s="48">
        <v>35870</v>
      </c>
      <c r="B705" s="47" t="s">
        <v>114</v>
      </c>
      <c r="C705" s="47">
        <v>10952</v>
      </c>
      <c r="D705" s="47">
        <v>518.69999970197682</v>
      </c>
    </row>
    <row r="706" spans="1:4" x14ac:dyDescent="0.15">
      <c r="A706" s="48">
        <v>35870</v>
      </c>
      <c r="B706" s="47" t="s">
        <v>113</v>
      </c>
      <c r="C706" s="47">
        <v>10950</v>
      </c>
      <c r="D706" s="47">
        <v>110</v>
      </c>
    </row>
    <row r="707" spans="1:4" x14ac:dyDescent="0.15">
      <c r="A707" s="48">
        <v>35870</v>
      </c>
      <c r="B707" s="47" t="s">
        <v>51</v>
      </c>
      <c r="C707" s="47">
        <v>10951</v>
      </c>
      <c r="D707" s="47">
        <v>458.75499964021145</v>
      </c>
    </row>
    <row r="708" spans="1:4" x14ac:dyDescent="0.15">
      <c r="A708" s="48">
        <v>35871</v>
      </c>
      <c r="B708" s="47" t="s">
        <v>87</v>
      </c>
      <c r="C708" s="47">
        <v>10954</v>
      </c>
      <c r="D708" s="47">
        <v>1659.5349903613328</v>
      </c>
    </row>
    <row r="709" spans="1:4" x14ac:dyDescent="0.15">
      <c r="A709" s="48">
        <v>35871</v>
      </c>
      <c r="B709" s="47" t="s">
        <v>69</v>
      </c>
      <c r="C709" s="47">
        <v>10956</v>
      </c>
      <c r="D709" s="47">
        <v>677</v>
      </c>
    </row>
    <row r="710" spans="1:4" x14ac:dyDescent="0.15">
      <c r="A710" s="48">
        <v>35871</v>
      </c>
      <c r="B710" s="47" t="s">
        <v>74</v>
      </c>
      <c r="C710" s="47">
        <v>10955</v>
      </c>
      <c r="D710" s="47">
        <v>74.399999722838402</v>
      </c>
    </row>
    <row r="711" spans="1:4" x14ac:dyDescent="0.15">
      <c r="A711" s="48">
        <v>35872</v>
      </c>
      <c r="B711" s="47" t="s">
        <v>106</v>
      </c>
      <c r="C711" s="47">
        <v>10958</v>
      </c>
      <c r="D711" s="47">
        <v>781</v>
      </c>
    </row>
    <row r="712" spans="1:4" x14ac:dyDescent="0.15">
      <c r="A712" s="48">
        <v>35872</v>
      </c>
      <c r="B712" s="47" t="s">
        <v>78</v>
      </c>
      <c r="C712" s="47">
        <v>10959</v>
      </c>
      <c r="D712" s="47">
        <v>131.74999907612801</v>
      </c>
    </row>
    <row r="713" spans="1:4" x14ac:dyDescent="0.15">
      <c r="A713" s="48">
        <v>35872</v>
      </c>
      <c r="B713" s="47" t="s">
        <v>72</v>
      </c>
      <c r="C713" s="47">
        <v>10957</v>
      </c>
      <c r="D713" s="47">
        <v>1762.7</v>
      </c>
    </row>
    <row r="714" spans="1:4" x14ac:dyDescent="0.15">
      <c r="A714" s="48">
        <v>35873</v>
      </c>
      <c r="B714" s="47" t="s">
        <v>93</v>
      </c>
      <c r="C714" s="47">
        <v>10962</v>
      </c>
      <c r="D714" s="47">
        <v>3584</v>
      </c>
    </row>
    <row r="715" spans="1:4" x14ac:dyDescent="0.15">
      <c r="A715" s="48">
        <v>35873</v>
      </c>
      <c r="B715" s="47" t="s">
        <v>112</v>
      </c>
      <c r="C715" s="47">
        <v>10963</v>
      </c>
      <c r="D715" s="47">
        <v>57.799999594688416</v>
      </c>
    </row>
    <row r="716" spans="1:4" x14ac:dyDescent="0.15">
      <c r="A716" s="48">
        <v>35873</v>
      </c>
      <c r="B716" s="47" t="s">
        <v>61</v>
      </c>
      <c r="C716" s="47">
        <v>10961</v>
      </c>
      <c r="D716" s="47">
        <v>1119.8999999687076</v>
      </c>
    </row>
    <row r="717" spans="1:4" x14ac:dyDescent="0.15">
      <c r="A717" s="48">
        <v>35873</v>
      </c>
      <c r="B717" s="47" t="s">
        <v>72</v>
      </c>
      <c r="C717" s="47">
        <v>10960</v>
      </c>
      <c r="D717" s="47">
        <v>265.35000000000002</v>
      </c>
    </row>
    <row r="718" spans="1:4" x14ac:dyDescent="0.15">
      <c r="A718" s="48">
        <v>35874</v>
      </c>
      <c r="B718" s="47" t="s">
        <v>84</v>
      </c>
      <c r="C718" s="47">
        <v>10964</v>
      </c>
      <c r="D718" s="47">
        <v>2052.5</v>
      </c>
    </row>
    <row r="719" spans="1:4" x14ac:dyDescent="0.15">
      <c r="A719" s="48">
        <v>35874</v>
      </c>
      <c r="B719" s="47" t="s">
        <v>83</v>
      </c>
      <c r="C719" s="47">
        <v>10966</v>
      </c>
      <c r="D719" s="47">
        <v>1098.4599937558173</v>
      </c>
    </row>
    <row r="720" spans="1:4" x14ac:dyDescent="0.15">
      <c r="A720" s="48">
        <v>35874</v>
      </c>
      <c r="B720" s="47" t="s">
        <v>88</v>
      </c>
      <c r="C720" s="47">
        <v>10965</v>
      </c>
      <c r="D720" s="47">
        <v>848</v>
      </c>
    </row>
    <row r="721" spans="1:4" x14ac:dyDescent="0.15">
      <c r="A721" s="48">
        <v>35877</v>
      </c>
      <c r="B721" s="47" t="s">
        <v>111</v>
      </c>
      <c r="C721" s="47">
        <v>10967</v>
      </c>
      <c r="D721" s="47">
        <v>910.4</v>
      </c>
    </row>
    <row r="722" spans="1:4" x14ac:dyDescent="0.15">
      <c r="A722" s="48">
        <v>35877</v>
      </c>
      <c r="B722" s="47" t="s">
        <v>82</v>
      </c>
      <c r="C722" s="47">
        <v>10969</v>
      </c>
      <c r="D722" s="47">
        <v>108</v>
      </c>
    </row>
    <row r="723" spans="1:4" x14ac:dyDescent="0.15">
      <c r="A723" s="48">
        <v>35877</v>
      </c>
      <c r="B723" s="47" t="s">
        <v>55</v>
      </c>
      <c r="C723" s="47">
        <v>10968</v>
      </c>
      <c r="D723" s="47">
        <v>1408</v>
      </c>
    </row>
    <row r="724" spans="1:4" x14ac:dyDescent="0.15">
      <c r="A724" s="48">
        <v>35878</v>
      </c>
      <c r="B724" s="47" t="s">
        <v>110</v>
      </c>
      <c r="C724" s="47">
        <v>10972</v>
      </c>
      <c r="D724" s="47">
        <v>251.5</v>
      </c>
    </row>
    <row r="725" spans="1:4" x14ac:dyDescent="0.15">
      <c r="A725" s="48">
        <v>35878</v>
      </c>
      <c r="B725" s="47" t="s">
        <v>110</v>
      </c>
      <c r="C725" s="47">
        <v>10973</v>
      </c>
      <c r="D725" s="47">
        <v>291.55</v>
      </c>
    </row>
    <row r="726" spans="1:4" x14ac:dyDescent="0.15">
      <c r="A726" s="48">
        <v>35878</v>
      </c>
      <c r="B726" s="47" t="s">
        <v>109</v>
      </c>
      <c r="C726" s="47">
        <v>10971</v>
      </c>
      <c r="D726" s="47">
        <v>1733.06</v>
      </c>
    </row>
    <row r="727" spans="1:4" x14ac:dyDescent="0.15">
      <c r="A727" s="48">
        <v>35878</v>
      </c>
      <c r="B727" s="47" t="s">
        <v>108</v>
      </c>
      <c r="C727" s="47">
        <v>10970</v>
      </c>
      <c r="D727" s="47">
        <v>223.99999916553497</v>
      </c>
    </row>
    <row r="728" spans="1:4" x14ac:dyDescent="0.15">
      <c r="A728" s="48">
        <v>35879</v>
      </c>
      <c r="B728" s="47" t="s">
        <v>79</v>
      </c>
      <c r="C728" s="47">
        <v>10975</v>
      </c>
      <c r="D728" s="47">
        <v>717.5</v>
      </c>
    </row>
    <row r="729" spans="1:4" x14ac:dyDescent="0.15">
      <c r="A729" s="48">
        <v>35879</v>
      </c>
      <c r="B729" s="47" t="s">
        <v>107</v>
      </c>
      <c r="C729" s="47">
        <v>10974</v>
      </c>
      <c r="D729" s="47">
        <v>439</v>
      </c>
    </row>
    <row r="730" spans="1:4" x14ac:dyDescent="0.15">
      <c r="A730" s="48">
        <v>35879</v>
      </c>
      <c r="B730" s="47" t="s">
        <v>72</v>
      </c>
      <c r="C730" s="47">
        <v>10976</v>
      </c>
      <c r="D730" s="47">
        <v>912</v>
      </c>
    </row>
    <row r="731" spans="1:4" x14ac:dyDescent="0.15">
      <c r="A731" s="48">
        <v>35880</v>
      </c>
      <c r="B731" s="47" t="s">
        <v>74</v>
      </c>
      <c r="C731" s="47">
        <v>10977</v>
      </c>
      <c r="D731" s="47">
        <v>2233</v>
      </c>
    </row>
    <row r="732" spans="1:4" x14ac:dyDescent="0.15">
      <c r="A732" s="48">
        <v>35880</v>
      </c>
      <c r="B732" s="47" t="s">
        <v>101</v>
      </c>
      <c r="C732" s="47">
        <v>10978</v>
      </c>
      <c r="D732" s="47">
        <v>1303.1949921518565</v>
      </c>
    </row>
    <row r="733" spans="1:4" x14ac:dyDescent="0.15">
      <c r="A733" s="48">
        <v>35880</v>
      </c>
      <c r="B733" s="47" t="s">
        <v>55</v>
      </c>
      <c r="C733" s="47">
        <v>10979</v>
      </c>
      <c r="D733" s="47">
        <v>4813.5</v>
      </c>
    </row>
    <row r="734" spans="1:4" x14ac:dyDescent="0.15">
      <c r="A734" s="48">
        <v>35881</v>
      </c>
      <c r="B734" s="47" t="s">
        <v>63</v>
      </c>
      <c r="C734" s="47">
        <v>10983</v>
      </c>
      <c r="D734" s="47">
        <v>720.8999969959259</v>
      </c>
    </row>
    <row r="735" spans="1:4" x14ac:dyDescent="0.15">
      <c r="A735" s="48">
        <v>35881</v>
      </c>
      <c r="B735" s="47" t="s">
        <v>79</v>
      </c>
      <c r="C735" s="47">
        <v>10982</v>
      </c>
      <c r="D735" s="47">
        <v>1014</v>
      </c>
    </row>
    <row r="736" spans="1:4" x14ac:dyDescent="0.15">
      <c r="A736" s="48">
        <v>35881</v>
      </c>
      <c r="B736" s="47" t="s">
        <v>75</v>
      </c>
      <c r="C736" s="47">
        <v>10981</v>
      </c>
      <c r="D736" s="47">
        <v>15810</v>
      </c>
    </row>
    <row r="737" spans="1:4" x14ac:dyDescent="0.15">
      <c r="A737" s="48">
        <v>35881</v>
      </c>
      <c r="B737" s="47" t="s">
        <v>74</v>
      </c>
      <c r="C737" s="47">
        <v>10980</v>
      </c>
      <c r="D737" s="47">
        <v>247.99999907612801</v>
      </c>
    </row>
    <row r="738" spans="1:4" x14ac:dyDescent="0.15">
      <c r="A738" s="48">
        <v>35884</v>
      </c>
      <c r="B738" s="47" t="s">
        <v>63</v>
      </c>
      <c r="C738" s="47">
        <v>10984</v>
      </c>
      <c r="D738" s="47">
        <v>1809.75</v>
      </c>
    </row>
    <row r="739" spans="1:4" x14ac:dyDescent="0.15">
      <c r="A739" s="48">
        <v>35884</v>
      </c>
      <c r="B739" s="47" t="s">
        <v>106</v>
      </c>
      <c r="C739" s="47">
        <v>10986</v>
      </c>
      <c r="D739" s="47">
        <v>2220</v>
      </c>
    </row>
    <row r="740" spans="1:4" x14ac:dyDescent="0.15">
      <c r="A740" s="48">
        <v>35884</v>
      </c>
      <c r="B740" s="47" t="s">
        <v>66</v>
      </c>
      <c r="C740" s="47">
        <v>10985</v>
      </c>
      <c r="D740" s="47">
        <v>2023.3799966499209</v>
      </c>
    </row>
    <row r="741" spans="1:4" x14ac:dyDescent="0.15">
      <c r="A741" s="48">
        <v>35885</v>
      </c>
      <c r="B741" s="47" t="s">
        <v>105</v>
      </c>
      <c r="C741" s="47">
        <v>10989</v>
      </c>
      <c r="D741" s="47">
        <v>1353.6</v>
      </c>
    </row>
    <row r="742" spans="1:4" x14ac:dyDescent="0.15">
      <c r="A742" s="48">
        <v>35885</v>
      </c>
      <c r="B742" s="47" t="s">
        <v>52</v>
      </c>
      <c r="C742" s="47">
        <v>10988</v>
      </c>
      <c r="D742" s="47">
        <v>3574.799997061491</v>
      </c>
    </row>
    <row r="743" spans="1:4" x14ac:dyDescent="0.15">
      <c r="A743" s="48">
        <v>35885</v>
      </c>
      <c r="B743" s="47" t="s">
        <v>71</v>
      </c>
      <c r="C743" s="47">
        <v>10987</v>
      </c>
      <c r="D743" s="47">
        <v>2772</v>
      </c>
    </row>
    <row r="744" spans="1:4" x14ac:dyDescent="0.15">
      <c r="A744" s="48">
        <v>35886</v>
      </c>
      <c r="B744" s="47" t="s">
        <v>93</v>
      </c>
      <c r="C744" s="47">
        <v>10991</v>
      </c>
      <c r="D744" s="47">
        <v>2295.9999914467335</v>
      </c>
    </row>
    <row r="745" spans="1:4" x14ac:dyDescent="0.15">
      <c r="A745" s="48">
        <v>35886</v>
      </c>
      <c r="B745" s="47" t="s">
        <v>104</v>
      </c>
      <c r="C745" s="47">
        <v>10992</v>
      </c>
      <c r="D745" s="47">
        <v>69.599999999999994</v>
      </c>
    </row>
    <row r="746" spans="1:4" x14ac:dyDescent="0.15">
      <c r="A746" s="48">
        <v>35886</v>
      </c>
      <c r="B746" s="47" t="s">
        <v>74</v>
      </c>
      <c r="C746" s="47">
        <v>10993</v>
      </c>
      <c r="D746" s="47">
        <v>4895.4375</v>
      </c>
    </row>
    <row r="747" spans="1:4" x14ac:dyDescent="0.15">
      <c r="A747" s="48">
        <v>35886</v>
      </c>
      <c r="B747" s="47" t="s">
        <v>55</v>
      </c>
      <c r="C747" s="47">
        <v>10990</v>
      </c>
      <c r="D747" s="47">
        <v>4288.8499744832516</v>
      </c>
    </row>
    <row r="748" spans="1:4" x14ac:dyDescent="0.15">
      <c r="A748" s="48">
        <v>35887</v>
      </c>
      <c r="B748" s="47" t="s">
        <v>93</v>
      </c>
      <c r="C748" s="47">
        <v>10996</v>
      </c>
      <c r="D748" s="47">
        <v>560</v>
      </c>
    </row>
    <row r="749" spans="1:4" x14ac:dyDescent="0.15">
      <c r="A749" s="48">
        <v>35887</v>
      </c>
      <c r="B749" s="47" t="s">
        <v>57</v>
      </c>
      <c r="C749" s="47">
        <v>10995</v>
      </c>
      <c r="D749" s="47">
        <v>1196</v>
      </c>
    </row>
    <row r="750" spans="1:4" x14ac:dyDescent="0.15">
      <c r="A750" s="48">
        <v>35887</v>
      </c>
      <c r="B750" s="47" t="s">
        <v>103</v>
      </c>
      <c r="C750" s="47">
        <v>10994</v>
      </c>
      <c r="D750" s="47">
        <v>940.49999926239252</v>
      </c>
    </row>
    <row r="751" spans="1:4" x14ac:dyDescent="0.15">
      <c r="A751" s="48">
        <v>35888</v>
      </c>
      <c r="B751" s="47" t="s">
        <v>58</v>
      </c>
      <c r="C751" s="47">
        <v>10997</v>
      </c>
      <c r="D751" s="47">
        <v>1885</v>
      </c>
    </row>
    <row r="752" spans="1:4" x14ac:dyDescent="0.15">
      <c r="A752" s="48">
        <v>35888</v>
      </c>
      <c r="B752" s="47" t="s">
        <v>81</v>
      </c>
      <c r="C752" s="47">
        <v>10998</v>
      </c>
      <c r="D752" s="47">
        <v>686</v>
      </c>
    </row>
    <row r="753" spans="1:4" x14ac:dyDescent="0.15">
      <c r="A753" s="48">
        <v>35888</v>
      </c>
      <c r="B753" s="47" t="s">
        <v>91</v>
      </c>
      <c r="C753" s="47">
        <v>10999</v>
      </c>
      <c r="D753" s="47">
        <v>1197.9499990604818</v>
      </c>
    </row>
    <row r="754" spans="1:4" x14ac:dyDescent="0.15">
      <c r="A754" s="48">
        <v>35891</v>
      </c>
      <c r="B754" s="47" t="s">
        <v>63</v>
      </c>
      <c r="C754" s="47">
        <v>11002</v>
      </c>
      <c r="D754" s="47">
        <v>1811.0999963879585</v>
      </c>
    </row>
    <row r="755" spans="1:4" x14ac:dyDescent="0.15">
      <c r="A755" s="48">
        <v>35891</v>
      </c>
      <c r="B755" s="47" t="s">
        <v>74</v>
      </c>
      <c r="C755" s="47">
        <v>11001</v>
      </c>
      <c r="D755" s="47">
        <v>2769</v>
      </c>
    </row>
    <row r="756" spans="1:4" x14ac:dyDescent="0.15">
      <c r="A756" s="48">
        <v>35891</v>
      </c>
      <c r="B756" s="47" t="s">
        <v>102</v>
      </c>
      <c r="C756" s="47">
        <v>11003</v>
      </c>
      <c r="D756" s="47">
        <v>326</v>
      </c>
    </row>
    <row r="757" spans="1:4" x14ac:dyDescent="0.15">
      <c r="A757" s="48">
        <v>35891</v>
      </c>
      <c r="B757" s="47" t="s">
        <v>52</v>
      </c>
      <c r="C757" s="47">
        <v>11000</v>
      </c>
      <c r="D757" s="47">
        <v>903.75</v>
      </c>
    </row>
    <row r="758" spans="1:4" x14ac:dyDescent="0.15">
      <c r="A758" s="48">
        <v>35892</v>
      </c>
      <c r="B758" s="47" t="s">
        <v>64</v>
      </c>
      <c r="C758" s="47">
        <v>11006</v>
      </c>
      <c r="D758" s="47">
        <v>329.685</v>
      </c>
    </row>
    <row r="759" spans="1:4" x14ac:dyDescent="0.15">
      <c r="A759" s="48">
        <v>35892</v>
      </c>
      <c r="B759" s="47" t="s">
        <v>101</v>
      </c>
      <c r="C759" s="47">
        <v>11004</v>
      </c>
      <c r="D759" s="47">
        <v>295.38</v>
      </c>
    </row>
    <row r="760" spans="1:4" x14ac:dyDescent="0.15">
      <c r="A760" s="48">
        <v>35892</v>
      </c>
      <c r="B760" s="47" t="s">
        <v>100</v>
      </c>
      <c r="C760" s="47">
        <v>11005</v>
      </c>
      <c r="D760" s="47">
        <v>586</v>
      </c>
    </row>
    <row r="761" spans="1:4" x14ac:dyDescent="0.15">
      <c r="A761" s="48">
        <v>35893</v>
      </c>
      <c r="B761" s="47" t="s">
        <v>85</v>
      </c>
      <c r="C761" s="47">
        <v>11009</v>
      </c>
      <c r="D761" s="47">
        <v>616.5</v>
      </c>
    </row>
    <row r="762" spans="1:4" x14ac:dyDescent="0.15">
      <c r="A762" s="48">
        <v>35893</v>
      </c>
      <c r="B762" s="47" t="s">
        <v>99</v>
      </c>
      <c r="C762" s="47">
        <v>11007</v>
      </c>
      <c r="D762" s="47">
        <v>2633.9</v>
      </c>
    </row>
    <row r="763" spans="1:4" x14ac:dyDescent="0.15">
      <c r="A763" s="48">
        <v>35893</v>
      </c>
      <c r="B763" s="47" t="s">
        <v>55</v>
      </c>
      <c r="C763" s="47">
        <v>11008</v>
      </c>
      <c r="D763" s="47">
        <v>4680.8999966830015</v>
      </c>
    </row>
    <row r="764" spans="1:4" x14ac:dyDescent="0.15">
      <c r="A764" s="48">
        <v>35894</v>
      </c>
      <c r="B764" s="47" t="s">
        <v>98</v>
      </c>
      <c r="C764" s="47">
        <v>11013</v>
      </c>
      <c r="D764" s="47">
        <v>361</v>
      </c>
    </row>
    <row r="765" spans="1:4" x14ac:dyDescent="0.15">
      <c r="A765" s="48">
        <v>35894</v>
      </c>
      <c r="B765" s="47" t="s">
        <v>67</v>
      </c>
      <c r="C765" s="47">
        <v>11010</v>
      </c>
      <c r="D765" s="47">
        <v>645</v>
      </c>
    </row>
    <row r="766" spans="1:4" x14ac:dyDescent="0.15">
      <c r="A766" s="48">
        <v>35894</v>
      </c>
      <c r="B766" s="47" t="s">
        <v>53</v>
      </c>
      <c r="C766" s="47">
        <v>11011</v>
      </c>
      <c r="D766" s="47">
        <v>933.49999960511923</v>
      </c>
    </row>
    <row r="767" spans="1:4" x14ac:dyDescent="0.15">
      <c r="A767" s="48">
        <v>35894</v>
      </c>
      <c r="B767" s="47" t="s">
        <v>97</v>
      </c>
      <c r="C767" s="47">
        <v>11012</v>
      </c>
      <c r="D767" s="47">
        <v>2825.2999977841973</v>
      </c>
    </row>
    <row r="768" spans="1:4" x14ac:dyDescent="0.15">
      <c r="A768" s="48">
        <v>35895</v>
      </c>
      <c r="B768" s="47" t="s">
        <v>87</v>
      </c>
      <c r="C768" s="47">
        <v>11014</v>
      </c>
      <c r="D768" s="47">
        <v>243.17999959737062</v>
      </c>
    </row>
    <row r="769" spans="1:4" x14ac:dyDescent="0.15">
      <c r="A769" s="48">
        <v>35895</v>
      </c>
      <c r="B769" s="47" t="s">
        <v>96</v>
      </c>
      <c r="C769" s="47">
        <v>11015</v>
      </c>
      <c r="D769" s="47">
        <v>622.35</v>
      </c>
    </row>
    <row r="770" spans="1:4" x14ac:dyDescent="0.15">
      <c r="A770" s="48">
        <v>35895</v>
      </c>
      <c r="B770" s="47" t="s">
        <v>53</v>
      </c>
      <c r="C770" s="47">
        <v>11016</v>
      </c>
      <c r="D770" s="47">
        <v>491.5</v>
      </c>
    </row>
    <row r="771" spans="1:4" x14ac:dyDescent="0.15">
      <c r="A771" s="48">
        <v>35898</v>
      </c>
      <c r="B771" s="47" t="s">
        <v>95</v>
      </c>
      <c r="C771" s="47">
        <v>11019</v>
      </c>
      <c r="D771" s="47">
        <v>76</v>
      </c>
    </row>
    <row r="772" spans="1:4" x14ac:dyDescent="0.15">
      <c r="A772" s="48">
        <v>35898</v>
      </c>
      <c r="B772" s="47" t="s">
        <v>55</v>
      </c>
      <c r="C772" s="47">
        <v>11017</v>
      </c>
      <c r="D772" s="47">
        <v>6750</v>
      </c>
    </row>
    <row r="773" spans="1:4" x14ac:dyDescent="0.15">
      <c r="A773" s="48">
        <v>35898</v>
      </c>
      <c r="B773" s="47" t="s">
        <v>94</v>
      </c>
      <c r="C773" s="47">
        <v>11018</v>
      </c>
      <c r="D773" s="47">
        <v>1575</v>
      </c>
    </row>
    <row r="774" spans="1:4" x14ac:dyDescent="0.15">
      <c r="A774" s="48">
        <v>35899</v>
      </c>
      <c r="B774" s="47" t="s">
        <v>93</v>
      </c>
      <c r="C774" s="47">
        <v>11021</v>
      </c>
      <c r="D774" s="47">
        <v>6306.24</v>
      </c>
    </row>
    <row r="775" spans="1:4" x14ac:dyDescent="0.15">
      <c r="A775" s="48">
        <v>35899</v>
      </c>
      <c r="B775" s="47" t="s">
        <v>92</v>
      </c>
      <c r="C775" s="47">
        <v>11023</v>
      </c>
      <c r="D775" s="47">
        <v>1500</v>
      </c>
    </row>
    <row r="776" spans="1:4" x14ac:dyDescent="0.15">
      <c r="A776" s="48">
        <v>35899</v>
      </c>
      <c r="B776" s="47" t="s">
        <v>75</v>
      </c>
      <c r="C776" s="47">
        <v>11022</v>
      </c>
      <c r="D776" s="47">
        <v>1402</v>
      </c>
    </row>
    <row r="777" spans="1:4" x14ac:dyDescent="0.15">
      <c r="A777" s="48">
        <v>35899</v>
      </c>
      <c r="B777" s="47" t="s">
        <v>91</v>
      </c>
      <c r="C777" s="47">
        <v>11020</v>
      </c>
      <c r="D777" s="47">
        <v>632.39999556541443</v>
      </c>
    </row>
    <row r="778" spans="1:4" x14ac:dyDescent="0.15">
      <c r="A778" s="48">
        <v>35900</v>
      </c>
      <c r="B778" s="47" t="s">
        <v>90</v>
      </c>
      <c r="C778" s="47">
        <v>11025</v>
      </c>
      <c r="D778" s="47">
        <v>269.99999955296516</v>
      </c>
    </row>
    <row r="779" spans="1:4" x14ac:dyDescent="0.15">
      <c r="A779" s="48">
        <v>35900</v>
      </c>
      <c r="B779" s="47" t="s">
        <v>65</v>
      </c>
      <c r="C779" s="47">
        <v>11026</v>
      </c>
      <c r="D779" s="47">
        <v>1030</v>
      </c>
    </row>
    <row r="780" spans="1:4" x14ac:dyDescent="0.15">
      <c r="A780" s="48">
        <v>35900</v>
      </c>
      <c r="B780" s="47" t="s">
        <v>71</v>
      </c>
      <c r="C780" s="47">
        <v>11024</v>
      </c>
      <c r="D780" s="47">
        <v>1966.81</v>
      </c>
    </row>
    <row r="781" spans="1:4" x14ac:dyDescent="0.15">
      <c r="A781" s="48">
        <v>35901</v>
      </c>
      <c r="B781" s="47" t="s">
        <v>79</v>
      </c>
      <c r="C781" s="47">
        <v>11027</v>
      </c>
      <c r="D781" s="47">
        <v>877.72499999999991</v>
      </c>
    </row>
    <row r="782" spans="1:4" x14ac:dyDescent="0.15">
      <c r="A782" s="48">
        <v>35901</v>
      </c>
      <c r="B782" s="47" t="s">
        <v>83</v>
      </c>
      <c r="C782" s="47">
        <v>11029</v>
      </c>
      <c r="D782" s="47">
        <v>1286.8</v>
      </c>
    </row>
    <row r="783" spans="1:4" x14ac:dyDescent="0.15">
      <c r="A783" s="48">
        <v>35901</v>
      </c>
      <c r="B783" s="47" t="s">
        <v>89</v>
      </c>
      <c r="C783" s="47">
        <v>11028</v>
      </c>
      <c r="D783" s="47">
        <v>2160</v>
      </c>
    </row>
    <row r="784" spans="1:4" x14ac:dyDescent="0.15">
      <c r="A784" s="48">
        <v>35902</v>
      </c>
      <c r="B784" s="47" t="s">
        <v>63</v>
      </c>
      <c r="C784" s="47">
        <v>11030</v>
      </c>
      <c r="D784" s="47">
        <v>12615.05</v>
      </c>
    </row>
    <row r="785" spans="1:4" x14ac:dyDescent="0.15">
      <c r="A785" s="48">
        <v>35902</v>
      </c>
      <c r="B785" s="47" t="s">
        <v>63</v>
      </c>
      <c r="C785" s="47">
        <v>11031</v>
      </c>
      <c r="D785" s="47">
        <v>2393.5</v>
      </c>
    </row>
    <row r="786" spans="1:4" x14ac:dyDescent="0.15">
      <c r="A786" s="48">
        <v>35902</v>
      </c>
      <c r="B786" s="47" t="s">
        <v>62</v>
      </c>
      <c r="C786" s="47">
        <v>11032</v>
      </c>
      <c r="D786" s="47">
        <v>8902.5</v>
      </c>
    </row>
    <row r="787" spans="1:4" x14ac:dyDescent="0.15">
      <c r="A787" s="48">
        <v>35902</v>
      </c>
      <c r="B787" s="47" t="s">
        <v>51</v>
      </c>
      <c r="C787" s="47">
        <v>11033</v>
      </c>
      <c r="D787" s="47">
        <v>3232.7999946475029</v>
      </c>
    </row>
    <row r="788" spans="1:4" x14ac:dyDescent="0.15">
      <c r="A788" s="48">
        <v>35905</v>
      </c>
      <c r="B788" s="47" t="s">
        <v>86</v>
      </c>
      <c r="C788" s="47">
        <v>11035</v>
      </c>
      <c r="D788" s="47">
        <v>1754.5</v>
      </c>
    </row>
    <row r="789" spans="1:4" x14ac:dyDescent="0.15">
      <c r="A789" s="48">
        <v>35905</v>
      </c>
      <c r="B789" s="47" t="s">
        <v>88</v>
      </c>
      <c r="C789" s="47">
        <v>11034</v>
      </c>
      <c r="D789" s="47">
        <v>539.39999977648256</v>
      </c>
    </row>
    <row r="790" spans="1:4" x14ac:dyDescent="0.15">
      <c r="A790" s="48">
        <v>35905</v>
      </c>
      <c r="B790" s="47" t="s">
        <v>60</v>
      </c>
      <c r="C790" s="47">
        <v>11036</v>
      </c>
      <c r="D790" s="47">
        <v>1692</v>
      </c>
    </row>
    <row r="791" spans="1:4" x14ac:dyDescent="0.15">
      <c r="A791" s="48">
        <v>35906</v>
      </c>
      <c r="B791" s="47" t="s">
        <v>87</v>
      </c>
      <c r="C791" s="47">
        <v>11039</v>
      </c>
      <c r="D791" s="47">
        <v>3090</v>
      </c>
    </row>
    <row r="792" spans="1:4" x14ac:dyDescent="0.15">
      <c r="A792" s="48">
        <v>35906</v>
      </c>
      <c r="B792" s="47" t="s">
        <v>86</v>
      </c>
      <c r="C792" s="47">
        <v>11038</v>
      </c>
      <c r="D792" s="47">
        <v>732.59999972581863</v>
      </c>
    </row>
    <row r="793" spans="1:4" x14ac:dyDescent="0.15">
      <c r="A793" s="48">
        <v>35906</v>
      </c>
      <c r="B793" s="47" t="s">
        <v>85</v>
      </c>
      <c r="C793" s="47">
        <v>11037</v>
      </c>
      <c r="D793" s="47">
        <v>60</v>
      </c>
    </row>
    <row r="794" spans="1:4" x14ac:dyDescent="0.15">
      <c r="A794" s="48">
        <v>35907</v>
      </c>
      <c r="B794" s="47" t="s">
        <v>84</v>
      </c>
      <c r="C794" s="47">
        <v>11043</v>
      </c>
      <c r="D794" s="47">
        <v>210</v>
      </c>
    </row>
    <row r="795" spans="1:4" x14ac:dyDescent="0.15">
      <c r="A795" s="48">
        <v>35907</v>
      </c>
      <c r="B795" s="47" t="s">
        <v>83</v>
      </c>
      <c r="C795" s="47">
        <v>11041</v>
      </c>
      <c r="D795" s="47">
        <v>1772.9999983012676</v>
      </c>
    </row>
    <row r="796" spans="1:4" x14ac:dyDescent="0.15">
      <c r="A796" s="48">
        <v>35907</v>
      </c>
      <c r="B796" s="47" t="s">
        <v>82</v>
      </c>
      <c r="C796" s="47">
        <v>11042</v>
      </c>
      <c r="D796" s="47">
        <v>405.75</v>
      </c>
    </row>
    <row r="797" spans="1:4" x14ac:dyDescent="0.15">
      <c r="A797" s="48">
        <v>35907</v>
      </c>
      <c r="B797" s="47" t="s">
        <v>64</v>
      </c>
      <c r="C797" s="47">
        <v>11040</v>
      </c>
      <c r="D797" s="47">
        <v>200</v>
      </c>
    </row>
    <row r="798" spans="1:4" x14ac:dyDescent="0.15">
      <c r="A798" s="48">
        <v>35908</v>
      </c>
      <c r="B798" s="47" t="s">
        <v>79</v>
      </c>
      <c r="C798" s="47">
        <v>11045</v>
      </c>
      <c r="D798" s="47">
        <v>1309.5</v>
      </c>
    </row>
    <row r="799" spans="1:4" x14ac:dyDescent="0.15">
      <c r="A799" s="48">
        <v>35908</v>
      </c>
      <c r="B799" s="47" t="s">
        <v>81</v>
      </c>
      <c r="C799" s="47">
        <v>11044</v>
      </c>
      <c r="D799" s="47">
        <v>591.6</v>
      </c>
    </row>
    <row r="800" spans="1:4" x14ac:dyDescent="0.15">
      <c r="A800" s="48">
        <v>35908</v>
      </c>
      <c r="B800" s="47" t="s">
        <v>80</v>
      </c>
      <c r="C800" s="47">
        <v>11046</v>
      </c>
      <c r="D800" s="47">
        <v>1485.7999988347292</v>
      </c>
    </row>
    <row r="801" spans="1:4" x14ac:dyDescent="0.15">
      <c r="A801" s="48">
        <v>35909</v>
      </c>
      <c r="B801" s="47" t="s">
        <v>79</v>
      </c>
      <c r="C801" s="47">
        <v>11048</v>
      </c>
      <c r="D801" s="47">
        <v>525</v>
      </c>
    </row>
    <row r="802" spans="1:4" x14ac:dyDescent="0.15">
      <c r="A802" s="48">
        <v>35909</v>
      </c>
      <c r="B802" s="47" t="s">
        <v>78</v>
      </c>
      <c r="C802" s="47">
        <v>11049</v>
      </c>
      <c r="D802" s="47">
        <v>273.59999898076057</v>
      </c>
    </row>
    <row r="803" spans="1:4" x14ac:dyDescent="0.15">
      <c r="A803" s="48">
        <v>35909</v>
      </c>
      <c r="B803" s="47" t="s">
        <v>71</v>
      </c>
      <c r="C803" s="47">
        <v>11047</v>
      </c>
      <c r="D803" s="47">
        <v>817.875</v>
      </c>
    </row>
    <row r="804" spans="1:4" x14ac:dyDescent="0.15">
      <c r="A804" s="48">
        <v>35912</v>
      </c>
      <c r="B804" s="47" t="s">
        <v>77</v>
      </c>
      <c r="C804" s="47">
        <v>11051</v>
      </c>
      <c r="D804" s="47">
        <v>35.999999865889549</v>
      </c>
    </row>
    <row r="805" spans="1:4" x14ac:dyDescent="0.15">
      <c r="A805" s="48">
        <v>35912</v>
      </c>
      <c r="B805" s="47" t="s">
        <v>76</v>
      </c>
      <c r="C805" s="47">
        <v>11053</v>
      </c>
      <c r="D805" s="47">
        <v>3054.9999910034239</v>
      </c>
    </row>
    <row r="806" spans="1:4" x14ac:dyDescent="0.15">
      <c r="A806" s="48">
        <v>35912</v>
      </c>
      <c r="B806" s="47" t="s">
        <v>75</v>
      </c>
      <c r="C806" s="47">
        <v>11052</v>
      </c>
      <c r="D806" s="47">
        <v>1331.9999950379133</v>
      </c>
    </row>
    <row r="807" spans="1:4" x14ac:dyDescent="0.15">
      <c r="A807" s="48">
        <v>35912</v>
      </c>
      <c r="B807" s="47" t="s">
        <v>74</v>
      </c>
      <c r="C807" s="47">
        <v>11050</v>
      </c>
      <c r="D807" s="47">
        <v>809.99999865889549</v>
      </c>
    </row>
    <row r="808" spans="1:4" x14ac:dyDescent="0.15">
      <c r="A808" s="48">
        <v>35913</v>
      </c>
      <c r="B808" s="47" t="s">
        <v>73</v>
      </c>
      <c r="C808" s="47">
        <v>11054</v>
      </c>
      <c r="D808" s="47">
        <v>305</v>
      </c>
    </row>
    <row r="809" spans="1:4" x14ac:dyDescent="0.15">
      <c r="A809" s="48">
        <v>35913</v>
      </c>
      <c r="B809" s="47" t="s">
        <v>72</v>
      </c>
      <c r="C809" s="47">
        <v>11055</v>
      </c>
      <c r="D809" s="47">
        <v>1727.5</v>
      </c>
    </row>
    <row r="810" spans="1:4" x14ac:dyDescent="0.15">
      <c r="A810" s="48">
        <v>35913</v>
      </c>
      <c r="B810" s="47" t="s">
        <v>71</v>
      </c>
      <c r="C810" s="47">
        <v>11056</v>
      </c>
      <c r="D810" s="47">
        <v>3740</v>
      </c>
    </row>
    <row r="811" spans="1:4" x14ac:dyDescent="0.15">
      <c r="A811" s="48">
        <v>35914</v>
      </c>
      <c r="B811" s="47" t="s">
        <v>70</v>
      </c>
      <c r="C811" s="47">
        <v>11057</v>
      </c>
      <c r="D811" s="47">
        <v>45</v>
      </c>
    </row>
    <row r="812" spans="1:4" x14ac:dyDescent="0.15">
      <c r="A812" s="48">
        <v>35914</v>
      </c>
      <c r="B812" s="47" t="s">
        <v>69</v>
      </c>
      <c r="C812" s="47">
        <v>11058</v>
      </c>
      <c r="D812" s="47">
        <v>858</v>
      </c>
    </row>
    <row r="813" spans="1:4" x14ac:dyDescent="0.15">
      <c r="A813" s="48">
        <v>35914</v>
      </c>
      <c r="B813" s="47" t="s">
        <v>68</v>
      </c>
      <c r="C813" s="47">
        <v>11059</v>
      </c>
      <c r="D813" s="47">
        <v>1838</v>
      </c>
    </row>
    <row r="814" spans="1:4" x14ac:dyDescent="0.15">
      <c r="A814" s="48">
        <v>35915</v>
      </c>
      <c r="B814" s="47" t="s">
        <v>67</v>
      </c>
      <c r="C814" s="47">
        <v>11062</v>
      </c>
      <c r="D814" s="47">
        <v>406.39999848604202</v>
      </c>
    </row>
    <row r="815" spans="1:4" x14ac:dyDescent="0.15">
      <c r="A815" s="48">
        <v>35915</v>
      </c>
      <c r="B815" s="47" t="s">
        <v>66</v>
      </c>
      <c r="C815" s="47">
        <v>11063</v>
      </c>
      <c r="D815" s="47">
        <v>1342.9499984718859</v>
      </c>
    </row>
    <row r="816" spans="1:4" x14ac:dyDescent="0.15">
      <c r="A816" s="48">
        <v>35915</v>
      </c>
      <c r="B816" s="47" t="s">
        <v>65</v>
      </c>
      <c r="C816" s="47">
        <v>11060</v>
      </c>
      <c r="D816" s="47">
        <v>266</v>
      </c>
    </row>
    <row r="817" spans="1:4" x14ac:dyDescent="0.15">
      <c r="A817" s="48">
        <v>35915</v>
      </c>
      <c r="B817" s="47" t="s">
        <v>64</v>
      </c>
      <c r="C817" s="47">
        <v>11061</v>
      </c>
      <c r="D817" s="47">
        <v>510</v>
      </c>
    </row>
    <row r="818" spans="1:4" x14ac:dyDescent="0.15">
      <c r="A818" s="48">
        <v>35916</v>
      </c>
      <c r="B818" s="47" t="s">
        <v>63</v>
      </c>
      <c r="C818" s="47">
        <v>11064</v>
      </c>
      <c r="D818" s="47">
        <v>4330.3999941602351</v>
      </c>
    </row>
    <row r="819" spans="1:4" x14ac:dyDescent="0.15">
      <c r="A819" s="48">
        <v>35916</v>
      </c>
      <c r="B819" s="47" t="s">
        <v>58</v>
      </c>
      <c r="C819" s="47">
        <v>11065</v>
      </c>
      <c r="D819" s="47">
        <v>189.42000000000002</v>
      </c>
    </row>
    <row r="820" spans="1:4" x14ac:dyDescent="0.15">
      <c r="A820" s="48">
        <v>35916</v>
      </c>
      <c r="B820" s="47" t="s">
        <v>62</v>
      </c>
      <c r="C820" s="47">
        <v>11066</v>
      </c>
      <c r="D820" s="47">
        <v>928.75</v>
      </c>
    </row>
    <row r="821" spans="1:4" x14ac:dyDescent="0.15">
      <c r="A821" s="48">
        <v>35919</v>
      </c>
      <c r="B821" s="47" t="s">
        <v>61</v>
      </c>
      <c r="C821" s="47">
        <v>11068</v>
      </c>
      <c r="D821" s="47">
        <v>2027.0799857854843</v>
      </c>
    </row>
    <row r="822" spans="1:4" x14ac:dyDescent="0.15">
      <c r="A822" s="48">
        <v>35919</v>
      </c>
      <c r="B822" s="47" t="s">
        <v>60</v>
      </c>
      <c r="C822" s="47">
        <v>11067</v>
      </c>
      <c r="D822" s="47">
        <v>86.85</v>
      </c>
    </row>
    <row r="823" spans="1:4" x14ac:dyDescent="0.15">
      <c r="A823" s="48">
        <v>35919</v>
      </c>
      <c r="B823" s="47" t="s">
        <v>59</v>
      </c>
      <c r="C823" s="47">
        <v>11069</v>
      </c>
      <c r="D823" s="47">
        <v>360</v>
      </c>
    </row>
    <row r="824" spans="1:4" x14ac:dyDescent="0.15">
      <c r="A824" s="48">
        <v>35920</v>
      </c>
      <c r="B824" s="47" t="s">
        <v>58</v>
      </c>
      <c r="C824" s="47">
        <v>11071</v>
      </c>
      <c r="D824" s="47">
        <v>484.49999962002039</v>
      </c>
    </row>
    <row r="825" spans="1:4" x14ac:dyDescent="0.15">
      <c r="A825" s="48">
        <v>35920</v>
      </c>
      <c r="B825" s="47" t="s">
        <v>57</v>
      </c>
      <c r="C825" s="47">
        <v>11073</v>
      </c>
      <c r="D825" s="47">
        <v>300</v>
      </c>
    </row>
    <row r="826" spans="1:4" x14ac:dyDescent="0.15">
      <c r="A826" s="48">
        <v>35920</v>
      </c>
      <c r="B826" s="47" t="s">
        <v>56</v>
      </c>
      <c r="C826" s="47">
        <v>11070</v>
      </c>
      <c r="D826" s="47">
        <v>1629.9749903231859</v>
      </c>
    </row>
    <row r="827" spans="1:4" x14ac:dyDescent="0.15">
      <c r="A827" s="48">
        <v>35920</v>
      </c>
      <c r="B827" s="47" t="s">
        <v>55</v>
      </c>
      <c r="C827" s="47">
        <v>11072</v>
      </c>
      <c r="D827" s="47">
        <v>5218</v>
      </c>
    </row>
    <row r="828" spans="1:4" x14ac:dyDescent="0.15">
      <c r="A828" s="48">
        <v>35921</v>
      </c>
      <c r="B828" s="47" t="s">
        <v>54</v>
      </c>
      <c r="C828" s="47">
        <v>11074</v>
      </c>
      <c r="D828" s="47">
        <v>232.08499981798232</v>
      </c>
    </row>
    <row r="829" spans="1:4" x14ac:dyDescent="0.15">
      <c r="A829" s="48">
        <v>35921</v>
      </c>
      <c r="B829" s="47" t="s">
        <v>53</v>
      </c>
      <c r="C829" s="47">
        <v>11076</v>
      </c>
      <c r="D829" s="47">
        <v>792.75</v>
      </c>
    </row>
    <row r="830" spans="1:4" x14ac:dyDescent="0.15">
      <c r="A830" s="48">
        <v>35921</v>
      </c>
      <c r="B830" s="47" t="s">
        <v>52</v>
      </c>
      <c r="C830" s="47">
        <v>11077</v>
      </c>
      <c r="D830" s="47">
        <v>1255.7204986971803</v>
      </c>
    </row>
    <row r="831" spans="1:4" x14ac:dyDescent="0.15">
      <c r="A831" s="48">
        <v>35921</v>
      </c>
      <c r="B831" s="47" t="s">
        <v>51</v>
      </c>
      <c r="C831" s="47">
        <v>11075</v>
      </c>
      <c r="D831" s="47">
        <v>498.09999650716782</v>
      </c>
    </row>
  </sheetData>
  <phoneticPr fontId="11" type="noConversion"/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300"/>
  <sheetViews>
    <sheetView topLeftCell="A10" zoomScale="145" zoomScaleNormal="145" workbookViewId="0">
      <selection activeCell="J23" sqref="J23"/>
    </sheetView>
  </sheetViews>
  <sheetFormatPr defaultRowHeight="13.5" x14ac:dyDescent="0.15"/>
  <cols>
    <col min="1" max="1" width="11.5" customWidth="1"/>
    <col min="7" max="7" width="12.125" customWidth="1"/>
    <col min="9" max="9" width="9.75" bestFit="1" customWidth="1"/>
  </cols>
  <sheetData>
    <row r="1" spans="1:13" ht="14.25" x14ac:dyDescent="0.15">
      <c r="A1" s="31" t="s">
        <v>17</v>
      </c>
      <c r="B1" s="31" t="s">
        <v>18</v>
      </c>
      <c r="C1" s="31" t="s">
        <v>19</v>
      </c>
      <c r="D1" s="31" t="s">
        <v>20</v>
      </c>
      <c r="F1" s="118" t="s">
        <v>232</v>
      </c>
      <c r="G1" s="118" t="s">
        <v>233</v>
      </c>
    </row>
    <row r="2" spans="1:13" x14ac:dyDescent="0.15">
      <c r="A2" s="32">
        <v>34335</v>
      </c>
      <c r="B2" s="33" t="s">
        <v>21</v>
      </c>
      <c r="C2" s="33" t="s">
        <v>22</v>
      </c>
      <c r="D2" s="33">
        <v>17</v>
      </c>
      <c r="F2">
        <f>INDEX(F4:F6,F3,1)</f>
        <v>1996</v>
      </c>
      <c r="G2" t="str">
        <f>IF(G3=1,"",INDEX(G4:G11,G3,1))</f>
        <v/>
      </c>
      <c r="J2">
        <f>F17</f>
        <v>163395</v>
      </c>
    </row>
    <row r="3" spans="1:13" x14ac:dyDescent="0.15">
      <c r="A3" s="32">
        <v>34335</v>
      </c>
      <c r="B3" s="33" t="s">
        <v>21</v>
      </c>
      <c r="C3" s="33" t="s">
        <v>22</v>
      </c>
      <c r="D3" s="33">
        <v>90</v>
      </c>
      <c r="F3">
        <v>3</v>
      </c>
      <c r="G3">
        <v>1</v>
      </c>
      <c r="I3" s="119" t="s">
        <v>21</v>
      </c>
      <c r="J3">
        <f t="dataTable" ref="J3:J9" dt2D="0" dtr="0" r1="I14"/>
        <v>163395</v>
      </c>
      <c r="L3" t="s">
        <v>234</v>
      </c>
    </row>
    <row r="4" spans="1:13" x14ac:dyDescent="0.15">
      <c r="A4" s="32">
        <v>34335</v>
      </c>
      <c r="B4" s="33" t="s">
        <v>21</v>
      </c>
      <c r="C4" s="33" t="s">
        <v>22</v>
      </c>
      <c r="D4" s="33">
        <v>69</v>
      </c>
      <c r="E4" t="str">
        <f>F4&amp;"年"</f>
        <v>1994年</v>
      </c>
      <c r="F4">
        <v>1994</v>
      </c>
      <c r="G4" t="s">
        <v>235</v>
      </c>
      <c r="I4" s="119" t="s">
        <v>26</v>
      </c>
      <c r="J4">
        <v>167487</v>
      </c>
      <c r="K4">
        <v>1</v>
      </c>
      <c r="L4">
        <f>AVERAGE(J3:J9)</f>
        <v>104173.85714285714</v>
      </c>
    </row>
    <row r="5" spans="1:13" x14ac:dyDescent="0.15">
      <c r="A5" s="32">
        <v>34335</v>
      </c>
      <c r="B5" s="33" t="s">
        <v>21</v>
      </c>
      <c r="C5" s="33" t="s">
        <v>22</v>
      </c>
      <c r="D5" s="33">
        <v>68</v>
      </c>
      <c r="E5" t="str">
        <f t="shared" ref="E5:E6" si="0">F5&amp;"年"</f>
        <v>1995年</v>
      </c>
      <c r="F5">
        <v>1995</v>
      </c>
      <c r="G5" s="119" t="s">
        <v>32</v>
      </c>
      <c r="I5" s="119" t="s">
        <v>28</v>
      </c>
      <c r="J5">
        <v>120055</v>
      </c>
      <c r="K5">
        <v>7</v>
      </c>
      <c r="L5">
        <f>L4</f>
        <v>104173.85714285714</v>
      </c>
    </row>
    <row r="6" spans="1:13" x14ac:dyDescent="0.15">
      <c r="A6" s="32">
        <v>34335</v>
      </c>
      <c r="B6" s="33" t="s">
        <v>21</v>
      </c>
      <c r="C6" s="33" t="s">
        <v>23</v>
      </c>
      <c r="D6" s="33">
        <v>99</v>
      </c>
      <c r="E6" t="str">
        <f t="shared" si="0"/>
        <v>1996年</v>
      </c>
      <c r="F6">
        <v>1996</v>
      </c>
      <c r="G6" s="119" t="s">
        <v>27</v>
      </c>
      <c r="I6" s="119" t="s">
        <v>29</v>
      </c>
      <c r="J6">
        <v>51398</v>
      </c>
    </row>
    <row r="7" spans="1:13" x14ac:dyDescent="0.15">
      <c r="A7" s="32">
        <v>34335</v>
      </c>
      <c r="B7" s="33" t="s">
        <v>21</v>
      </c>
      <c r="C7" s="33" t="s">
        <v>23</v>
      </c>
      <c r="D7" s="33">
        <v>70</v>
      </c>
      <c r="G7" s="119" t="s">
        <v>24</v>
      </c>
      <c r="I7" s="119" t="s">
        <v>31</v>
      </c>
      <c r="J7">
        <v>131437</v>
      </c>
    </row>
    <row r="8" spans="1:13" x14ac:dyDescent="0.15">
      <c r="A8" s="32">
        <v>34335</v>
      </c>
      <c r="B8" s="33" t="s">
        <v>21</v>
      </c>
      <c r="C8" s="33" t="s">
        <v>23</v>
      </c>
      <c r="D8" s="33">
        <v>77</v>
      </c>
      <c r="G8" s="119" t="s">
        <v>25</v>
      </c>
      <c r="I8" s="119" t="s">
        <v>33</v>
      </c>
      <c r="J8">
        <v>87967</v>
      </c>
    </row>
    <row r="9" spans="1:13" x14ac:dyDescent="0.15">
      <c r="A9" s="32">
        <v>34335</v>
      </c>
      <c r="B9" s="33" t="s">
        <v>21</v>
      </c>
      <c r="C9" s="33" t="s">
        <v>23</v>
      </c>
      <c r="D9" s="33">
        <v>79</v>
      </c>
      <c r="G9" s="119" t="s">
        <v>30</v>
      </c>
      <c r="I9" s="119" t="s">
        <v>34</v>
      </c>
      <c r="J9">
        <v>7478</v>
      </c>
    </row>
    <row r="10" spans="1:13" x14ac:dyDescent="0.15">
      <c r="A10" s="32">
        <v>34335</v>
      </c>
      <c r="B10" s="33" t="s">
        <v>21</v>
      </c>
      <c r="C10" s="33" t="s">
        <v>24</v>
      </c>
      <c r="D10" s="33">
        <v>61</v>
      </c>
      <c r="G10" s="119" t="s">
        <v>22</v>
      </c>
    </row>
    <row r="11" spans="1:13" x14ac:dyDescent="0.15">
      <c r="A11" s="32">
        <v>34335</v>
      </c>
      <c r="B11" s="33" t="s">
        <v>21</v>
      </c>
      <c r="C11" s="33" t="s">
        <v>24</v>
      </c>
      <c r="D11" s="33">
        <v>110</v>
      </c>
      <c r="G11" s="119" t="s">
        <v>23</v>
      </c>
      <c r="J11">
        <v>1</v>
      </c>
      <c r="K11">
        <f>LARGE($J$3:$J$9,J11)</f>
        <v>167487</v>
      </c>
      <c r="L11" t="str">
        <f>INDEX($I$3:$I$9,MATCH(K11,$J$3:$J$9,0),1)</f>
        <v>安徽</v>
      </c>
    </row>
    <row r="12" spans="1:13" x14ac:dyDescent="0.15">
      <c r="A12" s="32">
        <v>34335</v>
      </c>
      <c r="B12" s="33" t="s">
        <v>21</v>
      </c>
      <c r="C12" s="33" t="s">
        <v>24</v>
      </c>
      <c r="D12" s="33">
        <v>113</v>
      </c>
      <c r="J12">
        <v>2</v>
      </c>
      <c r="K12">
        <f t="shared" ref="K12:K13" si="1">LARGE($J$3:$J$9,J12)</f>
        <v>163395</v>
      </c>
      <c r="L12" t="str">
        <f t="shared" ref="L12:L13" si="2">INDEX($I$3:$I$9,MATCH(K12,$J$3:$J$9,0),1)</f>
        <v>山东</v>
      </c>
    </row>
    <row r="13" spans="1:13" x14ac:dyDescent="0.15">
      <c r="A13" s="32">
        <v>34335</v>
      </c>
      <c r="B13" s="33" t="s">
        <v>21</v>
      </c>
      <c r="C13" s="33" t="s">
        <v>24</v>
      </c>
      <c r="D13" s="33">
        <v>68</v>
      </c>
      <c r="F13" t="s">
        <v>236</v>
      </c>
      <c r="G13" t="s">
        <v>236</v>
      </c>
      <c r="H13" t="s">
        <v>233</v>
      </c>
      <c r="I13" t="s">
        <v>237</v>
      </c>
      <c r="J13">
        <v>3</v>
      </c>
      <c r="K13">
        <f t="shared" si="1"/>
        <v>131437</v>
      </c>
      <c r="L13" t="str">
        <f t="shared" si="2"/>
        <v>广东</v>
      </c>
    </row>
    <row r="14" spans="1:13" x14ac:dyDescent="0.15">
      <c r="A14" s="32">
        <v>34335</v>
      </c>
      <c r="B14" s="33" t="s">
        <v>21</v>
      </c>
      <c r="C14" s="33" t="s">
        <v>24</v>
      </c>
      <c r="D14" s="33">
        <v>63</v>
      </c>
      <c r="F14" t="str">
        <f>"&gt;="&amp;F2&amp;"/1/1"</f>
        <v>&gt;=1996/1/1</v>
      </c>
      <c r="G14" t="str">
        <f>"&lt;="&amp;F2&amp;"/12/31"</f>
        <v>&lt;=1996/12/31</v>
      </c>
      <c r="H14" t="str">
        <f>G2</f>
        <v/>
      </c>
      <c r="I14" t="s">
        <v>238</v>
      </c>
      <c r="K14">
        <v>1</v>
      </c>
      <c r="L14">
        <v>2</v>
      </c>
      <c r="M14">
        <v>3</v>
      </c>
    </row>
    <row r="15" spans="1:13" x14ac:dyDescent="0.15">
      <c r="A15" s="32">
        <v>34335</v>
      </c>
      <c r="B15" s="33" t="s">
        <v>21</v>
      </c>
      <c r="C15" s="33" t="s">
        <v>25</v>
      </c>
      <c r="D15" s="33">
        <v>158</v>
      </c>
      <c r="J15" s="119" t="s">
        <v>21</v>
      </c>
      <c r="K15">
        <f>IF(J3=LARGE($J$3:$J$9,$K$14),J3,0)</f>
        <v>0</v>
      </c>
      <c r="L15">
        <f>IF(J3=LARGE($J$3:$J$9,$L$14),J3,0)</f>
        <v>163395</v>
      </c>
      <c r="M15">
        <f>IF(J3=LARGE($J$3:$J$9,$M$14),J3,0)</f>
        <v>0</v>
      </c>
    </row>
    <row r="16" spans="1:13" x14ac:dyDescent="0.15">
      <c r="A16" s="32">
        <v>34335</v>
      </c>
      <c r="B16" s="33" t="s">
        <v>21</v>
      </c>
      <c r="C16" s="33" t="s">
        <v>25</v>
      </c>
      <c r="D16" s="33">
        <v>79</v>
      </c>
      <c r="F16" t="s">
        <v>239</v>
      </c>
      <c r="J16" s="119" t="s">
        <v>26</v>
      </c>
      <c r="K16">
        <f t="shared" ref="K16:K21" si="3">IF(J4=LARGE($J$3:$J$9,$K$14),J4,0)</f>
        <v>167487</v>
      </c>
      <c r="L16">
        <f t="shared" ref="L16:L21" si="4">IF(J4=LARGE($J$3:$J$9,$L$14),J4,0)</f>
        <v>0</v>
      </c>
      <c r="M16">
        <f t="shared" ref="M16:M21" si="5">IF(J4=LARGE($J$3:$J$9,$M$14),J4,0)</f>
        <v>0</v>
      </c>
    </row>
    <row r="17" spans="1:13" x14ac:dyDescent="0.15">
      <c r="A17" s="32">
        <v>34335</v>
      </c>
      <c r="B17" s="33" t="s">
        <v>21</v>
      </c>
      <c r="C17" s="33" t="s">
        <v>25</v>
      </c>
      <c r="D17" s="33">
        <v>53</v>
      </c>
      <c r="F17">
        <f>DSUM(查询来自_abcsales,4,F13:I14)</f>
        <v>163395</v>
      </c>
      <c r="J17" s="119" t="s">
        <v>28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1:13" x14ac:dyDescent="0.15">
      <c r="A18" s="32">
        <v>34335</v>
      </c>
      <c r="B18" s="33" t="s">
        <v>21</v>
      </c>
      <c r="C18" s="33" t="s">
        <v>25</v>
      </c>
      <c r="D18" s="33">
        <v>175</v>
      </c>
      <c r="J18" s="119" t="s">
        <v>29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1:13" x14ac:dyDescent="0.15">
      <c r="A19" s="32">
        <v>34366</v>
      </c>
      <c r="B19" s="33" t="s">
        <v>21</v>
      </c>
      <c r="C19" s="33" t="s">
        <v>22</v>
      </c>
      <c r="D19" s="33">
        <v>83</v>
      </c>
      <c r="J19" s="119" t="s">
        <v>31</v>
      </c>
      <c r="K19">
        <f t="shared" si="3"/>
        <v>0</v>
      </c>
      <c r="L19">
        <f t="shared" si="4"/>
        <v>0</v>
      </c>
      <c r="M19">
        <f t="shared" si="5"/>
        <v>131437</v>
      </c>
    </row>
    <row r="20" spans="1:13" x14ac:dyDescent="0.15">
      <c r="A20" s="32">
        <v>34366</v>
      </c>
      <c r="B20" s="33" t="s">
        <v>21</v>
      </c>
      <c r="C20" s="33" t="s">
        <v>22</v>
      </c>
      <c r="D20" s="33">
        <v>79</v>
      </c>
      <c r="J20" s="119" t="s">
        <v>33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1:13" x14ac:dyDescent="0.15">
      <c r="A21" s="32">
        <v>34366</v>
      </c>
      <c r="B21" s="33" t="s">
        <v>21</v>
      </c>
      <c r="C21" s="33" t="s">
        <v>22</v>
      </c>
      <c r="D21" s="33">
        <v>28</v>
      </c>
      <c r="J21" s="119" t="s">
        <v>34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1:13" x14ac:dyDescent="0.15">
      <c r="A22" s="32">
        <v>34366</v>
      </c>
      <c r="B22" s="33" t="s">
        <v>21</v>
      </c>
      <c r="C22" s="33" t="s">
        <v>22</v>
      </c>
      <c r="D22" s="33">
        <v>122</v>
      </c>
    </row>
    <row r="23" spans="1:13" x14ac:dyDescent="0.15">
      <c r="A23" s="32">
        <v>34366</v>
      </c>
      <c r="B23" s="33" t="s">
        <v>21</v>
      </c>
      <c r="C23" s="33" t="s">
        <v>23</v>
      </c>
      <c r="D23" s="33">
        <v>105</v>
      </c>
    </row>
    <row r="24" spans="1:13" x14ac:dyDescent="0.15">
      <c r="A24" s="32">
        <v>34366</v>
      </c>
      <c r="B24" s="33" t="s">
        <v>21</v>
      </c>
      <c r="C24" s="33" t="s">
        <v>23</v>
      </c>
      <c r="D24" s="33">
        <v>112</v>
      </c>
    </row>
    <row r="25" spans="1:13" x14ac:dyDescent="0.15">
      <c r="A25" s="32">
        <v>34366</v>
      </c>
      <c r="B25" s="33" t="s">
        <v>21</v>
      </c>
      <c r="C25" s="33" t="s">
        <v>23</v>
      </c>
      <c r="D25" s="33">
        <v>113</v>
      </c>
    </row>
    <row r="26" spans="1:13" x14ac:dyDescent="0.15">
      <c r="A26" s="32">
        <v>34366</v>
      </c>
      <c r="B26" s="33" t="s">
        <v>21</v>
      </c>
      <c r="C26" s="33" t="s">
        <v>23</v>
      </c>
      <c r="D26" s="33">
        <v>99</v>
      </c>
    </row>
    <row r="27" spans="1:13" x14ac:dyDescent="0.15">
      <c r="A27" s="32">
        <v>34366</v>
      </c>
      <c r="B27" s="33" t="s">
        <v>21</v>
      </c>
      <c r="C27" s="33" t="s">
        <v>24</v>
      </c>
      <c r="D27" s="33">
        <v>88</v>
      </c>
    </row>
    <row r="28" spans="1:13" x14ac:dyDescent="0.15">
      <c r="A28" s="32">
        <v>34366</v>
      </c>
      <c r="B28" s="33" t="s">
        <v>21</v>
      </c>
      <c r="C28" s="33" t="s">
        <v>24</v>
      </c>
      <c r="D28" s="33">
        <v>70</v>
      </c>
    </row>
    <row r="29" spans="1:13" x14ac:dyDescent="0.15">
      <c r="A29" s="32">
        <v>34366</v>
      </c>
      <c r="B29" s="33" t="s">
        <v>21</v>
      </c>
      <c r="C29" s="33" t="s">
        <v>24</v>
      </c>
      <c r="D29" s="33">
        <v>99</v>
      </c>
    </row>
    <row r="30" spans="1:13" x14ac:dyDescent="0.15">
      <c r="A30" s="32">
        <v>34366</v>
      </c>
      <c r="B30" s="33" t="s">
        <v>21</v>
      </c>
      <c r="C30" s="33" t="s">
        <v>24</v>
      </c>
      <c r="D30" s="33">
        <v>90</v>
      </c>
    </row>
    <row r="31" spans="1:13" x14ac:dyDescent="0.15">
      <c r="A31" s="32">
        <v>34366</v>
      </c>
      <c r="B31" s="33" t="s">
        <v>21</v>
      </c>
      <c r="C31" s="33" t="s">
        <v>24</v>
      </c>
      <c r="D31" s="33">
        <v>179</v>
      </c>
    </row>
    <row r="32" spans="1:13" x14ac:dyDescent="0.15">
      <c r="A32" s="32">
        <v>34366</v>
      </c>
      <c r="B32" s="33" t="s">
        <v>21</v>
      </c>
      <c r="C32" s="33" t="s">
        <v>25</v>
      </c>
      <c r="D32" s="33">
        <v>101</v>
      </c>
    </row>
    <row r="33" spans="1:4" x14ac:dyDescent="0.15">
      <c r="A33" s="32">
        <v>34366</v>
      </c>
      <c r="B33" s="33" t="s">
        <v>21</v>
      </c>
      <c r="C33" s="33" t="s">
        <v>25</v>
      </c>
      <c r="D33" s="33">
        <v>175</v>
      </c>
    </row>
    <row r="34" spans="1:4" x14ac:dyDescent="0.15">
      <c r="A34" s="32">
        <v>34366</v>
      </c>
      <c r="B34" s="33" t="s">
        <v>21</v>
      </c>
      <c r="C34" s="33" t="s">
        <v>25</v>
      </c>
      <c r="D34" s="33">
        <v>158</v>
      </c>
    </row>
    <row r="35" spans="1:4" x14ac:dyDescent="0.15">
      <c r="A35" s="32">
        <v>34366</v>
      </c>
      <c r="B35" s="33" t="s">
        <v>21</v>
      </c>
      <c r="C35" s="33" t="s">
        <v>25</v>
      </c>
      <c r="D35" s="33">
        <v>61</v>
      </c>
    </row>
    <row r="36" spans="1:4" x14ac:dyDescent="0.15">
      <c r="A36" s="32">
        <v>34394</v>
      </c>
      <c r="B36" s="33" t="s">
        <v>21</v>
      </c>
      <c r="C36" s="33" t="s">
        <v>22</v>
      </c>
      <c r="D36" s="33">
        <v>55</v>
      </c>
    </row>
    <row r="37" spans="1:4" x14ac:dyDescent="0.15">
      <c r="A37" s="32">
        <v>34394</v>
      </c>
      <c r="B37" s="33" t="s">
        <v>21</v>
      </c>
      <c r="C37" s="33" t="s">
        <v>22</v>
      </c>
      <c r="D37" s="33">
        <v>138</v>
      </c>
    </row>
    <row r="38" spans="1:4" x14ac:dyDescent="0.15">
      <c r="A38" s="32">
        <v>34394</v>
      </c>
      <c r="B38" s="33" t="s">
        <v>26</v>
      </c>
      <c r="C38" s="33" t="s">
        <v>22</v>
      </c>
      <c r="D38" s="33">
        <v>2738</v>
      </c>
    </row>
    <row r="39" spans="1:4" x14ac:dyDescent="0.15">
      <c r="A39" s="32">
        <v>34394</v>
      </c>
      <c r="B39" s="33" t="s">
        <v>21</v>
      </c>
      <c r="C39" s="33" t="s">
        <v>22</v>
      </c>
      <c r="D39" s="33">
        <v>169</v>
      </c>
    </row>
    <row r="40" spans="1:4" x14ac:dyDescent="0.15">
      <c r="A40" s="32">
        <v>34394</v>
      </c>
      <c r="B40" s="33" t="s">
        <v>26</v>
      </c>
      <c r="C40" s="33" t="s">
        <v>22</v>
      </c>
      <c r="D40" s="33">
        <v>1682</v>
      </c>
    </row>
    <row r="41" spans="1:4" x14ac:dyDescent="0.15">
      <c r="A41" s="32">
        <v>34394</v>
      </c>
      <c r="B41" s="33" t="s">
        <v>21</v>
      </c>
      <c r="C41" s="33" t="s">
        <v>22</v>
      </c>
      <c r="D41" s="33">
        <v>203</v>
      </c>
    </row>
    <row r="42" spans="1:4" x14ac:dyDescent="0.15">
      <c r="A42" s="32">
        <v>34394</v>
      </c>
      <c r="B42" s="33" t="s">
        <v>21</v>
      </c>
      <c r="C42" s="33" t="s">
        <v>23</v>
      </c>
      <c r="D42" s="33">
        <v>140</v>
      </c>
    </row>
    <row r="43" spans="1:4" x14ac:dyDescent="0.15">
      <c r="A43" s="32">
        <v>34394</v>
      </c>
      <c r="B43" s="33" t="s">
        <v>26</v>
      </c>
      <c r="C43" s="33" t="s">
        <v>23</v>
      </c>
      <c r="D43" s="33">
        <v>101</v>
      </c>
    </row>
    <row r="44" spans="1:4" x14ac:dyDescent="0.15">
      <c r="A44" s="32">
        <v>34394</v>
      </c>
      <c r="B44" s="33" t="s">
        <v>21</v>
      </c>
      <c r="C44" s="33" t="s">
        <v>23</v>
      </c>
      <c r="D44" s="33">
        <v>53</v>
      </c>
    </row>
    <row r="45" spans="1:4" x14ac:dyDescent="0.15">
      <c r="A45" s="32">
        <v>34394</v>
      </c>
      <c r="B45" s="33" t="s">
        <v>26</v>
      </c>
      <c r="C45" s="33" t="s">
        <v>23</v>
      </c>
      <c r="D45" s="33">
        <v>61</v>
      </c>
    </row>
    <row r="46" spans="1:4" x14ac:dyDescent="0.15">
      <c r="A46" s="32">
        <v>34394</v>
      </c>
      <c r="B46" s="33" t="s">
        <v>21</v>
      </c>
      <c r="C46" s="33" t="s">
        <v>23</v>
      </c>
      <c r="D46" s="33">
        <v>101</v>
      </c>
    </row>
    <row r="47" spans="1:4" x14ac:dyDescent="0.15">
      <c r="A47" s="32">
        <v>34394</v>
      </c>
      <c r="B47" s="33" t="s">
        <v>21</v>
      </c>
      <c r="C47" s="33" t="s">
        <v>23</v>
      </c>
      <c r="D47" s="33">
        <v>90</v>
      </c>
    </row>
    <row r="48" spans="1:4" x14ac:dyDescent="0.15">
      <c r="A48" s="32">
        <v>34394</v>
      </c>
      <c r="B48" s="33" t="s">
        <v>21</v>
      </c>
      <c r="C48" s="33" t="s">
        <v>24</v>
      </c>
      <c r="D48" s="33">
        <v>210</v>
      </c>
    </row>
    <row r="49" spans="1:4" x14ac:dyDescent="0.15">
      <c r="A49" s="32">
        <v>34394</v>
      </c>
      <c r="B49" s="33" t="s">
        <v>21</v>
      </c>
      <c r="C49" s="33" t="s">
        <v>24</v>
      </c>
      <c r="D49" s="33">
        <v>113</v>
      </c>
    </row>
    <row r="50" spans="1:4" x14ac:dyDescent="0.15">
      <c r="A50" s="32">
        <v>34394</v>
      </c>
      <c r="B50" s="33" t="s">
        <v>21</v>
      </c>
      <c r="C50" s="33" t="s">
        <v>24</v>
      </c>
      <c r="D50" s="33">
        <v>179</v>
      </c>
    </row>
    <row r="51" spans="1:4" x14ac:dyDescent="0.15">
      <c r="A51" s="32">
        <v>34394</v>
      </c>
      <c r="B51" s="33" t="s">
        <v>21</v>
      </c>
      <c r="C51" s="33" t="s">
        <v>24</v>
      </c>
      <c r="D51" s="33">
        <v>90</v>
      </c>
    </row>
    <row r="52" spans="1:4" x14ac:dyDescent="0.15">
      <c r="A52" s="32">
        <v>34394</v>
      </c>
      <c r="B52" s="33" t="s">
        <v>21</v>
      </c>
      <c r="C52" s="33" t="s">
        <v>24</v>
      </c>
      <c r="D52" s="33">
        <v>77</v>
      </c>
    </row>
    <row r="53" spans="1:4" x14ac:dyDescent="0.15">
      <c r="A53" s="32">
        <v>34394</v>
      </c>
      <c r="B53" s="33" t="s">
        <v>26</v>
      </c>
      <c r="C53" s="33" t="s">
        <v>25</v>
      </c>
      <c r="D53" s="33">
        <v>113</v>
      </c>
    </row>
    <row r="54" spans="1:4" x14ac:dyDescent="0.15">
      <c r="A54" s="32">
        <v>34394</v>
      </c>
      <c r="B54" s="33" t="s">
        <v>21</v>
      </c>
      <c r="C54" s="33" t="s">
        <v>25</v>
      </c>
      <c r="D54" s="33">
        <v>180</v>
      </c>
    </row>
    <row r="55" spans="1:4" x14ac:dyDescent="0.15">
      <c r="A55" s="32">
        <v>34394</v>
      </c>
      <c r="B55" s="33" t="s">
        <v>21</v>
      </c>
      <c r="C55" s="33" t="s">
        <v>25</v>
      </c>
      <c r="D55" s="33">
        <v>113</v>
      </c>
    </row>
    <row r="56" spans="1:4" x14ac:dyDescent="0.15">
      <c r="A56" s="32">
        <v>34394</v>
      </c>
      <c r="B56" s="33" t="s">
        <v>21</v>
      </c>
      <c r="C56" s="33" t="s">
        <v>25</v>
      </c>
      <c r="D56" s="33">
        <v>114</v>
      </c>
    </row>
    <row r="57" spans="1:4" x14ac:dyDescent="0.15">
      <c r="A57" s="32">
        <v>34394</v>
      </c>
      <c r="B57" s="33" t="s">
        <v>26</v>
      </c>
      <c r="C57" s="33" t="s">
        <v>25</v>
      </c>
      <c r="D57" s="33">
        <v>149</v>
      </c>
    </row>
    <row r="58" spans="1:4" x14ac:dyDescent="0.15">
      <c r="A58" s="32">
        <v>34394</v>
      </c>
      <c r="B58" s="33" t="s">
        <v>21</v>
      </c>
      <c r="C58" s="33" t="s">
        <v>25</v>
      </c>
      <c r="D58" s="33">
        <v>140</v>
      </c>
    </row>
    <row r="59" spans="1:4" x14ac:dyDescent="0.15">
      <c r="A59" s="32">
        <v>34425</v>
      </c>
      <c r="B59" s="33" t="s">
        <v>21</v>
      </c>
      <c r="C59" s="33" t="s">
        <v>22</v>
      </c>
      <c r="D59" s="33">
        <v>206</v>
      </c>
    </row>
    <row r="60" spans="1:4" x14ac:dyDescent="0.15">
      <c r="A60" s="32">
        <v>34425</v>
      </c>
      <c r="B60" s="33" t="s">
        <v>26</v>
      </c>
      <c r="C60" s="33" t="s">
        <v>22</v>
      </c>
      <c r="D60" s="33">
        <v>1968</v>
      </c>
    </row>
    <row r="61" spans="1:4" x14ac:dyDescent="0.15">
      <c r="A61" s="32">
        <v>34425</v>
      </c>
      <c r="B61" s="33" t="s">
        <v>26</v>
      </c>
      <c r="C61" s="33" t="s">
        <v>22</v>
      </c>
      <c r="D61" s="33">
        <v>3850</v>
      </c>
    </row>
    <row r="62" spans="1:4" x14ac:dyDescent="0.15">
      <c r="A62" s="32">
        <v>34425</v>
      </c>
      <c r="B62" s="33" t="s">
        <v>21</v>
      </c>
      <c r="C62" s="33" t="s">
        <v>22</v>
      </c>
      <c r="D62" s="33">
        <v>180</v>
      </c>
    </row>
    <row r="63" spans="1:4" x14ac:dyDescent="0.15">
      <c r="A63" s="32">
        <v>34425</v>
      </c>
      <c r="B63" s="33" t="s">
        <v>21</v>
      </c>
      <c r="C63" s="33" t="s">
        <v>22</v>
      </c>
      <c r="D63" s="33">
        <v>158</v>
      </c>
    </row>
    <row r="64" spans="1:4" x14ac:dyDescent="0.15">
      <c r="A64" s="32">
        <v>34425</v>
      </c>
      <c r="B64" s="33" t="s">
        <v>21</v>
      </c>
      <c r="C64" s="33" t="s">
        <v>22</v>
      </c>
      <c r="D64" s="33">
        <v>110</v>
      </c>
    </row>
    <row r="65" spans="1:4" x14ac:dyDescent="0.15">
      <c r="A65" s="32">
        <v>34425</v>
      </c>
      <c r="B65" s="33" t="s">
        <v>21</v>
      </c>
      <c r="C65" s="33" t="s">
        <v>23</v>
      </c>
      <c r="D65" s="33">
        <v>113</v>
      </c>
    </row>
    <row r="66" spans="1:4" x14ac:dyDescent="0.15">
      <c r="A66" s="32">
        <v>34425</v>
      </c>
      <c r="B66" s="33" t="s">
        <v>26</v>
      </c>
      <c r="C66" s="33" t="s">
        <v>23</v>
      </c>
      <c r="D66" s="33">
        <v>113</v>
      </c>
    </row>
    <row r="67" spans="1:4" x14ac:dyDescent="0.15">
      <c r="A67" s="32">
        <v>34425</v>
      </c>
      <c r="B67" s="33" t="s">
        <v>21</v>
      </c>
      <c r="C67" s="33" t="s">
        <v>23</v>
      </c>
      <c r="D67" s="33">
        <v>113</v>
      </c>
    </row>
    <row r="68" spans="1:4" x14ac:dyDescent="0.15">
      <c r="A68" s="32">
        <v>34425</v>
      </c>
      <c r="B68" s="33" t="s">
        <v>21</v>
      </c>
      <c r="C68" s="33" t="s">
        <v>23</v>
      </c>
      <c r="D68" s="33">
        <v>44</v>
      </c>
    </row>
    <row r="69" spans="1:4" x14ac:dyDescent="0.15">
      <c r="A69" s="32">
        <v>34425</v>
      </c>
      <c r="B69" s="33" t="s">
        <v>26</v>
      </c>
      <c r="C69" s="33" t="s">
        <v>23</v>
      </c>
      <c r="D69" s="33">
        <v>44</v>
      </c>
    </row>
    <row r="70" spans="1:4" x14ac:dyDescent="0.15">
      <c r="A70" s="32">
        <v>34425</v>
      </c>
      <c r="B70" s="33" t="s">
        <v>21</v>
      </c>
      <c r="C70" s="33" t="s">
        <v>23</v>
      </c>
      <c r="D70" s="33">
        <v>221</v>
      </c>
    </row>
    <row r="71" spans="1:4" x14ac:dyDescent="0.15">
      <c r="A71" s="32">
        <v>34425</v>
      </c>
      <c r="B71" s="33" t="s">
        <v>21</v>
      </c>
      <c r="C71" s="33" t="s">
        <v>24</v>
      </c>
      <c r="D71" s="33">
        <v>442</v>
      </c>
    </row>
    <row r="72" spans="1:4" x14ac:dyDescent="0.15">
      <c r="A72" s="32">
        <v>34425</v>
      </c>
      <c r="B72" s="33" t="s">
        <v>21</v>
      </c>
      <c r="C72" s="33" t="s">
        <v>24</v>
      </c>
      <c r="D72" s="33">
        <v>193</v>
      </c>
    </row>
    <row r="73" spans="1:4" x14ac:dyDescent="0.15">
      <c r="A73" s="32">
        <v>34425</v>
      </c>
      <c r="B73" s="33" t="s">
        <v>21</v>
      </c>
      <c r="C73" s="33" t="s">
        <v>24</v>
      </c>
      <c r="D73" s="33">
        <v>59</v>
      </c>
    </row>
    <row r="74" spans="1:4" x14ac:dyDescent="0.15">
      <c r="A74" s="32">
        <v>34425</v>
      </c>
      <c r="B74" s="33" t="s">
        <v>21</v>
      </c>
      <c r="C74" s="33" t="s">
        <v>24</v>
      </c>
      <c r="D74" s="33">
        <v>79</v>
      </c>
    </row>
    <row r="75" spans="1:4" x14ac:dyDescent="0.15">
      <c r="A75" s="32">
        <v>34425</v>
      </c>
      <c r="B75" s="33" t="s">
        <v>21</v>
      </c>
      <c r="C75" s="33" t="s">
        <v>24</v>
      </c>
      <c r="D75" s="33">
        <v>70</v>
      </c>
    </row>
    <row r="76" spans="1:4" x14ac:dyDescent="0.15">
      <c r="A76" s="32">
        <v>34425</v>
      </c>
      <c r="B76" s="33" t="s">
        <v>21</v>
      </c>
      <c r="C76" s="33" t="s">
        <v>25</v>
      </c>
      <c r="D76" s="33">
        <v>123</v>
      </c>
    </row>
    <row r="77" spans="1:4" x14ac:dyDescent="0.15">
      <c r="A77" s="32">
        <v>34425</v>
      </c>
      <c r="B77" s="33" t="s">
        <v>26</v>
      </c>
      <c r="C77" s="33" t="s">
        <v>25</v>
      </c>
      <c r="D77" s="33">
        <v>146</v>
      </c>
    </row>
    <row r="78" spans="1:4" x14ac:dyDescent="0.15">
      <c r="A78" s="32">
        <v>34425</v>
      </c>
      <c r="B78" s="33" t="s">
        <v>21</v>
      </c>
      <c r="C78" s="33" t="s">
        <v>25</v>
      </c>
      <c r="D78" s="33">
        <v>146</v>
      </c>
    </row>
    <row r="79" spans="1:4" x14ac:dyDescent="0.15">
      <c r="A79" s="32">
        <v>34425</v>
      </c>
      <c r="B79" s="33" t="s">
        <v>26</v>
      </c>
      <c r="C79" s="33" t="s">
        <v>25</v>
      </c>
      <c r="D79" s="33">
        <v>131</v>
      </c>
    </row>
    <row r="80" spans="1:4" x14ac:dyDescent="0.15">
      <c r="A80" s="32">
        <v>34425</v>
      </c>
      <c r="B80" s="33" t="s">
        <v>21</v>
      </c>
      <c r="C80" s="33" t="s">
        <v>25</v>
      </c>
      <c r="D80" s="33">
        <v>158</v>
      </c>
    </row>
    <row r="81" spans="1:4" x14ac:dyDescent="0.15">
      <c r="A81" s="32">
        <v>34425</v>
      </c>
      <c r="B81" s="33" t="s">
        <v>21</v>
      </c>
      <c r="C81" s="33" t="s">
        <v>25</v>
      </c>
      <c r="D81" s="33">
        <v>180</v>
      </c>
    </row>
    <row r="82" spans="1:4" x14ac:dyDescent="0.15">
      <c r="A82" s="32">
        <v>34455</v>
      </c>
      <c r="B82" s="33" t="s">
        <v>26</v>
      </c>
      <c r="C82" s="33" t="s">
        <v>22</v>
      </c>
      <c r="D82" s="33">
        <v>2172</v>
      </c>
    </row>
    <row r="83" spans="1:4" x14ac:dyDescent="0.15">
      <c r="A83" s="32">
        <v>34455</v>
      </c>
      <c r="B83" s="33" t="s">
        <v>21</v>
      </c>
      <c r="C83" s="33" t="s">
        <v>22</v>
      </c>
      <c r="D83" s="33">
        <v>194</v>
      </c>
    </row>
    <row r="84" spans="1:4" x14ac:dyDescent="0.15">
      <c r="A84" s="32">
        <v>34455</v>
      </c>
      <c r="B84" s="33" t="s">
        <v>21</v>
      </c>
      <c r="C84" s="33" t="s">
        <v>22</v>
      </c>
      <c r="D84" s="33">
        <v>259</v>
      </c>
    </row>
    <row r="85" spans="1:4" x14ac:dyDescent="0.15">
      <c r="A85" s="32">
        <v>34455</v>
      </c>
      <c r="B85" s="33" t="s">
        <v>21</v>
      </c>
      <c r="C85" s="33" t="s">
        <v>22</v>
      </c>
      <c r="D85" s="33">
        <v>193</v>
      </c>
    </row>
    <row r="86" spans="1:4" x14ac:dyDescent="0.15">
      <c r="A86" s="32">
        <v>34455</v>
      </c>
      <c r="B86" s="33" t="s">
        <v>21</v>
      </c>
      <c r="C86" s="33" t="s">
        <v>22</v>
      </c>
      <c r="D86" s="33">
        <v>154</v>
      </c>
    </row>
    <row r="87" spans="1:4" x14ac:dyDescent="0.15">
      <c r="A87" s="32">
        <v>34455</v>
      </c>
      <c r="B87" s="33" t="s">
        <v>26</v>
      </c>
      <c r="C87" s="33" t="s">
        <v>22</v>
      </c>
      <c r="D87" s="33">
        <v>1804</v>
      </c>
    </row>
    <row r="88" spans="1:4" x14ac:dyDescent="0.15">
      <c r="A88" s="32">
        <v>34455</v>
      </c>
      <c r="B88" s="33" t="s">
        <v>21</v>
      </c>
      <c r="C88" s="33" t="s">
        <v>23</v>
      </c>
      <c r="D88" s="33">
        <v>308</v>
      </c>
    </row>
    <row r="89" spans="1:4" x14ac:dyDescent="0.15">
      <c r="A89" s="32">
        <v>34455</v>
      </c>
      <c r="B89" s="33" t="s">
        <v>21</v>
      </c>
      <c r="C89" s="33" t="s">
        <v>23</v>
      </c>
      <c r="D89" s="33">
        <v>18</v>
      </c>
    </row>
    <row r="90" spans="1:4" x14ac:dyDescent="0.15">
      <c r="A90" s="32">
        <v>34455</v>
      </c>
      <c r="B90" s="33" t="s">
        <v>21</v>
      </c>
      <c r="C90" s="33" t="s">
        <v>23</v>
      </c>
      <c r="D90" s="33">
        <v>104</v>
      </c>
    </row>
    <row r="91" spans="1:4" x14ac:dyDescent="0.15">
      <c r="A91" s="32">
        <v>34455</v>
      </c>
      <c r="B91" s="33" t="s">
        <v>26</v>
      </c>
      <c r="C91" s="33" t="s">
        <v>23</v>
      </c>
      <c r="D91" s="33">
        <v>53</v>
      </c>
    </row>
    <row r="92" spans="1:4" x14ac:dyDescent="0.15">
      <c r="A92" s="32">
        <v>34455</v>
      </c>
      <c r="B92" s="33" t="s">
        <v>26</v>
      </c>
      <c r="C92" s="33" t="s">
        <v>23</v>
      </c>
      <c r="D92" s="33">
        <v>79</v>
      </c>
    </row>
    <row r="93" spans="1:4" x14ac:dyDescent="0.15">
      <c r="A93" s="32">
        <v>34455</v>
      </c>
      <c r="B93" s="33" t="s">
        <v>21</v>
      </c>
      <c r="C93" s="33" t="s">
        <v>23</v>
      </c>
      <c r="D93" s="33">
        <v>135</v>
      </c>
    </row>
    <row r="94" spans="1:4" x14ac:dyDescent="0.15">
      <c r="A94" s="32">
        <v>34455</v>
      </c>
      <c r="B94" s="33" t="s">
        <v>21</v>
      </c>
      <c r="C94" s="33" t="s">
        <v>24</v>
      </c>
      <c r="D94" s="33">
        <v>385</v>
      </c>
    </row>
    <row r="95" spans="1:4" x14ac:dyDescent="0.15">
      <c r="A95" s="32">
        <v>34455</v>
      </c>
      <c r="B95" s="33" t="s">
        <v>21</v>
      </c>
      <c r="C95" s="33" t="s">
        <v>24</v>
      </c>
      <c r="D95" s="33">
        <v>81</v>
      </c>
    </row>
    <row r="96" spans="1:4" x14ac:dyDescent="0.15">
      <c r="A96" s="32">
        <v>34455</v>
      </c>
      <c r="B96" s="33" t="s">
        <v>21</v>
      </c>
      <c r="C96" s="33" t="s">
        <v>24</v>
      </c>
      <c r="D96" s="33">
        <v>371</v>
      </c>
    </row>
    <row r="97" spans="1:4" x14ac:dyDescent="0.15">
      <c r="A97" s="32">
        <v>34455</v>
      </c>
      <c r="B97" s="33" t="s">
        <v>21</v>
      </c>
      <c r="C97" s="33" t="s">
        <v>24</v>
      </c>
      <c r="D97" s="33">
        <v>90</v>
      </c>
    </row>
    <row r="98" spans="1:4" x14ac:dyDescent="0.15">
      <c r="A98" s="32">
        <v>34455</v>
      </c>
      <c r="B98" s="33" t="s">
        <v>21</v>
      </c>
      <c r="C98" s="33" t="s">
        <v>24</v>
      </c>
      <c r="D98" s="33">
        <v>53</v>
      </c>
    </row>
    <row r="99" spans="1:4" x14ac:dyDescent="0.15">
      <c r="A99" s="32">
        <v>34455</v>
      </c>
      <c r="B99" s="33" t="s">
        <v>21</v>
      </c>
      <c r="C99" s="33" t="s">
        <v>25</v>
      </c>
      <c r="D99" s="33">
        <v>114</v>
      </c>
    </row>
    <row r="100" spans="1:4" x14ac:dyDescent="0.15">
      <c r="A100" s="32">
        <v>34455</v>
      </c>
      <c r="B100" s="33" t="s">
        <v>21</v>
      </c>
      <c r="C100" s="33" t="s">
        <v>25</v>
      </c>
      <c r="D100" s="33">
        <v>225</v>
      </c>
    </row>
    <row r="101" spans="1:4" x14ac:dyDescent="0.15">
      <c r="A101" s="32">
        <v>34455</v>
      </c>
      <c r="B101" s="33" t="s">
        <v>21</v>
      </c>
      <c r="C101" s="33" t="s">
        <v>25</v>
      </c>
      <c r="D101" s="33">
        <v>146</v>
      </c>
    </row>
    <row r="102" spans="1:4" x14ac:dyDescent="0.15">
      <c r="A102" s="32">
        <v>34455</v>
      </c>
      <c r="B102" s="33" t="s">
        <v>21</v>
      </c>
      <c r="C102" s="33" t="s">
        <v>25</v>
      </c>
      <c r="D102" s="33">
        <v>158</v>
      </c>
    </row>
    <row r="103" spans="1:4" x14ac:dyDescent="0.15">
      <c r="A103" s="32">
        <v>34455</v>
      </c>
      <c r="B103" s="33" t="s">
        <v>26</v>
      </c>
      <c r="C103" s="33" t="s">
        <v>25</v>
      </c>
      <c r="D103" s="33">
        <v>169</v>
      </c>
    </row>
    <row r="104" spans="1:4" x14ac:dyDescent="0.15">
      <c r="A104" s="32">
        <v>34455</v>
      </c>
      <c r="B104" s="33" t="s">
        <v>26</v>
      </c>
      <c r="C104" s="33" t="s">
        <v>25</v>
      </c>
      <c r="D104" s="33">
        <v>123</v>
      </c>
    </row>
    <row r="105" spans="1:4" x14ac:dyDescent="0.15">
      <c r="A105" s="32">
        <v>34455</v>
      </c>
      <c r="B105" s="33" t="s">
        <v>21</v>
      </c>
      <c r="C105" s="33" t="s">
        <v>27</v>
      </c>
      <c r="D105" s="33">
        <v>360</v>
      </c>
    </row>
    <row r="106" spans="1:4" x14ac:dyDescent="0.15">
      <c r="A106" s="32">
        <v>34455</v>
      </c>
      <c r="B106" s="33" t="s">
        <v>26</v>
      </c>
      <c r="C106" s="33" t="s">
        <v>27</v>
      </c>
      <c r="D106" s="33">
        <v>113</v>
      </c>
    </row>
    <row r="107" spans="1:4" x14ac:dyDescent="0.15">
      <c r="A107" s="32">
        <v>34455</v>
      </c>
      <c r="B107" s="33" t="s">
        <v>21</v>
      </c>
      <c r="C107" s="33" t="s">
        <v>27</v>
      </c>
      <c r="D107" s="33">
        <v>406</v>
      </c>
    </row>
    <row r="108" spans="1:4" x14ac:dyDescent="0.15">
      <c r="A108" s="32">
        <v>34455</v>
      </c>
      <c r="B108" s="33" t="s">
        <v>21</v>
      </c>
      <c r="C108" s="33" t="s">
        <v>27</v>
      </c>
      <c r="D108" s="33">
        <v>90</v>
      </c>
    </row>
    <row r="109" spans="1:4" x14ac:dyDescent="0.15">
      <c r="A109" s="32">
        <v>34455</v>
      </c>
      <c r="B109" s="33" t="s">
        <v>26</v>
      </c>
      <c r="C109" s="33" t="s">
        <v>27</v>
      </c>
      <c r="D109" s="33">
        <v>96</v>
      </c>
    </row>
    <row r="110" spans="1:4" x14ac:dyDescent="0.15">
      <c r="A110" s="32">
        <v>34455</v>
      </c>
      <c r="B110" s="33" t="s">
        <v>21</v>
      </c>
      <c r="C110" s="33" t="s">
        <v>27</v>
      </c>
      <c r="D110" s="33">
        <v>53</v>
      </c>
    </row>
    <row r="111" spans="1:4" x14ac:dyDescent="0.15">
      <c r="A111" s="32">
        <v>34486</v>
      </c>
      <c r="B111" s="33" t="s">
        <v>26</v>
      </c>
      <c r="C111" s="33" t="s">
        <v>22</v>
      </c>
      <c r="D111" s="33">
        <v>4489</v>
      </c>
    </row>
    <row r="112" spans="1:4" x14ac:dyDescent="0.15">
      <c r="A112" s="32">
        <v>34486</v>
      </c>
      <c r="B112" s="33" t="s">
        <v>26</v>
      </c>
      <c r="C112" s="33" t="s">
        <v>22</v>
      </c>
      <c r="D112" s="33">
        <v>2273</v>
      </c>
    </row>
    <row r="113" spans="1:4" x14ac:dyDescent="0.15">
      <c r="A113" s="32">
        <v>34486</v>
      </c>
      <c r="B113" s="33" t="s">
        <v>21</v>
      </c>
      <c r="C113" s="33" t="s">
        <v>22</v>
      </c>
      <c r="D113" s="33">
        <v>220</v>
      </c>
    </row>
    <row r="114" spans="1:4" x14ac:dyDescent="0.15">
      <c r="A114" s="32">
        <v>34486</v>
      </c>
      <c r="B114" s="33" t="s">
        <v>21</v>
      </c>
      <c r="C114" s="33" t="s">
        <v>22</v>
      </c>
      <c r="D114" s="33">
        <v>149</v>
      </c>
    </row>
    <row r="115" spans="1:4" x14ac:dyDescent="0.15">
      <c r="A115" s="32">
        <v>34486</v>
      </c>
      <c r="B115" s="33" t="s">
        <v>21</v>
      </c>
      <c r="C115" s="33" t="s">
        <v>22</v>
      </c>
      <c r="D115" s="33">
        <v>338</v>
      </c>
    </row>
    <row r="116" spans="1:4" x14ac:dyDescent="0.15">
      <c r="A116" s="32">
        <v>34486</v>
      </c>
      <c r="B116" s="33" t="s">
        <v>21</v>
      </c>
      <c r="C116" s="33" t="s">
        <v>22</v>
      </c>
      <c r="D116" s="33">
        <v>338</v>
      </c>
    </row>
    <row r="117" spans="1:4" x14ac:dyDescent="0.15">
      <c r="A117" s="32">
        <v>34486</v>
      </c>
      <c r="B117" s="33" t="s">
        <v>21</v>
      </c>
      <c r="C117" s="33" t="s">
        <v>23</v>
      </c>
      <c r="D117" s="33">
        <v>180</v>
      </c>
    </row>
    <row r="118" spans="1:4" x14ac:dyDescent="0.15">
      <c r="A118" s="32">
        <v>34486</v>
      </c>
      <c r="B118" s="33" t="s">
        <v>26</v>
      </c>
      <c r="C118" s="33" t="s">
        <v>23</v>
      </c>
      <c r="D118" s="33">
        <v>53</v>
      </c>
    </row>
    <row r="119" spans="1:4" x14ac:dyDescent="0.15">
      <c r="A119" s="32">
        <v>34486</v>
      </c>
      <c r="B119" s="33" t="s">
        <v>21</v>
      </c>
      <c r="C119" s="33" t="s">
        <v>23</v>
      </c>
      <c r="D119" s="33">
        <v>392</v>
      </c>
    </row>
    <row r="120" spans="1:4" x14ac:dyDescent="0.15">
      <c r="A120" s="32">
        <v>34486</v>
      </c>
      <c r="B120" s="33" t="s">
        <v>21</v>
      </c>
      <c r="C120" s="33" t="s">
        <v>23</v>
      </c>
      <c r="D120" s="33">
        <v>113</v>
      </c>
    </row>
    <row r="121" spans="1:4" x14ac:dyDescent="0.15">
      <c r="A121" s="32">
        <v>34486</v>
      </c>
      <c r="B121" s="33" t="s">
        <v>26</v>
      </c>
      <c r="C121" s="33" t="s">
        <v>23</v>
      </c>
      <c r="D121" s="33">
        <v>113</v>
      </c>
    </row>
    <row r="122" spans="1:4" x14ac:dyDescent="0.15">
      <c r="A122" s="32">
        <v>34486</v>
      </c>
      <c r="B122" s="33" t="s">
        <v>21</v>
      </c>
      <c r="C122" s="33" t="s">
        <v>23</v>
      </c>
      <c r="D122" s="33">
        <v>26</v>
      </c>
    </row>
    <row r="123" spans="1:4" x14ac:dyDescent="0.15">
      <c r="A123" s="32">
        <v>34486</v>
      </c>
      <c r="B123" s="33" t="s">
        <v>21</v>
      </c>
      <c r="C123" s="33" t="s">
        <v>24</v>
      </c>
      <c r="D123" s="33">
        <v>46</v>
      </c>
    </row>
    <row r="124" spans="1:4" x14ac:dyDescent="0.15">
      <c r="A124" s="32">
        <v>34486</v>
      </c>
      <c r="B124" s="33" t="s">
        <v>21</v>
      </c>
      <c r="C124" s="33" t="s">
        <v>24</v>
      </c>
      <c r="D124" s="33">
        <v>45</v>
      </c>
    </row>
    <row r="125" spans="1:4" x14ac:dyDescent="0.15">
      <c r="A125" s="32">
        <v>34486</v>
      </c>
      <c r="B125" s="33" t="s">
        <v>21</v>
      </c>
      <c r="C125" s="33" t="s">
        <v>24</v>
      </c>
      <c r="D125" s="33">
        <v>45</v>
      </c>
    </row>
    <row r="126" spans="1:4" x14ac:dyDescent="0.15">
      <c r="A126" s="32">
        <v>34486</v>
      </c>
      <c r="B126" s="33" t="s">
        <v>21</v>
      </c>
      <c r="C126" s="33" t="s">
        <v>24</v>
      </c>
      <c r="D126" s="33">
        <v>620</v>
      </c>
    </row>
    <row r="127" spans="1:4" x14ac:dyDescent="0.15">
      <c r="A127" s="32">
        <v>34486</v>
      </c>
      <c r="B127" s="33" t="s">
        <v>21</v>
      </c>
      <c r="C127" s="33" t="s">
        <v>24</v>
      </c>
      <c r="D127" s="33">
        <v>428</v>
      </c>
    </row>
    <row r="128" spans="1:4" x14ac:dyDescent="0.15">
      <c r="A128" s="32">
        <v>34486</v>
      </c>
      <c r="B128" s="33" t="s">
        <v>26</v>
      </c>
      <c r="C128" s="33" t="s">
        <v>25</v>
      </c>
      <c r="D128" s="33">
        <v>236</v>
      </c>
    </row>
    <row r="129" spans="1:4" x14ac:dyDescent="0.15">
      <c r="A129" s="32">
        <v>34486</v>
      </c>
      <c r="B129" s="33" t="s">
        <v>21</v>
      </c>
      <c r="C129" s="33" t="s">
        <v>25</v>
      </c>
      <c r="D129" s="33">
        <v>166</v>
      </c>
    </row>
    <row r="130" spans="1:4" x14ac:dyDescent="0.15">
      <c r="A130" s="32">
        <v>34486</v>
      </c>
      <c r="B130" s="33" t="s">
        <v>21</v>
      </c>
      <c r="C130" s="33" t="s">
        <v>25</v>
      </c>
      <c r="D130" s="33">
        <v>158</v>
      </c>
    </row>
    <row r="131" spans="1:4" x14ac:dyDescent="0.15">
      <c r="A131" s="32">
        <v>34486</v>
      </c>
      <c r="B131" s="33" t="s">
        <v>21</v>
      </c>
      <c r="C131" s="33" t="s">
        <v>25</v>
      </c>
      <c r="D131" s="33">
        <v>146</v>
      </c>
    </row>
    <row r="132" spans="1:4" x14ac:dyDescent="0.15">
      <c r="A132" s="32">
        <v>34486</v>
      </c>
      <c r="B132" s="33" t="s">
        <v>26</v>
      </c>
      <c r="C132" s="33" t="s">
        <v>25</v>
      </c>
      <c r="D132" s="33">
        <v>114</v>
      </c>
    </row>
    <row r="133" spans="1:4" x14ac:dyDescent="0.15">
      <c r="A133" s="32">
        <v>34486</v>
      </c>
      <c r="B133" s="33" t="s">
        <v>21</v>
      </c>
      <c r="C133" s="33" t="s">
        <v>25</v>
      </c>
      <c r="D133" s="33">
        <v>203</v>
      </c>
    </row>
    <row r="134" spans="1:4" x14ac:dyDescent="0.15">
      <c r="A134" s="32">
        <v>34486</v>
      </c>
      <c r="B134" s="33" t="s">
        <v>21</v>
      </c>
      <c r="C134" s="33" t="s">
        <v>27</v>
      </c>
      <c r="D134" s="33">
        <v>56</v>
      </c>
    </row>
    <row r="135" spans="1:4" x14ac:dyDescent="0.15">
      <c r="A135" s="32">
        <v>34486</v>
      </c>
      <c r="B135" s="33" t="s">
        <v>21</v>
      </c>
      <c r="C135" s="33" t="s">
        <v>27</v>
      </c>
      <c r="D135" s="33">
        <v>26</v>
      </c>
    </row>
    <row r="136" spans="1:4" x14ac:dyDescent="0.15">
      <c r="A136" s="32">
        <v>34486</v>
      </c>
      <c r="B136" s="33" t="s">
        <v>26</v>
      </c>
      <c r="C136" s="33" t="s">
        <v>27</v>
      </c>
      <c r="D136" s="33">
        <v>140</v>
      </c>
    </row>
    <row r="137" spans="1:4" x14ac:dyDescent="0.15">
      <c r="A137" s="32">
        <v>34486</v>
      </c>
      <c r="B137" s="33" t="s">
        <v>26</v>
      </c>
      <c r="C137" s="33" t="s">
        <v>27</v>
      </c>
      <c r="D137" s="33">
        <v>191</v>
      </c>
    </row>
    <row r="138" spans="1:4" x14ac:dyDescent="0.15">
      <c r="A138" s="32">
        <v>34486</v>
      </c>
      <c r="B138" s="33" t="s">
        <v>21</v>
      </c>
      <c r="C138" s="33" t="s">
        <v>27</v>
      </c>
      <c r="D138" s="33">
        <v>469</v>
      </c>
    </row>
    <row r="139" spans="1:4" x14ac:dyDescent="0.15">
      <c r="A139" s="32">
        <v>34486</v>
      </c>
      <c r="B139" s="33" t="s">
        <v>21</v>
      </c>
      <c r="C139" s="33" t="s">
        <v>27</v>
      </c>
      <c r="D139" s="33">
        <v>149</v>
      </c>
    </row>
    <row r="140" spans="1:4" x14ac:dyDescent="0.15">
      <c r="A140" s="32">
        <v>34516</v>
      </c>
      <c r="B140" s="33" t="s">
        <v>26</v>
      </c>
      <c r="C140" s="33" t="s">
        <v>22</v>
      </c>
      <c r="D140" s="33">
        <v>3697</v>
      </c>
    </row>
    <row r="141" spans="1:4" x14ac:dyDescent="0.15">
      <c r="A141" s="32">
        <v>34516</v>
      </c>
      <c r="B141" s="33" t="s">
        <v>21</v>
      </c>
      <c r="C141" s="33" t="s">
        <v>22</v>
      </c>
      <c r="D141" s="33">
        <v>206</v>
      </c>
    </row>
    <row r="142" spans="1:4" x14ac:dyDescent="0.15">
      <c r="A142" s="32">
        <v>34516</v>
      </c>
      <c r="B142" s="33" t="s">
        <v>26</v>
      </c>
      <c r="C142" s="33" t="s">
        <v>22</v>
      </c>
      <c r="D142" s="33">
        <v>2156</v>
      </c>
    </row>
    <row r="143" spans="1:4" x14ac:dyDescent="0.15">
      <c r="A143" s="32">
        <v>34516</v>
      </c>
      <c r="B143" s="33" t="s">
        <v>26</v>
      </c>
      <c r="C143" s="33" t="s">
        <v>22</v>
      </c>
      <c r="D143" s="33">
        <v>659</v>
      </c>
    </row>
    <row r="144" spans="1:4" x14ac:dyDescent="0.15">
      <c r="A144" s="32">
        <v>34516</v>
      </c>
      <c r="B144" s="33" t="s">
        <v>21</v>
      </c>
      <c r="C144" s="33" t="s">
        <v>22</v>
      </c>
      <c r="D144" s="33">
        <v>204</v>
      </c>
    </row>
    <row r="145" spans="1:4" x14ac:dyDescent="0.15">
      <c r="A145" s="32">
        <v>34516</v>
      </c>
      <c r="B145" s="33" t="s">
        <v>26</v>
      </c>
      <c r="C145" s="33" t="s">
        <v>22</v>
      </c>
      <c r="D145" s="33">
        <v>358</v>
      </c>
    </row>
    <row r="146" spans="1:4" x14ac:dyDescent="0.15">
      <c r="A146" s="32">
        <v>34516</v>
      </c>
      <c r="B146" s="33" t="s">
        <v>21</v>
      </c>
      <c r="C146" s="33" t="s">
        <v>22</v>
      </c>
      <c r="D146" s="33">
        <v>270</v>
      </c>
    </row>
    <row r="147" spans="1:4" x14ac:dyDescent="0.15">
      <c r="A147" s="32">
        <v>34516</v>
      </c>
      <c r="B147" s="33" t="s">
        <v>21</v>
      </c>
      <c r="C147" s="33" t="s">
        <v>22</v>
      </c>
      <c r="D147" s="33">
        <v>212</v>
      </c>
    </row>
    <row r="148" spans="1:4" x14ac:dyDescent="0.15">
      <c r="A148" s="32">
        <v>34516</v>
      </c>
      <c r="B148" s="33" t="s">
        <v>21</v>
      </c>
      <c r="C148" s="33" t="s">
        <v>23</v>
      </c>
      <c r="D148" s="33">
        <v>53</v>
      </c>
    </row>
    <row r="149" spans="1:4" x14ac:dyDescent="0.15">
      <c r="A149" s="32">
        <v>34516</v>
      </c>
      <c r="B149" s="33" t="s">
        <v>21</v>
      </c>
      <c r="C149" s="33" t="s">
        <v>23</v>
      </c>
      <c r="D149" s="33">
        <v>167</v>
      </c>
    </row>
    <row r="150" spans="1:4" x14ac:dyDescent="0.15">
      <c r="A150" s="32">
        <v>34516</v>
      </c>
      <c r="B150" s="33" t="s">
        <v>26</v>
      </c>
      <c r="C150" s="33" t="s">
        <v>23</v>
      </c>
      <c r="D150" s="33">
        <v>298</v>
      </c>
    </row>
    <row r="151" spans="1:4" x14ac:dyDescent="0.15">
      <c r="A151" s="32">
        <v>34516</v>
      </c>
      <c r="B151" s="33" t="s">
        <v>26</v>
      </c>
      <c r="C151" s="33" t="s">
        <v>23</v>
      </c>
      <c r="D151" s="33">
        <v>135</v>
      </c>
    </row>
    <row r="152" spans="1:4" x14ac:dyDescent="0.15">
      <c r="A152" s="32">
        <v>34516</v>
      </c>
      <c r="B152" s="33" t="s">
        <v>21</v>
      </c>
      <c r="C152" s="33" t="s">
        <v>23</v>
      </c>
      <c r="D152" s="33">
        <v>304</v>
      </c>
    </row>
    <row r="153" spans="1:4" x14ac:dyDescent="0.15">
      <c r="A153" s="32">
        <v>34516</v>
      </c>
      <c r="B153" s="33" t="s">
        <v>26</v>
      </c>
      <c r="C153" s="33" t="s">
        <v>23</v>
      </c>
      <c r="D153" s="33">
        <v>473</v>
      </c>
    </row>
    <row r="154" spans="1:4" x14ac:dyDescent="0.15">
      <c r="A154" s="32">
        <v>34516</v>
      </c>
      <c r="B154" s="33" t="s">
        <v>26</v>
      </c>
      <c r="C154" s="33" t="s">
        <v>23</v>
      </c>
      <c r="D154" s="33">
        <v>61</v>
      </c>
    </row>
    <row r="155" spans="1:4" x14ac:dyDescent="0.15">
      <c r="A155" s="32">
        <v>34516</v>
      </c>
      <c r="B155" s="33" t="s">
        <v>21</v>
      </c>
      <c r="C155" s="33" t="s">
        <v>23</v>
      </c>
      <c r="D155" s="33">
        <v>427</v>
      </c>
    </row>
    <row r="156" spans="1:4" x14ac:dyDescent="0.15">
      <c r="A156" s="32">
        <v>34516</v>
      </c>
      <c r="B156" s="33" t="s">
        <v>26</v>
      </c>
      <c r="C156" s="33" t="s">
        <v>24</v>
      </c>
      <c r="D156" s="33">
        <v>146</v>
      </c>
    </row>
    <row r="157" spans="1:4" x14ac:dyDescent="0.15">
      <c r="A157" s="32">
        <v>34516</v>
      </c>
      <c r="B157" s="33" t="s">
        <v>21</v>
      </c>
      <c r="C157" s="33" t="s">
        <v>24</v>
      </c>
      <c r="D157" s="33">
        <v>32</v>
      </c>
    </row>
    <row r="158" spans="1:4" x14ac:dyDescent="0.15">
      <c r="A158" s="32">
        <v>34516</v>
      </c>
      <c r="B158" s="33" t="s">
        <v>26</v>
      </c>
      <c r="C158" s="33" t="s">
        <v>24</v>
      </c>
      <c r="D158" s="33">
        <v>193</v>
      </c>
    </row>
    <row r="159" spans="1:4" x14ac:dyDescent="0.15">
      <c r="A159" s="32">
        <v>34516</v>
      </c>
      <c r="B159" s="33" t="s">
        <v>21</v>
      </c>
      <c r="C159" s="33" t="s">
        <v>24</v>
      </c>
      <c r="D159" s="33">
        <v>79</v>
      </c>
    </row>
    <row r="160" spans="1:4" x14ac:dyDescent="0.15">
      <c r="A160" s="32">
        <v>34516</v>
      </c>
      <c r="B160" s="33" t="s">
        <v>26</v>
      </c>
      <c r="C160" s="33" t="s">
        <v>24</v>
      </c>
      <c r="D160" s="33">
        <v>114</v>
      </c>
    </row>
    <row r="161" spans="1:4" x14ac:dyDescent="0.15">
      <c r="A161" s="32">
        <v>34516</v>
      </c>
      <c r="B161" s="33" t="s">
        <v>21</v>
      </c>
      <c r="C161" s="33" t="s">
        <v>24</v>
      </c>
      <c r="D161" s="33">
        <v>72</v>
      </c>
    </row>
    <row r="162" spans="1:4" x14ac:dyDescent="0.15">
      <c r="A162" s="32">
        <v>34516</v>
      </c>
      <c r="B162" s="33" t="s">
        <v>26</v>
      </c>
      <c r="C162" s="33" t="s">
        <v>24</v>
      </c>
      <c r="D162" s="33">
        <v>138</v>
      </c>
    </row>
    <row r="163" spans="1:4" x14ac:dyDescent="0.15">
      <c r="A163" s="32">
        <v>34516</v>
      </c>
      <c r="B163" s="33" t="s">
        <v>21</v>
      </c>
      <c r="C163" s="33" t="s">
        <v>24</v>
      </c>
      <c r="D163" s="33">
        <v>53</v>
      </c>
    </row>
    <row r="164" spans="1:4" x14ac:dyDescent="0.15">
      <c r="A164" s="32">
        <v>34516</v>
      </c>
      <c r="B164" s="33" t="s">
        <v>26</v>
      </c>
      <c r="C164" s="33" t="s">
        <v>24</v>
      </c>
      <c r="D164" s="33">
        <v>203</v>
      </c>
    </row>
    <row r="165" spans="1:4" x14ac:dyDescent="0.15">
      <c r="A165" s="32">
        <v>34516</v>
      </c>
      <c r="B165" s="33" t="s">
        <v>26</v>
      </c>
      <c r="C165" s="33" t="s">
        <v>24</v>
      </c>
      <c r="D165" s="33">
        <v>854</v>
      </c>
    </row>
    <row r="166" spans="1:4" x14ac:dyDescent="0.15">
      <c r="A166" s="32">
        <v>34516</v>
      </c>
      <c r="B166" s="33" t="s">
        <v>21</v>
      </c>
      <c r="C166" s="33" t="s">
        <v>24</v>
      </c>
      <c r="D166" s="33">
        <v>694</v>
      </c>
    </row>
    <row r="167" spans="1:4" x14ac:dyDescent="0.15">
      <c r="A167" s="32">
        <v>34516</v>
      </c>
      <c r="B167" s="33" t="s">
        <v>21</v>
      </c>
      <c r="C167" s="33" t="s">
        <v>24</v>
      </c>
      <c r="D167" s="33">
        <v>705</v>
      </c>
    </row>
    <row r="168" spans="1:4" x14ac:dyDescent="0.15">
      <c r="A168" s="32">
        <v>34516</v>
      </c>
      <c r="B168" s="33" t="s">
        <v>26</v>
      </c>
      <c r="C168" s="33" t="s">
        <v>25</v>
      </c>
      <c r="D168" s="33">
        <v>1422</v>
      </c>
    </row>
    <row r="169" spans="1:4" x14ac:dyDescent="0.15">
      <c r="A169" s="32">
        <v>34516</v>
      </c>
      <c r="B169" s="33" t="s">
        <v>26</v>
      </c>
      <c r="C169" s="33" t="s">
        <v>25</v>
      </c>
      <c r="D169" s="33">
        <v>149</v>
      </c>
    </row>
    <row r="170" spans="1:4" x14ac:dyDescent="0.15">
      <c r="A170" s="32">
        <v>34516</v>
      </c>
      <c r="B170" s="33" t="s">
        <v>21</v>
      </c>
      <c r="C170" s="33" t="s">
        <v>25</v>
      </c>
      <c r="D170" s="33">
        <v>175</v>
      </c>
    </row>
    <row r="171" spans="1:4" x14ac:dyDescent="0.15">
      <c r="A171" s="32">
        <v>34516</v>
      </c>
      <c r="B171" s="33" t="s">
        <v>26</v>
      </c>
      <c r="C171" s="33" t="s">
        <v>25</v>
      </c>
      <c r="D171" s="33">
        <v>169</v>
      </c>
    </row>
    <row r="172" spans="1:4" x14ac:dyDescent="0.15">
      <c r="A172" s="32">
        <v>34516</v>
      </c>
      <c r="B172" s="33" t="s">
        <v>21</v>
      </c>
      <c r="C172" s="33" t="s">
        <v>25</v>
      </c>
      <c r="D172" s="33">
        <v>210</v>
      </c>
    </row>
    <row r="173" spans="1:4" x14ac:dyDescent="0.15">
      <c r="A173" s="32">
        <v>34516</v>
      </c>
      <c r="B173" s="33" t="s">
        <v>26</v>
      </c>
      <c r="C173" s="33" t="s">
        <v>25</v>
      </c>
      <c r="D173" s="33">
        <v>591</v>
      </c>
    </row>
    <row r="174" spans="1:4" x14ac:dyDescent="0.15">
      <c r="A174" s="32">
        <v>34516</v>
      </c>
      <c r="B174" s="33" t="s">
        <v>21</v>
      </c>
      <c r="C174" s="33" t="s">
        <v>25</v>
      </c>
      <c r="D174" s="33">
        <v>203</v>
      </c>
    </row>
    <row r="175" spans="1:4" x14ac:dyDescent="0.15">
      <c r="A175" s="32">
        <v>34516</v>
      </c>
      <c r="B175" s="33" t="s">
        <v>21</v>
      </c>
      <c r="C175" s="33" t="s">
        <v>25</v>
      </c>
      <c r="D175" s="33">
        <v>135</v>
      </c>
    </row>
    <row r="176" spans="1:4" x14ac:dyDescent="0.15">
      <c r="A176" s="32">
        <v>34516</v>
      </c>
      <c r="B176" s="33" t="s">
        <v>26</v>
      </c>
      <c r="C176" s="33" t="s">
        <v>27</v>
      </c>
      <c r="D176" s="33">
        <v>1468</v>
      </c>
    </row>
    <row r="177" spans="1:4" x14ac:dyDescent="0.15">
      <c r="A177" s="32">
        <v>34516</v>
      </c>
      <c r="B177" s="33" t="s">
        <v>26</v>
      </c>
      <c r="C177" s="33" t="s">
        <v>27</v>
      </c>
      <c r="D177" s="33">
        <v>306</v>
      </c>
    </row>
    <row r="178" spans="1:4" x14ac:dyDescent="0.15">
      <c r="A178" s="32">
        <v>34516</v>
      </c>
      <c r="B178" s="33" t="s">
        <v>26</v>
      </c>
      <c r="C178" s="33" t="s">
        <v>27</v>
      </c>
      <c r="D178" s="33">
        <v>326</v>
      </c>
    </row>
    <row r="179" spans="1:4" x14ac:dyDescent="0.15">
      <c r="A179" s="32">
        <v>34516</v>
      </c>
      <c r="B179" s="33" t="s">
        <v>21</v>
      </c>
      <c r="C179" s="33" t="s">
        <v>27</v>
      </c>
      <c r="D179" s="33">
        <v>378</v>
      </c>
    </row>
    <row r="180" spans="1:4" x14ac:dyDescent="0.15">
      <c r="A180" s="32">
        <v>34516</v>
      </c>
      <c r="B180" s="33" t="s">
        <v>21</v>
      </c>
      <c r="C180" s="33" t="s">
        <v>27</v>
      </c>
      <c r="D180" s="33">
        <v>56</v>
      </c>
    </row>
    <row r="181" spans="1:4" x14ac:dyDescent="0.15">
      <c r="A181" s="32">
        <v>34516</v>
      </c>
      <c r="B181" s="33" t="s">
        <v>26</v>
      </c>
      <c r="C181" s="33" t="s">
        <v>27</v>
      </c>
      <c r="D181" s="33">
        <v>997</v>
      </c>
    </row>
    <row r="182" spans="1:4" x14ac:dyDescent="0.15">
      <c r="A182" s="32">
        <v>34516</v>
      </c>
      <c r="B182" s="33" t="s">
        <v>21</v>
      </c>
      <c r="C182" s="33" t="s">
        <v>27</v>
      </c>
      <c r="D182" s="33">
        <v>35</v>
      </c>
    </row>
    <row r="183" spans="1:4" x14ac:dyDescent="0.15">
      <c r="A183" s="32">
        <v>34516</v>
      </c>
      <c r="B183" s="33" t="s">
        <v>21</v>
      </c>
      <c r="C183" s="33" t="s">
        <v>27</v>
      </c>
      <c r="D183" s="33">
        <v>410</v>
      </c>
    </row>
    <row r="184" spans="1:4" x14ac:dyDescent="0.15">
      <c r="A184" s="32">
        <v>34547</v>
      </c>
      <c r="B184" s="33" t="s">
        <v>26</v>
      </c>
      <c r="C184" s="33" t="s">
        <v>22</v>
      </c>
      <c r="D184" s="33">
        <v>1982</v>
      </c>
    </row>
    <row r="185" spans="1:4" x14ac:dyDescent="0.15">
      <c r="A185" s="32">
        <v>34547</v>
      </c>
      <c r="B185" s="33" t="s">
        <v>26</v>
      </c>
      <c r="C185" s="33" t="s">
        <v>22</v>
      </c>
      <c r="D185" s="33">
        <v>1974</v>
      </c>
    </row>
    <row r="186" spans="1:4" x14ac:dyDescent="0.15">
      <c r="A186" s="32">
        <v>34547</v>
      </c>
      <c r="B186" s="33" t="s">
        <v>26</v>
      </c>
      <c r="C186" s="33" t="s">
        <v>22</v>
      </c>
      <c r="D186" s="33">
        <v>413</v>
      </c>
    </row>
    <row r="187" spans="1:4" x14ac:dyDescent="0.15">
      <c r="A187" s="32">
        <v>34547</v>
      </c>
      <c r="B187" s="33" t="s">
        <v>26</v>
      </c>
      <c r="C187" s="33" t="s">
        <v>22</v>
      </c>
      <c r="D187" s="33">
        <v>293</v>
      </c>
    </row>
    <row r="188" spans="1:4" x14ac:dyDescent="0.15">
      <c r="A188" s="32">
        <v>34547</v>
      </c>
      <c r="B188" s="33" t="s">
        <v>21</v>
      </c>
      <c r="C188" s="33" t="s">
        <v>22</v>
      </c>
      <c r="D188" s="33">
        <v>286</v>
      </c>
    </row>
    <row r="189" spans="1:4" x14ac:dyDescent="0.15">
      <c r="A189" s="32">
        <v>34547</v>
      </c>
      <c r="B189" s="33" t="s">
        <v>21</v>
      </c>
      <c r="C189" s="33" t="s">
        <v>22</v>
      </c>
      <c r="D189" s="33">
        <v>270</v>
      </c>
    </row>
    <row r="190" spans="1:4" x14ac:dyDescent="0.15">
      <c r="A190" s="32">
        <v>34547</v>
      </c>
      <c r="B190" s="33" t="s">
        <v>21</v>
      </c>
      <c r="C190" s="33" t="s">
        <v>22</v>
      </c>
      <c r="D190" s="33">
        <v>193</v>
      </c>
    </row>
    <row r="191" spans="1:4" x14ac:dyDescent="0.15">
      <c r="A191" s="32">
        <v>34547</v>
      </c>
      <c r="B191" s="33" t="s">
        <v>21</v>
      </c>
      <c r="C191" s="33" t="s">
        <v>22</v>
      </c>
      <c r="D191" s="33">
        <v>169</v>
      </c>
    </row>
    <row r="192" spans="1:4" x14ac:dyDescent="0.15">
      <c r="A192" s="32">
        <v>34547</v>
      </c>
      <c r="B192" s="33" t="s">
        <v>21</v>
      </c>
      <c r="C192" s="33" t="s">
        <v>23</v>
      </c>
      <c r="D192" s="33">
        <v>105</v>
      </c>
    </row>
    <row r="193" spans="1:4" x14ac:dyDescent="0.15">
      <c r="A193" s="32">
        <v>34547</v>
      </c>
      <c r="B193" s="33" t="s">
        <v>21</v>
      </c>
      <c r="C193" s="33" t="s">
        <v>23</v>
      </c>
      <c r="D193" s="33">
        <v>571</v>
      </c>
    </row>
    <row r="194" spans="1:4" x14ac:dyDescent="0.15">
      <c r="A194" s="32">
        <v>34547</v>
      </c>
      <c r="B194" s="33" t="s">
        <v>26</v>
      </c>
      <c r="C194" s="33" t="s">
        <v>23</v>
      </c>
      <c r="D194" s="33">
        <v>158</v>
      </c>
    </row>
    <row r="195" spans="1:4" x14ac:dyDescent="0.15">
      <c r="A195" s="32">
        <v>34547</v>
      </c>
      <c r="B195" s="33" t="s">
        <v>21</v>
      </c>
      <c r="C195" s="33" t="s">
        <v>23</v>
      </c>
      <c r="D195" s="33">
        <v>270</v>
      </c>
    </row>
    <row r="196" spans="1:4" x14ac:dyDescent="0.15">
      <c r="A196" s="32">
        <v>34547</v>
      </c>
      <c r="B196" s="33" t="s">
        <v>21</v>
      </c>
      <c r="C196" s="33" t="s">
        <v>23</v>
      </c>
      <c r="D196" s="33">
        <v>203</v>
      </c>
    </row>
    <row r="197" spans="1:4" x14ac:dyDescent="0.15">
      <c r="A197" s="32">
        <v>34547</v>
      </c>
      <c r="B197" s="33" t="s">
        <v>26</v>
      </c>
      <c r="C197" s="33" t="s">
        <v>23</v>
      </c>
      <c r="D197" s="33">
        <v>525</v>
      </c>
    </row>
    <row r="198" spans="1:4" x14ac:dyDescent="0.15">
      <c r="A198" s="32">
        <v>34547</v>
      </c>
      <c r="B198" s="33" t="s">
        <v>26</v>
      </c>
      <c r="C198" s="33" t="s">
        <v>23</v>
      </c>
      <c r="D198" s="33">
        <v>70</v>
      </c>
    </row>
    <row r="199" spans="1:4" x14ac:dyDescent="0.15">
      <c r="A199" s="32">
        <v>34547</v>
      </c>
      <c r="B199" s="33" t="s">
        <v>26</v>
      </c>
      <c r="C199" s="33" t="s">
        <v>23</v>
      </c>
      <c r="D199" s="33">
        <v>495</v>
      </c>
    </row>
    <row r="200" spans="1:4" x14ac:dyDescent="0.15">
      <c r="A200" s="32">
        <v>34547</v>
      </c>
      <c r="B200" s="33" t="s">
        <v>26</v>
      </c>
      <c r="C200" s="33" t="s">
        <v>24</v>
      </c>
      <c r="D200" s="33">
        <v>931</v>
      </c>
    </row>
    <row r="201" spans="1:4" x14ac:dyDescent="0.15">
      <c r="A201" s="32">
        <v>34547</v>
      </c>
      <c r="B201" s="33" t="s">
        <v>21</v>
      </c>
      <c r="C201" s="33" t="s">
        <v>24</v>
      </c>
      <c r="D201" s="33">
        <v>939</v>
      </c>
    </row>
    <row r="202" spans="1:4" x14ac:dyDescent="0.15">
      <c r="A202" s="32">
        <v>34547</v>
      </c>
      <c r="B202" s="33" t="s">
        <v>21</v>
      </c>
      <c r="C202" s="33" t="s">
        <v>24</v>
      </c>
      <c r="D202" s="33">
        <v>761</v>
      </c>
    </row>
    <row r="203" spans="1:4" x14ac:dyDescent="0.15">
      <c r="A203" s="32">
        <v>34547</v>
      </c>
      <c r="B203" s="33" t="s">
        <v>21</v>
      </c>
      <c r="C203" s="33" t="s">
        <v>24</v>
      </c>
      <c r="D203" s="33">
        <v>56</v>
      </c>
    </row>
    <row r="204" spans="1:4" x14ac:dyDescent="0.15">
      <c r="A204" s="32">
        <v>34547</v>
      </c>
      <c r="B204" s="33" t="s">
        <v>26</v>
      </c>
      <c r="C204" s="33" t="s">
        <v>24</v>
      </c>
      <c r="D204" s="33">
        <v>158</v>
      </c>
    </row>
    <row r="205" spans="1:4" x14ac:dyDescent="0.15">
      <c r="A205" s="32">
        <v>34547</v>
      </c>
      <c r="B205" s="33" t="s">
        <v>26</v>
      </c>
      <c r="C205" s="33" t="s">
        <v>24</v>
      </c>
      <c r="D205" s="33">
        <v>151</v>
      </c>
    </row>
    <row r="206" spans="1:4" x14ac:dyDescent="0.15">
      <c r="A206" s="32">
        <v>34547</v>
      </c>
      <c r="B206" s="33" t="s">
        <v>21</v>
      </c>
      <c r="C206" s="33" t="s">
        <v>24</v>
      </c>
      <c r="D206" s="33">
        <v>81</v>
      </c>
    </row>
    <row r="207" spans="1:4" x14ac:dyDescent="0.15">
      <c r="A207" s="32">
        <v>34547</v>
      </c>
      <c r="B207" s="33" t="s">
        <v>26</v>
      </c>
      <c r="C207" s="33" t="s">
        <v>24</v>
      </c>
      <c r="D207" s="33">
        <v>79</v>
      </c>
    </row>
    <row r="208" spans="1:4" x14ac:dyDescent="0.15">
      <c r="A208" s="32">
        <v>34547</v>
      </c>
      <c r="B208" s="33" t="s">
        <v>21</v>
      </c>
      <c r="C208" s="33" t="s">
        <v>24</v>
      </c>
      <c r="D208" s="33">
        <v>39</v>
      </c>
    </row>
    <row r="209" spans="1:4" x14ac:dyDescent="0.15">
      <c r="A209" s="32">
        <v>34547</v>
      </c>
      <c r="B209" s="33" t="s">
        <v>21</v>
      </c>
      <c r="C209" s="33" t="s">
        <v>24</v>
      </c>
      <c r="D209" s="33">
        <v>53</v>
      </c>
    </row>
    <row r="210" spans="1:4" x14ac:dyDescent="0.15">
      <c r="A210" s="32">
        <v>34547</v>
      </c>
      <c r="B210" s="33" t="s">
        <v>26</v>
      </c>
      <c r="C210" s="33" t="s">
        <v>24</v>
      </c>
      <c r="D210" s="33">
        <v>175</v>
      </c>
    </row>
    <row r="211" spans="1:4" x14ac:dyDescent="0.15">
      <c r="A211" s="32">
        <v>34547</v>
      </c>
      <c r="B211" s="33" t="s">
        <v>26</v>
      </c>
      <c r="C211" s="33" t="s">
        <v>24</v>
      </c>
      <c r="D211" s="33">
        <v>203</v>
      </c>
    </row>
    <row r="212" spans="1:4" x14ac:dyDescent="0.15">
      <c r="A212" s="32">
        <v>34547</v>
      </c>
      <c r="B212" s="33" t="s">
        <v>26</v>
      </c>
      <c r="C212" s="33" t="s">
        <v>25</v>
      </c>
      <c r="D212" s="33">
        <v>1340</v>
      </c>
    </row>
    <row r="213" spans="1:4" x14ac:dyDescent="0.15">
      <c r="A213" s="32">
        <v>34547</v>
      </c>
      <c r="B213" s="33" t="s">
        <v>21</v>
      </c>
      <c r="C213" s="33" t="s">
        <v>25</v>
      </c>
      <c r="D213" s="33">
        <v>203</v>
      </c>
    </row>
    <row r="214" spans="1:4" x14ac:dyDescent="0.15">
      <c r="A214" s="32">
        <v>34547</v>
      </c>
      <c r="B214" s="33" t="s">
        <v>21</v>
      </c>
      <c r="C214" s="33" t="s">
        <v>25</v>
      </c>
      <c r="D214" s="33">
        <v>193</v>
      </c>
    </row>
    <row r="215" spans="1:4" x14ac:dyDescent="0.15">
      <c r="A215" s="32">
        <v>34547</v>
      </c>
      <c r="B215" s="33" t="s">
        <v>21</v>
      </c>
      <c r="C215" s="33" t="s">
        <v>25</v>
      </c>
      <c r="D215" s="33">
        <v>169</v>
      </c>
    </row>
    <row r="216" spans="1:4" x14ac:dyDescent="0.15">
      <c r="A216" s="32">
        <v>34547</v>
      </c>
      <c r="B216" s="33" t="s">
        <v>21</v>
      </c>
      <c r="C216" s="33" t="s">
        <v>25</v>
      </c>
      <c r="D216" s="33">
        <v>333</v>
      </c>
    </row>
    <row r="217" spans="1:4" x14ac:dyDescent="0.15">
      <c r="A217" s="32">
        <v>34547</v>
      </c>
      <c r="B217" s="33" t="s">
        <v>26</v>
      </c>
      <c r="C217" s="33" t="s">
        <v>25</v>
      </c>
      <c r="D217" s="33">
        <v>326</v>
      </c>
    </row>
    <row r="218" spans="1:4" x14ac:dyDescent="0.15">
      <c r="A218" s="32">
        <v>34547</v>
      </c>
      <c r="B218" s="33" t="s">
        <v>26</v>
      </c>
      <c r="C218" s="33" t="s">
        <v>25</v>
      </c>
      <c r="D218" s="33">
        <v>569</v>
      </c>
    </row>
    <row r="219" spans="1:4" x14ac:dyDescent="0.15">
      <c r="A219" s="32">
        <v>34547</v>
      </c>
      <c r="B219" s="33" t="s">
        <v>26</v>
      </c>
      <c r="C219" s="33" t="s">
        <v>25</v>
      </c>
      <c r="D219" s="33">
        <v>149</v>
      </c>
    </row>
    <row r="220" spans="1:4" x14ac:dyDescent="0.15">
      <c r="A220" s="32">
        <v>34547</v>
      </c>
      <c r="B220" s="33" t="s">
        <v>26</v>
      </c>
      <c r="C220" s="33" t="s">
        <v>27</v>
      </c>
      <c r="D220" s="33">
        <v>568</v>
      </c>
    </row>
    <row r="221" spans="1:4" x14ac:dyDescent="0.15">
      <c r="A221" s="32">
        <v>34547</v>
      </c>
      <c r="B221" s="33" t="s">
        <v>21</v>
      </c>
      <c r="C221" s="33" t="s">
        <v>27</v>
      </c>
      <c r="D221" s="33">
        <v>529</v>
      </c>
    </row>
    <row r="222" spans="1:4" x14ac:dyDescent="0.15">
      <c r="A222" s="32">
        <v>34547</v>
      </c>
      <c r="B222" s="33" t="s">
        <v>21</v>
      </c>
      <c r="C222" s="33" t="s">
        <v>27</v>
      </c>
      <c r="D222" s="33">
        <v>26</v>
      </c>
    </row>
    <row r="223" spans="1:4" x14ac:dyDescent="0.15">
      <c r="A223" s="32">
        <v>34547</v>
      </c>
      <c r="B223" s="33" t="s">
        <v>21</v>
      </c>
      <c r="C223" s="33" t="s">
        <v>27</v>
      </c>
      <c r="D223" s="33">
        <v>45</v>
      </c>
    </row>
    <row r="224" spans="1:4" x14ac:dyDescent="0.15">
      <c r="A224" s="32">
        <v>34547</v>
      </c>
      <c r="B224" s="33" t="s">
        <v>21</v>
      </c>
      <c r="C224" s="33" t="s">
        <v>27</v>
      </c>
      <c r="D224" s="33">
        <v>716</v>
      </c>
    </row>
    <row r="225" spans="1:4" x14ac:dyDescent="0.15">
      <c r="A225" s="32">
        <v>34547</v>
      </c>
      <c r="B225" s="33" t="s">
        <v>26</v>
      </c>
      <c r="C225" s="33" t="s">
        <v>27</v>
      </c>
      <c r="D225" s="33">
        <v>663</v>
      </c>
    </row>
    <row r="226" spans="1:4" x14ac:dyDescent="0.15">
      <c r="A226" s="32">
        <v>34547</v>
      </c>
      <c r="B226" s="33" t="s">
        <v>26</v>
      </c>
      <c r="C226" s="33" t="s">
        <v>27</v>
      </c>
      <c r="D226" s="33">
        <v>971</v>
      </c>
    </row>
    <row r="227" spans="1:4" x14ac:dyDescent="0.15">
      <c r="A227" s="32">
        <v>34547</v>
      </c>
      <c r="B227" s="33" t="s">
        <v>26</v>
      </c>
      <c r="C227" s="33" t="s">
        <v>27</v>
      </c>
      <c r="D227" s="33">
        <v>1351</v>
      </c>
    </row>
    <row r="228" spans="1:4" x14ac:dyDescent="0.15">
      <c r="A228" s="32">
        <v>34578</v>
      </c>
      <c r="B228" s="33" t="s">
        <v>21</v>
      </c>
      <c r="C228" s="33" t="s">
        <v>22</v>
      </c>
      <c r="D228" s="33">
        <v>124</v>
      </c>
    </row>
    <row r="229" spans="1:4" x14ac:dyDescent="0.15">
      <c r="A229" s="32">
        <v>34578</v>
      </c>
      <c r="B229" s="33" t="s">
        <v>26</v>
      </c>
      <c r="C229" s="33" t="s">
        <v>22</v>
      </c>
      <c r="D229" s="33">
        <v>2811</v>
      </c>
    </row>
    <row r="230" spans="1:4" x14ac:dyDescent="0.15">
      <c r="A230" s="32">
        <v>34578</v>
      </c>
      <c r="B230" s="33" t="s">
        <v>26</v>
      </c>
      <c r="C230" s="33" t="s">
        <v>22</v>
      </c>
      <c r="D230" s="33">
        <v>2454</v>
      </c>
    </row>
    <row r="231" spans="1:4" x14ac:dyDescent="0.15">
      <c r="A231" s="32">
        <v>34578</v>
      </c>
      <c r="B231" s="33" t="s">
        <v>21</v>
      </c>
      <c r="C231" s="33" t="s">
        <v>22</v>
      </c>
      <c r="D231" s="33">
        <v>151</v>
      </c>
    </row>
    <row r="232" spans="1:4" x14ac:dyDescent="0.15">
      <c r="A232" s="32">
        <v>34578</v>
      </c>
      <c r="B232" s="33" t="s">
        <v>21</v>
      </c>
      <c r="C232" s="33" t="s">
        <v>22</v>
      </c>
      <c r="D232" s="33">
        <v>292</v>
      </c>
    </row>
    <row r="233" spans="1:4" x14ac:dyDescent="0.15">
      <c r="A233" s="32">
        <v>34578</v>
      </c>
      <c r="B233" s="33" t="s">
        <v>21</v>
      </c>
      <c r="C233" s="33" t="s">
        <v>22</v>
      </c>
      <c r="D233" s="33">
        <v>270</v>
      </c>
    </row>
    <row r="234" spans="1:4" x14ac:dyDescent="0.15">
      <c r="A234" s="32">
        <v>34578</v>
      </c>
      <c r="B234" s="33" t="s">
        <v>26</v>
      </c>
      <c r="C234" s="33" t="s">
        <v>22</v>
      </c>
      <c r="D234" s="33">
        <v>203</v>
      </c>
    </row>
    <row r="235" spans="1:4" x14ac:dyDescent="0.15">
      <c r="A235" s="32">
        <v>34578</v>
      </c>
      <c r="B235" s="33" t="s">
        <v>26</v>
      </c>
      <c r="C235" s="33" t="s">
        <v>22</v>
      </c>
      <c r="D235" s="33">
        <v>385</v>
      </c>
    </row>
    <row r="236" spans="1:4" x14ac:dyDescent="0.15">
      <c r="A236" s="32">
        <v>34578</v>
      </c>
      <c r="B236" s="33" t="s">
        <v>21</v>
      </c>
      <c r="C236" s="33" t="s">
        <v>23</v>
      </c>
      <c r="D236" s="33">
        <v>149</v>
      </c>
    </row>
    <row r="237" spans="1:4" x14ac:dyDescent="0.15">
      <c r="A237" s="32">
        <v>34578</v>
      </c>
      <c r="B237" s="33" t="s">
        <v>26</v>
      </c>
      <c r="C237" s="33" t="s">
        <v>23</v>
      </c>
      <c r="D237" s="33">
        <v>710</v>
      </c>
    </row>
    <row r="238" spans="1:4" x14ac:dyDescent="0.15">
      <c r="A238" s="32">
        <v>34578</v>
      </c>
      <c r="B238" s="33" t="s">
        <v>21</v>
      </c>
      <c r="C238" s="33" t="s">
        <v>23</v>
      </c>
      <c r="D238" s="33">
        <v>216</v>
      </c>
    </row>
    <row r="239" spans="1:4" x14ac:dyDescent="0.15">
      <c r="A239" s="32">
        <v>34578</v>
      </c>
      <c r="B239" s="33" t="s">
        <v>26</v>
      </c>
      <c r="C239" s="33" t="s">
        <v>23</v>
      </c>
      <c r="D239" s="33">
        <v>113</v>
      </c>
    </row>
    <row r="240" spans="1:4" x14ac:dyDescent="0.15">
      <c r="A240" s="32">
        <v>34578</v>
      </c>
      <c r="B240" s="33" t="s">
        <v>26</v>
      </c>
      <c r="C240" s="33" t="s">
        <v>23</v>
      </c>
      <c r="D240" s="33">
        <v>135</v>
      </c>
    </row>
    <row r="241" spans="1:4" x14ac:dyDescent="0.15">
      <c r="A241" s="32">
        <v>34578</v>
      </c>
      <c r="B241" s="33" t="s">
        <v>21</v>
      </c>
      <c r="C241" s="33" t="s">
        <v>23</v>
      </c>
      <c r="D241" s="33">
        <v>293</v>
      </c>
    </row>
    <row r="242" spans="1:4" x14ac:dyDescent="0.15">
      <c r="A242" s="32">
        <v>34578</v>
      </c>
      <c r="B242" s="33" t="s">
        <v>26</v>
      </c>
      <c r="C242" s="33" t="s">
        <v>23</v>
      </c>
      <c r="D242" s="33">
        <v>70</v>
      </c>
    </row>
    <row r="243" spans="1:4" x14ac:dyDescent="0.15">
      <c r="A243" s="32">
        <v>34578</v>
      </c>
      <c r="B243" s="33" t="s">
        <v>21</v>
      </c>
      <c r="C243" s="33" t="s">
        <v>23</v>
      </c>
      <c r="D243" s="33">
        <v>522</v>
      </c>
    </row>
    <row r="244" spans="1:4" x14ac:dyDescent="0.15">
      <c r="A244" s="32">
        <v>34578</v>
      </c>
      <c r="B244" s="33" t="s">
        <v>21</v>
      </c>
      <c r="C244" s="33" t="s">
        <v>24</v>
      </c>
      <c r="D244" s="33">
        <v>544</v>
      </c>
    </row>
    <row r="245" spans="1:4" x14ac:dyDescent="0.15">
      <c r="A245" s="32">
        <v>34578</v>
      </c>
      <c r="B245" s="33" t="s">
        <v>26</v>
      </c>
      <c r="C245" s="33" t="s">
        <v>24</v>
      </c>
      <c r="D245" s="33">
        <v>981</v>
      </c>
    </row>
    <row r="246" spans="1:4" x14ac:dyDescent="0.15">
      <c r="A246" s="32">
        <v>34578</v>
      </c>
      <c r="B246" s="33" t="s">
        <v>21</v>
      </c>
      <c r="C246" s="33" t="s">
        <v>24</v>
      </c>
      <c r="D246" s="33">
        <v>804</v>
      </c>
    </row>
    <row r="247" spans="1:4" x14ac:dyDescent="0.15">
      <c r="A247" s="32">
        <v>34578</v>
      </c>
      <c r="B247" s="33" t="s">
        <v>21</v>
      </c>
      <c r="C247" s="33" t="s">
        <v>24</v>
      </c>
      <c r="D247" s="33">
        <v>99</v>
      </c>
    </row>
    <row r="248" spans="1:4" x14ac:dyDescent="0.15">
      <c r="A248" s="32">
        <v>34578</v>
      </c>
      <c r="B248" s="33" t="s">
        <v>26</v>
      </c>
      <c r="C248" s="33" t="s">
        <v>24</v>
      </c>
      <c r="D248" s="33">
        <v>61</v>
      </c>
    </row>
    <row r="249" spans="1:4" x14ac:dyDescent="0.15">
      <c r="A249" s="32">
        <v>34578</v>
      </c>
      <c r="B249" s="33" t="s">
        <v>21</v>
      </c>
      <c r="C249" s="33" t="s">
        <v>24</v>
      </c>
      <c r="D249" s="33">
        <v>63</v>
      </c>
    </row>
    <row r="250" spans="1:4" x14ac:dyDescent="0.15">
      <c r="A250" s="32">
        <v>34578</v>
      </c>
      <c r="B250" s="33" t="s">
        <v>21</v>
      </c>
      <c r="C250" s="33" t="s">
        <v>24</v>
      </c>
      <c r="D250" s="33">
        <v>66</v>
      </c>
    </row>
    <row r="251" spans="1:4" x14ac:dyDescent="0.15">
      <c r="A251" s="32">
        <v>34578</v>
      </c>
      <c r="B251" s="33" t="s">
        <v>26</v>
      </c>
      <c r="C251" s="33" t="s">
        <v>24</v>
      </c>
      <c r="D251" s="33">
        <v>151</v>
      </c>
    </row>
    <row r="252" spans="1:4" x14ac:dyDescent="0.15">
      <c r="A252" s="32">
        <v>34578</v>
      </c>
      <c r="B252" s="33" t="s">
        <v>21</v>
      </c>
      <c r="C252" s="33" t="s">
        <v>24</v>
      </c>
      <c r="D252" s="33">
        <v>34</v>
      </c>
    </row>
    <row r="253" spans="1:4" x14ac:dyDescent="0.15">
      <c r="A253" s="32">
        <v>34578</v>
      </c>
      <c r="B253" s="33" t="s">
        <v>26</v>
      </c>
      <c r="C253" s="33" t="s">
        <v>24</v>
      </c>
      <c r="D253" s="33">
        <v>191</v>
      </c>
    </row>
    <row r="254" spans="1:4" x14ac:dyDescent="0.15">
      <c r="A254" s="32">
        <v>34578</v>
      </c>
      <c r="B254" s="33" t="s">
        <v>26</v>
      </c>
      <c r="C254" s="33" t="s">
        <v>24</v>
      </c>
      <c r="D254" s="33">
        <v>193</v>
      </c>
    </row>
    <row r="255" spans="1:4" x14ac:dyDescent="0.15">
      <c r="A255" s="32">
        <v>34578</v>
      </c>
      <c r="B255" s="33" t="s">
        <v>26</v>
      </c>
      <c r="C255" s="33" t="s">
        <v>24</v>
      </c>
      <c r="D255" s="33">
        <v>180</v>
      </c>
    </row>
    <row r="256" spans="1:4" x14ac:dyDescent="0.15">
      <c r="A256" s="32">
        <v>34578</v>
      </c>
      <c r="B256" s="33" t="s">
        <v>21</v>
      </c>
      <c r="C256" s="33" t="s">
        <v>25</v>
      </c>
      <c r="D256" s="33">
        <v>210</v>
      </c>
    </row>
    <row r="257" spans="1:4" x14ac:dyDescent="0.15">
      <c r="A257" s="32">
        <v>34578</v>
      </c>
      <c r="B257" s="33" t="s">
        <v>21</v>
      </c>
      <c r="C257" s="33" t="s">
        <v>25</v>
      </c>
      <c r="D257" s="33">
        <v>158</v>
      </c>
    </row>
    <row r="258" spans="1:4" x14ac:dyDescent="0.15">
      <c r="A258" s="32">
        <v>34578</v>
      </c>
      <c r="B258" s="33" t="s">
        <v>21</v>
      </c>
      <c r="C258" s="33" t="s">
        <v>25</v>
      </c>
      <c r="D258" s="33">
        <v>180</v>
      </c>
    </row>
    <row r="259" spans="1:4" x14ac:dyDescent="0.15">
      <c r="A259" s="32">
        <v>34578</v>
      </c>
      <c r="B259" s="33" t="s">
        <v>21</v>
      </c>
      <c r="C259" s="33" t="s">
        <v>25</v>
      </c>
      <c r="D259" s="33">
        <v>450</v>
      </c>
    </row>
    <row r="260" spans="1:4" x14ac:dyDescent="0.15">
      <c r="A260" s="32">
        <v>34578</v>
      </c>
      <c r="B260" s="33" t="s">
        <v>26</v>
      </c>
      <c r="C260" s="33" t="s">
        <v>25</v>
      </c>
      <c r="D260" s="33">
        <v>140</v>
      </c>
    </row>
    <row r="261" spans="1:4" x14ac:dyDescent="0.15">
      <c r="A261" s="32">
        <v>34578</v>
      </c>
      <c r="B261" s="33" t="s">
        <v>26</v>
      </c>
      <c r="C261" s="33" t="s">
        <v>25</v>
      </c>
      <c r="D261" s="33">
        <v>304</v>
      </c>
    </row>
    <row r="262" spans="1:4" x14ac:dyDescent="0.15">
      <c r="A262" s="32">
        <v>34578</v>
      </c>
      <c r="B262" s="33" t="s">
        <v>26</v>
      </c>
      <c r="C262" s="33" t="s">
        <v>25</v>
      </c>
      <c r="D262" s="33">
        <v>1345</v>
      </c>
    </row>
    <row r="263" spans="1:4" x14ac:dyDescent="0.15">
      <c r="A263" s="32">
        <v>34578</v>
      </c>
      <c r="B263" s="33" t="s">
        <v>26</v>
      </c>
      <c r="C263" s="33" t="s">
        <v>25</v>
      </c>
      <c r="D263" s="33">
        <v>576</v>
      </c>
    </row>
    <row r="264" spans="1:4" x14ac:dyDescent="0.15">
      <c r="A264" s="32">
        <v>34578</v>
      </c>
      <c r="B264" s="33" t="s">
        <v>21</v>
      </c>
      <c r="C264" s="33" t="s">
        <v>27</v>
      </c>
      <c r="D264" s="33">
        <v>18</v>
      </c>
    </row>
    <row r="265" spans="1:4" x14ac:dyDescent="0.15">
      <c r="A265" s="32">
        <v>34578</v>
      </c>
      <c r="B265" s="33" t="s">
        <v>26</v>
      </c>
      <c r="C265" s="33" t="s">
        <v>27</v>
      </c>
      <c r="D265" s="33">
        <v>1366</v>
      </c>
    </row>
    <row r="266" spans="1:4" x14ac:dyDescent="0.15">
      <c r="A266" s="32">
        <v>34578</v>
      </c>
      <c r="B266" s="33" t="s">
        <v>21</v>
      </c>
      <c r="C266" s="33" t="s">
        <v>27</v>
      </c>
      <c r="D266" s="33">
        <v>483</v>
      </c>
    </row>
    <row r="267" spans="1:4" x14ac:dyDescent="0.15">
      <c r="A267" s="32">
        <v>34578</v>
      </c>
      <c r="B267" s="33" t="s">
        <v>26</v>
      </c>
      <c r="C267" s="33" t="s">
        <v>27</v>
      </c>
      <c r="D267" s="33">
        <v>1160</v>
      </c>
    </row>
    <row r="268" spans="1:4" x14ac:dyDescent="0.15">
      <c r="A268" s="32">
        <v>34578</v>
      </c>
      <c r="B268" s="33" t="s">
        <v>26</v>
      </c>
      <c r="C268" s="33" t="s">
        <v>27</v>
      </c>
      <c r="D268" s="33">
        <v>587</v>
      </c>
    </row>
    <row r="269" spans="1:4" x14ac:dyDescent="0.15">
      <c r="A269" s="32">
        <v>34578</v>
      </c>
      <c r="B269" s="33" t="s">
        <v>26</v>
      </c>
      <c r="C269" s="33" t="s">
        <v>27</v>
      </c>
      <c r="D269" s="33">
        <v>349</v>
      </c>
    </row>
    <row r="270" spans="1:4" x14ac:dyDescent="0.15">
      <c r="A270" s="32">
        <v>34578</v>
      </c>
      <c r="B270" s="33" t="s">
        <v>21</v>
      </c>
      <c r="C270" s="33" t="s">
        <v>27</v>
      </c>
      <c r="D270" s="33">
        <v>45</v>
      </c>
    </row>
    <row r="271" spans="1:4" x14ac:dyDescent="0.15">
      <c r="A271" s="32">
        <v>34578</v>
      </c>
      <c r="B271" s="33" t="s">
        <v>21</v>
      </c>
      <c r="C271" s="33" t="s">
        <v>27</v>
      </c>
      <c r="D271" s="33">
        <v>275</v>
      </c>
    </row>
    <row r="272" spans="1:4" x14ac:dyDescent="0.15">
      <c r="A272" s="32">
        <v>34608</v>
      </c>
      <c r="B272" s="33" t="s">
        <v>21</v>
      </c>
      <c r="C272" s="33" t="s">
        <v>22</v>
      </c>
      <c r="D272" s="33">
        <v>179</v>
      </c>
    </row>
    <row r="273" spans="1:4" x14ac:dyDescent="0.15">
      <c r="A273" s="32">
        <v>34608</v>
      </c>
      <c r="B273" s="33" t="s">
        <v>21</v>
      </c>
      <c r="C273" s="33" t="s">
        <v>22</v>
      </c>
      <c r="D273" s="33">
        <v>169</v>
      </c>
    </row>
    <row r="274" spans="1:4" x14ac:dyDescent="0.15">
      <c r="A274" s="32">
        <v>34608</v>
      </c>
      <c r="B274" s="33" t="s">
        <v>26</v>
      </c>
      <c r="C274" s="33" t="s">
        <v>22</v>
      </c>
      <c r="D274" s="33">
        <v>2266</v>
      </c>
    </row>
    <row r="275" spans="1:4" x14ac:dyDescent="0.15">
      <c r="A275" s="32">
        <v>34608</v>
      </c>
      <c r="B275" s="33" t="s">
        <v>28</v>
      </c>
      <c r="C275" s="33" t="s">
        <v>22</v>
      </c>
      <c r="D275" s="33">
        <v>1271</v>
      </c>
    </row>
    <row r="276" spans="1:4" x14ac:dyDescent="0.15">
      <c r="A276" s="32">
        <v>34608</v>
      </c>
      <c r="B276" s="33" t="s">
        <v>26</v>
      </c>
      <c r="C276" s="33" t="s">
        <v>22</v>
      </c>
      <c r="D276" s="33">
        <v>1219</v>
      </c>
    </row>
    <row r="277" spans="1:4" x14ac:dyDescent="0.15">
      <c r="A277" s="32">
        <v>34608</v>
      </c>
      <c r="B277" s="33" t="s">
        <v>26</v>
      </c>
      <c r="C277" s="33" t="s">
        <v>22</v>
      </c>
      <c r="D277" s="33">
        <v>504</v>
      </c>
    </row>
    <row r="278" spans="1:4" x14ac:dyDescent="0.15">
      <c r="A278" s="32">
        <v>34608</v>
      </c>
      <c r="B278" s="33" t="s">
        <v>28</v>
      </c>
      <c r="C278" s="33" t="s">
        <v>22</v>
      </c>
      <c r="D278" s="33">
        <v>413</v>
      </c>
    </row>
    <row r="279" spans="1:4" x14ac:dyDescent="0.15">
      <c r="A279" s="32">
        <v>34608</v>
      </c>
      <c r="B279" s="33" t="s">
        <v>21</v>
      </c>
      <c r="C279" s="33" t="s">
        <v>22</v>
      </c>
      <c r="D279" s="33">
        <v>347</v>
      </c>
    </row>
    <row r="280" spans="1:4" x14ac:dyDescent="0.15">
      <c r="A280" s="32">
        <v>34608</v>
      </c>
      <c r="B280" s="33" t="s">
        <v>21</v>
      </c>
      <c r="C280" s="33" t="s">
        <v>22</v>
      </c>
      <c r="D280" s="33">
        <v>347</v>
      </c>
    </row>
    <row r="281" spans="1:4" x14ac:dyDescent="0.15">
      <c r="A281" s="32">
        <v>34608</v>
      </c>
      <c r="B281" s="33" t="s">
        <v>26</v>
      </c>
      <c r="C281" s="33" t="s">
        <v>22</v>
      </c>
      <c r="D281" s="33">
        <v>293</v>
      </c>
    </row>
    <row r="282" spans="1:4" x14ac:dyDescent="0.15">
      <c r="A282" s="32">
        <v>34608</v>
      </c>
      <c r="B282" s="33" t="s">
        <v>26</v>
      </c>
      <c r="C282" s="33" t="s">
        <v>23</v>
      </c>
      <c r="D282" s="33">
        <v>135</v>
      </c>
    </row>
    <row r="283" spans="1:4" x14ac:dyDescent="0.15">
      <c r="A283" s="32">
        <v>34608</v>
      </c>
      <c r="B283" s="33" t="s">
        <v>26</v>
      </c>
      <c r="C283" s="33" t="s">
        <v>23</v>
      </c>
      <c r="D283" s="33">
        <v>124</v>
      </c>
    </row>
    <row r="284" spans="1:4" x14ac:dyDescent="0.15">
      <c r="A284" s="32">
        <v>34608</v>
      </c>
      <c r="B284" s="33" t="s">
        <v>21</v>
      </c>
      <c r="C284" s="33" t="s">
        <v>23</v>
      </c>
      <c r="D284" s="33">
        <v>140</v>
      </c>
    </row>
    <row r="285" spans="1:4" x14ac:dyDescent="0.15">
      <c r="A285" s="32">
        <v>34608</v>
      </c>
      <c r="B285" s="33" t="s">
        <v>26</v>
      </c>
      <c r="C285" s="33" t="s">
        <v>23</v>
      </c>
      <c r="D285" s="33">
        <v>70</v>
      </c>
    </row>
    <row r="286" spans="1:4" x14ac:dyDescent="0.15">
      <c r="A286" s="32">
        <v>34608</v>
      </c>
      <c r="B286" s="33" t="s">
        <v>21</v>
      </c>
      <c r="C286" s="33" t="s">
        <v>23</v>
      </c>
      <c r="D286" s="33">
        <v>279</v>
      </c>
    </row>
    <row r="287" spans="1:4" x14ac:dyDescent="0.15">
      <c r="A287" s="32">
        <v>34608</v>
      </c>
      <c r="B287" s="33" t="s">
        <v>26</v>
      </c>
      <c r="C287" s="33" t="s">
        <v>23</v>
      </c>
      <c r="D287" s="33">
        <v>683</v>
      </c>
    </row>
    <row r="288" spans="1:4" x14ac:dyDescent="0.15">
      <c r="A288" s="32">
        <v>34608</v>
      </c>
      <c r="B288" s="33" t="s">
        <v>21</v>
      </c>
      <c r="C288" s="33" t="s">
        <v>23</v>
      </c>
      <c r="D288" s="33">
        <v>619</v>
      </c>
    </row>
    <row r="289" spans="1:4" x14ac:dyDescent="0.15">
      <c r="A289" s="32">
        <v>34608</v>
      </c>
      <c r="B289" s="33" t="s">
        <v>28</v>
      </c>
      <c r="C289" s="33" t="s">
        <v>23</v>
      </c>
      <c r="D289" s="33">
        <v>491</v>
      </c>
    </row>
    <row r="290" spans="1:4" x14ac:dyDescent="0.15">
      <c r="A290" s="32">
        <v>34608</v>
      </c>
      <c r="B290" s="33" t="s">
        <v>28</v>
      </c>
      <c r="C290" s="33" t="s">
        <v>23</v>
      </c>
      <c r="D290" s="33">
        <v>420</v>
      </c>
    </row>
    <row r="291" spans="1:4" x14ac:dyDescent="0.15">
      <c r="A291" s="32">
        <v>34608</v>
      </c>
      <c r="B291" s="33" t="s">
        <v>21</v>
      </c>
      <c r="C291" s="33" t="s">
        <v>23</v>
      </c>
      <c r="D291" s="33">
        <v>492</v>
      </c>
    </row>
    <row r="292" spans="1:4" x14ac:dyDescent="0.15">
      <c r="A292" s="32">
        <v>34608</v>
      </c>
      <c r="B292" s="33" t="s">
        <v>26</v>
      </c>
      <c r="C292" s="33" t="s">
        <v>24</v>
      </c>
      <c r="D292" s="33">
        <v>101</v>
      </c>
    </row>
    <row r="293" spans="1:4" x14ac:dyDescent="0.15">
      <c r="A293" s="32">
        <v>34608</v>
      </c>
      <c r="B293" s="33" t="s">
        <v>26</v>
      </c>
      <c r="C293" s="33" t="s">
        <v>24</v>
      </c>
      <c r="D293" s="33">
        <v>135</v>
      </c>
    </row>
    <row r="294" spans="1:4" x14ac:dyDescent="0.15">
      <c r="A294" s="32">
        <v>34608</v>
      </c>
      <c r="B294" s="33" t="s">
        <v>21</v>
      </c>
      <c r="C294" s="33" t="s">
        <v>24</v>
      </c>
      <c r="D294" s="33">
        <v>228</v>
      </c>
    </row>
    <row r="295" spans="1:4" x14ac:dyDescent="0.15">
      <c r="A295" s="32">
        <v>34608</v>
      </c>
      <c r="B295" s="33" t="s">
        <v>26</v>
      </c>
      <c r="C295" s="33" t="s">
        <v>24</v>
      </c>
      <c r="D295" s="33">
        <v>210</v>
      </c>
    </row>
    <row r="296" spans="1:4" x14ac:dyDescent="0.15">
      <c r="A296" s="32">
        <v>34608</v>
      </c>
      <c r="B296" s="33" t="s">
        <v>26</v>
      </c>
      <c r="C296" s="33" t="s">
        <v>24</v>
      </c>
      <c r="D296" s="33">
        <v>53</v>
      </c>
    </row>
    <row r="297" spans="1:4" x14ac:dyDescent="0.15">
      <c r="A297" s="32">
        <v>34608</v>
      </c>
      <c r="B297" s="33" t="s">
        <v>26</v>
      </c>
      <c r="C297" s="33" t="s">
        <v>24</v>
      </c>
      <c r="D297" s="33">
        <v>206</v>
      </c>
    </row>
    <row r="298" spans="1:4" x14ac:dyDescent="0.15">
      <c r="A298" s="32">
        <v>34608</v>
      </c>
      <c r="B298" s="33" t="s">
        <v>21</v>
      </c>
      <c r="C298" s="33" t="s">
        <v>24</v>
      </c>
      <c r="D298" s="33">
        <v>81</v>
      </c>
    </row>
    <row r="299" spans="1:4" x14ac:dyDescent="0.15">
      <c r="A299" s="32">
        <v>34608</v>
      </c>
      <c r="B299" s="33" t="s">
        <v>21</v>
      </c>
      <c r="C299" s="33" t="s">
        <v>24</v>
      </c>
      <c r="D299" s="33">
        <v>1215</v>
      </c>
    </row>
    <row r="300" spans="1:4" x14ac:dyDescent="0.15">
      <c r="A300" s="32">
        <v>34608</v>
      </c>
      <c r="B300" s="33" t="s">
        <v>21</v>
      </c>
      <c r="C300" s="33" t="s">
        <v>24</v>
      </c>
      <c r="D300" s="33">
        <v>53</v>
      </c>
    </row>
    <row r="301" spans="1:4" x14ac:dyDescent="0.15">
      <c r="A301" s="32">
        <v>34608</v>
      </c>
      <c r="B301" s="33" t="s">
        <v>21</v>
      </c>
      <c r="C301" s="33" t="s">
        <v>24</v>
      </c>
      <c r="D301" s="33">
        <v>44</v>
      </c>
    </row>
    <row r="302" spans="1:4" x14ac:dyDescent="0.15">
      <c r="A302" s="32">
        <v>34608</v>
      </c>
      <c r="B302" s="33" t="s">
        <v>26</v>
      </c>
      <c r="C302" s="33" t="s">
        <v>24</v>
      </c>
      <c r="D302" s="33">
        <v>1041</v>
      </c>
    </row>
    <row r="303" spans="1:4" x14ac:dyDescent="0.15">
      <c r="A303" s="32">
        <v>34608</v>
      </c>
      <c r="B303" s="33" t="s">
        <v>21</v>
      </c>
      <c r="C303" s="33" t="s">
        <v>24</v>
      </c>
      <c r="D303" s="33">
        <v>34</v>
      </c>
    </row>
    <row r="304" spans="1:4" x14ac:dyDescent="0.15">
      <c r="A304" s="32">
        <v>34608</v>
      </c>
      <c r="B304" s="33" t="s">
        <v>21</v>
      </c>
      <c r="C304" s="33" t="s">
        <v>25</v>
      </c>
      <c r="D304" s="33">
        <v>569</v>
      </c>
    </row>
    <row r="305" spans="1:4" x14ac:dyDescent="0.15">
      <c r="A305" s="32">
        <v>34608</v>
      </c>
      <c r="B305" s="33" t="s">
        <v>26</v>
      </c>
      <c r="C305" s="33" t="s">
        <v>25</v>
      </c>
      <c r="D305" s="33">
        <v>131</v>
      </c>
    </row>
    <row r="306" spans="1:4" x14ac:dyDescent="0.15">
      <c r="A306" s="32">
        <v>34608</v>
      </c>
      <c r="B306" s="33" t="s">
        <v>21</v>
      </c>
      <c r="C306" s="33" t="s">
        <v>25</v>
      </c>
      <c r="D306" s="33">
        <v>135</v>
      </c>
    </row>
    <row r="307" spans="1:4" x14ac:dyDescent="0.15">
      <c r="A307" s="32">
        <v>34608</v>
      </c>
      <c r="B307" s="33" t="s">
        <v>26</v>
      </c>
      <c r="C307" s="33" t="s">
        <v>25</v>
      </c>
      <c r="D307" s="33">
        <v>692</v>
      </c>
    </row>
    <row r="308" spans="1:4" x14ac:dyDescent="0.15">
      <c r="A308" s="32">
        <v>34608</v>
      </c>
      <c r="B308" s="33" t="s">
        <v>21</v>
      </c>
      <c r="C308" s="33" t="s">
        <v>25</v>
      </c>
      <c r="D308" s="33">
        <v>193</v>
      </c>
    </row>
    <row r="309" spans="1:4" x14ac:dyDescent="0.15">
      <c r="A309" s="32">
        <v>34608</v>
      </c>
      <c r="B309" s="33" t="s">
        <v>26</v>
      </c>
      <c r="C309" s="33" t="s">
        <v>25</v>
      </c>
      <c r="D309" s="33">
        <v>281</v>
      </c>
    </row>
    <row r="310" spans="1:4" x14ac:dyDescent="0.15">
      <c r="A310" s="32">
        <v>34608</v>
      </c>
      <c r="B310" s="33" t="s">
        <v>21</v>
      </c>
      <c r="C310" s="33" t="s">
        <v>25</v>
      </c>
      <c r="D310" s="33">
        <v>169</v>
      </c>
    </row>
    <row r="311" spans="1:4" x14ac:dyDescent="0.15">
      <c r="A311" s="32">
        <v>34608</v>
      </c>
      <c r="B311" s="33" t="s">
        <v>28</v>
      </c>
      <c r="C311" s="33" t="s">
        <v>25</v>
      </c>
      <c r="D311" s="33">
        <v>426</v>
      </c>
    </row>
    <row r="312" spans="1:4" x14ac:dyDescent="0.15">
      <c r="A312" s="32">
        <v>34608</v>
      </c>
      <c r="B312" s="33" t="s">
        <v>28</v>
      </c>
      <c r="C312" s="33" t="s">
        <v>25</v>
      </c>
      <c r="D312" s="33">
        <v>315</v>
      </c>
    </row>
    <row r="313" spans="1:4" x14ac:dyDescent="0.15">
      <c r="A313" s="32">
        <v>34608</v>
      </c>
      <c r="B313" s="33" t="s">
        <v>26</v>
      </c>
      <c r="C313" s="33" t="s">
        <v>25</v>
      </c>
      <c r="D313" s="33">
        <v>1990</v>
      </c>
    </row>
    <row r="314" spans="1:4" x14ac:dyDescent="0.15">
      <c r="A314" s="32">
        <v>34608</v>
      </c>
      <c r="B314" s="33" t="s">
        <v>26</v>
      </c>
      <c r="C314" s="33" t="s">
        <v>27</v>
      </c>
      <c r="D314" s="33">
        <v>383</v>
      </c>
    </row>
    <row r="315" spans="1:4" x14ac:dyDescent="0.15">
      <c r="A315" s="32">
        <v>34608</v>
      </c>
      <c r="B315" s="33" t="s">
        <v>26</v>
      </c>
      <c r="C315" s="33" t="s">
        <v>27</v>
      </c>
      <c r="D315" s="33">
        <v>921</v>
      </c>
    </row>
    <row r="316" spans="1:4" x14ac:dyDescent="0.15">
      <c r="A316" s="32">
        <v>34608</v>
      </c>
      <c r="B316" s="33" t="s">
        <v>28</v>
      </c>
      <c r="C316" s="33" t="s">
        <v>27</v>
      </c>
      <c r="D316" s="33">
        <v>61</v>
      </c>
    </row>
    <row r="317" spans="1:4" x14ac:dyDescent="0.15">
      <c r="A317" s="32">
        <v>34608</v>
      </c>
      <c r="B317" s="33" t="s">
        <v>26</v>
      </c>
      <c r="C317" s="33" t="s">
        <v>27</v>
      </c>
      <c r="D317" s="33">
        <v>81</v>
      </c>
    </row>
    <row r="318" spans="1:4" x14ac:dyDescent="0.15">
      <c r="A318" s="32">
        <v>34608</v>
      </c>
      <c r="B318" s="33" t="s">
        <v>21</v>
      </c>
      <c r="C318" s="33" t="s">
        <v>27</v>
      </c>
      <c r="D318" s="33">
        <v>679</v>
      </c>
    </row>
    <row r="319" spans="1:4" x14ac:dyDescent="0.15">
      <c r="A319" s="32">
        <v>34608</v>
      </c>
      <c r="B319" s="33" t="s">
        <v>21</v>
      </c>
      <c r="C319" s="33" t="s">
        <v>27</v>
      </c>
      <c r="D319" s="33">
        <v>35</v>
      </c>
    </row>
    <row r="320" spans="1:4" x14ac:dyDescent="0.15">
      <c r="A320" s="32">
        <v>34608</v>
      </c>
      <c r="B320" s="33" t="s">
        <v>21</v>
      </c>
      <c r="C320" s="33" t="s">
        <v>27</v>
      </c>
      <c r="D320" s="33">
        <v>34</v>
      </c>
    </row>
    <row r="321" spans="1:4" x14ac:dyDescent="0.15">
      <c r="A321" s="32">
        <v>34608</v>
      </c>
      <c r="B321" s="33" t="s">
        <v>21</v>
      </c>
      <c r="C321" s="33" t="s">
        <v>27</v>
      </c>
      <c r="D321" s="33">
        <v>525</v>
      </c>
    </row>
    <row r="322" spans="1:4" x14ac:dyDescent="0.15">
      <c r="A322" s="32">
        <v>34608</v>
      </c>
      <c r="B322" s="33" t="s">
        <v>28</v>
      </c>
      <c r="C322" s="33" t="s">
        <v>27</v>
      </c>
      <c r="D322" s="33">
        <v>1006</v>
      </c>
    </row>
    <row r="323" spans="1:4" x14ac:dyDescent="0.15">
      <c r="A323" s="32">
        <v>34608</v>
      </c>
      <c r="B323" s="33" t="s">
        <v>26</v>
      </c>
      <c r="C323" s="33" t="s">
        <v>27</v>
      </c>
      <c r="D323" s="33">
        <v>1080</v>
      </c>
    </row>
    <row r="324" spans="1:4" x14ac:dyDescent="0.15">
      <c r="A324" s="32">
        <v>34639</v>
      </c>
      <c r="B324" s="33" t="s">
        <v>21</v>
      </c>
      <c r="C324" s="33" t="s">
        <v>22</v>
      </c>
      <c r="D324" s="33">
        <v>330</v>
      </c>
    </row>
    <row r="325" spans="1:4" x14ac:dyDescent="0.15">
      <c r="A325" s="32">
        <v>34639</v>
      </c>
      <c r="B325" s="33" t="s">
        <v>21</v>
      </c>
      <c r="C325" s="33" t="s">
        <v>22</v>
      </c>
      <c r="D325" s="33">
        <v>326</v>
      </c>
    </row>
    <row r="326" spans="1:4" x14ac:dyDescent="0.15">
      <c r="A326" s="32">
        <v>34639</v>
      </c>
      <c r="B326" s="33" t="s">
        <v>21</v>
      </c>
      <c r="C326" s="33" t="s">
        <v>22</v>
      </c>
      <c r="D326" s="33">
        <v>315</v>
      </c>
    </row>
    <row r="327" spans="1:4" x14ac:dyDescent="0.15">
      <c r="A327" s="32">
        <v>34639</v>
      </c>
      <c r="B327" s="33" t="s">
        <v>21</v>
      </c>
      <c r="C327" s="33" t="s">
        <v>22</v>
      </c>
      <c r="D327" s="33">
        <v>275</v>
      </c>
    </row>
    <row r="328" spans="1:4" x14ac:dyDescent="0.15">
      <c r="A328" s="32">
        <v>34639</v>
      </c>
      <c r="B328" s="33" t="s">
        <v>26</v>
      </c>
      <c r="C328" s="33" t="s">
        <v>22</v>
      </c>
      <c r="D328" s="33">
        <v>270</v>
      </c>
    </row>
    <row r="329" spans="1:4" x14ac:dyDescent="0.15">
      <c r="A329" s="32">
        <v>34639</v>
      </c>
      <c r="B329" s="33" t="s">
        <v>28</v>
      </c>
      <c r="C329" s="33" t="s">
        <v>22</v>
      </c>
      <c r="D329" s="33">
        <v>413</v>
      </c>
    </row>
    <row r="330" spans="1:4" x14ac:dyDescent="0.15">
      <c r="A330" s="32">
        <v>34639</v>
      </c>
      <c r="B330" s="33" t="s">
        <v>26</v>
      </c>
      <c r="C330" s="33" t="s">
        <v>22</v>
      </c>
      <c r="D330" s="33">
        <v>385</v>
      </c>
    </row>
    <row r="331" spans="1:4" x14ac:dyDescent="0.15">
      <c r="A331" s="32">
        <v>34639</v>
      </c>
      <c r="B331" s="33" t="s">
        <v>26</v>
      </c>
      <c r="C331" s="33" t="s">
        <v>22</v>
      </c>
      <c r="D331" s="33">
        <v>4001</v>
      </c>
    </row>
    <row r="332" spans="1:4" x14ac:dyDescent="0.15">
      <c r="A332" s="32">
        <v>34639</v>
      </c>
      <c r="B332" s="33" t="s">
        <v>26</v>
      </c>
      <c r="C332" s="33" t="s">
        <v>22</v>
      </c>
      <c r="D332" s="33">
        <v>2110</v>
      </c>
    </row>
    <row r="333" spans="1:4" x14ac:dyDescent="0.15">
      <c r="A333" s="32">
        <v>34639</v>
      </c>
      <c r="B333" s="33" t="s">
        <v>28</v>
      </c>
      <c r="C333" s="33" t="s">
        <v>22</v>
      </c>
      <c r="D333" s="33">
        <v>1272</v>
      </c>
    </row>
    <row r="334" spans="1:4" x14ac:dyDescent="0.15">
      <c r="A334" s="32">
        <v>34639</v>
      </c>
      <c r="B334" s="33" t="s">
        <v>21</v>
      </c>
      <c r="C334" s="33" t="s">
        <v>23</v>
      </c>
      <c r="D334" s="33">
        <v>507</v>
      </c>
    </row>
    <row r="335" spans="1:4" x14ac:dyDescent="0.15">
      <c r="A335" s="32">
        <v>34639</v>
      </c>
      <c r="B335" s="33" t="s">
        <v>26</v>
      </c>
      <c r="C335" s="33" t="s">
        <v>23</v>
      </c>
      <c r="D335" s="33">
        <v>113</v>
      </c>
    </row>
    <row r="336" spans="1:4" x14ac:dyDescent="0.15">
      <c r="A336" s="32">
        <v>34639</v>
      </c>
      <c r="B336" s="33" t="s">
        <v>28</v>
      </c>
      <c r="C336" s="33" t="s">
        <v>23</v>
      </c>
      <c r="D336" s="33">
        <v>368</v>
      </c>
    </row>
    <row r="337" spans="1:4" x14ac:dyDescent="0.15">
      <c r="A337" s="32">
        <v>34639</v>
      </c>
      <c r="B337" s="33" t="s">
        <v>28</v>
      </c>
      <c r="C337" s="33" t="s">
        <v>23</v>
      </c>
      <c r="D337" s="33">
        <v>524</v>
      </c>
    </row>
    <row r="338" spans="1:4" x14ac:dyDescent="0.15">
      <c r="A338" s="32">
        <v>34639</v>
      </c>
      <c r="B338" s="33" t="s">
        <v>26</v>
      </c>
      <c r="C338" s="33" t="s">
        <v>23</v>
      </c>
      <c r="D338" s="33">
        <v>79</v>
      </c>
    </row>
    <row r="339" spans="1:4" x14ac:dyDescent="0.15">
      <c r="A339" s="32">
        <v>34639</v>
      </c>
      <c r="B339" s="33" t="s">
        <v>21</v>
      </c>
      <c r="C339" s="33" t="s">
        <v>23</v>
      </c>
      <c r="D339" s="33">
        <v>193</v>
      </c>
    </row>
    <row r="340" spans="1:4" x14ac:dyDescent="0.15">
      <c r="A340" s="32">
        <v>34639</v>
      </c>
      <c r="B340" s="33" t="s">
        <v>21</v>
      </c>
      <c r="C340" s="33" t="s">
        <v>23</v>
      </c>
      <c r="D340" s="33">
        <v>315</v>
      </c>
    </row>
    <row r="341" spans="1:4" x14ac:dyDescent="0.15">
      <c r="A341" s="32">
        <v>34639</v>
      </c>
      <c r="B341" s="33" t="s">
        <v>21</v>
      </c>
      <c r="C341" s="33" t="s">
        <v>23</v>
      </c>
      <c r="D341" s="33">
        <v>189</v>
      </c>
    </row>
    <row r="342" spans="1:4" x14ac:dyDescent="0.15">
      <c r="A342" s="32">
        <v>34639</v>
      </c>
      <c r="B342" s="33" t="s">
        <v>26</v>
      </c>
      <c r="C342" s="33" t="s">
        <v>23</v>
      </c>
      <c r="D342" s="33">
        <v>225</v>
      </c>
    </row>
    <row r="343" spans="1:4" x14ac:dyDescent="0.15">
      <c r="A343" s="32">
        <v>34639</v>
      </c>
      <c r="B343" s="33" t="s">
        <v>26</v>
      </c>
      <c r="C343" s="33" t="s">
        <v>23</v>
      </c>
      <c r="D343" s="33">
        <v>930</v>
      </c>
    </row>
    <row r="344" spans="1:4" x14ac:dyDescent="0.15">
      <c r="A344" s="32">
        <v>34639</v>
      </c>
      <c r="B344" s="33" t="s">
        <v>26</v>
      </c>
      <c r="C344" s="33" t="s">
        <v>24</v>
      </c>
      <c r="D344" s="33">
        <v>175</v>
      </c>
    </row>
    <row r="345" spans="1:4" x14ac:dyDescent="0.15">
      <c r="A345" s="32">
        <v>34639</v>
      </c>
      <c r="B345" s="33" t="s">
        <v>26</v>
      </c>
      <c r="C345" s="33" t="s">
        <v>24</v>
      </c>
      <c r="D345" s="33">
        <v>113</v>
      </c>
    </row>
    <row r="346" spans="1:4" x14ac:dyDescent="0.15">
      <c r="A346" s="32">
        <v>34639</v>
      </c>
      <c r="B346" s="33" t="s">
        <v>21</v>
      </c>
      <c r="C346" s="33" t="s">
        <v>24</v>
      </c>
      <c r="D346" s="33">
        <v>60</v>
      </c>
    </row>
    <row r="347" spans="1:4" x14ac:dyDescent="0.15">
      <c r="A347" s="32">
        <v>34639</v>
      </c>
      <c r="B347" s="33" t="s">
        <v>21</v>
      </c>
      <c r="C347" s="33" t="s">
        <v>24</v>
      </c>
      <c r="D347" s="33">
        <v>90</v>
      </c>
    </row>
    <row r="348" spans="1:4" x14ac:dyDescent="0.15">
      <c r="A348" s="32">
        <v>34639</v>
      </c>
      <c r="B348" s="33" t="s">
        <v>21</v>
      </c>
      <c r="C348" s="33" t="s">
        <v>24</v>
      </c>
      <c r="D348" s="33">
        <v>56</v>
      </c>
    </row>
    <row r="349" spans="1:4" x14ac:dyDescent="0.15">
      <c r="A349" s="32">
        <v>34639</v>
      </c>
      <c r="B349" s="33" t="s">
        <v>21</v>
      </c>
      <c r="C349" s="33" t="s">
        <v>24</v>
      </c>
      <c r="D349" s="33">
        <v>28</v>
      </c>
    </row>
    <row r="350" spans="1:4" x14ac:dyDescent="0.15">
      <c r="A350" s="32">
        <v>34639</v>
      </c>
      <c r="B350" s="33" t="s">
        <v>26</v>
      </c>
      <c r="C350" s="33" t="s">
        <v>24</v>
      </c>
      <c r="D350" s="33">
        <v>225</v>
      </c>
    </row>
    <row r="351" spans="1:4" x14ac:dyDescent="0.15">
      <c r="A351" s="32">
        <v>34639</v>
      </c>
      <c r="B351" s="33" t="s">
        <v>26</v>
      </c>
      <c r="C351" s="33" t="s">
        <v>24</v>
      </c>
      <c r="D351" s="33">
        <v>105</v>
      </c>
    </row>
    <row r="352" spans="1:4" x14ac:dyDescent="0.15">
      <c r="A352" s="32">
        <v>34639</v>
      </c>
      <c r="B352" s="33" t="s">
        <v>26</v>
      </c>
      <c r="C352" s="33" t="s">
        <v>24</v>
      </c>
      <c r="D352" s="33">
        <v>1011</v>
      </c>
    </row>
    <row r="353" spans="1:4" x14ac:dyDescent="0.15">
      <c r="A353" s="32">
        <v>34639</v>
      </c>
      <c r="B353" s="33" t="s">
        <v>21</v>
      </c>
      <c r="C353" s="33" t="s">
        <v>24</v>
      </c>
      <c r="D353" s="33">
        <v>801</v>
      </c>
    </row>
    <row r="354" spans="1:4" x14ac:dyDescent="0.15">
      <c r="A354" s="32">
        <v>34639</v>
      </c>
      <c r="B354" s="33" t="s">
        <v>21</v>
      </c>
      <c r="C354" s="33" t="s">
        <v>24</v>
      </c>
      <c r="D354" s="33">
        <v>570</v>
      </c>
    </row>
    <row r="355" spans="1:4" x14ac:dyDescent="0.15">
      <c r="A355" s="32">
        <v>34639</v>
      </c>
      <c r="B355" s="33" t="s">
        <v>26</v>
      </c>
      <c r="C355" s="33" t="s">
        <v>24</v>
      </c>
      <c r="D355" s="33">
        <v>124</v>
      </c>
    </row>
    <row r="356" spans="1:4" x14ac:dyDescent="0.15">
      <c r="A356" s="32">
        <v>34639</v>
      </c>
      <c r="B356" s="33" t="s">
        <v>26</v>
      </c>
      <c r="C356" s="33" t="s">
        <v>25</v>
      </c>
      <c r="D356" s="33">
        <v>2130</v>
      </c>
    </row>
    <row r="357" spans="1:4" x14ac:dyDescent="0.15">
      <c r="A357" s="32">
        <v>34639</v>
      </c>
      <c r="B357" s="33" t="s">
        <v>21</v>
      </c>
      <c r="C357" s="33" t="s">
        <v>25</v>
      </c>
      <c r="D357" s="33">
        <v>620</v>
      </c>
    </row>
    <row r="358" spans="1:4" x14ac:dyDescent="0.15">
      <c r="A358" s="32">
        <v>34639</v>
      </c>
      <c r="B358" s="33" t="s">
        <v>26</v>
      </c>
      <c r="C358" s="33" t="s">
        <v>25</v>
      </c>
      <c r="D358" s="33">
        <v>601</v>
      </c>
    </row>
    <row r="359" spans="1:4" x14ac:dyDescent="0.15">
      <c r="A359" s="32">
        <v>34639</v>
      </c>
      <c r="B359" s="33" t="s">
        <v>28</v>
      </c>
      <c r="C359" s="33" t="s">
        <v>25</v>
      </c>
      <c r="D359" s="33">
        <v>371</v>
      </c>
    </row>
    <row r="360" spans="1:4" x14ac:dyDescent="0.15">
      <c r="A360" s="32">
        <v>34639</v>
      </c>
      <c r="B360" s="33" t="s">
        <v>26</v>
      </c>
      <c r="C360" s="33" t="s">
        <v>25</v>
      </c>
      <c r="D360" s="33">
        <v>149</v>
      </c>
    </row>
    <row r="361" spans="1:4" x14ac:dyDescent="0.15">
      <c r="A361" s="32">
        <v>34639</v>
      </c>
      <c r="B361" s="33" t="s">
        <v>26</v>
      </c>
      <c r="C361" s="33" t="s">
        <v>25</v>
      </c>
      <c r="D361" s="33">
        <v>304</v>
      </c>
    </row>
    <row r="362" spans="1:4" x14ac:dyDescent="0.15">
      <c r="A362" s="32">
        <v>34639</v>
      </c>
      <c r="B362" s="33" t="s">
        <v>28</v>
      </c>
      <c r="C362" s="33" t="s">
        <v>25</v>
      </c>
      <c r="D362" s="33">
        <v>289</v>
      </c>
    </row>
    <row r="363" spans="1:4" x14ac:dyDescent="0.15">
      <c r="A363" s="32">
        <v>34639</v>
      </c>
      <c r="B363" s="33" t="s">
        <v>21</v>
      </c>
      <c r="C363" s="33" t="s">
        <v>25</v>
      </c>
      <c r="D363" s="33">
        <v>248</v>
      </c>
    </row>
    <row r="364" spans="1:4" x14ac:dyDescent="0.15">
      <c r="A364" s="32">
        <v>34639</v>
      </c>
      <c r="B364" s="33" t="s">
        <v>21</v>
      </c>
      <c r="C364" s="33" t="s">
        <v>25</v>
      </c>
      <c r="D364" s="33">
        <v>225</v>
      </c>
    </row>
    <row r="365" spans="1:4" x14ac:dyDescent="0.15">
      <c r="A365" s="32">
        <v>34639</v>
      </c>
      <c r="B365" s="33" t="s">
        <v>21</v>
      </c>
      <c r="C365" s="33" t="s">
        <v>25</v>
      </c>
      <c r="D365" s="33">
        <v>210</v>
      </c>
    </row>
    <row r="366" spans="1:4" x14ac:dyDescent="0.15">
      <c r="A366" s="32">
        <v>34639</v>
      </c>
      <c r="B366" s="33" t="s">
        <v>26</v>
      </c>
      <c r="C366" s="33" t="s">
        <v>27</v>
      </c>
      <c r="D366" s="33">
        <v>293</v>
      </c>
    </row>
    <row r="367" spans="1:4" x14ac:dyDescent="0.15">
      <c r="A367" s="32">
        <v>34639</v>
      </c>
      <c r="B367" s="33" t="s">
        <v>26</v>
      </c>
      <c r="C367" s="33" t="s">
        <v>27</v>
      </c>
      <c r="D367" s="33">
        <v>1443</v>
      </c>
    </row>
    <row r="368" spans="1:4" x14ac:dyDescent="0.15">
      <c r="A368" s="32">
        <v>34639</v>
      </c>
      <c r="B368" s="33" t="s">
        <v>21</v>
      </c>
      <c r="C368" s="33" t="s">
        <v>27</v>
      </c>
      <c r="D368" s="33">
        <v>1153</v>
      </c>
    </row>
    <row r="369" spans="1:4" x14ac:dyDescent="0.15">
      <c r="A369" s="32">
        <v>34639</v>
      </c>
      <c r="B369" s="33" t="s">
        <v>21</v>
      </c>
      <c r="C369" s="33" t="s">
        <v>27</v>
      </c>
      <c r="D369" s="33">
        <v>546</v>
      </c>
    </row>
    <row r="370" spans="1:4" x14ac:dyDescent="0.15">
      <c r="A370" s="32">
        <v>34639</v>
      </c>
      <c r="B370" s="33" t="s">
        <v>28</v>
      </c>
      <c r="C370" s="33" t="s">
        <v>27</v>
      </c>
      <c r="D370" s="33">
        <v>393</v>
      </c>
    </row>
    <row r="371" spans="1:4" x14ac:dyDescent="0.15">
      <c r="A371" s="32">
        <v>34639</v>
      </c>
      <c r="B371" s="33" t="s">
        <v>26</v>
      </c>
      <c r="C371" s="33" t="s">
        <v>27</v>
      </c>
      <c r="D371" s="33">
        <v>748</v>
      </c>
    </row>
    <row r="372" spans="1:4" x14ac:dyDescent="0.15">
      <c r="A372" s="32">
        <v>34639</v>
      </c>
      <c r="B372" s="33" t="s">
        <v>28</v>
      </c>
      <c r="C372" s="33" t="s">
        <v>27</v>
      </c>
      <c r="D372" s="33">
        <v>833</v>
      </c>
    </row>
    <row r="373" spans="1:4" x14ac:dyDescent="0.15">
      <c r="A373" s="32">
        <v>34639</v>
      </c>
      <c r="B373" s="33" t="s">
        <v>21</v>
      </c>
      <c r="C373" s="33" t="s">
        <v>27</v>
      </c>
      <c r="D373" s="33">
        <v>18</v>
      </c>
    </row>
    <row r="374" spans="1:4" x14ac:dyDescent="0.15">
      <c r="A374" s="32">
        <v>34639</v>
      </c>
      <c r="B374" s="33" t="s">
        <v>21</v>
      </c>
      <c r="C374" s="33" t="s">
        <v>27</v>
      </c>
      <c r="D374" s="33">
        <v>34</v>
      </c>
    </row>
    <row r="375" spans="1:4" x14ac:dyDescent="0.15">
      <c r="A375" s="32">
        <v>34639</v>
      </c>
      <c r="B375" s="33" t="s">
        <v>26</v>
      </c>
      <c r="C375" s="33" t="s">
        <v>27</v>
      </c>
      <c r="D375" s="33">
        <v>91</v>
      </c>
    </row>
    <row r="376" spans="1:4" x14ac:dyDescent="0.15">
      <c r="A376" s="32">
        <v>34669</v>
      </c>
      <c r="B376" s="33" t="s">
        <v>26</v>
      </c>
      <c r="C376" s="33" t="s">
        <v>22</v>
      </c>
      <c r="D376" s="33">
        <v>2049</v>
      </c>
    </row>
    <row r="377" spans="1:4" x14ac:dyDescent="0.15">
      <c r="A377" s="32">
        <v>34669</v>
      </c>
      <c r="B377" s="33" t="s">
        <v>28</v>
      </c>
      <c r="C377" s="33" t="s">
        <v>22</v>
      </c>
      <c r="D377" s="33">
        <v>1399</v>
      </c>
    </row>
    <row r="378" spans="1:4" x14ac:dyDescent="0.15">
      <c r="A378" s="32">
        <v>34669</v>
      </c>
      <c r="B378" s="33" t="s">
        <v>28</v>
      </c>
      <c r="C378" s="33" t="s">
        <v>22</v>
      </c>
      <c r="D378" s="33">
        <v>441</v>
      </c>
    </row>
    <row r="379" spans="1:4" x14ac:dyDescent="0.15">
      <c r="A379" s="32">
        <v>34669</v>
      </c>
      <c r="B379" s="33" t="s">
        <v>21</v>
      </c>
      <c r="C379" s="33" t="s">
        <v>22</v>
      </c>
      <c r="D379" s="33">
        <v>414</v>
      </c>
    </row>
    <row r="380" spans="1:4" x14ac:dyDescent="0.15">
      <c r="A380" s="32">
        <v>34669</v>
      </c>
      <c r="B380" s="33" t="s">
        <v>21</v>
      </c>
      <c r="C380" s="33" t="s">
        <v>22</v>
      </c>
      <c r="D380" s="33">
        <v>405</v>
      </c>
    </row>
    <row r="381" spans="1:4" x14ac:dyDescent="0.15">
      <c r="A381" s="32">
        <v>34669</v>
      </c>
      <c r="B381" s="33" t="s">
        <v>21</v>
      </c>
      <c r="C381" s="33" t="s">
        <v>22</v>
      </c>
      <c r="D381" s="33">
        <v>374</v>
      </c>
    </row>
    <row r="382" spans="1:4" x14ac:dyDescent="0.15">
      <c r="A382" s="32">
        <v>34669</v>
      </c>
      <c r="B382" s="33" t="s">
        <v>26</v>
      </c>
      <c r="C382" s="33" t="s">
        <v>22</v>
      </c>
      <c r="D382" s="33">
        <v>338</v>
      </c>
    </row>
    <row r="383" spans="1:4" x14ac:dyDescent="0.15">
      <c r="A383" s="32">
        <v>34669</v>
      </c>
      <c r="B383" s="33" t="s">
        <v>21</v>
      </c>
      <c r="C383" s="33" t="s">
        <v>22</v>
      </c>
      <c r="D383" s="33">
        <v>292</v>
      </c>
    </row>
    <row r="384" spans="1:4" x14ac:dyDescent="0.15">
      <c r="A384" s="32">
        <v>34669</v>
      </c>
      <c r="B384" s="33" t="s">
        <v>26</v>
      </c>
      <c r="C384" s="33" t="s">
        <v>22</v>
      </c>
      <c r="D384" s="33">
        <v>4193</v>
      </c>
    </row>
    <row r="385" spans="1:4" x14ac:dyDescent="0.15">
      <c r="A385" s="32">
        <v>34669</v>
      </c>
      <c r="B385" s="33" t="s">
        <v>26</v>
      </c>
      <c r="C385" s="33" t="s">
        <v>22</v>
      </c>
      <c r="D385" s="33">
        <v>330</v>
      </c>
    </row>
    <row r="386" spans="1:4" x14ac:dyDescent="0.15">
      <c r="A386" s="32">
        <v>34669</v>
      </c>
      <c r="B386" s="33" t="s">
        <v>26</v>
      </c>
      <c r="C386" s="33" t="s">
        <v>23</v>
      </c>
      <c r="D386" s="33">
        <v>821</v>
      </c>
    </row>
    <row r="387" spans="1:4" x14ac:dyDescent="0.15">
      <c r="A387" s="32">
        <v>34669</v>
      </c>
      <c r="B387" s="33" t="s">
        <v>21</v>
      </c>
      <c r="C387" s="33" t="s">
        <v>23</v>
      </c>
      <c r="D387" s="33">
        <v>602</v>
      </c>
    </row>
    <row r="388" spans="1:4" x14ac:dyDescent="0.15">
      <c r="A388" s="32">
        <v>34669</v>
      </c>
      <c r="B388" s="33" t="s">
        <v>28</v>
      </c>
      <c r="C388" s="33" t="s">
        <v>23</v>
      </c>
      <c r="D388" s="33">
        <v>525</v>
      </c>
    </row>
    <row r="389" spans="1:4" x14ac:dyDescent="0.15">
      <c r="A389" s="32">
        <v>34669</v>
      </c>
      <c r="B389" s="33" t="s">
        <v>28</v>
      </c>
      <c r="C389" s="33" t="s">
        <v>23</v>
      </c>
      <c r="D389" s="33">
        <v>394</v>
      </c>
    </row>
    <row r="390" spans="1:4" x14ac:dyDescent="0.15">
      <c r="A390" s="32">
        <v>34669</v>
      </c>
      <c r="B390" s="33" t="s">
        <v>21</v>
      </c>
      <c r="C390" s="33" t="s">
        <v>23</v>
      </c>
      <c r="D390" s="33">
        <v>393</v>
      </c>
    </row>
    <row r="391" spans="1:4" x14ac:dyDescent="0.15">
      <c r="A391" s="32">
        <v>34669</v>
      </c>
      <c r="B391" s="33" t="s">
        <v>26</v>
      </c>
      <c r="C391" s="33" t="s">
        <v>23</v>
      </c>
      <c r="D391" s="33">
        <v>124</v>
      </c>
    </row>
    <row r="392" spans="1:4" x14ac:dyDescent="0.15">
      <c r="A392" s="32">
        <v>34669</v>
      </c>
      <c r="B392" s="33" t="s">
        <v>26</v>
      </c>
      <c r="C392" s="33" t="s">
        <v>23</v>
      </c>
      <c r="D392" s="33">
        <v>79</v>
      </c>
    </row>
    <row r="393" spans="1:4" x14ac:dyDescent="0.15">
      <c r="A393" s="32">
        <v>34669</v>
      </c>
      <c r="B393" s="33" t="s">
        <v>21</v>
      </c>
      <c r="C393" s="33" t="s">
        <v>23</v>
      </c>
      <c r="D393" s="33">
        <v>158</v>
      </c>
    </row>
    <row r="394" spans="1:4" x14ac:dyDescent="0.15">
      <c r="A394" s="32">
        <v>34669</v>
      </c>
      <c r="B394" s="33" t="s">
        <v>26</v>
      </c>
      <c r="C394" s="33" t="s">
        <v>23</v>
      </c>
      <c r="D394" s="33">
        <v>338</v>
      </c>
    </row>
    <row r="395" spans="1:4" x14ac:dyDescent="0.15">
      <c r="A395" s="32">
        <v>34669</v>
      </c>
      <c r="B395" s="33" t="s">
        <v>21</v>
      </c>
      <c r="C395" s="33" t="s">
        <v>23</v>
      </c>
      <c r="D395" s="33">
        <v>271</v>
      </c>
    </row>
    <row r="396" spans="1:4" x14ac:dyDescent="0.15">
      <c r="A396" s="32">
        <v>34669</v>
      </c>
      <c r="B396" s="33" t="s">
        <v>21</v>
      </c>
      <c r="C396" s="33" t="s">
        <v>24</v>
      </c>
      <c r="D396" s="33">
        <v>1049</v>
      </c>
    </row>
    <row r="397" spans="1:4" x14ac:dyDescent="0.15">
      <c r="A397" s="32">
        <v>34669</v>
      </c>
      <c r="B397" s="33" t="s">
        <v>21</v>
      </c>
      <c r="C397" s="33" t="s">
        <v>24</v>
      </c>
      <c r="D397" s="33">
        <v>1115</v>
      </c>
    </row>
    <row r="398" spans="1:4" x14ac:dyDescent="0.15">
      <c r="A398" s="32">
        <v>34669</v>
      </c>
      <c r="B398" s="33" t="s">
        <v>26</v>
      </c>
      <c r="C398" s="33" t="s">
        <v>24</v>
      </c>
      <c r="D398" s="33">
        <v>849</v>
      </c>
    </row>
    <row r="399" spans="1:4" x14ac:dyDescent="0.15">
      <c r="A399" s="32">
        <v>34669</v>
      </c>
      <c r="B399" s="33" t="s">
        <v>26</v>
      </c>
      <c r="C399" s="33" t="s">
        <v>24</v>
      </c>
      <c r="D399" s="33">
        <v>151</v>
      </c>
    </row>
    <row r="400" spans="1:4" x14ac:dyDescent="0.15">
      <c r="A400" s="32">
        <v>34669</v>
      </c>
      <c r="B400" s="33" t="s">
        <v>21</v>
      </c>
      <c r="C400" s="33" t="s">
        <v>24</v>
      </c>
      <c r="D400" s="33">
        <v>77</v>
      </c>
    </row>
    <row r="401" spans="1:4" x14ac:dyDescent="0.15">
      <c r="A401" s="32">
        <v>34669</v>
      </c>
      <c r="B401" s="33" t="s">
        <v>21</v>
      </c>
      <c r="C401" s="33" t="s">
        <v>24</v>
      </c>
      <c r="D401" s="33">
        <v>68</v>
      </c>
    </row>
    <row r="402" spans="1:4" x14ac:dyDescent="0.15">
      <c r="A402" s="32">
        <v>34669</v>
      </c>
      <c r="B402" s="33" t="s">
        <v>26</v>
      </c>
      <c r="C402" s="33" t="s">
        <v>24</v>
      </c>
      <c r="D402" s="33">
        <v>248</v>
      </c>
    </row>
    <row r="403" spans="1:4" x14ac:dyDescent="0.15">
      <c r="A403" s="32">
        <v>34669</v>
      </c>
      <c r="B403" s="33" t="s">
        <v>26</v>
      </c>
      <c r="C403" s="33" t="s">
        <v>24</v>
      </c>
      <c r="D403" s="33">
        <v>135</v>
      </c>
    </row>
    <row r="404" spans="1:4" x14ac:dyDescent="0.15">
      <c r="A404" s="32">
        <v>34669</v>
      </c>
      <c r="B404" s="33" t="s">
        <v>26</v>
      </c>
      <c r="C404" s="33" t="s">
        <v>24</v>
      </c>
      <c r="D404" s="33">
        <v>140</v>
      </c>
    </row>
    <row r="405" spans="1:4" x14ac:dyDescent="0.15">
      <c r="A405" s="32">
        <v>34669</v>
      </c>
      <c r="B405" s="33" t="s">
        <v>21</v>
      </c>
      <c r="C405" s="33" t="s">
        <v>24</v>
      </c>
      <c r="D405" s="33">
        <v>99</v>
      </c>
    </row>
    <row r="406" spans="1:4" x14ac:dyDescent="0.15">
      <c r="A406" s="32">
        <v>34669</v>
      </c>
      <c r="B406" s="33" t="s">
        <v>26</v>
      </c>
      <c r="C406" s="33" t="s">
        <v>24</v>
      </c>
      <c r="D406" s="33">
        <v>123</v>
      </c>
    </row>
    <row r="407" spans="1:4" x14ac:dyDescent="0.15">
      <c r="A407" s="32">
        <v>34669</v>
      </c>
      <c r="B407" s="33" t="s">
        <v>21</v>
      </c>
      <c r="C407" s="33" t="s">
        <v>24</v>
      </c>
      <c r="D407" s="33">
        <v>28</v>
      </c>
    </row>
    <row r="408" spans="1:4" x14ac:dyDescent="0.15">
      <c r="A408" s="32">
        <v>34669</v>
      </c>
      <c r="B408" s="33" t="s">
        <v>21</v>
      </c>
      <c r="C408" s="33" t="s">
        <v>25</v>
      </c>
      <c r="D408" s="33">
        <v>210</v>
      </c>
    </row>
    <row r="409" spans="1:4" x14ac:dyDescent="0.15">
      <c r="A409" s="32">
        <v>34669</v>
      </c>
      <c r="B409" s="33" t="s">
        <v>26</v>
      </c>
      <c r="C409" s="33" t="s">
        <v>25</v>
      </c>
      <c r="D409" s="33">
        <v>131</v>
      </c>
    </row>
    <row r="410" spans="1:4" x14ac:dyDescent="0.15">
      <c r="A410" s="32">
        <v>34669</v>
      </c>
      <c r="B410" s="33" t="s">
        <v>21</v>
      </c>
      <c r="C410" s="33" t="s">
        <v>25</v>
      </c>
      <c r="D410" s="33">
        <v>304</v>
      </c>
    </row>
    <row r="411" spans="1:4" x14ac:dyDescent="0.15">
      <c r="A411" s="32">
        <v>34669</v>
      </c>
      <c r="B411" s="33" t="s">
        <v>21</v>
      </c>
      <c r="C411" s="33" t="s">
        <v>25</v>
      </c>
      <c r="D411" s="33">
        <v>248</v>
      </c>
    </row>
    <row r="412" spans="1:4" x14ac:dyDescent="0.15">
      <c r="A412" s="32">
        <v>34669</v>
      </c>
      <c r="B412" s="33" t="s">
        <v>28</v>
      </c>
      <c r="C412" s="33" t="s">
        <v>25</v>
      </c>
      <c r="D412" s="33">
        <v>338</v>
      </c>
    </row>
    <row r="413" spans="1:4" x14ac:dyDescent="0.15">
      <c r="A413" s="32">
        <v>34669</v>
      </c>
      <c r="B413" s="33" t="s">
        <v>26</v>
      </c>
      <c r="C413" s="33" t="s">
        <v>25</v>
      </c>
      <c r="D413" s="33">
        <v>888</v>
      </c>
    </row>
    <row r="414" spans="1:4" x14ac:dyDescent="0.15">
      <c r="A414" s="32">
        <v>34669</v>
      </c>
      <c r="B414" s="33" t="s">
        <v>21</v>
      </c>
      <c r="C414" s="33" t="s">
        <v>25</v>
      </c>
      <c r="D414" s="33">
        <v>808</v>
      </c>
    </row>
    <row r="415" spans="1:4" x14ac:dyDescent="0.15">
      <c r="A415" s="32">
        <v>34669</v>
      </c>
      <c r="B415" s="33" t="s">
        <v>26</v>
      </c>
      <c r="C415" s="33" t="s">
        <v>25</v>
      </c>
      <c r="D415" s="33">
        <v>371</v>
      </c>
    </row>
    <row r="416" spans="1:4" x14ac:dyDescent="0.15">
      <c r="A416" s="32">
        <v>34669</v>
      </c>
      <c r="B416" s="33" t="s">
        <v>28</v>
      </c>
      <c r="C416" s="33" t="s">
        <v>25</v>
      </c>
      <c r="D416" s="33">
        <v>341</v>
      </c>
    </row>
    <row r="417" spans="1:4" x14ac:dyDescent="0.15">
      <c r="A417" s="32">
        <v>34669</v>
      </c>
      <c r="B417" s="33" t="s">
        <v>26</v>
      </c>
      <c r="C417" s="33" t="s">
        <v>25</v>
      </c>
      <c r="D417" s="33">
        <v>2110</v>
      </c>
    </row>
    <row r="418" spans="1:4" x14ac:dyDescent="0.15">
      <c r="A418" s="32">
        <v>34669</v>
      </c>
      <c r="B418" s="33" t="s">
        <v>21</v>
      </c>
      <c r="C418" s="33" t="s">
        <v>27</v>
      </c>
      <c r="D418" s="33">
        <v>18</v>
      </c>
    </row>
    <row r="419" spans="1:4" x14ac:dyDescent="0.15">
      <c r="A419" s="32">
        <v>34669</v>
      </c>
      <c r="B419" s="33" t="s">
        <v>26</v>
      </c>
      <c r="C419" s="33" t="s">
        <v>27</v>
      </c>
      <c r="D419" s="33">
        <v>1875</v>
      </c>
    </row>
    <row r="420" spans="1:4" x14ac:dyDescent="0.15">
      <c r="A420" s="32">
        <v>34669</v>
      </c>
      <c r="B420" s="33" t="s">
        <v>21</v>
      </c>
      <c r="C420" s="33" t="s">
        <v>27</v>
      </c>
      <c r="D420" s="33">
        <v>56</v>
      </c>
    </row>
    <row r="421" spans="1:4" x14ac:dyDescent="0.15">
      <c r="A421" s="32">
        <v>34669</v>
      </c>
      <c r="B421" s="33" t="s">
        <v>21</v>
      </c>
      <c r="C421" s="33" t="s">
        <v>27</v>
      </c>
      <c r="D421" s="33">
        <v>1281</v>
      </c>
    </row>
    <row r="422" spans="1:4" x14ac:dyDescent="0.15">
      <c r="A422" s="32">
        <v>34669</v>
      </c>
      <c r="B422" s="33" t="s">
        <v>26</v>
      </c>
      <c r="C422" s="33" t="s">
        <v>27</v>
      </c>
      <c r="D422" s="33">
        <v>172</v>
      </c>
    </row>
    <row r="423" spans="1:4" x14ac:dyDescent="0.15">
      <c r="A423" s="32">
        <v>34669</v>
      </c>
      <c r="B423" s="33" t="s">
        <v>28</v>
      </c>
      <c r="C423" s="33" t="s">
        <v>27</v>
      </c>
      <c r="D423" s="33">
        <v>1315</v>
      </c>
    </row>
    <row r="424" spans="1:4" x14ac:dyDescent="0.15">
      <c r="A424" s="32">
        <v>34669</v>
      </c>
      <c r="B424" s="33" t="s">
        <v>26</v>
      </c>
      <c r="C424" s="33" t="s">
        <v>27</v>
      </c>
      <c r="D424" s="33">
        <v>360</v>
      </c>
    </row>
    <row r="425" spans="1:4" x14ac:dyDescent="0.15">
      <c r="A425" s="32">
        <v>34669</v>
      </c>
      <c r="B425" s="33" t="s">
        <v>21</v>
      </c>
      <c r="C425" s="33" t="s">
        <v>27</v>
      </c>
      <c r="D425" s="33">
        <v>454</v>
      </c>
    </row>
    <row r="426" spans="1:4" x14ac:dyDescent="0.15">
      <c r="A426" s="32">
        <v>34669</v>
      </c>
      <c r="B426" s="33" t="s">
        <v>26</v>
      </c>
      <c r="C426" s="33" t="s">
        <v>27</v>
      </c>
      <c r="D426" s="33">
        <v>517</v>
      </c>
    </row>
    <row r="427" spans="1:4" x14ac:dyDescent="0.15">
      <c r="A427" s="32">
        <v>34669</v>
      </c>
      <c r="B427" s="33" t="s">
        <v>28</v>
      </c>
      <c r="C427" s="33" t="s">
        <v>27</v>
      </c>
      <c r="D427" s="33">
        <v>1006</v>
      </c>
    </row>
    <row r="428" spans="1:4" x14ac:dyDescent="0.15">
      <c r="A428" s="32">
        <v>34700</v>
      </c>
      <c r="B428" s="33" t="s">
        <v>28</v>
      </c>
      <c r="C428" s="33" t="s">
        <v>22</v>
      </c>
      <c r="D428" s="33">
        <v>561</v>
      </c>
    </row>
    <row r="429" spans="1:4" x14ac:dyDescent="0.15">
      <c r="A429" s="32">
        <v>34700</v>
      </c>
      <c r="B429" s="33" t="s">
        <v>26</v>
      </c>
      <c r="C429" s="33" t="s">
        <v>22</v>
      </c>
      <c r="D429" s="33">
        <v>3730</v>
      </c>
    </row>
    <row r="430" spans="1:4" x14ac:dyDescent="0.15">
      <c r="A430" s="32">
        <v>34700</v>
      </c>
      <c r="B430" s="33" t="s">
        <v>26</v>
      </c>
      <c r="C430" s="33" t="s">
        <v>22</v>
      </c>
      <c r="D430" s="33">
        <v>2244</v>
      </c>
    </row>
    <row r="431" spans="1:4" x14ac:dyDescent="0.15">
      <c r="A431" s="32">
        <v>34700</v>
      </c>
      <c r="B431" s="33" t="s">
        <v>28</v>
      </c>
      <c r="C431" s="33" t="s">
        <v>22</v>
      </c>
      <c r="D431" s="33">
        <v>1418</v>
      </c>
    </row>
    <row r="432" spans="1:4" x14ac:dyDescent="0.15">
      <c r="A432" s="32">
        <v>34700</v>
      </c>
      <c r="B432" s="33" t="s">
        <v>28</v>
      </c>
      <c r="C432" s="33" t="s">
        <v>22</v>
      </c>
      <c r="D432" s="33">
        <v>1399</v>
      </c>
    </row>
    <row r="433" spans="1:4" x14ac:dyDescent="0.15">
      <c r="A433" s="32">
        <v>34700</v>
      </c>
      <c r="B433" s="33" t="s">
        <v>28</v>
      </c>
      <c r="C433" s="33" t="s">
        <v>22</v>
      </c>
      <c r="D433" s="33">
        <v>836</v>
      </c>
    </row>
    <row r="434" spans="1:4" x14ac:dyDescent="0.15">
      <c r="A434" s="32">
        <v>34700</v>
      </c>
      <c r="B434" s="33" t="s">
        <v>26</v>
      </c>
      <c r="C434" s="33" t="s">
        <v>22</v>
      </c>
      <c r="D434" s="33">
        <v>413</v>
      </c>
    </row>
    <row r="435" spans="1:4" x14ac:dyDescent="0.15">
      <c r="A435" s="32">
        <v>34700</v>
      </c>
      <c r="B435" s="33" t="s">
        <v>21</v>
      </c>
      <c r="C435" s="33" t="s">
        <v>22</v>
      </c>
      <c r="D435" s="33">
        <v>405</v>
      </c>
    </row>
    <row r="436" spans="1:4" x14ac:dyDescent="0.15">
      <c r="A436" s="32">
        <v>34700</v>
      </c>
      <c r="B436" s="33" t="s">
        <v>21</v>
      </c>
      <c r="C436" s="33" t="s">
        <v>22</v>
      </c>
      <c r="D436" s="33">
        <v>400</v>
      </c>
    </row>
    <row r="437" spans="1:4" x14ac:dyDescent="0.15">
      <c r="A437" s="32">
        <v>34700</v>
      </c>
      <c r="B437" s="33" t="s">
        <v>26</v>
      </c>
      <c r="C437" s="33" t="s">
        <v>22</v>
      </c>
      <c r="D437" s="33">
        <v>383</v>
      </c>
    </row>
    <row r="438" spans="1:4" x14ac:dyDescent="0.15">
      <c r="A438" s="32">
        <v>34700</v>
      </c>
      <c r="B438" s="33" t="s">
        <v>21</v>
      </c>
      <c r="C438" s="33" t="s">
        <v>22</v>
      </c>
      <c r="D438" s="33">
        <v>369</v>
      </c>
    </row>
    <row r="439" spans="1:4" x14ac:dyDescent="0.15">
      <c r="A439" s="32">
        <v>34700</v>
      </c>
      <c r="B439" s="33" t="s">
        <v>21</v>
      </c>
      <c r="C439" s="33" t="s">
        <v>22</v>
      </c>
      <c r="D439" s="33">
        <v>303</v>
      </c>
    </row>
    <row r="440" spans="1:4" x14ac:dyDescent="0.15">
      <c r="A440" s="32">
        <v>34700</v>
      </c>
      <c r="B440" s="33" t="s">
        <v>28</v>
      </c>
      <c r="C440" s="33" t="s">
        <v>23</v>
      </c>
      <c r="D440" s="33">
        <v>315</v>
      </c>
    </row>
    <row r="441" spans="1:4" x14ac:dyDescent="0.15">
      <c r="A441" s="32">
        <v>34700</v>
      </c>
      <c r="B441" s="33" t="s">
        <v>26</v>
      </c>
      <c r="C441" s="33" t="s">
        <v>23</v>
      </c>
      <c r="D441" s="33">
        <v>315</v>
      </c>
    </row>
    <row r="442" spans="1:4" x14ac:dyDescent="0.15">
      <c r="A442" s="32">
        <v>34700</v>
      </c>
      <c r="B442" s="33" t="s">
        <v>21</v>
      </c>
      <c r="C442" s="33" t="s">
        <v>23</v>
      </c>
      <c r="D442" s="33">
        <v>564</v>
      </c>
    </row>
    <row r="443" spans="1:4" x14ac:dyDescent="0.15">
      <c r="A443" s="32">
        <v>34700</v>
      </c>
      <c r="B443" s="33" t="s">
        <v>21</v>
      </c>
      <c r="C443" s="33" t="s">
        <v>23</v>
      </c>
      <c r="D443" s="33">
        <v>405</v>
      </c>
    </row>
    <row r="444" spans="1:4" x14ac:dyDescent="0.15">
      <c r="A444" s="32">
        <v>34700</v>
      </c>
      <c r="B444" s="33" t="s">
        <v>28</v>
      </c>
      <c r="C444" s="33" t="s">
        <v>23</v>
      </c>
      <c r="D444" s="33">
        <v>405</v>
      </c>
    </row>
    <row r="445" spans="1:4" x14ac:dyDescent="0.15">
      <c r="A445" s="32">
        <v>34700</v>
      </c>
      <c r="B445" s="33" t="s">
        <v>28</v>
      </c>
      <c r="C445" s="33" t="s">
        <v>23</v>
      </c>
      <c r="D445" s="33">
        <v>394</v>
      </c>
    </row>
    <row r="446" spans="1:4" x14ac:dyDescent="0.15">
      <c r="A446" s="32">
        <v>34700</v>
      </c>
      <c r="B446" s="33" t="s">
        <v>21</v>
      </c>
      <c r="C446" s="33" t="s">
        <v>23</v>
      </c>
      <c r="D446" s="33">
        <v>171</v>
      </c>
    </row>
    <row r="447" spans="1:4" x14ac:dyDescent="0.15">
      <c r="A447" s="32">
        <v>34700</v>
      </c>
      <c r="B447" s="33" t="s">
        <v>26</v>
      </c>
      <c r="C447" s="33" t="s">
        <v>23</v>
      </c>
      <c r="D447" s="33">
        <v>158</v>
      </c>
    </row>
    <row r="448" spans="1:4" x14ac:dyDescent="0.15">
      <c r="A448" s="32">
        <v>34700</v>
      </c>
      <c r="B448" s="33" t="s">
        <v>26</v>
      </c>
      <c r="C448" s="33" t="s">
        <v>23</v>
      </c>
      <c r="D448" s="33">
        <v>135</v>
      </c>
    </row>
    <row r="449" spans="1:4" x14ac:dyDescent="0.15">
      <c r="A449" s="32">
        <v>34700</v>
      </c>
      <c r="B449" s="33" t="s">
        <v>26</v>
      </c>
      <c r="C449" s="33" t="s">
        <v>23</v>
      </c>
      <c r="D449" s="33">
        <v>96</v>
      </c>
    </row>
    <row r="450" spans="1:4" x14ac:dyDescent="0.15">
      <c r="A450" s="32">
        <v>34700</v>
      </c>
      <c r="B450" s="33" t="s">
        <v>21</v>
      </c>
      <c r="C450" s="33" t="s">
        <v>23</v>
      </c>
      <c r="D450" s="33">
        <v>280</v>
      </c>
    </row>
    <row r="451" spans="1:4" x14ac:dyDescent="0.15">
      <c r="A451" s="32">
        <v>34700</v>
      </c>
      <c r="B451" s="33" t="s">
        <v>28</v>
      </c>
      <c r="C451" s="33" t="s">
        <v>23</v>
      </c>
      <c r="D451" s="33">
        <v>557</v>
      </c>
    </row>
    <row r="452" spans="1:4" x14ac:dyDescent="0.15">
      <c r="A452" s="32">
        <v>34700</v>
      </c>
      <c r="B452" s="33" t="s">
        <v>21</v>
      </c>
      <c r="C452" s="33" t="s">
        <v>24</v>
      </c>
      <c r="D452" s="33">
        <v>68</v>
      </c>
    </row>
    <row r="453" spans="1:4" x14ac:dyDescent="0.15">
      <c r="A453" s="32">
        <v>34700</v>
      </c>
      <c r="B453" s="33" t="s">
        <v>21</v>
      </c>
      <c r="C453" s="33" t="s">
        <v>24</v>
      </c>
      <c r="D453" s="33">
        <v>99</v>
      </c>
    </row>
    <row r="454" spans="1:4" x14ac:dyDescent="0.15">
      <c r="A454" s="32">
        <v>34700</v>
      </c>
      <c r="B454" s="33" t="s">
        <v>26</v>
      </c>
      <c r="C454" s="33" t="s">
        <v>24</v>
      </c>
      <c r="D454" s="33">
        <v>124</v>
      </c>
    </row>
    <row r="455" spans="1:4" x14ac:dyDescent="0.15">
      <c r="A455" s="32">
        <v>34700</v>
      </c>
      <c r="B455" s="33" t="s">
        <v>26</v>
      </c>
      <c r="C455" s="33" t="s">
        <v>24</v>
      </c>
      <c r="D455" s="33">
        <v>114</v>
      </c>
    </row>
    <row r="456" spans="1:4" x14ac:dyDescent="0.15">
      <c r="A456" s="32">
        <v>34700</v>
      </c>
      <c r="B456" s="33" t="s">
        <v>26</v>
      </c>
      <c r="C456" s="33" t="s">
        <v>24</v>
      </c>
      <c r="D456" s="33">
        <v>151</v>
      </c>
    </row>
    <row r="457" spans="1:4" x14ac:dyDescent="0.15">
      <c r="A457" s="32">
        <v>34700</v>
      </c>
      <c r="B457" s="33" t="s">
        <v>21</v>
      </c>
      <c r="C457" s="33" t="s">
        <v>24</v>
      </c>
      <c r="D457" s="33">
        <v>44</v>
      </c>
    </row>
    <row r="458" spans="1:4" x14ac:dyDescent="0.15">
      <c r="A458" s="32">
        <v>34700</v>
      </c>
      <c r="B458" s="33" t="s">
        <v>26</v>
      </c>
      <c r="C458" s="33" t="s">
        <v>24</v>
      </c>
      <c r="D458" s="33">
        <v>140</v>
      </c>
    </row>
    <row r="459" spans="1:4" x14ac:dyDescent="0.15">
      <c r="A459" s="32">
        <v>34700</v>
      </c>
      <c r="B459" s="33" t="s">
        <v>26</v>
      </c>
      <c r="C459" s="33" t="s">
        <v>24</v>
      </c>
      <c r="D459" s="33">
        <v>293</v>
      </c>
    </row>
    <row r="460" spans="1:4" x14ac:dyDescent="0.15">
      <c r="A460" s="32">
        <v>34700</v>
      </c>
      <c r="B460" s="33" t="s">
        <v>21</v>
      </c>
      <c r="C460" s="33" t="s">
        <v>24</v>
      </c>
      <c r="D460" s="33">
        <v>60</v>
      </c>
    </row>
    <row r="461" spans="1:4" x14ac:dyDescent="0.15">
      <c r="A461" s="32">
        <v>34700</v>
      </c>
      <c r="B461" s="33" t="s">
        <v>21</v>
      </c>
      <c r="C461" s="33" t="s">
        <v>24</v>
      </c>
      <c r="D461" s="33">
        <v>416</v>
      </c>
    </row>
    <row r="462" spans="1:4" x14ac:dyDescent="0.15">
      <c r="A462" s="32">
        <v>34700</v>
      </c>
      <c r="B462" s="33" t="s">
        <v>21</v>
      </c>
      <c r="C462" s="33" t="s">
        <v>24</v>
      </c>
      <c r="D462" s="33">
        <v>1204</v>
      </c>
    </row>
    <row r="463" spans="1:4" x14ac:dyDescent="0.15">
      <c r="A463" s="32">
        <v>34700</v>
      </c>
      <c r="B463" s="33" t="s">
        <v>26</v>
      </c>
      <c r="C463" s="33" t="s">
        <v>24</v>
      </c>
      <c r="D463" s="33">
        <v>912</v>
      </c>
    </row>
    <row r="464" spans="1:4" x14ac:dyDescent="0.15">
      <c r="A464" s="32">
        <v>34700</v>
      </c>
      <c r="B464" s="33" t="s">
        <v>26</v>
      </c>
      <c r="C464" s="33" t="s">
        <v>25</v>
      </c>
      <c r="D464" s="33">
        <v>1358</v>
      </c>
    </row>
    <row r="465" spans="1:4" x14ac:dyDescent="0.15">
      <c r="A465" s="32">
        <v>34700</v>
      </c>
      <c r="B465" s="33" t="s">
        <v>26</v>
      </c>
      <c r="C465" s="33" t="s">
        <v>25</v>
      </c>
      <c r="D465" s="33">
        <v>970</v>
      </c>
    </row>
    <row r="466" spans="1:4" x14ac:dyDescent="0.15">
      <c r="A466" s="32">
        <v>34700</v>
      </c>
      <c r="B466" s="33" t="s">
        <v>21</v>
      </c>
      <c r="C466" s="33" t="s">
        <v>25</v>
      </c>
      <c r="D466" s="33">
        <v>840</v>
      </c>
    </row>
    <row r="467" spans="1:4" x14ac:dyDescent="0.15">
      <c r="A467" s="32">
        <v>34700</v>
      </c>
      <c r="B467" s="33" t="s">
        <v>28</v>
      </c>
      <c r="C467" s="33" t="s">
        <v>25</v>
      </c>
      <c r="D467" s="33">
        <v>289</v>
      </c>
    </row>
    <row r="468" spans="1:4" x14ac:dyDescent="0.15">
      <c r="A468" s="32">
        <v>34700</v>
      </c>
      <c r="B468" s="33" t="s">
        <v>21</v>
      </c>
      <c r="C468" s="33" t="s">
        <v>25</v>
      </c>
      <c r="D468" s="33">
        <v>293</v>
      </c>
    </row>
    <row r="469" spans="1:4" x14ac:dyDescent="0.15">
      <c r="A469" s="32">
        <v>34700</v>
      </c>
      <c r="B469" s="33" t="s">
        <v>28</v>
      </c>
      <c r="C469" s="33" t="s">
        <v>25</v>
      </c>
      <c r="D469" s="33">
        <v>270</v>
      </c>
    </row>
    <row r="470" spans="1:4" x14ac:dyDescent="0.15">
      <c r="A470" s="32">
        <v>34700</v>
      </c>
      <c r="B470" s="33" t="s">
        <v>21</v>
      </c>
      <c r="C470" s="33" t="s">
        <v>25</v>
      </c>
      <c r="D470" s="33">
        <v>193</v>
      </c>
    </row>
    <row r="471" spans="1:4" x14ac:dyDescent="0.15">
      <c r="A471" s="32">
        <v>34700</v>
      </c>
      <c r="B471" s="33" t="s">
        <v>26</v>
      </c>
      <c r="C471" s="33" t="s">
        <v>25</v>
      </c>
      <c r="D471" s="33">
        <v>149</v>
      </c>
    </row>
    <row r="472" spans="1:4" x14ac:dyDescent="0.15">
      <c r="A472" s="32">
        <v>34700</v>
      </c>
      <c r="B472" s="33" t="s">
        <v>26</v>
      </c>
      <c r="C472" s="33" t="s">
        <v>25</v>
      </c>
      <c r="D472" s="33">
        <v>360</v>
      </c>
    </row>
    <row r="473" spans="1:4" x14ac:dyDescent="0.15">
      <c r="A473" s="32">
        <v>34700</v>
      </c>
      <c r="B473" s="33" t="s">
        <v>28</v>
      </c>
      <c r="C473" s="33" t="s">
        <v>25</v>
      </c>
      <c r="D473" s="33">
        <v>338</v>
      </c>
    </row>
    <row r="474" spans="1:4" x14ac:dyDescent="0.15">
      <c r="A474" s="32">
        <v>34700</v>
      </c>
      <c r="B474" s="33" t="s">
        <v>21</v>
      </c>
      <c r="C474" s="33" t="s">
        <v>25</v>
      </c>
      <c r="D474" s="33">
        <v>326</v>
      </c>
    </row>
    <row r="475" spans="1:4" x14ac:dyDescent="0.15">
      <c r="A475" s="32">
        <v>34700</v>
      </c>
      <c r="B475" s="33" t="s">
        <v>28</v>
      </c>
      <c r="C475" s="33" t="s">
        <v>25</v>
      </c>
      <c r="D475" s="33">
        <v>105</v>
      </c>
    </row>
    <row r="476" spans="1:4" x14ac:dyDescent="0.15">
      <c r="A476" s="32">
        <v>34700</v>
      </c>
      <c r="B476" s="33" t="s">
        <v>26</v>
      </c>
      <c r="C476" s="33" t="s">
        <v>27</v>
      </c>
      <c r="D476" s="33">
        <v>693</v>
      </c>
    </row>
    <row r="477" spans="1:4" x14ac:dyDescent="0.15">
      <c r="A477" s="32">
        <v>34700</v>
      </c>
      <c r="B477" s="33" t="s">
        <v>26</v>
      </c>
      <c r="C477" s="33" t="s">
        <v>27</v>
      </c>
      <c r="D477" s="33">
        <v>349</v>
      </c>
    </row>
    <row r="478" spans="1:4" x14ac:dyDescent="0.15">
      <c r="A478" s="32">
        <v>34700</v>
      </c>
      <c r="B478" s="33" t="s">
        <v>28</v>
      </c>
      <c r="C478" s="33" t="s">
        <v>27</v>
      </c>
      <c r="D478" s="33">
        <v>930</v>
      </c>
    </row>
    <row r="479" spans="1:4" x14ac:dyDescent="0.15">
      <c r="A479" s="32">
        <v>34700</v>
      </c>
      <c r="B479" s="33" t="s">
        <v>21</v>
      </c>
      <c r="C479" s="33" t="s">
        <v>27</v>
      </c>
      <c r="D479" s="33">
        <v>1068</v>
      </c>
    </row>
    <row r="480" spans="1:4" x14ac:dyDescent="0.15">
      <c r="A480" s="32">
        <v>34700</v>
      </c>
      <c r="B480" s="33" t="s">
        <v>26</v>
      </c>
      <c r="C480" s="33" t="s">
        <v>27</v>
      </c>
      <c r="D480" s="33">
        <v>1762</v>
      </c>
    </row>
    <row r="481" spans="1:4" x14ac:dyDescent="0.15">
      <c r="A481" s="32">
        <v>34700</v>
      </c>
      <c r="B481" s="33" t="s">
        <v>28</v>
      </c>
      <c r="C481" s="33" t="s">
        <v>27</v>
      </c>
      <c r="D481" s="33">
        <v>1980</v>
      </c>
    </row>
    <row r="482" spans="1:4" x14ac:dyDescent="0.15">
      <c r="A482" s="32">
        <v>34700</v>
      </c>
      <c r="B482" s="33" t="s">
        <v>28</v>
      </c>
      <c r="C482" s="33" t="s">
        <v>27</v>
      </c>
      <c r="D482" s="33">
        <v>56</v>
      </c>
    </row>
    <row r="483" spans="1:4" x14ac:dyDescent="0.15">
      <c r="A483" s="32">
        <v>34700</v>
      </c>
      <c r="B483" s="33" t="s">
        <v>21</v>
      </c>
      <c r="C483" s="33" t="s">
        <v>27</v>
      </c>
      <c r="D483" s="33">
        <v>45</v>
      </c>
    </row>
    <row r="484" spans="1:4" x14ac:dyDescent="0.15">
      <c r="A484" s="32">
        <v>34700</v>
      </c>
      <c r="B484" s="33" t="s">
        <v>28</v>
      </c>
      <c r="C484" s="33" t="s">
        <v>27</v>
      </c>
      <c r="D484" s="33">
        <v>185</v>
      </c>
    </row>
    <row r="485" spans="1:4" x14ac:dyDescent="0.15">
      <c r="A485" s="32">
        <v>34700</v>
      </c>
      <c r="B485" s="33" t="s">
        <v>26</v>
      </c>
      <c r="C485" s="33" t="s">
        <v>27</v>
      </c>
      <c r="D485" s="33">
        <v>186</v>
      </c>
    </row>
    <row r="486" spans="1:4" x14ac:dyDescent="0.15">
      <c r="A486" s="32">
        <v>34700</v>
      </c>
      <c r="B486" s="33" t="s">
        <v>21</v>
      </c>
      <c r="C486" s="33" t="s">
        <v>27</v>
      </c>
      <c r="D486" s="33">
        <v>18</v>
      </c>
    </row>
    <row r="487" spans="1:4" x14ac:dyDescent="0.15">
      <c r="A487" s="32">
        <v>34700</v>
      </c>
      <c r="B487" s="33" t="s">
        <v>21</v>
      </c>
      <c r="C487" s="33" t="s">
        <v>27</v>
      </c>
      <c r="D487" s="33">
        <v>481</v>
      </c>
    </row>
    <row r="488" spans="1:4" x14ac:dyDescent="0.15">
      <c r="A488" s="32">
        <v>34731</v>
      </c>
      <c r="B488" s="33" t="s">
        <v>21</v>
      </c>
      <c r="C488" s="33" t="s">
        <v>22</v>
      </c>
      <c r="D488" s="33">
        <v>469</v>
      </c>
    </row>
    <row r="489" spans="1:4" x14ac:dyDescent="0.15">
      <c r="A489" s="32">
        <v>34731</v>
      </c>
      <c r="B489" s="33" t="s">
        <v>26</v>
      </c>
      <c r="C489" s="33" t="s">
        <v>22</v>
      </c>
      <c r="D489" s="33">
        <v>588</v>
      </c>
    </row>
    <row r="490" spans="1:4" x14ac:dyDescent="0.15">
      <c r="A490" s="32">
        <v>34731</v>
      </c>
      <c r="B490" s="33" t="s">
        <v>28</v>
      </c>
      <c r="C490" s="33" t="s">
        <v>22</v>
      </c>
      <c r="D490" s="33">
        <v>521</v>
      </c>
    </row>
    <row r="491" spans="1:4" x14ac:dyDescent="0.15">
      <c r="A491" s="32">
        <v>34731</v>
      </c>
      <c r="B491" s="33" t="s">
        <v>26</v>
      </c>
      <c r="C491" s="33" t="s">
        <v>22</v>
      </c>
      <c r="D491" s="33">
        <v>433</v>
      </c>
    </row>
    <row r="492" spans="1:4" x14ac:dyDescent="0.15">
      <c r="A492" s="32">
        <v>34731</v>
      </c>
      <c r="B492" s="33" t="s">
        <v>21</v>
      </c>
      <c r="C492" s="33" t="s">
        <v>22</v>
      </c>
      <c r="D492" s="33">
        <v>432</v>
      </c>
    </row>
    <row r="493" spans="1:4" x14ac:dyDescent="0.15">
      <c r="A493" s="32">
        <v>34731</v>
      </c>
      <c r="B493" s="33" t="s">
        <v>21</v>
      </c>
      <c r="C493" s="33" t="s">
        <v>22</v>
      </c>
      <c r="D493" s="33">
        <v>374</v>
      </c>
    </row>
    <row r="494" spans="1:4" x14ac:dyDescent="0.15">
      <c r="A494" s="32">
        <v>34731</v>
      </c>
      <c r="B494" s="33" t="s">
        <v>21</v>
      </c>
      <c r="C494" s="33" t="s">
        <v>22</v>
      </c>
      <c r="D494" s="33">
        <v>508</v>
      </c>
    </row>
    <row r="495" spans="1:4" x14ac:dyDescent="0.15">
      <c r="A495" s="32">
        <v>34731</v>
      </c>
      <c r="B495" s="33" t="s">
        <v>26</v>
      </c>
      <c r="C495" s="33" t="s">
        <v>22</v>
      </c>
      <c r="D495" s="33">
        <v>3293</v>
      </c>
    </row>
    <row r="496" spans="1:4" x14ac:dyDescent="0.15">
      <c r="A496" s="32">
        <v>34731</v>
      </c>
      <c r="B496" s="33" t="s">
        <v>26</v>
      </c>
      <c r="C496" s="33" t="s">
        <v>22</v>
      </c>
      <c r="D496" s="33">
        <v>1849</v>
      </c>
    </row>
    <row r="497" spans="1:4" x14ac:dyDescent="0.15">
      <c r="A497" s="32">
        <v>34731</v>
      </c>
      <c r="B497" s="33" t="s">
        <v>28</v>
      </c>
      <c r="C497" s="33" t="s">
        <v>22</v>
      </c>
      <c r="D497" s="33">
        <v>1567</v>
      </c>
    </row>
    <row r="498" spans="1:4" x14ac:dyDescent="0.15">
      <c r="A498" s="32">
        <v>34731</v>
      </c>
      <c r="B498" s="33" t="s">
        <v>28</v>
      </c>
      <c r="C498" s="33" t="s">
        <v>22</v>
      </c>
      <c r="D498" s="33">
        <v>1129</v>
      </c>
    </row>
    <row r="499" spans="1:4" x14ac:dyDescent="0.15">
      <c r="A499" s="32">
        <v>34731</v>
      </c>
      <c r="B499" s="33" t="s">
        <v>28</v>
      </c>
      <c r="C499" s="33" t="s">
        <v>22</v>
      </c>
      <c r="D499" s="33">
        <v>886</v>
      </c>
    </row>
    <row r="500" spans="1:4" x14ac:dyDescent="0.15">
      <c r="A500" s="32">
        <v>34731</v>
      </c>
      <c r="B500" s="33" t="s">
        <v>21</v>
      </c>
      <c r="C500" s="33" t="s">
        <v>23</v>
      </c>
      <c r="D500" s="33">
        <v>610</v>
      </c>
    </row>
    <row r="501" spans="1:4" x14ac:dyDescent="0.15">
      <c r="A501" s="32">
        <v>34731</v>
      </c>
      <c r="B501" s="33" t="s">
        <v>28</v>
      </c>
      <c r="C501" s="33" t="s">
        <v>23</v>
      </c>
      <c r="D501" s="33">
        <v>524</v>
      </c>
    </row>
    <row r="502" spans="1:4" x14ac:dyDescent="0.15">
      <c r="A502" s="32">
        <v>34731</v>
      </c>
      <c r="B502" s="33" t="s">
        <v>26</v>
      </c>
      <c r="C502" s="33" t="s">
        <v>23</v>
      </c>
      <c r="D502" s="33">
        <v>123</v>
      </c>
    </row>
    <row r="503" spans="1:4" x14ac:dyDescent="0.15">
      <c r="A503" s="32">
        <v>34731</v>
      </c>
      <c r="B503" s="33" t="s">
        <v>21</v>
      </c>
      <c r="C503" s="33" t="s">
        <v>23</v>
      </c>
      <c r="D503" s="33">
        <v>503</v>
      </c>
    </row>
    <row r="504" spans="1:4" x14ac:dyDescent="0.15">
      <c r="A504" s="32">
        <v>34731</v>
      </c>
      <c r="B504" s="33" t="s">
        <v>28</v>
      </c>
      <c r="C504" s="33" t="s">
        <v>23</v>
      </c>
      <c r="D504" s="33">
        <v>473</v>
      </c>
    </row>
    <row r="505" spans="1:4" x14ac:dyDescent="0.15">
      <c r="A505" s="32">
        <v>34731</v>
      </c>
      <c r="B505" s="33" t="s">
        <v>28</v>
      </c>
      <c r="C505" s="33" t="s">
        <v>23</v>
      </c>
      <c r="D505" s="33">
        <v>368</v>
      </c>
    </row>
    <row r="506" spans="1:4" x14ac:dyDescent="0.15">
      <c r="A506" s="32">
        <v>34731</v>
      </c>
      <c r="B506" s="33" t="s">
        <v>28</v>
      </c>
      <c r="C506" s="33" t="s">
        <v>23</v>
      </c>
      <c r="D506" s="33">
        <v>368</v>
      </c>
    </row>
    <row r="507" spans="1:4" x14ac:dyDescent="0.15">
      <c r="A507" s="32">
        <v>34731</v>
      </c>
      <c r="B507" s="33" t="s">
        <v>26</v>
      </c>
      <c r="C507" s="33" t="s">
        <v>23</v>
      </c>
      <c r="D507" s="33">
        <v>360</v>
      </c>
    </row>
    <row r="508" spans="1:4" x14ac:dyDescent="0.15">
      <c r="A508" s="32">
        <v>34731</v>
      </c>
      <c r="B508" s="33" t="s">
        <v>21</v>
      </c>
      <c r="C508" s="33" t="s">
        <v>23</v>
      </c>
      <c r="D508" s="33">
        <v>180</v>
      </c>
    </row>
    <row r="509" spans="1:4" x14ac:dyDescent="0.15">
      <c r="A509" s="32">
        <v>34731</v>
      </c>
      <c r="B509" s="33" t="s">
        <v>26</v>
      </c>
      <c r="C509" s="33" t="s">
        <v>23</v>
      </c>
      <c r="D509" s="33">
        <v>135</v>
      </c>
    </row>
    <row r="510" spans="1:4" x14ac:dyDescent="0.15">
      <c r="A510" s="32">
        <v>34731</v>
      </c>
      <c r="B510" s="33" t="s">
        <v>26</v>
      </c>
      <c r="C510" s="33" t="s">
        <v>23</v>
      </c>
      <c r="D510" s="33">
        <v>105</v>
      </c>
    </row>
    <row r="511" spans="1:4" x14ac:dyDescent="0.15">
      <c r="A511" s="32">
        <v>34731</v>
      </c>
      <c r="B511" s="33" t="s">
        <v>21</v>
      </c>
      <c r="C511" s="33" t="s">
        <v>23</v>
      </c>
      <c r="D511" s="33">
        <v>333</v>
      </c>
    </row>
    <row r="512" spans="1:4" x14ac:dyDescent="0.15">
      <c r="A512" s="32">
        <v>34731</v>
      </c>
      <c r="B512" s="33" t="s">
        <v>26</v>
      </c>
      <c r="C512" s="33" t="s">
        <v>24</v>
      </c>
      <c r="D512" s="33">
        <v>873</v>
      </c>
    </row>
    <row r="513" spans="1:4" x14ac:dyDescent="0.15">
      <c r="A513" s="32">
        <v>34731</v>
      </c>
      <c r="B513" s="33" t="s">
        <v>21</v>
      </c>
      <c r="C513" s="33" t="s">
        <v>24</v>
      </c>
      <c r="D513" s="33">
        <v>1387</v>
      </c>
    </row>
    <row r="514" spans="1:4" x14ac:dyDescent="0.15">
      <c r="A514" s="32">
        <v>34731</v>
      </c>
      <c r="B514" s="33" t="s">
        <v>21</v>
      </c>
      <c r="C514" s="33" t="s">
        <v>24</v>
      </c>
      <c r="D514" s="33">
        <v>1359</v>
      </c>
    </row>
    <row r="515" spans="1:4" x14ac:dyDescent="0.15">
      <c r="A515" s="32">
        <v>34731</v>
      </c>
      <c r="B515" s="33" t="s">
        <v>21</v>
      </c>
      <c r="C515" s="33" t="s">
        <v>24</v>
      </c>
      <c r="D515" s="33">
        <v>55</v>
      </c>
    </row>
    <row r="516" spans="1:4" x14ac:dyDescent="0.15">
      <c r="A516" s="32">
        <v>34731</v>
      </c>
      <c r="B516" s="33" t="s">
        <v>21</v>
      </c>
      <c r="C516" s="33" t="s">
        <v>24</v>
      </c>
      <c r="D516" s="33">
        <v>63</v>
      </c>
    </row>
    <row r="517" spans="1:4" x14ac:dyDescent="0.15">
      <c r="A517" s="32">
        <v>34731</v>
      </c>
      <c r="B517" s="33" t="s">
        <v>26</v>
      </c>
      <c r="C517" s="33" t="s">
        <v>24</v>
      </c>
      <c r="D517" s="33">
        <v>88</v>
      </c>
    </row>
    <row r="518" spans="1:4" x14ac:dyDescent="0.15">
      <c r="A518" s="32">
        <v>34731</v>
      </c>
      <c r="B518" s="33" t="s">
        <v>26</v>
      </c>
      <c r="C518" s="33" t="s">
        <v>24</v>
      </c>
      <c r="D518" s="33">
        <v>140</v>
      </c>
    </row>
    <row r="519" spans="1:4" x14ac:dyDescent="0.15">
      <c r="A519" s="32">
        <v>34731</v>
      </c>
      <c r="B519" s="33" t="s">
        <v>21</v>
      </c>
      <c r="C519" s="33" t="s">
        <v>24</v>
      </c>
      <c r="D519" s="33">
        <v>79</v>
      </c>
    </row>
    <row r="520" spans="1:4" x14ac:dyDescent="0.15">
      <c r="A520" s="32">
        <v>34731</v>
      </c>
      <c r="B520" s="33" t="s">
        <v>21</v>
      </c>
      <c r="C520" s="33" t="s">
        <v>24</v>
      </c>
      <c r="D520" s="33">
        <v>104</v>
      </c>
    </row>
    <row r="521" spans="1:4" x14ac:dyDescent="0.15">
      <c r="A521" s="32">
        <v>34731</v>
      </c>
      <c r="B521" s="33" t="s">
        <v>26</v>
      </c>
      <c r="C521" s="33" t="s">
        <v>24</v>
      </c>
      <c r="D521" s="33">
        <v>146</v>
      </c>
    </row>
    <row r="522" spans="1:4" x14ac:dyDescent="0.15">
      <c r="A522" s="32">
        <v>34731</v>
      </c>
      <c r="B522" s="33" t="s">
        <v>26</v>
      </c>
      <c r="C522" s="33" t="s">
        <v>24</v>
      </c>
      <c r="D522" s="33">
        <v>180</v>
      </c>
    </row>
    <row r="523" spans="1:4" x14ac:dyDescent="0.15">
      <c r="A523" s="32">
        <v>34731</v>
      </c>
      <c r="B523" s="33" t="s">
        <v>26</v>
      </c>
      <c r="C523" s="33" t="s">
        <v>24</v>
      </c>
      <c r="D523" s="33">
        <v>179</v>
      </c>
    </row>
    <row r="524" spans="1:4" x14ac:dyDescent="0.15">
      <c r="A524" s="32">
        <v>34731</v>
      </c>
      <c r="B524" s="33" t="s">
        <v>26</v>
      </c>
      <c r="C524" s="33" t="s">
        <v>25</v>
      </c>
      <c r="D524" s="33">
        <v>175</v>
      </c>
    </row>
    <row r="525" spans="1:4" x14ac:dyDescent="0.15">
      <c r="A525" s="32">
        <v>34731</v>
      </c>
      <c r="B525" s="33" t="s">
        <v>21</v>
      </c>
      <c r="C525" s="33" t="s">
        <v>25</v>
      </c>
      <c r="D525" s="33">
        <v>175</v>
      </c>
    </row>
    <row r="526" spans="1:4" x14ac:dyDescent="0.15">
      <c r="A526" s="32">
        <v>34731</v>
      </c>
      <c r="B526" s="33" t="s">
        <v>26</v>
      </c>
      <c r="C526" s="33" t="s">
        <v>25</v>
      </c>
      <c r="D526" s="33">
        <v>404</v>
      </c>
    </row>
    <row r="527" spans="1:4" x14ac:dyDescent="0.15">
      <c r="A527" s="32">
        <v>34731</v>
      </c>
      <c r="B527" s="33" t="s">
        <v>28</v>
      </c>
      <c r="C527" s="33" t="s">
        <v>25</v>
      </c>
      <c r="D527" s="33">
        <v>105</v>
      </c>
    </row>
    <row r="528" spans="1:4" x14ac:dyDescent="0.15">
      <c r="A528" s="32">
        <v>34731</v>
      </c>
      <c r="B528" s="33" t="s">
        <v>28</v>
      </c>
      <c r="C528" s="33" t="s">
        <v>25</v>
      </c>
      <c r="D528" s="33">
        <v>270</v>
      </c>
    </row>
    <row r="529" spans="1:4" x14ac:dyDescent="0.15">
      <c r="A529" s="32">
        <v>34731</v>
      </c>
      <c r="B529" s="33" t="s">
        <v>28</v>
      </c>
      <c r="C529" s="33" t="s">
        <v>25</v>
      </c>
      <c r="D529" s="33">
        <v>371</v>
      </c>
    </row>
    <row r="530" spans="1:4" x14ac:dyDescent="0.15">
      <c r="A530" s="32">
        <v>34731</v>
      </c>
      <c r="B530" s="33" t="s">
        <v>21</v>
      </c>
      <c r="C530" s="33" t="s">
        <v>25</v>
      </c>
      <c r="D530" s="33">
        <v>180</v>
      </c>
    </row>
    <row r="531" spans="1:4" x14ac:dyDescent="0.15">
      <c r="A531" s="32">
        <v>34731</v>
      </c>
      <c r="B531" s="33" t="s">
        <v>28</v>
      </c>
      <c r="C531" s="33" t="s">
        <v>25</v>
      </c>
      <c r="D531" s="33">
        <v>341</v>
      </c>
    </row>
    <row r="532" spans="1:4" x14ac:dyDescent="0.15">
      <c r="A532" s="32">
        <v>34731</v>
      </c>
      <c r="B532" s="33" t="s">
        <v>21</v>
      </c>
      <c r="C532" s="33" t="s">
        <v>25</v>
      </c>
      <c r="D532" s="33">
        <v>998</v>
      </c>
    </row>
    <row r="533" spans="1:4" x14ac:dyDescent="0.15">
      <c r="A533" s="32">
        <v>34731</v>
      </c>
      <c r="B533" s="33" t="s">
        <v>26</v>
      </c>
      <c r="C533" s="33" t="s">
        <v>25</v>
      </c>
      <c r="D533" s="33">
        <v>1338</v>
      </c>
    </row>
    <row r="534" spans="1:4" x14ac:dyDescent="0.15">
      <c r="A534" s="32">
        <v>34731</v>
      </c>
      <c r="B534" s="33" t="s">
        <v>26</v>
      </c>
      <c r="C534" s="33" t="s">
        <v>25</v>
      </c>
      <c r="D534" s="33">
        <v>1080</v>
      </c>
    </row>
    <row r="535" spans="1:4" x14ac:dyDescent="0.15">
      <c r="A535" s="32">
        <v>34731</v>
      </c>
      <c r="B535" s="33" t="s">
        <v>21</v>
      </c>
      <c r="C535" s="33" t="s">
        <v>25</v>
      </c>
      <c r="D535" s="33">
        <v>404</v>
      </c>
    </row>
    <row r="536" spans="1:4" x14ac:dyDescent="0.15">
      <c r="A536" s="32">
        <v>34731</v>
      </c>
      <c r="B536" s="33" t="s">
        <v>21</v>
      </c>
      <c r="C536" s="33" t="s">
        <v>27</v>
      </c>
      <c r="D536" s="33">
        <v>511</v>
      </c>
    </row>
    <row r="537" spans="1:4" x14ac:dyDescent="0.15">
      <c r="A537" s="32">
        <v>34731</v>
      </c>
      <c r="B537" s="33" t="s">
        <v>26</v>
      </c>
      <c r="C537" s="33" t="s">
        <v>27</v>
      </c>
      <c r="D537" s="33">
        <v>497</v>
      </c>
    </row>
    <row r="538" spans="1:4" x14ac:dyDescent="0.15">
      <c r="A538" s="32">
        <v>34731</v>
      </c>
      <c r="B538" s="33" t="s">
        <v>26</v>
      </c>
      <c r="C538" s="33" t="s">
        <v>27</v>
      </c>
      <c r="D538" s="33">
        <v>394</v>
      </c>
    </row>
    <row r="539" spans="1:4" x14ac:dyDescent="0.15">
      <c r="A539" s="32">
        <v>34731</v>
      </c>
      <c r="B539" s="33" t="s">
        <v>26</v>
      </c>
      <c r="C539" s="33" t="s">
        <v>27</v>
      </c>
      <c r="D539" s="33">
        <v>1983</v>
      </c>
    </row>
    <row r="540" spans="1:4" x14ac:dyDescent="0.15">
      <c r="A540" s="32">
        <v>34731</v>
      </c>
      <c r="B540" s="33" t="s">
        <v>28</v>
      </c>
      <c r="C540" s="33" t="s">
        <v>27</v>
      </c>
      <c r="D540" s="33">
        <v>1854</v>
      </c>
    </row>
    <row r="541" spans="1:4" x14ac:dyDescent="0.15">
      <c r="A541" s="32">
        <v>34731</v>
      </c>
      <c r="B541" s="33" t="s">
        <v>21</v>
      </c>
      <c r="C541" s="33" t="s">
        <v>27</v>
      </c>
      <c r="D541" s="33">
        <v>1480</v>
      </c>
    </row>
    <row r="542" spans="1:4" x14ac:dyDescent="0.15">
      <c r="A542" s="32">
        <v>34731</v>
      </c>
      <c r="B542" s="33" t="s">
        <v>28</v>
      </c>
      <c r="C542" s="33" t="s">
        <v>27</v>
      </c>
      <c r="D542" s="33">
        <v>1203</v>
      </c>
    </row>
    <row r="543" spans="1:4" x14ac:dyDescent="0.15">
      <c r="A543" s="32">
        <v>34731</v>
      </c>
      <c r="B543" s="33" t="s">
        <v>21</v>
      </c>
      <c r="C543" s="33" t="s">
        <v>27</v>
      </c>
      <c r="D543" s="33">
        <v>26</v>
      </c>
    </row>
    <row r="544" spans="1:4" x14ac:dyDescent="0.15">
      <c r="A544" s="32">
        <v>34731</v>
      </c>
      <c r="B544" s="33" t="s">
        <v>26</v>
      </c>
      <c r="C544" s="33" t="s">
        <v>27</v>
      </c>
      <c r="D544" s="33">
        <v>172</v>
      </c>
    </row>
    <row r="545" spans="1:4" x14ac:dyDescent="0.15">
      <c r="A545" s="32">
        <v>34731</v>
      </c>
      <c r="B545" s="33" t="s">
        <v>28</v>
      </c>
      <c r="C545" s="33" t="s">
        <v>27</v>
      </c>
      <c r="D545" s="33">
        <v>171</v>
      </c>
    </row>
    <row r="546" spans="1:4" x14ac:dyDescent="0.15">
      <c r="A546" s="32">
        <v>34731</v>
      </c>
      <c r="B546" s="33" t="s">
        <v>28</v>
      </c>
      <c r="C546" s="33" t="s">
        <v>27</v>
      </c>
      <c r="D546" s="33">
        <v>63</v>
      </c>
    </row>
    <row r="547" spans="1:4" x14ac:dyDescent="0.15">
      <c r="A547" s="32">
        <v>34731</v>
      </c>
      <c r="B547" s="33" t="s">
        <v>21</v>
      </c>
      <c r="C547" s="33" t="s">
        <v>27</v>
      </c>
      <c r="D547" s="33">
        <v>56</v>
      </c>
    </row>
    <row r="548" spans="1:4" x14ac:dyDescent="0.15">
      <c r="A548" s="32">
        <v>34759</v>
      </c>
      <c r="B548" s="33" t="s">
        <v>26</v>
      </c>
      <c r="C548" s="33" t="s">
        <v>22</v>
      </c>
      <c r="D548" s="33">
        <v>338</v>
      </c>
    </row>
    <row r="549" spans="1:4" x14ac:dyDescent="0.15">
      <c r="A549" s="32">
        <v>34759</v>
      </c>
      <c r="B549" s="33" t="s">
        <v>28</v>
      </c>
      <c r="C549" s="33" t="s">
        <v>22</v>
      </c>
      <c r="D549" s="33">
        <v>1451</v>
      </c>
    </row>
    <row r="550" spans="1:4" x14ac:dyDescent="0.15">
      <c r="A550" s="32">
        <v>34759</v>
      </c>
      <c r="B550" s="33" t="s">
        <v>26</v>
      </c>
      <c r="C550" s="33" t="s">
        <v>22</v>
      </c>
      <c r="D550" s="33">
        <v>3986</v>
      </c>
    </row>
    <row r="551" spans="1:4" x14ac:dyDescent="0.15">
      <c r="A551" s="32">
        <v>34759</v>
      </c>
      <c r="B551" s="33" t="s">
        <v>28</v>
      </c>
      <c r="C551" s="33" t="s">
        <v>22</v>
      </c>
      <c r="D551" s="33">
        <v>2180</v>
      </c>
    </row>
    <row r="552" spans="1:4" x14ac:dyDescent="0.15">
      <c r="A552" s="32">
        <v>34759</v>
      </c>
      <c r="B552" s="33" t="s">
        <v>26</v>
      </c>
      <c r="C552" s="33" t="s">
        <v>22</v>
      </c>
      <c r="D552" s="33">
        <v>1515</v>
      </c>
    </row>
    <row r="553" spans="1:4" x14ac:dyDescent="0.15">
      <c r="A553" s="32">
        <v>34759</v>
      </c>
      <c r="B553" s="33" t="s">
        <v>21</v>
      </c>
      <c r="C553" s="33" t="s">
        <v>22</v>
      </c>
      <c r="D553" s="33">
        <v>275</v>
      </c>
    </row>
    <row r="554" spans="1:4" x14ac:dyDescent="0.15">
      <c r="A554" s="32">
        <v>34759</v>
      </c>
      <c r="B554" s="33" t="s">
        <v>28</v>
      </c>
      <c r="C554" s="33" t="s">
        <v>22</v>
      </c>
      <c r="D554" s="33">
        <v>1092</v>
      </c>
    </row>
    <row r="555" spans="1:4" x14ac:dyDescent="0.15">
      <c r="A555" s="32">
        <v>34759</v>
      </c>
      <c r="B555" s="33" t="s">
        <v>28</v>
      </c>
      <c r="C555" s="33" t="s">
        <v>22</v>
      </c>
      <c r="D555" s="33">
        <v>601</v>
      </c>
    </row>
    <row r="556" spans="1:4" x14ac:dyDescent="0.15">
      <c r="A556" s="32">
        <v>34759</v>
      </c>
      <c r="B556" s="33" t="s">
        <v>21</v>
      </c>
      <c r="C556" s="33" t="s">
        <v>22</v>
      </c>
      <c r="D556" s="33">
        <v>504</v>
      </c>
    </row>
    <row r="557" spans="1:4" x14ac:dyDescent="0.15">
      <c r="A557" s="32">
        <v>34759</v>
      </c>
      <c r="B557" s="33" t="s">
        <v>26</v>
      </c>
      <c r="C557" s="33" t="s">
        <v>22</v>
      </c>
      <c r="D557" s="33">
        <v>440</v>
      </c>
    </row>
    <row r="558" spans="1:4" x14ac:dyDescent="0.15">
      <c r="A558" s="32">
        <v>34759</v>
      </c>
      <c r="B558" s="33" t="s">
        <v>21</v>
      </c>
      <c r="C558" s="33" t="s">
        <v>22</v>
      </c>
      <c r="D558" s="33">
        <v>415</v>
      </c>
    </row>
    <row r="559" spans="1:4" x14ac:dyDescent="0.15">
      <c r="A559" s="32">
        <v>34759</v>
      </c>
      <c r="B559" s="33" t="s">
        <v>21</v>
      </c>
      <c r="C559" s="33" t="s">
        <v>22</v>
      </c>
      <c r="D559" s="33">
        <v>358</v>
      </c>
    </row>
    <row r="560" spans="1:4" x14ac:dyDescent="0.15">
      <c r="A560" s="32">
        <v>34759</v>
      </c>
      <c r="B560" s="33" t="s">
        <v>28</v>
      </c>
      <c r="C560" s="33" t="s">
        <v>23</v>
      </c>
      <c r="D560" s="33">
        <v>524</v>
      </c>
    </row>
    <row r="561" spans="1:4" x14ac:dyDescent="0.15">
      <c r="A561" s="32">
        <v>34759</v>
      </c>
      <c r="B561" s="33" t="s">
        <v>21</v>
      </c>
      <c r="C561" s="33" t="s">
        <v>23</v>
      </c>
      <c r="D561" s="33">
        <v>655</v>
      </c>
    </row>
    <row r="562" spans="1:4" x14ac:dyDescent="0.15">
      <c r="A562" s="32">
        <v>34759</v>
      </c>
      <c r="B562" s="33" t="s">
        <v>21</v>
      </c>
      <c r="C562" s="33" t="s">
        <v>23</v>
      </c>
      <c r="D562" s="33">
        <v>458</v>
      </c>
    </row>
    <row r="563" spans="1:4" x14ac:dyDescent="0.15">
      <c r="A563" s="32">
        <v>34759</v>
      </c>
      <c r="B563" s="33" t="s">
        <v>28</v>
      </c>
      <c r="C563" s="33" t="s">
        <v>23</v>
      </c>
      <c r="D563" s="33">
        <v>433</v>
      </c>
    </row>
    <row r="564" spans="1:4" x14ac:dyDescent="0.15">
      <c r="A564" s="32">
        <v>34759</v>
      </c>
      <c r="B564" s="33" t="s">
        <v>28</v>
      </c>
      <c r="C564" s="33" t="s">
        <v>23</v>
      </c>
      <c r="D564" s="33">
        <v>411</v>
      </c>
    </row>
    <row r="565" spans="1:4" x14ac:dyDescent="0.15">
      <c r="A565" s="32">
        <v>34759</v>
      </c>
      <c r="B565" s="33" t="s">
        <v>28</v>
      </c>
      <c r="C565" s="33" t="s">
        <v>23</v>
      </c>
      <c r="D565" s="33">
        <v>368</v>
      </c>
    </row>
    <row r="566" spans="1:4" x14ac:dyDescent="0.15">
      <c r="A566" s="32">
        <v>34759</v>
      </c>
      <c r="B566" s="33" t="s">
        <v>26</v>
      </c>
      <c r="C566" s="33" t="s">
        <v>23</v>
      </c>
      <c r="D566" s="33">
        <v>338</v>
      </c>
    </row>
    <row r="567" spans="1:4" x14ac:dyDescent="0.15">
      <c r="A567" s="32">
        <v>34759</v>
      </c>
      <c r="B567" s="33" t="s">
        <v>26</v>
      </c>
      <c r="C567" s="33" t="s">
        <v>23</v>
      </c>
      <c r="D567" s="33">
        <v>193</v>
      </c>
    </row>
    <row r="568" spans="1:4" x14ac:dyDescent="0.15">
      <c r="A568" s="32">
        <v>34759</v>
      </c>
      <c r="B568" s="33" t="s">
        <v>21</v>
      </c>
      <c r="C568" s="33" t="s">
        <v>23</v>
      </c>
      <c r="D568" s="33">
        <v>171</v>
      </c>
    </row>
    <row r="569" spans="1:4" x14ac:dyDescent="0.15">
      <c r="A569" s="32">
        <v>34759</v>
      </c>
      <c r="B569" s="33" t="s">
        <v>26</v>
      </c>
      <c r="C569" s="33" t="s">
        <v>23</v>
      </c>
      <c r="D569" s="33">
        <v>146</v>
      </c>
    </row>
    <row r="570" spans="1:4" x14ac:dyDescent="0.15">
      <c r="A570" s="32">
        <v>34759</v>
      </c>
      <c r="B570" s="33" t="s">
        <v>21</v>
      </c>
      <c r="C570" s="33" t="s">
        <v>23</v>
      </c>
      <c r="D570" s="33">
        <v>263</v>
      </c>
    </row>
    <row r="571" spans="1:4" x14ac:dyDescent="0.15">
      <c r="A571" s="32">
        <v>34759</v>
      </c>
      <c r="B571" s="33" t="s">
        <v>26</v>
      </c>
      <c r="C571" s="33" t="s">
        <v>23</v>
      </c>
      <c r="D571" s="33">
        <v>88</v>
      </c>
    </row>
    <row r="572" spans="1:4" x14ac:dyDescent="0.15">
      <c r="A572" s="32">
        <v>34759</v>
      </c>
      <c r="B572" s="33" t="s">
        <v>21</v>
      </c>
      <c r="C572" s="33" t="s">
        <v>24</v>
      </c>
      <c r="D572" s="33">
        <v>2066</v>
      </c>
    </row>
    <row r="573" spans="1:4" x14ac:dyDescent="0.15">
      <c r="A573" s="32">
        <v>34759</v>
      </c>
      <c r="B573" s="33" t="s">
        <v>26</v>
      </c>
      <c r="C573" s="33" t="s">
        <v>24</v>
      </c>
      <c r="D573" s="33">
        <v>841</v>
      </c>
    </row>
    <row r="574" spans="1:4" x14ac:dyDescent="0.15">
      <c r="A574" s="32">
        <v>34759</v>
      </c>
      <c r="B574" s="33" t="s">
        <v>21</v>
      </c>
      <c r="C574" s="33" t="s">
        <v>24</v>
      </c>
      <c r="D574" s="33">
        <v>1400</v>
      </c>
    </row>
    <row r="575" spans="1:4" x14ac:dyDescent="0.15">
      <c r="A575" s="32">
        <v>34759</v>
      </c>
      <c r="B575" s="33" t="s">
        <v>26</v>
      </c>
      <c r="C575" s="33" t="s">
        <v>24</v>
      </c>
      <c r="D575" s="33">
        <v>90</v>
      </c>
    </row>
    <row r="576" spans="1:4" x14ac:dyDescent="0.15">
      <c r="A576" s="32">
        <v>34759</v>
      </c>
      <c r="B576" s="33" t="s">
        <v>26</v>
      </c>
      <c r="C576" s="33" t="s">
        <v>24</v>
      </c>
      <c r="D576" s="33">
        <v>70</v>
      </c>
    </row>
    <row r="577" spans="1:4" x14ac:dyDescent="0.15">
      <c r="A577" s="32">
        <v>34759</v>
      </c>
      <c r="B577" s="33" t="s">
        <v>21</v>
      </c>
      <c r="C577" s="33" t="s">
        <v>24</v>
      </c>
      <c r="D577" s="33">
        <v>90</v>
      </c>
    </row>
    <row r="578" spans="1:4" x14ac:dyDescent="0.15">
      <c r="A578" s="32">
        <v>34759</v>
      </c>
      <c r="B578" s="33" t="s">
        <v>21</v>
      </c>
      <c r="C578" s="33" t="s">
        <v>24</v>
      </c>
      <c r="D578" s="33">
        <v>55</v>
      </c>
    </row>
    <row r="579" spans="1:4" x14ac:dyDescent="0.15">
      <c r="A579" s="32">
        <v>34759</v>
      </c>
      <c r="B579" s="33" t="s">
        <v>21</v>
      </c>
      <c r="C579" s="33" t="s">
        <v>24</v>
      </c>
      <c r="D579" s="33">
        <v>53</v>
      </c>
    </row>
    <row r="580" spans="1:4" x14ac:dyDescent="0.15">
      <c r="A580" s="32">
        <v>34759</v>
      </c>
      <c r="B580" s="33" t="s">
        <v>21</v>
      </c>
      <c r="C580" s="33" t="s">
        <v>24</v>
      </c>
      <c r="D580" s="33">
        <v>113</v>
      </c>
    </row>
    <row r="581" spans="1:4" x14ac:dyDescent="0.15">
      <c r="A581" s="32">
        <v>34759</v>
      </c>
      <c r="B581" s="33" t="s">
        <v>26</v>
      </c>
      <c r="C581" s="33" t="s">
        <v>24</v>
      </c>
      <c r="D581" s="33">
        <v>124</v>
      </c>
    </row>
    <row r="582" spans="1:4" x14ac:dyDescent="0.15">
      <c r="A582" s="32">
        <v>34759</v>
      </c>
      <c r="B582" s="33" t="s">
        <v>26</v>
      </c>
      <c r="C582" s="33" t="s">
        <v>24</v>
      </c>
      <c r="D582" s="33">
        <v>131</v>
      </c>
    </row>
    <row r="583" spans="1:4" x14ac:dyDescent="0.15">
      <c r="A583" s="32">
        <v>34759</v>
      </c>
      <c r="B583" s="33" t="s">
        <v>26</v>
      </c>
      <c r="C583" s="33" t="s">
        <v>24</v>
      </c>
      <c r="D583" s="33">
        <v>151</v>
      </c>
    </row>
    <row r="584" spans="1:4" x14ac:dyDescent="0.15">
      <c r="A584" s="32">
        <v>34759</v>
      </c>
      <c r="B584" s="33" t="s">
        <v>28</v>
      </c>
      <c r="C584" s="33" t="s">
        <v>25</v>
      </c>
      <c r="D584" s="33">
        <v>270</v>
      </c>
    </row>
    <row r="585" spans="1:4" x14ac:dyDescent="0.15">
      <c r="A585" s="32">
        <v>34759</v>
      </c>
      <c r="B585" s="33" t="s">
        <v>21</v>
      </c>
      <c r="C585" s="33" t="s">
        <v>25</v>
      </c>
      <c r="D585" s="33">
        <v>281</v>
      </c>
    </row>
    <row r="586" spans="1:4" x14ac:dyDescent="0.15">
      <c r="A586" s="32">
        <v>34759</v>
      </c>
      <c r="B586" s="33" t="s">
        <v>28</v>
      </c>
      <c r="C586" s="33" t="s">
        <v>25</v>
      </c>
      <c r="D586" s="33">
        <v>408</v>
      </c>
    </row>
    <row r="587" spans="1:4" x14ac:dyDescent="0.15">
      <c r="A587" s="32">
        <v>34759</v>
      </c>
      <c r="B587" s="33" t="s">
        <v>21</v>
      </c>
      <c r="C587" s="33" t="s">
        <v>25</v>
      </c>
      <c r="D587" s="33">
        <v>823</v>
      </c>
    </row>
    <row r="588" spans="1:4" x14ac:dyDescent="0.15">
      <c r="A588" s="32">
        <v>34759</v>
      </c>
      <c r="B588" s="33" t="s">
        <v>26</v>
      </c>
      <c r="C588" s="33" t="s">
        <v>25</v>
      </c>
      <c r="D588" s="33">
        <v>2302</v>
      </c>
    </row>
    <row r="589" spans="1:4" x14ac:dyDescent="0.15">
      <c r="A589" s="32">
        <v>34759</v>
      </c>
      <c r="B589" s="33" t="s">
        <v>26</v>
      </c>
      <c r="C589" s="33" t="s">
        <v>25</v>
      </c>
      <c r="D589" s="33">
        <v>360</v>
      </c>
    </row>
    <row r="590" spans="1:4" x14ac:dyDescent="0.15">
      <c r="A590" s="32">
        <v>34759</v>
      </c>
      <c r="B590" s="33" t="s">
        <v>28</v>
      </c>
      <c r="C590" s="33" t="s">
        <v>25</v>
      </c>
      <c r="D590" s="33">
        <v>371</v>
      </c>
    </row>
    <row r="591" spans="1:4" x14ac:dyDescent="0.15">
      <c r="A591" s="32">
        <v>34759</v>
      </c>
      <c r="B591" s="33" t="s">
        <v>26</v>
      </c>
      <c r="C591" s="33" t="s">
        <v>25</v>
      </c>
      <c r="D591" s="33">
        <v>149</v>
      </c>
    </row>
    <row r="592" spans="1:4" x14ac:dyDescent="0.15">
      <c r="A592" s="32">
        <v>34759</v>
      </c>
      <c r="B592" s="33" t="s">
        <v>26</v>
      </c>
      <c r="C592" s="33" t="s">
        <v>25</v>
      </c>
      <c r="D592" s="33">
        <v>105</v>
      </c>
    </row>
    <row r="593" spans="1:4" x14ac:dyDescent="0.15">
      <c r="A593" s="32">
        <v>34759</v>
      </c>
      <c r="B593" s="33" t="s">
        <v>21</v>
      </c>
      <c r="C593" s="33" t="s">
        <v>25</v>
      </c>
      <c r="D593" s="33">
        <v>90</v>
      </c>
    </row>
    <row r="594" spans="1:4" x14ac:dyDescent="0.15">
      <c r="A594" s="32">
        <v>34759</v>
      </c>
      <c r="B594" s="33" t="s">
        <v>21</v>
      </c>
      <c r="C594" s="33" t="s">
        <v>25</v>
      </c>
      <c r="D594" s="33">
        <v>193</v>
      </c>
    </row>
    <row r="595" spans="1:4" x14ac:dyDescent="0.15">
      <c r="A595" s="32">
        <v>34759</v>
      </c>
      <c r="B595" s="33" t="s">
        <v>28</v>
      </c>
      <c r="C595" s="33" t="s">
        <v>25</v>
      </c>
      <c r="D595" s="33">
        <v>105</v>
      </c>
    </row>
    <row r="596" spans="1:4" x14ac:dyDescent="0.15">
      <c r="A596" s="32">
        <v>34759</v>
      </c>
      <c r="B596" s="33" t="s">
        <v>21</v>
      </c>
      <c r="C596" s="33" t="s">
        <v>27</v>
      </c>
      <c r="D596" s="33">
        <v>637</v>
      </c>
    </row>
    <row r="597" spans="1:4" x14ac:dyDescent="0.15">
      <c r="A597" s="32">
        <v>34759</v>
      </c>
      <c r="B597" s="33" t="s">
        <v>26</v>
      </c>
      <c r="C597" s="33" t="s">
        <v>27</v>
      </c>
      <c r="D597" s="33">
        <v>394</v>
      </c>
    </row>
    <row r="598" spans="1:4" x14ac:dyDescent="0.15">
      <c r="A598" s="32">
        <v>34759</v>
      </c>
      <c r="B598" s="33" t="s">
        <v>26</v>
      </c>
      <c r="C598" s="33" t="s">
        <v>27</v>
      </c>
      <c r="D598" s="33">
        <v>586</v>
      </c>
    </row>
    <row r="599" spans="1:4" x14ac:dyDescent="0.15">
      <c r="A599" s="32">
        <v>34759</v>
      </c>
      <c r="B599" s="33" t="s">
        <v>28</v>
      </c>
      <c r="C599" s="33" t="s">
        <v>27</v>
      </c>
      <c r="D599" s="33">
        <v>56</v>
      </c>
    </row>
    <row r="600" spans="1:4" x14ac:dyDescent="0.15">
      <c r="A600" s="32">
        <v>34759</v>
      </c>
      <c r="B600" s="33" t="s">
        <v>21</v>
      </c>
      <c r="C600" s="33" t="s">
        <v>27</v>
      </c>
      <c r="D600" s="33">
        <v>56</v>
      </c>
    </row>
    <row r="601" spans="1:4" x14ac:dyDescent="0.15">
      <c r="A601" s="32">
        <v>34759</v>
      </c>
      <c r="B601" s="33" t="s">
        <v>21</v>
      </c>
      <c r="C601" s="33" t="s">
        <v>27</v>
      </c>
      <c r="D601" s="33">
        <v>26</v>
      </c>
    </row>
    <row r="602" spans="1:4" x14ac:dyDescent="0.15">
      <c r="A602" s="32">
        <v>34759</v>
      </c>
      <c r="B602" s="33" t="s">
        <v>28</v>
      </c>
      <c r="C602" s="33" t="s">
        <v>27</v>
      </c>
      <c r="D602" s="33">
        <v>252</v>
      </c>
    </row>
    <row r="603" spans="1:4" x14ac:dyDescent="0.15">
      <c r="A603" s="32">
        <v>34759</v>
      </c>
      <c r="B603" s="33" t="s">
        <v>26</v>
      </c>
      <c r="C603" s="33" t="s">
        <v>27</v>
      </c>
      <c r="D603" s="33">
        <v>249</v>
      </c>
    </row>
    <row r="604" spans="1:4" x14ac:dyDescent="0.15">
      <c r="A604" s="32">
        <v>34759</v>
      </c>
      <c r="B604" s="33" t="s">
        <v>26</v>
      </c>
      <c r="C604" s="33" t="s">
        <v>27</v>
      </c>
      <c r="D604" s="33">
        <v>1811</v>
      </c>
    </row>
    <row r="605" spans="1:4" x14ac:dyDescent="0.15">
      <c r="A605" s="32">
        <v>34759</v>
      </c>
      <c r="B605" s="33" t="s">
        <v>28</v>
      </c>
      <c r="C605" s="33" t="s">
        <v>27</v>
      </c>
      <c r="D605" s="33">
        <v>1621</v>
      </c>
    </row>
    <row r="606" spans="1:4" x14ac:dyDescent="0.15">
      <c r="A606" s="32">
        <v>34759</v>
      </c>
      <c r="B606" s="33" t="s">
        <v>28</v>
      </c>
      <c r="C606" s="33" t="s">
        <v>27</v>
      </c>
      <c r="D606" s="33">
        <v>1130</v>
      </c>
    </row>
    <row r="607" spans="1:4" x14ac:dyDescent="0.15">
      <c r="A607" s="32">
        <v>34759</v>
      </c>
      <c r="B607" s="33" t="s">
        <v>21</v>
      </c>
      <c r="C607" s="33" t="s">
        <v>27</v>
      </c>
      <c r="D607" s="33">
        <v>911</v>
      </c>
    </row>
    <row r="608" spans="1:4" x14ac:dyDescent="0.15">
      <c r="A608" s="32">
        <v>34790</v>
      </c>
      <c r="B608" s="33" t="s">
        <v>29</v>
      </c>
      <c r="C608" s="33" t="s">
        <v>22</v>
      </c>
      <c r="D608" s="33">
        <v>135</v>
      </c>
    </row>
    <row r="609" spans="1:4" x14ac:dyDescent="0.15">
      <c r="A609" s="32">
        <v>34790</v>
      </c>
      <c r="B609" s="33" t="s">
        <v>28</v>
      </c>
      <c r="C609" s="33" t="s">
        <v>22</v>
      </c>
      <c r="D609" s="33">
        <v>521</v>
      </c>
    </row>
    <row r="610" spans="1:4" x14ac:dyDescent="0.15">
      <c r="A610" s="32">
        <v>34790</v>
      </c>
      <c r="B610" s="33" t="s">
        <v>21</v>
      </c>
      <c r="C610" s="33" t="s">
        <v>22</v>
      </c>
      <c r="D610" s="33">
        <v>516</v>
      </c>
    </row>
    <row r="611" spans="1:4" x14ac:dyDescent="0.15">
      <c r="A611" s="32">
        <v>34790</v>
      </c>
      <c r="B611" s="33" t="s">
        <v>21</v>
      </c>
      <c r="C611" s="33" t="s">
        <v>22</v>
      </c>
      <c r="D611" s="33">
        <v>385</v>
      </c>
    </row>
    <row r="612" spans="1:4" x14ac:dyDescent="0.15">
      <c r="A612" s="32">
        <v>34790</v>
      </c>
      <c r="B612" s="33" t="s">
        <v>21</v>
      </c>
      <c r="C612" s="33" t="s">
        <v>22</v>
      </c>
      <c r="D612" s="33">
        <v>330</v>
      </c>
    </row>
    <row r="613" spans="1:4" x14ac:dyDescent="0.15">
      <c r="A613" s="32">
        <v>34790</v>
      </c>
      <c r="B613" s="33" t="s">
        <v>28</v>
      </c>
      <c r="C613" s="33" t="s">
        <v>22</v>
      </c>
      <c r="D613" s="33">
        <v>270</v>
      </c>
    </row>
    <row r="614" spans="1:4" x14ac:dyDescent="0.15">
      <c r="A614" s="32">
        <v>34790</v>
      </c>
      <c r="B614" s="33" t="s">
        <v>26</v>
      </c>
      <c r="C614" s="33" t="s">
        <v>22</v>
      </c>
      <c r="D614" s="33">
        <v>180</v>
      </c>
    </row>
    <row r="615" spans="1:4" x14ac:dyDescent="0.15">
      <c r="A615" s="32">
        <v>34790</v>
      </c>
      <c r="B615" s="33" t="s">
        <v>29</v>
      </c>
      <c r="C615" s="33" t="s">
        <v>22</v>
      </c>
      <c r="D615" s="33">
        <v>151</v>
      </c>
    </row>
    <row r="616" spans="1:4" x14ac:dyDescent="0.15">
      <c r="A616" s="32">
        <v>34790</v>
      </c>
      <c r="B616" s="33" t="s">
        <v>28</v>
      </c>
      <c r="C616" s="33" t="s">
        <v>22</v>
      </c>
      <c r="D616" s="33">
        <v>814</v>
      </c>
    </row>
    <row r="617" spans="1:4" x14ac:dyDescent="0.15">
      <c r="A617" s="32">
        <v>34790</v>
      </c>
      <c r="B617" s="33" t="s">
        <v>26</v>
      </c>
      <c r="C617" s="33" t="s">
        <v>22</v>
      </c>
      <c r="D617" s="33">
        <v>523</v>
      </c>
    </row>
    <row r="618" spans="1:4" x14ac:dyDescent="0.15">
      <c r="A618" s="32">
        <v>34790</v>
      </c>
      <c r="B618" s="33" t="s">
        <v>26</v>
      </c>
      <c r="C618" s="33" t="s">
        <v>22</v>
      </c>
      <c r="D618" s="33">
        <v>2227</v>
      </c>
    </row>
    <row r="619" spans="1:4" x14ac:dyDescent="0.15">
      <c r="A619" s="32">
        <v>34790</v>
      </c>
      <c r="B619" s="33" t="s">
        <v>26</v>
      </c>
      <c r="C619" s="33" t="s">
        <v>22</v>
      </c>
      <c r="D619" s="33">
        <v>1888</v>
      </c>
    </row>
    <row r="620" spans="1:4" x14ac:dyDescent="0.15">
      <c r="A620" s="32">
        <v>34790</v>
      </c>
      <c r="B620" s="33" t="s">
        <v>28</v>
      </c>
      <c r="C620" s="33" t="s">
        <v>22</v>
      </c>
      <c r="D620" s="33">
        <v>1782</v>
      </c>
    </row>
    <row r="621" spans="1:4" x14ac:dyDescent="0.15">
      <c r="A621" s="32">
        <v>34790</v>
      </c>
      <c r="B621" s="33" t="s">
        <v>21</v>
      </c>
      <c r="C621" s="33" t="s">
        <v>22</v>
      </c>
      <c r="D621" s="33">
        <v>525</v>
      </c>
    </row>
    <row r="622" spans="1:4" x14ac:dyDescent="0.15">
      <c r="A622" s="32">
        <v>34790</v>
      </c>
      <c r="B622" s="33" t="s">
        <v>26</v>
      </c>
      <c r="C622" s="33" t="s">
        <v>23</v>
      </c>
      <c r="D622" s="33">
        <v>146</v>
      </c>
    </row>
    <row r="623" spans="1:4" x14ac:dyDescent="0.15">
      <c r="A623" s="32">
        <v>34790</v>
      </c>
      <c r="B623" s="33" t="s">
        <v>29</v>
      </c>
      <c r="C623" s="33" t="s">
        <v>23</v>
      </c>
      <c r="D623" s="33">
        <v>135</v>
      </c>
    </row>
    <row r="624" spans="1:4" x14ac:dyDescent="0.15">
      <c r="A624" s="32">
        <v>34790</v>
      </c>
      <c r="B624" s="33" t="s">
        <v>26</v>
      </c>
      <c r="C624" s="33" t="s">
        <v>23</v>
      </c>
      <c r="D624" s="33">
        <v>88</v>
      </c>
    </row>
    <row r="625" spans="1:4" x14ac:dyDescent="0.15">
      <c r="A625" s="32">
        <v>34790</v>
      </c>
      <c r="B625" s="33" t="s">
        <v>29</v>
      </c>
      <c r="C625" s="33" t="s">
        <v>23</v>
      </c>
      <c r="D625" s="33">
        <v>96</v>
      </c>
    </row>
    <row r="626" spans="1:4" x14ac:dyDescent="0.15">
      <c r="A626" s="32">
        <v>34790</v>
      </c>
      <c r="B626" s="33" t="s">
        <v>28</v>
      </c>
      <c r="C626" s="33" t="s">
        <v>23</v>
      </c>
      <c r="D626" s="33">
        <v>263</v>
      </c>
    </row>
    <row r="627" spans="1:4" x14ac:dyDescent="0.15">
      <c r="A627" s="32">
        <v>34790</v>
      </c>
      <c r="B627" s="33" t="s">
        <v>26</v>
      </c>
      <c r="C627" s="33" t="s">
        <v>23</v>
      </c>
      <c r="D627" s="33">
        <v>175</v>
      </c>
    </row>
    <row r="628" spans="1:4" x14ac:dyDescent="0.15">
      <c r="A628" s="32">
        <v>34790</v>
      </c>
      <c r="B628" s="33" t="s">
        <v>21</v>
      </c>
      <c r="C628" s="33" t="s">
        <v>23</v>
      </c>
      <c r="D628" s="33">
        <v>546</v>
      </c>
    </row>
    <row r="629" spans="1:4" x14ac:dyDescent="0.15">
      <c r="A629" s="32">
        <v>34790</v>
      </c>
      <c r="B629" s="33" t="s">
        <v>28</v>
      </c>
      <c r="C629" s="33" t="s">
        <v>23</v>
      </c>
      <c r="D629" s="33">
        <v>492</v>
      </c>
    </row>
    <row r="630" spans="1:4" x14ac:dyDescent="0.15">
      <c r="A630" s="32">
        <v>34790</v>
      </c>
      <c r="B630" s="33" t="s">
        <v>28</v>
      </c>
      <c r="C630" s="33" t="s">
        <v>23</v>
      </c>
      <c r="D630" s="33">
        <v>408</v>
      </c>
    </row>
    <row r="631" spans="1:4" x14ac:dyDescent="0.15">
      <c r="A631" s="32">
        <v>34790</v>
      </c>
      <c r="B631" s="33" t="s">
        <v>28</v>
      </c>
      <c r="C631" s="33" t="s">
        <v>23</v>
      </c>
      <c r="D631" s="33">
        <v>405</v>
      </c>
    </row>
    <row r="632" spans="1:4" x14ac:dyDescent="0.15">
      <c r="A632" s="32">
        <v>34790</v>
      </c>
      <c r="B632" s="33" t="s">
        <v>26</v>
      </c>
      <c r="C632" s="33" t="s">
        <v>23</v>
      </c>
      <c r="D632" s="33">
        <v>315</v>
      </c>
    </row>
    <row r="633" spans="1:4" x14ac:dyDescent="0.15">
      <c r="A633" s="32">
        <v>34790</v>
      </c>
      <c r="B633" s="33" t="s">
        <v>21</v>
      </c>
      <c r="C633" s="33" t="s">
        <v>23</v>
      </c>
      <c r="D633" s="33">
        <v>280</v>
      </c>
    </row>
    <row r="634" spans="1:4" x14ac:dyDescent="0.15">
      <c r="A634" s="32">
        <v>34790</v>
      </c>
      <c r="B634" s="33" t="s">
        <v>21</v>
      </c>
      <c r="C634" s="33" t="s">
        <v>23</v>
      </c>
      <c r="D634" s="33">
        <v>194</v>
      </c>
    </row>
    <row r="635" spans="1:4" x14ac:dyDescent="0.15">
      <c r="A635" s="32">
        <v>34790</v>
      </c>
      <c r="B635" s="33" t="s">
        <v>21</v>
      </c>
      <c r="C635" s="33" t="s">
        <v>23</v>
      </c>
      <c r="D635" s="33">
        <v>633</v>
      </c>
    </row>
    <row r="636" spans="1:4" x14ac:dyDescent="0.15">
      <c r="A636" s="32">
        <v>34790</v>
      </c>
      <c r="B636" s="33" t="s">
        <v>21</v>
      </c>
      <c r="C636" s="33" t="s">
        <v>24</v>
      </c>
      <c r="D636" s="33">
        <v>66</v>
      </c>
    </row>
    <row r="637" spans="1:4" x14ac:dyDescent="0.15">
      <c r="A637" s="32">
        <v>34790</v>
      </c>
      <c r="B637" s="33" t="s">
        <v>21</v>
      </c>
      <c r="C637" s="33" t="s">
        <v>24</v>
      </c>
      <c r="D637" s="33">
        <v>46</v>
      </c>
    </row>
    <row r="638" spans="1:4" x14ac:dyDescent="0.15">
      <c r="A638" s="32">
        <v>34790</v>
      </c>
      <c r="B638" s="33" t="s">
        <v>26</v>
      </c>
      <c r="C638" s="33" t="s">
        <v>24</v>
      </c>
      <c r="D638" s="33">
        <v>70</v>
      </c>
    </row>
    <row r="639" spans="1:4" x14ac:dyDescent="0.15">
      <c r="A639" s="32">
        <v>34790</v>
      </c>
      <c r="B639" s="33" t="s">
        <v>26</v>
      </c>
      <c r="C639" s="33" t="s">
        <v>24</v>
      </c>
      <c r="D639" s="33">
        <v>921</v>
      </c>
    </row>
    <row r="640" spans="1:4" x14ac:dyDescent="0.15">
      <c r="A640" s="32">
        <v>34790</v>
      </c>
      <c r="B640" s="33" t="s">
        <v>21</v>
      </c>
      <c r="C640" s="33" t="s">
        <v>24</v>
      </c>
      <c r="D640" s="33">
        <v>1916</v>
      </c>
    </row>
    <row r="641" spans="1:4" x14ac:dyDescent="0.15">
      <c r="A641" s="32">
        <v>34790</v>
      </c>
      <c r="B641" s="33" t="s">
        <v>21</v>
      </c>
      <c r="C641" s="33" t="s">
        <v>24</v>
      </c>
      <c r="D641" s="33">
        <v>1519</v>
      </c>
    </row>
    <row r="642" spans="1:4" x14ac:dyDescent="0.15">
      <c r="A642" s="32">
        <v>34790</v>
      </c>
      <c r="B642" s="33" t="s">
        <v>26</v>
      </c>
      <c r="C642" s="33" t="s">
        <v>24</v>
      </c>
      <c r="D642" s="33">
        <v>146</v>
      </c>
    </row>
    <row r="643" spans="1:4" x14ac:dyDescent="0.15">
      <c r="A643" s="32">
        <v>34790</v>
      </c>
      <c r="B643" s="33" t="s">
        <v>26</v>
      </c>
      <c r="C643" s="33" t="s">
        <v>24</v>
      </c>
      <c r="D643" s="33">
        <v>140</v>
      </c>
    </row>
    <row r="644" spans="1:4" x14ac:dyDescent="0.15">
      <c r="A644" s="32">
        <v>34790</v>
      </c>
      <c r="B644" s="33" t="s">
        <v>21</v>
      </c>
      <c r="C644" s="33" t="s">
        <v>24</v>
      </c>
      <c r="D644" s="33">
        <v>126</v>
      </c>
    </row>
    <row r="645" spans="1:4" x14ac:dyDescent="0.15">
      <c r="A645" s="32">
        <v>34790</v>
      </c>
      <c r="B645" s="33" t="s">
        <v>21</v>
      </c>
      <c r="C645" s="33" t="s">
        <v>24</v>
      </c>
      <c r="D645" s="33">
        <v>113</v>
      </c>
    </row>
    <row r="646" spans="1:4" x14ac:dyDescent="0.15">
      <c r="A646" s="32">
        <v>34790</v>
      </c>
      <c r="B646" s="33" t="s">
        <v>26</v>
      </c>
      <c r="C646" s="33" t="s">
        <v>24</v>
      </c>
      <c r="D646" s="33">
        <v>113</v>
      </c>
    </row>
    <row r="647" spans="1:4" x14ac:dyDescent="0.15">
      <c r="A647" s="32">
        <v>34790</v>
      </c>
      <c r="B647" s="33" t="s">
        <v>26</v>
      </c>
      <c r="C647" s="33" t="s">
        <v>24</v>
      </c>
      <c r="D647" s="33">
        <v>165</v>
      </c>
    </row>
    <row r="648" spans="1:4" x14ac:dyDescent="0.15">
      <c r="A648" s="32">
        <v>34790</v>
      </c>
      <c r="B648" s="33" t="s">
        <v>26</v>
      </c>
      <c r="C648" s="33" t="s">
        <v>25</v>
      </c>
      <c r="D648" s="33">
        <v>1345</v>
      </c>
    </row>
    <row r="649" spans="1:4" x14ac:dyDescent="0.15">
      <c r="A649" s="32">
        <v>34790</v>
      </c>
      <c r="B649" s="33" t="s">
        <v>21</v>
      </c>
      <c r="C649" s="33" t="s">
        <v>25</v>
      </c>
      <c r="D649" s="33">
        <v>956</v>
      </c>
    </row>
    <row r="650" spans="1:4" x14ac:dyDescent="0.15">
      <c r="A650" s="32">
        <v>34790</v>
      </c>
      <c r="B650" s="33" t="s">
        <v>26</v>
      </c>
      <c r="C650" s="33" t="s">
        <v>25</v>
      </c>
      <c r="D650" s="33">
        <v>1553</v>
      </c>
    </row>
    <row r="651" spans="1:4" x14ac:dyDescent="0.15">
      <c r="A651" s="32">
        <v>34790</v>
      </c>
      <c r="B651" s="33" t="s">
        <v>29</v>
      </c>
      <c r="C651" s="33" t="s">
        <v>25</v>
      </c>
      <c r="D651" s="33">
        <v>88</v>
      </c>
    </row>
    <row r="652" spans="1:4" x14ac:dyDescent="0.15">
      <c r="A652" s="32">
        <v>34790</v>
      </c>
      <c r="B652" s="33" t="s">
        <v>28</v>
      </c>
      <c r="C652" s="33" t="s">
        <v>25</v>
      </c>
      <c r="D652" s="33">
        <v>210</v>
      </c>
    </row>
    <row r="653" spans="1:4" x14ac:dyDescent="0.15">
      <c r="A653" s="32">
        <v>34790</v>
      </c>
      <c r="B653" s="33" t="s">
        <v>21</v>
      </c>
      <c r="C653" s="33" t="s">
        <v>25</v>
      </c>
      <c r="D653" s="33">
        <v>210</v>
      </c>
    </row>
    <row r="654" spans="1:4" x14ac:dyDescent="0.15">
      <c r="A654" s="32">
        <v>34790</v>
      </c>
      <c r="B654" s="33" t="s">
        <v>21</v>
      </c>
      <c r="C654" s="33" t="s">
        <v>25</v>
      </c>
      <c r="D654" s="33">
        <v>236</v>
      </c>
    </row>
    <row r="655" spans="1:4" x14ac:dyDescent="0.15">
      <c r="A655" s="32">
        <v>34790</v>
      </c>
      <c r="B655" s="33" t="s">
        <v>29</v>
      </c>
      <c r="C655" s="33" t="s">
        <v>25</v>
      </c>
      <c r="D655" s="33">
        <v>124</v>
      </c>
    </row>
    <row r="656" spans="1:4" x14ac:dyDescent="0.15">
      <c r="A656" s="32">
        <v>34790</v>
      </c>
      <c r="B656" s="33" t="s">
        <v>26</v>
      </c>
      <c r="C656" s="33" t="s">
        <v>25</v>
      </c>
      <c r="D656" s="33">
        <v>123</v>
      </c>
    </row>
    <row r="657" spans="1:4" x14ac:dyDescent="0.15">
      <c r="A657" s="32">
        <v>34790</v>
      </c>
      <c r="B657" s="33" t="s">
        <v>21</v>
      </c>
      <c r="C657" s="33" t="s">
        <v>25</v>
      </c>
      <c r="D657" s="33">
        <v>113</v>
      </c>
    </row>
    <row r="658" spans="1:4" x14ac:dyDescent="0.15">
      <c r="A658" s="32">
        <v>34790</v>
      </c>
      <c r="B658" s="33" t="s">
        <v>28</v>
      </c>
      <c r="C658" s="33" t="s">
        <v>25</v>
      </c>
      <c r="D658" s="33">
        <v>270</v>
      </c>
    </row>
    <row r="659" spans="1:4" x14ac:dyDescent="0.15">
      <c r="A659" s="32">
        <v>34790</v>
      </c>
      <c r="B659" s="33" t="s">
        <v>26</v>
      </c>
      <c r="C659" s="33" t="s">
        <v>25</v>
      </c>
      <c r="D659" s="33">
        <v>437</v>
      </c>
    </row>
    <row r="660" spans="1:4" x14ac:dyDescent="0.15">
      <c r="A660" s="32">
        <v>34790</v>
      </c>
      <c r="B660" s="33" t="s">
        <v>28</v>
      </c>
      <c r="C660" s="33" t="s">
        <v>25</v>
      </c>
      <c r="D660" s="33">
        <v>459</v>
      </c>
    </row>
    <row r="661" spans="1:4" x14ac:dyDescent="0.15">
      <c r="A661" s="32">
        <v>34790</v>
      </c>
      <c r="B661" s="33" t="s">
        <v>28</v>
      </c>
      <c r="C661" s="33" t="s">
        <v>25</v>
      </c>
      <c r="D661" s="33">
        <v>341</v>
      </c>
    </row>
    <row r="662" spans="1:4" x14ac:dyDescent="0.15">
      <c r="A662" s="32">
        <v>34790</v>
      </c>
      <c r="B662" s="33" t="s">
        <v>28</v>
      </c>
      <c r="C662" s="33" t="s">
        <v>27</v>
      </c>
      <c r="D662" s="33">
        <v>2370</v>
      </c>
    </row>
    <row r="663" spans="1:4" x14ac:dyDescent="0.15">
      <c r="A663" s="32">
        <v>34790</v>
      </c>
      <c r="B663" s="33" t="s">
        <v>28</v>
      </c>
      <c r="C663" s="33" t="s">
        <v>27</v>
      </c>
      <c r="D663" s="33">
        <v>1006</v>
      </c>
    </row>
    <row r="664" spans="1:4" x14ac:dyDescent="0.15">
      <c r="A664" s="32">
        <v>34790</v>
      </c>
      <c r="B664" s="33" t="s">
        <v>21</v>
      </c>
      <c r="C664" s="33" t="s">
        <v>27</v>
      </c>
      <c r="D664" s="33">
        <v>1204</v>
      </c>
    </row>
    <row r="665" spans="1:4" x14ac:dyDescent="0.15">
      <c r="A665" s="32">
        <v>34790</v>
      </c>
      <c r="B665" s="33" t="s">
        <v>21</v>
      </c>
      <c r="C665" s="33" t="s">
        <v>27</v>
      </c>
      <c r="D665" s="33">
        <v>569</v>
      </c>
    </row>
    <row r="666" spans="1:4" x14ac:dyDescent="0.15">
      <c r="A666" s="32">
        <v>34790</v>
      </c>
      <c r="B666" s="33" t="s">
        <v>26</v>
      </c>
      <c r="C666" s="33" t="s">
        <v>27</v>
      </c>
      <c r="D666" s="33">
        <v>2061</v>
      </c>
    </row>
    <row r="667" spans="1:4" x14ac:dyDescent="0.15">
      <c r="A667" s="32">
        <v>34790</v>
      </c>
      <c r="B667" s="33" t="s">
        <v>29</v>
      </c>
      <c r="C667" s="33" t="s">
        <v>27</v>
      </c>
      <c r="D667" s="33">
        <v>90</v>
      </c>
    </row>
    <row r="668" spans="1:4" x14ac:dyDescent="0.15">
      <c r="A668" s="32">
        <v>34790</v>
      </c>
      <c r="B668" s="33" t="s">
        <v>26</v>
      </c>
      <c r="C668" s="33" t="s">
        <v>27</v>
      </c>
      <c r="D668" s="33">
        <v>117</v>
      </c>
    </row>
    <row r="669" spans="1:4" x14ac:dyDescent="0.15">
      <c r="A669" s="32">
        <v>34790</v>
      </c>
      <c r="B669" s="33" t="s">
        <v>28</v>
      </c>
      <c r="C669" s="33" t="s">
        <v>27</v>
      </c>
      <c r="D669" s="33">
        <v>72</v>
      </c>
    </row>
    <row r="670" spans="1:4" x14ac:dyDescent="0.15">
      <c r="A670" s="32">
        <v>34790</v>
      </c>
      <c r="B670" s="33" t="s">
        <v>28</v>
      </c>
      <c r="C670" s="33" t="s">
        <v>27</v>
      </c>
      <c r="D670" s="33">
        <v>63</v>
      </c>
    </row>
    <row r="671" spans="1:4" x14ac:dyDescent="0.15">
      <c r="A671" s="32">
        <v>34790</v>
      </c>
      <c r="B671" s="33" t="s">
        <v>21</v>
      </c>
      <c r="C671" s="33" t="s">
        <v>27</v>
      </c>
      <c r="D671" s="33">
        <v>35</v>
      </c>
    </row>
    <row r="672" spans="1:4" x14ac:dyDescent="0.15">
      <c r="A672" s="32">
        <v>34790</v>
      </c>
      <c r="B672" s="33" t="s">
        <v>21</v>
      </c>
      <c r="C672" s="33" t="s">
        <v>27</v>
      </c>
      <c r="D672" s="33">
        <v>56</v>
      </c>
    </row>
    <row r="673" spans="1:4" x14ac:dyDescent="0.15">
      <c r="A673" s="32">
        <v>34790</v>
      </c>
      <c r="B673" s="33" t="s">
        <v>29</v>
      </c>
      <c r="C673" s="33" t="s">
        <v>27</v>
      </c>
      <c r="D673" s="33">
        <v>61</v>
      </c>
    </row>
    <row r="674" spans="1:4" x14ac:dyDescent="0.15">
      <c r="A674" s="32">
        <v>34790</v>
      </c>
      <c r="B674" s="33" t="s">
        <v>26</v>
      </c>
      <c r="C674" s="33" t="s">
        <v>27</v>
      </c>
      <c r="D674" s="33">
        <v>437</v>
      </c>
    </row>
    <row r="675" spans="1:4" x14ac:dyDescent="0.15">
      <c r="A675" s="32">
        <v>34790</v>
      </c>
      <c r="B675" s="33" t="s">
        <v>26</v>
      </c>
      <c r="C675" s="33" t="s">
        <v>27</v>
      </c>
      <c r="D675" s="33">
        <v>315</v>
      </c>
    </row>
    <row r="676" spans="1:4" x14ac:dyDescent="0.15">
      <c r="A676" s="32">
        <v>34820</v>
      </c>
      <c r="B676" s="33" t="s">
        <v>28</v>
      </c>
      <c r="C676" s="33" t="s">
        <v>22</v>
      </c>
      <c r="D676" s="33">
        <v>1817</v>
      </c>
    </row>
    <row r="677" spans="1:4" x14ac:dyDescent="0.15">
      <c r="A677" s="32">
        <v>34820</v>
      </c>
      <c r="B677" s="33" t="s">
        <v>26</v>
      </c>
      <c r="C677" s="33" t="s">
        <v>22</v>
      </c>
      <c r="D677" s="33">
        <v>1667</v>
      </c>
    </row>
    <row r="678" spans="1:4" x14ac:dyDescent="0.15">
      <c r="A678" s="32">
        <v>34820</v>
      </c>
      <c r="B678" s="33" t="s">
        <v>28</v>
      </c>
      <c r="C678" s="33" t="s">
        <v>22</v>
      </c>
      <c r="D678" s="33">
        <v>716</v>
      </c>
    </row>
    <row r="679" spans="1:4" x14ac:dyDescent="0.15">
      <c r="A679" s="32">
        <v>34820</v>
      </c>
      <c r="B679" s="33" t="s">
        <v>21</v>
      </c>
      <c r="C679" s="33" t="s">
        <v>22</v>
      </c>
      <c r="D679" s="33">
        <v>608</v>
      </c>
    </row>
    <row r="680" spans="1:4" x14ac:dyDescent="0.15">
      <c r="A680" s="32">
        <v>34820</v>
      </c>
      <c r="B680" s="33" t="s">
        <v>26</v>
      </c>
      <c r="C680" s="33" t="s">
        <v>22</v>
      </c>
      <c r="D680" s="33">
        <v>500</v>
      </c>
    </row>
    <row r="681" spans="1:4" x14ac:dyDescent="0.15">
      <c r="A681" s="32">
        <v>34820</v>
      </c>
      <c r="B681" s="33" t="s">
        <v>28</v>
      </c>
      <c r="C681" s="33" t="s">
        <v>22</v>
      </c>
      <c r="D681" s="33">
        <v>440</v>
      </c>
    </row>
    <row r="682" spans="1:4" x14ac:dyDescent="0.15">
      <c r="A682" s="32">
        <v>34820</v>
      </c>
      <c r="B682" s="33" t="s">
        <v>21</v>
      </c>
      <c r="C682" s="33" t="s">
        <v>22</v>
      </c>
      <c r="D682" s="33">
        <v>429</v>
      </c>
    </row>
    <row r="683" spans="1:4" x14ac:dyDescent="0.15">
      <c r="A683" s="32">
        <v>34820</v>
      </c>
      <c r="B683" s="33" t="s">
        <v>26</v>
      </c>
      <c r="C683" s="33" t="s">
        <v>22</v>
      </c>
      <c r="D683" s="33">
        <v>2159</v>
      </c>
    </row>
    <row r="684" spans="1:4" x14ac:dyDescent="0.15">
      <c r="A684" s="32">
        <v>34820</v>
      </c>
      <c r="B684" s="33" t="s">
        <v>21</v>
      </c>
      <c r="C684" s="33" t="s">
        <v>22</v>
      </c>
      <c r="D684" s="33">
        <v>385</v>
      </c>
    </row>
    <row r="685" spans="1:4" x14ac:dyDescent="0.15">
      <c r="A685" s="32">
        <v>34820</v>
      </c>
      <c r="B685" s="33" t="s">
        <v>21</v>
      </c>
      <c r="C685" s="33" t="s">
        <v>22</v>
      </c>
      <c r="D685" s="33">
        <v>415</v>
      </c>
    </row>
    <row r="686" spans="1:4" x14ac:dyDescent="0.15">
      <c r="A686" s="32">
        <v>34820</v>
      </c>
      <c r="B686" s="33" t="s">
        <v>28</v>
      </c>
      <c r="C686" s="33" t="s">
        <v>22</v>
      </c>
      <c r="D686" s="33">
        <v>270</v>
      </c>
    </row>
    <row r="687" spans="1:4" x14ac:dyDescent="0.15">
      <c r="A687" s="32">
        <v>34820</v>
      </c>
      <c r="B687" s="33" t="s">
        <v>26</v>
      </c>
      <c r="C687" s="33" t="s">
        <v>22</v>
      </c>
      <c r="D687" s="33">
        <v>248</v>
      </c>
    </row>
    <row r="688" spans="1:4" x14ac:dyDescent="0.15">
      <c r="A688" s="32">
        <v>34820</v>
      </c>
      <c r="B688" s="33" t="s">
        <v>29</v>
      </c>
      <c r="C688" s="33" t="s">
        <v>22</v>
      </c>
      <c r="D688" s="33">
        <v>151</v>
      </c>
    </row>
    <row r="689" spans="1:4" x14ac:dyDescent="0.15">
      <c r="A689" s="32">
        <v>34820</v>
      </c>
      <c r="B689" s="33" t="s">
        <v>29</v>
      </c>
      <c r="C689" s="33" t="s">
        <v>22</v>
      </c>
      <c r="D689" s="33">
        <v>113</v>
      </c>
    </row>
    <row r="690" spans="1:4" x14ac:dyDescent="0.15">
      <c r="A690" s="32">
        <v>34820</v>
      </c>
      <c r="B690" s="33" t="s">
        <v>28</v>
      </c>
      <c r="C690" s="33" t="s">
        <v>23</v>
      </c>
      <c r="D690" s="33">
        <v>433</v>
      </c>
    </row>
    <row r="691" spans="1:4" x14ac:dyDescent="0.15">
      <c r="A691" s="32">
        <v>34820</v>
      </c>
      <c r="B691" s="33" t="s">
        <v>21</v>
      </c>
      <c r="C691" s="33" t="s">
        <v>23</v>
      </c>
      <c r="D691" s="33">
        <v>686</v>
      </c>
    </row>
    <row r="692" spans="1:4" x14ac:dyDescent="0.15">
      <c r="A692" s="32">
        <v>34820</v>
      </c>
      <c r="B692" s="33" t="s">
        <v>21</v>
      </c>
      <c r="C692" s="33" t="s">
        <v>23</v>
      </c>
      <c r="D692" s="33">
        <v>535</v>
      </c>
    </row>
    <row r="693" spans="1:4" x14ac:dyDescent="0.15">
      <c r="A693" s="32">
        <v>34820</v>
      </c>
      <c r="B693" s="33" t="s">
        <v>28</v>
      </c>
      <c r="C693" s="33" t="s">
        <v>23</v>
      </c>
      <c r="D693" s="33">
        <v>492</v>
      </c>
    </row>
    <row r="694" spans="1:4" x14ac:dyDescent="0.15">
      <c r="A694" s="32">
        <v>34820</v>
      </c>
      <c r="B694" s="33" t="s">
        <v>26</v>
      </c>
      <c r="C694" s="33" t="s">
        <v>23</v>
      </c>
      <c r="D694" s="33">
        <v>333</v>
      </c>
    </row>
    <row r="695" spans="1:4" x14ac:dyDescent="0.15">
      <c r="A695" s="32">
        <v>34820</v>
      </c>
      <c r="B695" s="33" t="s">
        <v>21</v>
      </c>
      <c r="C695" s="33" t="s">
        <v>23</v>
      </c>
      <c r="D695" s="33">
        <v>289</v>
      </c>
    </row>
    <row r="696" spans="1:4" x14ac:dyDescent="0.15">
      <c r="A696" s="32">
        <v>34820</v>
      </c>
      <c r="B696" s="33" t="s">
        <v>28</v>
      </c>
      <c r="C696" s="33" t="s">
        <v>23</v>
      </c>
      <c r="D696" s="33">
        <v>270</v>
      </c>
    </row>
    <row r="697" spans="1:4" x14ac:dyDescent="0.15">
      <c r="A697" s="32">
        <v>34820</v>
      </c>
      <c r="B697" s="33" t="s">
        <v>26</v>
      </c>
      <c r="C697" s="33" t="s">
        <v>23</v>
      </c>
      <c r="D697" s="33">
        <v>248</v>
      </c>
    </row>
    <row r="698" spans="1:4" x14ac:dyDescent="0.15">
      <c r="A698" s="32">
        <v>34820</v>
      </c>
      <c r="B698" s="33" t="s">
        <v>21</v>
      </c>
      <c r="C698" s="33" t="s">
        <v>23</v>
      </c>
      <c r="D698" s="33">
        <v>203</v>
      </c>
    </row>
    <row r="699" spans="1:4" x14ac:dyDescent="0.15">
      <c r="A699" s="32">
        <v>34820</v>
      </c>
      <c r="B699" s="33" t="s">
        <v>26</v>
      </c>
      <c r="C699" s="33" t="s">
        <v>23</v>
      </c>
      <c r="D699" s="33">
        <v>169</v>
      </c>
    </row>
    <row r="700" spans="1:4" x14ac:dyDescent="0.15">
      <c r="A700" s="32">
        <v>34820</v>
      </c>
      <c r="B700" s="33" t="s">
        <v>28</v>
      </c>
      <c r="C700" s="33" t="s">
        <v>23</v>
      </c>
      <c r="D700" s="33">
        <v>158</v>
      </c>
    </row>
    <row r="701" spans="1:4" x14ac:dyDescent="0.15">
      <c r="A701" s="32">
        <v>34820</v>
      </c>
      <c r="B701" s="33" t="s">
        <v>26</v>
      </c>
      <c r="C701" s="33" t="s">
        <v>23</v>
      </c>
      <c r="D701" s="33">
        <v>96</v>
      </c>
    </row>
    <row r="702" spans="1:4" x14ac:dyDescent="0.15">
      <c r="A702" s="32">
        <v>34820</v>
      </c>
      <c r="B702" s="33" t="s">
        <v>29</v>
      </c>
      <c r="C702" s="33" t="s">
        <v>23</v>
      </c>
      <c r="D702" s="33">
        <v>96</v>
      </c>
    </row>
    <row r="703" spans="1:4" x14ac:dyDescent="0.15">
      <c r="A703" s="32">
        <v>34820</v>
      </c>
      <c r="B703" s="33" t="s">
        <v>29</v>
      </c>
      <c r="C703" s="33" t="s">
        <v>23</v>
      </c>
      <c r="D703" s="33">
        <v>146</v>
      </c>
    </row>
    <row r="704" spans="1:4" x14ac:dyDescent="0.15">
      <c r="A704" s="32">
        <v>34820</v>
      </c>
      <c r="B704" s="33" t="s">
        <v>26</v>
      </c>
      <c r="C704" s="33" t="s">
        <v>24</v>
      </c>
      <c r="D704" s="33">
        <v>950</v>
      </c>
    </row>
    <row r="705" spans="1:4" x14ac:dyDescent="0.15">
      <c r="A705" s="32">
        <v>34820</v>
      </c>
      <c r="B705" s="33" t="s">
        <v>21</v>
      </c>
      <c r="C705" s="33" t="s">
        <v>24</v>
      </c>
      <c r="D705" s="33">
        <v>1424</v>
      </c>
    </row>
    <row r="706" spans="1:4" x14ac:dyDescent="0.15">
      <c r="A706" s="32">
        <v>34820</v>
      </c>
      <c r="B706" s="33" t="s">
        <v>21</v>
      </c>
      <c r="C706" s="33" t="s">
        <v>24</v>
      </c>
      <c r="D706" s="33">
        <v>1672</v>
      </c>
    </row>
    <row r="707" spans="1:4" x14ac:dyDescent="0.15">
      <c r="A707" s="32">
        <v>34820</v>
      </c>
      <c r="B707" s="33" t="s">
        <v>26</v>
      </c>
      <c r="C707" s="33" t="s">
        <v>24</v>
      </c>
      <c r="D707" s="33">
        <v>88</v>
      </c>
    </row>
    <row r="708" spans="1:4" x14ac:dyDescent="0.15">
      <c r="A708" s="32">
        <v>34820</v>
      </c>
      <c r="B708" s="33" t="s">
        <v>21</v>
      </c>
      <c r="C708" s="33" t="s">
        <v>24</v>
      </c>
      <c r="D708" s="33">
        <v>72</v>
      </c>
    </row>
    <row r="709" spans="1:4" x14ac:dyDescent="0.15">
      <c r="A709" s="32">
        <v>34820</v>
      </c>
      <c r="B709" s="33" t="s">
        <v>21</v>
      </c>
      <c r="C709" s="33" t="s">
        <v>24</v>
      </c>
      <c r="D709" s="33">
        <v>46</v>
      </c>
    </row>
    <row r="710" spans="1:4" x14ac:dyDescent="0.15">
      <c r="A710" s="32">
        <v>34820</v>
      </c>
      <c r="B710" s="33" t="s">
        <v>26</v>
      </c>
      <c r="C710" s="33" t="s">
        <v>24</v>
      </c>
      <c r="D710" s="33">
        <v>180</v>
      </c>
    </row>
    <row r="711" spans="1:4" x14ac:dyDescent="0.15">
      <c r="A711" s="32">
        <v>34820</v>
      </c>
      <c r="B711" s="33" t="s">
        <v>26</v>
      </c>
      <c r="C711" s="33" t="s">
        <v>24</v>
      </c>
      <c r="D711" s="33">
        <v>140</v>
      </c>
    </row>
    <row r="712" spans="1:4" x14ac:dyDescent="0.15">
      <c r="A712" s="32">
        <v>34820</v>
      </c>
      <c r="B712" s="33" t="s">
        <v>21</v>
      </c>
      <c r="C712" s="33" t="s">
        <v>24</v>
      </c>
      <c r="D712" s="33">
        <v>113</v>
      </c>
    </row>
    <row r="713" spans="1:4" x14ac:dyDescent="0.15">
      <c r="A713" s="32">
        <v>34820</v>
      </c>
      <c r="B713" s="33" t="s">
        <v>26</v>
      </c>
      <c r="C713" s="33" t="s">
        <v>24</v>
      </c>
      <c r="D713" s="33">
        <v>90</v>
      </c>
    </row>
    <row r="714" spans="1:4" x14ac:dyDescent="0.15">
      <c r="A714" s="32">
        <v>34820</v>
      </c>
      <c r="B714" s="33" t="s">
        <v>21</v>
      </c>
      <c r="C714" s="33" t="s">
        <v>24</v>
      </c>
      <c r="D714" s="33">
        <v>90</v>
      </c>
    </row>
    <row r="715" spans="1:4" x14ac:dyDescent="0.15">
      <c r="A715" s="32">
        <v>34820</v>
      </c>
      <c r="B715" s="33" t="s">
        <v>26</v>
      </c>
      <c r="C715" s="33" t="s">
        <v>24</v>
      </c>
      <c r="D715" s="33">
        <v>193</v>
      </c>
    </row>
    <row r="716" spans="1:4" x14ac:dyDescent="0.15">
      <c r="A716" s="32">
        <v>34820</v>
      </c>
      <c r="B716" s="33" t="s">
        <v>28</v>
      </c>
      <c r="C716" s="33" t="s">
        <v>25</v>
      </c>
      <c r="D716" s="33">
        <v>525</v>
      </c>
    </row>
    <row r="717" spans="1:4" x14ac:dyDescent="0.15">
      <c r="A717" s="32">
        <v>34820</v>
      </c>
      <c r="B717" s="33" t="s">
        <v>26</v>
      </c>
      <c r="C717" s="33" t="s">
        <v>25</v>
      </c>
      <c r="D717" s="33">
        <v>1260</v>
      </c>
    </row>
    <row r="718" spans="1:4" x14ac:dyDescent="0.15">
      <c r="A718" s="32">
        <v>34820</v>
      </c>
      <c r="B718" s="33" t="s">
        <v>26</v>
      </c>
      <c r="C718" s="33" t="s">
        <v>25</v>
      </c>
      <c r="D718" s="33">
        <v>1132</v>
      </c>
    </row>
    <row r="719" spans="1:4" x14ac:dyDescent="0.15">
      <c r="A719" s="32">
        <v>34820</v>
      </c>
      <c r="B719" s="33" t="s">
        <v>21</v>
      </c>
      <c r="C719" s="33" t="s">
        <v>25</v>
      </c>
      <c r="D719" s="33">
        <v>899</v>
      </c>
    </row>
    <row r="720" spans="1:4" x14ac:dyDescent="0.15">
      <c r="A720" s="32">
        <v>34820</v>
      </c>
      <c r="B720" s="33" t="s">
        <v>26</v>
      </c>
      <c r="C720" s="33" t="s">
        <v>25</v>
      </c>
      <c r="D720" s="33">
        <v>437</v>
      </c>
    </row>
    <row r="721" spans="1:4" x14ac:dyDescent="0.15">
      <c r="A721" s="32">
        <v>34820</v>
      </c>
      <c r="B721" s="33" t="s">
        <v>28</v>
      </c>
      <c r="C721" s="33" t="s">
        <v>25</v>
      </c>
      <c r="D721" s="33">
        <v>210</v>
      </c>
    </row>
    <row r="722" spans="1:4" x14ac:dyDescent="0.15">
      <c r="A722" s="32">
        <v>34820</v>
      </c>
      <c r="B722" s="33" t="s">
        <v>21</v>
      </c>
      <c r="C722" s="33" t="s">
        <v>25</v>
      </c>
      <c r="D722" s="33">
        <v>90</v>
      </c>
    </row>
    <row r="723" spans="1:4" x14ac:dyDescent="0.15">
      <c r="A723" s="32">
        <v>34820</v>
      </c>
      <c r="B723" s="33" t="s">
        <v>29</v>
      </c>
      <c r="C723" s="33" t="s">
        <v>25</v>
      </c>
      <c r="D723" s="33">
        <v>88</v>
      </c>
    </row>
    <row r="724" spans="1:4" x14ac:dyDescent="0.15">
      <c r="A724" s="32">
        <v>34820</v>
      </c>
      <c r="B724" s="33" t="s">
        <v>28</v>
      </c>
      <c r="C724" s="33" t="s">
        <v>25</v>
      </c>
      <c r="D724" s="33">
        <v>210</v>
      </c>
    </row>
    <row r="725" spans="1:4" x14ac:dyDescent="0.15">
      <c r="A725" s="32">
        <v>34820</v>
      </c>
      <c r="B725" s="33" t="s">
        <v>21</v>
      </c>
      <c r="C725" s="33" t="s">
        <v>25</v>
      </c>
      <c r="D725" s="33">
        <v>175</v>
      </c>
    </row>
    <row r="726" spans="1:4" x14ac:dyDescent="0.15">
      <c r="A726" s="32">
        <v>34820</v>
      </c>
      <c r="B726" s="33" t="s">
        <v>29</v>
      </c>
      <c r="C726" s="33" t="s">
        <v>25</v>
      </c>
      <c r="D726" s="33">
        <v>124</v>
      </c>
    </row>
    <row r="727" spans="1:4" x14ac:dyDescent="0.15">
      <c r="A727" s="32">
        <v>34820</v>
      </c>
      <c r="B727" s="33" t="s">
        <v>21</v>
      </c>
      <c r="C727" s="33" t="s">
        <v>25</v>
      </c>
      <c r="D727" s="33">
        <v>259</v>
      </c>
    </row>
    <row r="728" spans="1:4" x14ac:dyDescent="0.15">
      <c r="A728" s="32">
        <v>34820</v>
      </c>
      <c r="B728" s="33" t="s">
        <v>28</v>
      </c>
      <c r="C728" s="33" t="s">
        <v>25</v>
      </c>
      <c r="D728" s="33">
        <v>203</v>
      </c>
    </row>
    <row r="729" spans="1:4" x14ac:dyDescent="0.15">
      <c r="A729" s="32">
        <v>34820</v>
      </c>
      <c r="B729" s="33" t="s">
        <v>26</v>
      </c>
      <c r="C729" s="33" t="s">
        <v>25</v>
      </c>
      <c r="D729" s="33">
        <v>263</v>
      </c>
    </row>
    <row r="730" spans="1:4" x14ac:dyDescent="0.15">
      <c r="A730" s="32">
        <v>34820</v>
      </c>
      <c r="B730" s="33" t="s">
        <v>26</v>
      </c>
      <c r="C730" s="33" t="s">
        <v>27</v>
      </c>
      <c r="D730" s="33">
        <v>501</v>
      </c>
    </row>
    <row r="731" spans="1:4" x14ac:dyDescent="0.15">
      <c r="A731" s="32">
        <v>34820</v>
      </c>
      <c r="B731" s="33" t="s">
        <v>26</v>
      </c>
      <c r="C731" s="33" t="s">
        <v>27</v>
      </c>
      <c r="D731" s="33">
        <v>405</v>
      </c>
    </row>
    <row r="732" spans="1:4" x14ac:dyDescent="0.15">
      <c r="A732" s="32">
        <v>34820</v>
      </c>
      <c r="B732" s="33" t="s">
        <v>26</v>
      </c>
      <c r="C732" s="33" t="s">
        <v>27</v>
      </c>
      <c r="D732" s="33">
        <v>2104</v>
      </c>
    </row>
    <row r="733" spans="1:4" x14ac:dyDescent="0.15">
      <c r="A733" s="32">
        <v>34820</v>
      </c>
      <c r="B733" s="33" t="s">
        <v>28</v>
      </c>
      <c r="C733" s="33" t="s">
        <v>27</v>
      </c>
      <c r="D733" s="33">
        <v>1470</v>
      </c>
    </row>
    <row r="734" spans="1:4" x14ac:dyDescent="0.15">
      <c r="A734" s="32">
        <v>34820</v>
      </c>
      <c r="B734" s="33" t="s">
        <v>28</v>
      </c>
      <c r="C734" s="33" t="s">
        <v>27</v>
      </c>
      <c r="D734" s="33">
        <v>1431</v>
      </c>
    </row>
    <row r="735" spans="1:4" x14ac:dyDescent="0.15">
      <c r="A735" s="32">
        <v>34820</v>
      </c>
      <c r="B735" s="33" t="s">
        <v>21</v>
      </c>
      <c r="C735" s="33" t="s">
        <v>27</v>
      </c>
      <c r="D735" s="33">
        <v>778</v>
      </c>
    </row>
    <row r="736" spans="1:4" x14ac:dyDescent="0.15">
      <c r="A736" s="32">
        <v>34820</v>
      </c>
      <c r="B736" s="33" t="s">
        <v>21</v>
      </c>
      <c r="C736" s="33" t="s">
        <v>27</v>
      </c>
      <c r="D736" s="33">
        <v>1785</v>
      </c>
    </row>
    <row r="737" spans="1:4" x14ac:dyDescent="0.15">
      <c r="A737" s="32">
        <v>34820</v>
      </c>
      <c r="B737" s="33" t="s">
        <v>29</v>
      </c>
      <c r="C737" s="33" t="s">
        <v>27</v>
      </c>
      <c r="D737" s="33">
        <v>61</v>
      </c>
    </row>
    <row r="738" spans="1:4" x14ac:dyDescent="0.15">
      <c r="A738" s="32">
        <v>34820</v>
      </c>
      <c r="B738" s="33" t="s">
        <v>28</v>
      </c>
      <c r="C738" s="33" t="s">
        <v>27</v>
      </c>
      <c r="D738" s="33">
        <v>50</v>
      </c>
    </row>
    <row r="739" spans="1:4" x14ac:dyDescent="0.15">
      <c r="A739" s="32">
        <v>34820</v>
      </c>
      <c r="B739" s="33" t="s">
        <v>28</v>
      </c>
      <c r="C739" s="33" t="s">
        <v>27</v>
      </c>
      <c r="D739" s="33">
        <v>39</v>
      </c>
    </row>
    <row r="740" spans="1:4" x14ac:dyDescent="0.15">
      <c r="A740" s="32">
        <v>34820</v>
      </c>
      <c r="B740" s="33" t="s">
        <v>21</v>
      </c>
      <c r="C740" s="33" t="s">
        <v>27</v>
      </c>
      <c r="D740" s="33">
        <v>35</v>
      </c>
    </row>
    <row r="741" spans="1:4" x14ac:dyDescent="0.15">
      <c r="A741" s="32">
        <v>34820</v>
      </c>
      <c r="B741" s="33" t="s">
        <v>21</v>
      </c>
      <c r="C741" s="33" t="s">
        <v>27</v>
      </c>
      <c r="D741" s="33">
        <v>68</v>
      </c>
    </row>
    <row r="742" spans="1:4" x14ac:dyDescent="0.15">
      <c r="A742" s="32">
        <v>34820</v>
      </c>
      <c r="B742" s="33" t="s">
        <v>29</v>
      </c>
      <c r="C742" s="33" t="s">
        <v>27</v>
      </c>
      <c r="D742" s="33">
        <v>90</v>
      </c>
    </row>
    <row r="743" spans="1:4" x14ac:dyDescent="0.15">
      <c r="A743" s="32">
        <v>34820</v>
      </c>
      <c r="B743" s="33" t="s">
        <v>26</v>
      </c>
      <c r="C743" s="33" t="s">
        <v>27</v>
      </c>
      <c r="D743" s="33">
        <v>153</v>
      </c>
    </row>
    <row r="744" spans="1:4" x14ac:dyDescent="0.15">
      <c r="A744" s="32">
        <v>34820</v>
      </c>
      <c r="B744" s="33" t="s">
        <v>26</v>
      </c>
      <c r="C744" s="33" t="s">
        <v>30</v>
      </c>
      <c r="D744" s="33">
        <v>158</v>
      </c>
    </row>
    <row r="745" spans="1:4" x14ac:dyDescent="0.15">
      <c r="A745" s="32">
        <v>34820</v>
      </c>
      <c r="B745" s="33" t="s">
        <v>21</v>
      </c>
      <c r="C745" s="33" t="s">
        <v>30</v>
      </c>
      <c r="D745" s="33">
        <v>179</v>
      </c>
    </row>
    <row r="746" spans="1:4" x14ac:dyDescent="0.15">
      <c r="A746" s="32">
        <v>34820</v>
      </c>
      <c r="B746" s="33" t="s">
        <v>26</v>
      </c>
      <c r="C746" s="33" t="s">
        <v>30</v>
      </c>
      <c r="D746" s="33">
        <v>180</v>
      </c>
    </row>
    <row r="747" spans="1:4" x14ac:dyDescent="0.15">
      <c r="A747" s="32">
        <v>34820</v>
      </c>
      <c r="B747" s="33" t="s">
        <v>26</v>
      </c>
      <c r="C747" s="33" t="s">
        <v>30</v>
      </c>
      <c r="D747" s="33">
        <v>180</v>
      </c>
    </row>
    <row r="748" spans="1:4" x14ac:dyDescent="0.15">
      <c r="A748" s="32">
        <v>34820</v>
      </c>
      <c r="B748" s="33" t="s">
        <v>26</v>
      </c>
      <c r="C748" s="33" t="s">
        <v>30</v>
      </c>
      <c r="D748" s="33">
        <v>193</v>
      </c>
    </row>
    <row r="749" spans="1:4" x14ac:dyDescent="0.15">
      <c r="A749" s="32">
        <v>34820</v>
      </c>
      <c r="B749" s="33" t="s">
        <v>26</v>
      </c>
      <c r="C749" s="33" t="s">
        <v>30</v>
      </c>
      <c r="D749" s="33">
        <v>140</v>
      </c>
    </row>
    <row r="750" spans="1:4" x14ac:dyDescent="0.15">
      <c r="A750" s="32">
        <v>34820</v>
      </c>
      <c r="B750" s="33" t="s">
        <v>29</v>
      </c>
      <c r="C750" s="33" t="s">
        <v>30</v>
      </c>
      <c r="D750" s="33">
        <v>124</v>
      </c>
    </row>
    <row r="751" spans="1:4" x14ac:dyDescent="0.15">
      <c r="A751" s="32">
        <v>34820</v>
      </c>
      <c r="B751" s="33" t="s">
        <v>21</v>
      </c>
      <c r="C751" s="33" t="s">
        <v>30</v>
      </c>
      <c r="D751" s="33">
        <v>124</v>
      </c>
    </row>
    <row r="752" spans="1:4" x14ac:dyDescent="0.15">
      <c r="A752" s="32">
        <v>34820</v>
      </c>
      <c r="B752" s="33" t="s">
        <v>29</v>
      </c>
      <c r="C752" s="33" t="s">
        <v>30</v>
      </c>
      <c r="D752" s="33">
        <v>138</v>
      </c>
    </row>
    <row r="753" spans="1:4" x14ac:dyDescent="0.15">
      <c r="A753" s="32">
        <v>34820</v>
      </c>
      <c r="B753" s="33" t="s">
        <v>28</v>
      </c>
      <c r="C753" s="33" t="s">
        <v>30</v>
      </c>
      <c r="D753" s="33">
        <v>304</v>
      </c>
    </row>
    <row r="754" spans="1:4" x14ac:dyDescent="0.15">
      <c r="A754" s="32">
        <v>34820</v>
      </c>
      <c r="B754" s="33" t="s">
        <v>28</v>
      </c>
      <c r="C754" s="33" t="s">
        <v>30</v>
      </c>
      <c r="D754" s="33">
        <v>400</v>
      </c>
    </row>
    <row r="755" spans="1:4" x14ac:dyDescent="0.15">
      <c r="A755" s="32">
        <v>34820</v>
      </c>
      <c r="B755" s="33" t="s">
        <v>28</v>
      </c>
      <c r="C755" s="33" t="s">
        <v>30</v>
      </c>
      <c r="D755" s="33">
        <v>413</v>
      </c>
    </row>
    <row r="756" spans="1:4" x14ac:dyDescent="0.15">
      <c r="A756" s="32">
        <v>34820</v>
      </c>
      <c r="B756" s="33" t="s">
        <v>28</v>
      </c>
      <c r="C756" s="33" t="s">
        <v>30</v>
      </c>
      <c r="D756" s="33">
        <v>210</v>
      </c>
    </row>
    <row r="757" spans="1:4" x14ac:dyDescent="0.15">
      <c r="A757" s="32">
        <v>34820</v>
      </c>
      <c r="B757" s="33" t="s">
        <v>26</v>
      </c>
      <c r="C757" s="33" t="s">
        <v>30</v>
      </c>
      <c r="D757" s="33">
        <v>220</v>
      </c>
    </row>
    <row r="758" spans="1:4" x14ac:dyDescent="0.15">
      <c r="A758" s="32">
        <v>34820</v>
      </c>
      <c r="B758" s="33" t="s">
        <v>21</v>
      </c>
      <c r="C758" s="33" t="s">
        <v>30</v>
      </c>
      <c r="D758" s="33">
        <v>28</v>
      </c>
    </row>
    <row r="759" spans="1:4" x14ac:dyDescent="0.15">
      <c r="A759" s="32">
        <v>34820</v>
      </c>
      <c r="B759" s="33" t="s">
        <v>29</v>
      </c>
      <c r="C759" s="33" t="s">
        <v>30</v>
      </c>
      <c r="D759" s="33">
        <v>79</v>
      </c>
    </row>
    <row r="760" spans="1:4" x14ac:dyDescent="0.15">
      <c r="A760" s="32">
        <v>34820</v>
      </c>
      <c r="B760" s="33" t="s">
        <v>21</v>
      </c>
      <c r="C760" s="33" t="s">
        <v>30</v>
      </c>
      <c r="D760" s="33">
        <v>105</v>
      </c>
    </row>
    <row r="761" spans="1:4" x14ac:dyDescent="0.15">
      <c r="A761" s="32">
        <v>34820</v>
      </c>
      <c r="B761" s="33" t="s">
        <v>21</v>
      </c>
      <c r="C761" s="33" t="s">
        <v>30</v>
      </c>
      <c r="D761" s="33">
        <v>36</v>
      </c>
    </row>
    <row r="762" spans="1:4" x14ac:dyDescent="0.15">
      <c r="A762" s="32">
        <v>34820</v>
      </c>
      <c r="B762" s="33" t="s">
        <v>21</v>
      </c>
      <c r="C762" s="33" t="s">
        <v>30</v>
      </c>
      <c r="D762" s="33">
        <v>44</v>
      </c>
    </row>
    <row r="763" spans="1:4" x14ac:dyDescent="0.15">
      <c r="A763" s="32">
        <v>34820</v>
      </c>
      <c r="B763" s="33" t="s">
        <v>28</v>
      </c>
      <c r="C763" s="33" t="s">
        <v>30</v>
      </c>
      <c r="D763" s="33">
        <v>68</v>
      </c>
    </row>
    <row r="764" spans="1:4" x14ac:dyDescent="0.15">
      <c r="A764" s="32">
        <v>34851</v>
      </c>
      <c r="B764" s="33" t="s">
        <v>26</v>
      </c>
      <c r="C764" s="33" t="s">
        <v>22</v>
      </c>
      <c r="D764" s="33">
        <v>1280</v>
      </c>
    </row>
    <row r="765" spans="1:4" x14ac:dyDescent="0.15">
      <c r="A765" s="32">
        <v>34851</v>
      </c>
      <c r="B765" s="33" t="s">
        <v>26</v>
      </c>
      <c r="C765" s="33" t="s">
        <v>22</v>
      </c>
      <c r="D765" s="33">
        <v>896</v>
      </c>
    </row>
    <row r="766" spans="1:4" x14ac:dyDescent="0.15">
      <c r="A766" s="32">
        <v>34851</v>
      </c>
      <c r="B766" s="33" t="s">
        <v>26</v>
      </c>
      <c r="C766" s="33" t="s">
        <v>22</v>
      </c>
      <c r="D766" s="33">
        <v>2131</v>
      </c>
    </row>
    <row r="767" spans="1:4" x14ac:dyDescent="0.15">
      <c r="A767" s="32">
        <v>34851</v>
      </c>
      <c r="B767" s="33" t="s">
        <v>28</v>
      </c>
      <c r="C767" s="33" t="s">
        <v>22</v>
      </c>
      <c r="D767" s="33">
        <v>717</v>
      </c>
    </row>
    <row r="768" spans="1:4" x14ac:dyDescent="0.15">
      <c r="A768" s="32">
        <v>34851</v>
      </c>
      <c r="B768" s="33" t="s">
        <v>21</v>
      </c>
      <c r="C768" s="33" t="s">
        <v>22</v>
      </c>
      <c r="D768" s="33">
        <v>525</v>
      </c>
    </row>
    <row r="769" spans="1:4" x14ac:dyDescent="0.15">
      <c r="A769" s="32">
        <v>34851</v>
      </c>
      <c r="B769" s="33" t="s">
        <v>21</v>
      </c>
      <c r="C769" s="33" t="s">
        <v>22</v>
      </c>
      <c r="D769" s="33">
        <v>513</v>
      </c>
    </row>
    <row r="770" spans="1:4" x14ac:dyDescent="0.15">
      <c r="A770" s="32">
        <v>34851</v>
      </c>
      <c r="B770" s="33" t="s">
        <v>21</v>
      </c>
      <c r="C770" s="33" t="s">
        <v>22</v>
      </c>
      <c r="D770" s="33">
        <v>495</v>
      </c>
    </row>
    <row r="771" spans="1:4" x14ac:dyDescent="0.15">
      <c r="A771" s="32">
        <v>34851</v>
      </c>
      <c r="B771" s="33" t="s">
        <v>28</v>
      </c>
      <c r="C771" s="33" t="s">
        <v>22</v>
      </c>
      <c r="D771" s="33">
        <v>441</v>
      </c>
    </row>
    <row r="772" spans="1:4" x14ac:dyDescent="0.15">
      <c r="A772" s="32">
        <v>34851</v>
      </c>
      <c r="B772" s="33" t="s">
        <v>21</v>
      </c>
      <c r="C772" s="33" t="s">
        <v>22</v>
      </c>
      <c r="D772" s="33">
        <v>427</v>
      </c>
    </row>
    <row r="773" spans="1:4" x14ac:dyDescent="0.15">
      <c r="A773" s="32">
        <v>34851</v>
      </c>
      <c r="B773" s="33" t="s">
        <v>29</v>
      </c>
      <c r="C773" s="33" t="s">
        <v>22</v>
      </c>
      <c r="D773" s="33">
        <v>113</v>
      </c>
    </row>
    <row r="774" spans="1:4" x14ac:dyDescent="0.15">
      <c r="A774" s="32">
        <v>34851</v>
      </c>
      <c r="B774" s="33" t="s">
        <v>28</v>
      </c>
      <c r="C774" s="33" t="s">
        <v>22</v>
      </c>
      <c r="D774" s="33">
        <v>338</v>
      </c>
    </row>
    <row r="775" spans="1:4" x14ac:dyDescent="0.15">
      <c r="A775" s="32">
        <v>34851</v>
      </c>
      <c r="B775" s="33" t="s">
        <v>29</v>
      </c>
      <c r="C775" s="33" t="s">
        <v>22</v>
      </c>
      <c r="D775" s="33">
        <v>151</v>
      </c>
    </row>
    <row r="776" spans="1:4" x14ac:dyDescent="0.15">
      <c r="A776" s="32">
        <v>34851</v>
      </c>
      <c r="B776" s="33" t="s">
        <v>26</v>
      </c>
      <c r="C776" s="33" t="s">
        <v>22</v>
      </c>
      <c r="D776" s="33">
        <v>225</v>
      </c>
    </row>
    <row r="777" spans="1:4" x14ac:dyDescent="0.15">
      <c r="A777" s="32">
        <v>34851</v>
      </c>
      <c r="B777" s="33" t="s">
        <v>28</v>
      </c>
      <c r="C777" s="33" t="s">
        <v>22</v>
      </c>
      <c r="D777" s="33">
        <v>1916</v>
      </c>
    </row>
    <row r="778" spans="1:4" x14ac:dyDescent="0.15">
      <c r="A778" s="32">
        <v>34851</v>
      </c>
      <c r="B778" s="33" t="s">
        <v>21</v>
      </c>
      <c r="C778" s="33" t="s">
        <v>23</v>
      </c>
      <c r="D778" s="33">
        <v>736</v>
      </c>
    </row>
    <row r="779" spans="1:4" x14ac:dyDescent="0.15">
      <c r="A779" s="32">
        <v>34851</v>
      </c>
      <c r="B779" s="33" t="s">
        <v>21</v>
      </c>
      <c r="C779" s="33" t="s">
        <v>23</v>
      </c>
      <c r="D779" s="33">
        <v>721</v>
      </c>
    </row>
    <row r="780" spans="1:4" x14ac:dyDescent="0.15">
      <c r="A780" s="32">
        <v>34851</v>
      </c>
      <c r="B780" s="33" t="s">
        <v>28</v>
      </c>
      <c r="C780" s="33" t="s">
        <v>23</v>
      </c>
      <c r="D780" s="33">
        <v>459</v>
      </c>
    </row>
    <row r="781" spans="1:4" x14ac:dyDescent="0.15">
      <c r="A781" s="32">
        <v>34851</v>
      </c>
      <c r="B781" s="33" t="s">
        <v>26</v>
      </c>
      <c r="C781" s="33" t="s">
        <v>23</v>
      </c>
      <c r="D781" s="33">
        <v>96</v>
      </c>
    </row>
    <row r="782" spans="1:4" x14ac:dyDescent="0.15">
      <c r="A782" s="32">
        <v>34851</v>
      </c>
      <c r="B782" s="33" t="s">
        <v>29</v>
      </c>
      <c r="C782" s="33" t="s">
        <v>23</v>
      </c>
      <c r="D782" s="33">
        <v>105</v>
      </c>
    </row>
    <row r="783" spans="1:4" x14ac:dyDescent="0.15">
      <c r="A783" s="32">
        <v>34851</v>
      </c>
      <c r="B783" s="33" t="s">
        <v>21</v>
      </c>
      <c r="C783" s="33" t="s">
        <v>23</v>
      </c>
      <c r="D783" s="33">
        <v>359</v>
      </c>
    </row>
    <row r="784" spans="1:4" x14ac:dyDescent="0.15">
      <c r="A784" s="32">
        <v>34851</v>
      </c>
      <c r="B784" s="33" t="s">
        <v>26</v>
      </c>
      <c r="C784" s="33" t="s">
        <v>23</v>
      </c>
      <c r="D784" s="33">
        <v>315</v>
      </c>
    </row>
    <row r="785" spans="1:4" x14ac:dyDescent="0.15">
      <c r="A785" s="32">
        <v>34851</v>
      </c>
      <c r="B785" s="33" t="s">
        <v>28</v>
      </c>
      <c r="C785" s="33" t="s">
        <v>23</v>
      </c>
      <c r="D785" s="33">
        <v>315</v>
      </c>
    </row>
    <row r="786" spans="1:4" x14ac:dyDescent="0.15">
      <c r="A786" s="32">
        <v>34851</v>
      </c>
      <c r="B786" s="33" t="s">
        <v>26</v>
      </c>
      <c r="C786" s="33" t="s">
        <v>23</v>
      </c>
      <c r="D786" s="33">
        <v>293</v>
      </c>
    </row>
    <row r="787" spans="1:4" x14ac:dyDescent="0.15">
      <c r="A787" s="32">
        <v>34851</v>
      </c>
      <c r="B787" s="33" t="s">
        <v>29</v>
      </c>
      <c r="C787" s="33" t="s">
        <v>23</v>
      </c>
      <c r="D787" s="33">
        <v>169</v>
      </c>
    </row>
    <row r="788" spans="1:4" x14ac:dyDescent="0.15">
      <c r="A788" s="32">
        <v>34851</v>
      </c>
      <c r="B788" s="33" t="s">
        <v>26</v>
      </c>
      <c r="C788" s="33" t="s">
        <v>23</v>
      </c>
      <c r="D788" s="33">
        <v>169</v>
      </c>
    </row>
    <row r="789" spans="1:4" x14ac:dyDescent="0.15">
      <c r="A789" s="32">
        <v>34851</v>
      </c>
      <c r="B789" s="33" t="s">
        <v>28</v>
      </c>
      <c r="C789" s="33" t="s">
        <v>23</v>
      </c>
      <c r="D789" s="33">
        <v>270</v>
      </c>
    </row>
    <row r="790" spans="1:4" x14ac:dyDescent="0.15">
      <c r="A790" s="32">
        <v>34851</v>
      </c>
      <c r="B790" s="33" t="s">
        <v>21</v>
      </c>
      <c r="C790" s="33" t="s">
        <v>23</v>
      </c>
      <c r="D790" s="33">
        <v>216</v>
      </c>
    </row>
    <row r="791" spans="1:4" x14ac:dyDescent="0.15">
      <c r="A791" s="32">
        <v>34851</v>
      </c>
      <c r="B791" s="33" t="s">
        <v>28</v>
      </c>
      <c r="C791" s="33" t="s">
        <v>23</v>
      </c>
      <c r="D791" s="33">
        <v>524</v>
      </c>
    </row>
    <row r="792" spans="1:4" x14ac:dyDescent="0.15">
      <c r="A792" s="32">
        <v>34851</v>
      </c>
      <c r="B792" s="33" t="s">
        <v>26</v>
      </c>
      <c r="C792" s="33" t="s">
        <v>24</v>
      </c>
      <c r="D792" s="33">
        <v>220</v>
      </c>
    </row>
    <row r="793" spans="1:4" x14ac:dyDescent="0.15">
      <c r="A793" s="32">
        <v>34851</v>
      </c>
      <c r="B793" s="33" t="s">
        <v>21</v>
      </c>
      <c r="C793" s="33" t="s">
        <v>24</v>
      </c>
      <c r="D793" s="33">
        <v>2443</v>
      </c>
    </row>
    <row r="794" spans="1:4" x14ac:dyDescent="0.15">
      <c r="A794" s="32">
        <v>34851</v>
      </c>
      <c r="B794" s="33" t="s">
        <v>26</v>
      </c>
      <c r="C794" s="33" t="s">
        <v>24</v>
      </c>
      <c r="D794" s="33">
        <v>123</v>
      </c>
    </row>
    <row r="795" spans="1:4" x14ac:dyDescent="0.15">
      <c r="A795" s="32">
        <v>34851</v>
      </c>
      <c r="B795" s="33" t="s">
        <v>26</v>
      </c>
      <c r="C795" s="33" t="s">
        <v>24</v>
      </c>
      <c r="D795" s="33">
        <v>45</v>
      </c>
    </row>
    <row r="796" spans="1:4" x14ac:dyDescent="0.15">
      <c r="A796" s="32">
        <v>34851</v>
      </c>
      <c r="B796" s="33" t="s">
        <v>21</v>
      </c>
      <c r="C796" s="33" t="s">
        <v>24</v>
      </c>
      <c r="D796" s="33">
        <v>53</v>
      </c>
    </row>
    <row r="797" spans="1:4" x14ac:dyDescent="0.15">
      <c r="A797" s="32">
        <v>34851</v>
      </c>
      <c r="B797" s="33" t="s">
        <v>21</v>
      </c>
      <c r="C797" s="33" t="s">
        <v>24</v>
      </c>
      <c r="D797" s="33">
        <v>79</v>
      </c>
    </row>
    <row r="798" spans="1:4" x14ac:dyDescent="0.15">
      <c r="A798" s="32">
        <v>34851</v>
      </c>
      <c r="B798" s="33" t="s">
        <v>21</v>
      </c>
      <c r="C798" s="33" t="s">
        <v>24</v>
      </c>
      <c r="D798" s="33">
        <v>94</v>
      </c>
    </row>
    <row r="799" spans="1:4" x14ac:dyDescent="0.15">
      <c r="A799" s="32">
        <v>34851</v>
      </c>
      <c r="B799" s="33" t="s">
        <v>21</v>
      </c>
      <c r="C799" s="33" t="s">
        <v>24</v>
      </c>
      <c r="D799" s="33">
        <v>104</v>
      </c>
    </row>
    <row r="800" spans="1:4" x14ac:dyDescent="0.15">
      <c r="A800" s="32">
        <v>34851</v>
      </c>
      <c r="B800" s="33" t="s">
        <v>26</v>
      </c>
      <c r="C800" s="33" t="s">
        <v>24</v>
      </c>
      <c r="D800" s="33">
        <v>149</v>
      </c>
    </row>
    <row r="801" spans="1:4" x14ac:dyDescent="0.15">
      <c r="A801" s="32">
        <v>34851</v>
      </c>
      <c r="B801" s="33" t="s">
        <v>26</v>
      </c>
      <c r="C801" s="33" t="s">
        <v>24</v>
      </c>
      <c r="D801" s="33">
        <v>146</v>
      </c>
    </row>
    <row r="802" spans="1:4" x14ac:dyDescent="0.15">
      <c r="A802" s="32">
        <v>34851</v>
      </c>
      <c r="B802" s="33" t="s">
        <v>21</v>
      </c>
      <c r="C802" s="33" t="s">
        <v>24</v>
      </c>
      <c r="D802" s="33">
        <v>1554</v>
      </c>
    </row>
    <row r="803" spans="1:4" x14ac:dyDescent="0.15">
      <c r="A803" s="32">
        <v>34851</v>
      </c>
      <c r="B803" s="33" t="s">
        <v>26</v>
      </c>
      <c r="C803" s="33" t="s">
        <v>24</v>
      </c>
      <c r="D803" s="33">
        <v>549</v>
      </c>
    </row>
    <row r="804" spans="1:4" x14ac:dyDescent="0.15">
      <c r="A804" s="32">
        <v>34851</v>
      </c>
      <c r="B804" s="33" t="s">
        <v>21</v>
      </c>
      <c r="C804" s="33" t="s">
        <v>25</v>
      </c>
      <c r="D804" s="33">
        <v>45</v>
      </c>
    </row>
    <row r="805" spans="1:4" x14ac:dyDescent="0.15">
      <c r="A805" s="32">
        <v>34851</v>
      </c>
      <c r="B805" s="33" t="s">
        <v>21</v>
      </c>
      <c r="C805" s="33" t="s">
        <v>25</v>
      </c>
      <c r="D805" s="33">
        <v>980</v>
      </c>
    </row>
    <row r="806" spans="1:4" x14ac:dyDescent="0.15">
      <c r="A806" s="32">
        <v>34851</v>
      </c>
      <c r="B806" s="33" t="s">
        <v>29</v>
      </c>
      <c r="C806" s="33" t="s">
        <v>25</v>
      </c>
      <c r="D806" s="33">
        <v>135</v>
      </c>
    </row>
    <row r="807" spans="1:4" x14ac:dyDescent="0.15">
      <c r="A807" s="32">
        <v>34851</v>
      </c>
      <c r="B807" s="33" t="s">
        <v>21</v>
      </c>
      <c r="C807" s="33" t="s">
        <v>25</v>
      </c>
      <c r="D807" s="33">
        <v>140</v>
      </c>
    </row>
    <row r="808" spans="1:4" x14ac:dyDescent="0.15">
      <c r="A808" s="32">
        <v>34851</v>
      </c>
      <c r="B808" s="33" t="s">
        <v>21</v>
      </c>
      <c r="C808" s="33" t="s">
        <v>25</v>
      </c>
      <c r="D808" s="33">
        <v>270</v>
      </c>
    </row>
    <row r="809" spans="1:4" x14ac:dyDescent="0.15">
      <c r="A809" s="32">
        <v>34851</v>
      </c>
      <c r="B809" s="33" t="s">
        <v>28</v>
      </c>
      <c r="C809" s="33" t="s">
        <v>25</v>
      </c>
      <c r="D809" s="33">
        <v>263</v>
      </c>
    </row>
    <row r="810" spans="1:4" x14ac:dyDescent="0.15">
      <c r="A810" s="32">
        <v>34851</v>
      </c>
      <c r="B810" s="33" t="s">
        <v>28</v>
      </c>
      <c r="C810" s="33" t="s">
        <v>25</v>
      </c>
      <c r="D810" s="33">
        <v>203</v>
      </c>
    </row>
    <row r="811" spans="1:4" x14ac:dyDescent="0.15">
      <c r="A811" s="32">
        <v>34851</v>
      </c>
      <c r="B811" s="33" t="s">
        <v>26</v>
      </c>
      <c r="C811" s="33" t="s">
        <v>25</v>
      </c>
      <c r="D811" s="33">
        <v>245</v>
      </c>
    </row>
    <row r="812" spans="1:4" x14ac:dyDescent="0.15">
      <c r="A812" s="32">
        <v>34851</v>
      </c>
      <c r="B812" s="33" t="s">
        <v>28</v>
      </c>
      <c r="C812" s="33" t="s">
        <v>25</v>
      </c>
      <c r="D812" s="33">
        <v>210</v>
      </c>
    </row>
    <row r="813" spans="1:4" x14ac:dyDescent="0.15">
      <c r="A813" s="32">
        <v>34851</v>
      </c>
      <c r="B813" s="33" t="s">
        <v>28</v>
      </c>
      <c r="C813" s="33" t="s">
        <v>25</v>
      </c>
      <c r="D813" s="33">
        <v>622</v>
      </c>
    </row>
    <row r="814" spans="1:4" x14ac:dyDescent="0.15">
      <c r="A814" s="32">
        <v>34851</v>
      </c>
      <c r="B814" s="33" t="s">
        <v>29</v>
      </c>
      <c r="C814" s="33" t="s">
        <v>25</v>
      </c>
      <c r="D814" s="33">
        <v>96</v>
      </c>
    </row>
    <row r="815" spans="1:4" x14ac:dyDescent="0.15">
      <c r="A815" s="32">
        <v>34851</v>
      </c>
      <c r="B815" s="33" t="s">
        <v>26</v>
      </c>
      <c r="C815" s="33" t="s">
        <v>25</v>
      </c>
      <c r="D815" s="33">
        <v>416</v>
      </c>
    </row>
    <row r="816" spans="1:4" x14ac:dyDescent="0.15">
      <c r="A816" s="32">
        <v>34851</v>
      </c>
      <c r="B816" s="33" t="s">
        <v>26</v>
      </c>
      <c r="C816" s="33" t="s">
        <v>25</v>
      </c>
      <c r="D816" s="33">
        <v>1318</v>
      </c>
    </row>
    <row r="817" spans="1:4" x14ac:dyDescent="0.15">
      <c r="A817" s="32">
        <v>34851</v>
      </c>
      <c r="B817" s="33" t="s">
        <v>26</v>
      </c>
      <c r="C817" s="33" t="s">
        <v>25</v>
      </c>
      <c r="D817" s="33">
        <v>1286</v>
      </c>
    </row>
    <row r="818" spans="1:4" x14ac:dyDescent="0.15">
      <c r="A818" s="32">
        <v>34851</v>
      </c>
      <c r="B818" s="33" t="s">
        <v>28</v>
      </c>
      <c r="C818" s="33" t="s">
        <v>27</v>
      </c>
      <c r="D818" s="33">
        <v>2134</v>
      </c>
    </row>
    <row r="819" spans="1:4" x14ac:dyDescent="0.15">
      <c r="A819" s="32">
        <v>34851</v>
      </c>
      <c r="B819" s="33" t="s">
        <v>26</v>
      </c>
      <c r="C819" s="33" t="s">
        <v>27</v>
      </c>
      <c r="D819" s="33">
        <v>697</v>
      </c>
    </row>
    <row r="820" spans="1:4" x14ac:dyDescent="0.15">
      <c r="A820" s="32">
        <v>34851</v>
      </c>
      <c r="B820" s="33" t="s">
        <v>21</v>
      </c>
      <c r="C820" s="33" t="s">
        <v>27</v>
      </c>
      <c r="D820" s="33">
        <v>947</v>
      </c>
    </row>
    <row r="821" spans="1:4" x14ac:dyDescent="0.15">
      <c r="A821" s="32">
        <v>34851</v>
      </c>
      <c r="B821" s="33" t="s">
        <v>21</v>
      </c>
      <c r="C821" s="33" t="s">
        <v>27</v>
      </c>
      <c r="D821" s="33">
        <v>737</v>
      </c>
    </row>
    <row r="822" spans="1:4" x14ac:dyDescent="0.15">
      <c r="A822" s="32">
        <v>34851</v>
      </c>
      <c r="B822" s="33" t="s">
        <v>26</v>
      </c>
      <c r="C822" s="33" t="s">
        <v>27</v>
      </c>
      <c r="D822" s="33">
        <v>394</v>
      </c>
    </row>
    <row r="823" spans="1:4" x14ac:dyDescent="0.15">
      <c r="A823" s="32">
        <v>34851</v>
      </c>
      <c r="B823" s="33" t="s">
        <v>28</v>
      </c>
      <c r="C823" s="33" t="s">
        <v>27</v>
      </c>
      <c r="D823" s="33">
        <v>1188</v>
      </c>
    </row>
    <row r="824" spans="1:4" x14ac:dyDescent="0.15">
      <c r="A824" s="32">
        <v>34851</v>
      </c>
      <c r="B824" s="33" t="s">
        <v>26</v>
      </c>
      <c r="C824" s="33" t="s">
        <v>27</v>
      </c>
      <c r="D824" s="33">
        <v>2279</v>
      </c>
    </row>
    <row r="825" spans="1:4" x14ac:dyDescent="0.15">
      <c r="A825" s="32">
        <v>34851</v>
      </c>
      <c r="B825" s="33" t="s">
        <v>28</v>
      </c>
      <c r="C825" s="33" t="s">
        <v>27</v>
      </c>
      <c r="D825" s="33">
        <v>32</v>
      </c>
    </row>
    <row r="826" spans="1:4" x14ac:dyDescent="0.15">
      <c r="A826" s="32">
        <v>34851</v>
      </c>
      <c r="B826" s="33" t="s">
        <v>21</v>
      </c>
      <c r="C826" s="33" t="s">
        <v>27</v>
      </c>
      <c r="D826" s="33">
        <v>44</v>
      </c>
    </row>
    <row r="827" spans="1:4" x14ac:dyDescent="0.15">
      <c r="A827" s="32">
        <v>34851</v>
      </c>
      <c r="B827" s="33" t="s">
        <v>21</v>
      </c>
      <c r="C827" s="33" t="s">
        <v>27</v>
      </c>
      <c r="D827" s="33">
        <v>68</v>
      </c>
    </row>
    <row r="828" spans="1:4" x14ac:dyDescent="0.15">
      <c r="A828" s="32">
        <v>34851</v>
      </c>
      <c r="B828" s="33" t="s">
        <v>28</v>
      </c>
      <c r="C828" s="33" t="s">
        <v>27</v>
      </c>
      <c r="D828" s="33">
        <v>56</v>
      </c>
    </row>
    <row r="829" spans="1:4" x14ac:dyDescent="0.15">
      <c r="A829" s="32">
        <v>34851</v>
      </c>
      <c r="B829" s="33" t="s">
        <v>29</v>
      </c>
      <c r="C829" s="33" t="s">
        <v>27</v>
      </c>
      <c r="D829" s="33">
        <v>70</v>
      </c>
    </row>
    <row r="830" spans="1:4" x14ac:dyDescent="0.15">
      <c r="A830" s="32">
        <v>34851</v>
      </c>
      <c r="B830" s="33" t="s">
        <v>29</v>
      </c>
      <c r="C830" s="33" t="s">
        <v>27</v>
      </c>
      <c r="D830" s="33">
        <v>90</v>
      </c>
    </row>
    <row r="831" spans="1:4" x14ac:dyDescent="0.15">
      <c r="A831" s="32">
        <v>34851</v>
      </c>
      <c r="B831" s="33" t="s">
        <v>26</v>
      </c>
      <c r="C831" s="33" t="s">
        <v>27</v>
      </c>
      <c r="D831" s="33">
        <v>171</v>
      </c>
    </row>
    <row r="832" spans="1:4" x14ac:dyDescent="0.15">
      <c r="A832" s="32">
        <v>34851</v>
      </c>
      <c r="B832" s="33" t="s">
        <v>26</v>
      </c>
      <c r="C832" s="33" t="s">
        <v>30</v>
      </c>
      <c r="D832" s="33">
        <v>293</v>
      </c>
    </row>
    <row r="833" spans="1:4" x14ac:dyDescent="0.15">
      <c r="A833" s="32">
        <v>34851</v>
      </c>
      <c r="B833" s="33" t="s">
        <v>26</v>
      </c>
      <c r="C833" s="33" t="s">
        <v>30</v>
      </c>
      <c r="D833" s="33">
        <v>149</v>
      </c>
    </row>
    <row r="834" spans="1:4" x14ac:dyDescent="0.15">
      <c r="A834" s="32">
        <v>34851</v>
      </c>
      <c r="B834" s="33" t="s">
        <v>29</v>
      </c>
      <c r="C834" s="33" t="s">
        <v>30</v>
      </c>
      <c r="D834" s="33">
        <v>151</v>
      </c>
    </row>
    <row r="835" spans="1:4" x14ac:dyDescent="0.15">
      <c r="A835" s="32">
        <v>34851</v>
      </c>
      <c r="B835" s="33" t="s">
        <v>21</v>
      </c>
      <c r="C835" s="33" t="s">
        <v>30</v>
      </c>
      <c r="D835" s="33">
        <v>165</v>
      </c>
    </row>
    <row r="836" spans="1:4" x14ac:dyDescent="0.15">
      <c r="A836" s="32">
        <v>34851</v>
      </c>
      <c r="B836" s="33" t="s">
        <v>28</v>
      </c>
      <c r="C836" s="33" t="s">
        <v>30</v>
      </c>
      <c r="D836" s="33">
        <v>289</v>
      </c>
    </row>
    <row r="837" spans="1:4" x14ac:dyDescent="0.15">
      <c r="A837" s="32">
        <v>34851</v>
      </c>
      <c r="B837" s="33" t="s">
        <v>26</v>
      </c>
      <c r="C837" s="33" t="s">
        <v>30</v>
      </c>
      <c r="D837" s="33">
        <v>140</v>
      </c>
    </row>
    <row r="838" spans="1:4" x14ac:dyDescent="0.15">
      <c r="A838" s="32">
        <v>34851</v>
      </c>
      <c r="B838" s="33" t="s">
        <v>21</v>
      </c>
      <c r="C838" s="33" t="s">
        <v>30</v>
      </c>
      <c r="D838" s="33">
        <v>146</v>
      </c>
    </row>
    <row r="839" spans="1:4" x14ac:dyDescent="0.15">
      <c r="A839" s="32">
        <v>34851</v>
      </c>
      <c r="B839" s="33" t="s">
        <v>26</v>
      </c>
      <c r="C839" s="33" t="s">
        <v>30</v>
      </c>
      <c r="D839" s="33">
        <v>193</v>
      </c>
    </row>
    <row r="840" spans="1:4" x14ac:dyDescent="0.15">
      <c r="A840" s="32">
        <v>34851</v>
      </c>
      <c r="B840" s="33" t="s">
        <v>26</v>
      </c>
      <c r="C840" s="33" t="s">
        <v>30</v>
      </c>
      <c r="D840" s="33">
        <v>206</v>
      </c>
    </row>
    <row r="841" spans="1:4" x14ac:dyDescent="0.15">
      <c r="A841" s="32">
        <v>34851</v>
      </c>
      <c r="B841" s="33" t="s">
        <v>26</v>
      </c>
      <c r="C841" s="33" t="s">
        <v>30</v>
      </c>
      <c r="D841" s="33">
        <v>225</v>
      </c>
    </row>
    <row r="842" spans="1:4" x14ac:dyDescent="0.15">
      <c r="A842" s="32">
        <v>34851</v>
      </c>
      <c r="B842" s="33" t="s">
        <v>28</v>
      </c>
      <c r="C842" s="33" t="s">
        <v>30</v>
      </c>
      <c r="D842" s="33">
        <v>338</v>
      </c>
    </row>
    <row r="843" spans="1:4" x14ac:dyDescent="0.15">
      <c r="A843" s="32">
        <v>34851</v>
      </c>
      <c r="B843" s="33" t="s">
        <v>28</v>
      </c>
      <c r="C843" s="33" t="s">
        <v>30</v>
      </c>
      <c r="D843" s="33">
        <v>540</v>
      </c>
    </row>
    <row r="844" spans="1:4" x14ac:dyDescent="0.15">
      <c r="A844" s="32">
        <v>34851</v>
      </c>
      <c r="B844" s="33" t="s">
        <v>21</v>
      </c>
      <c r="C844" s="33" t="s">
        <v>30</v>
      </c>
      <c r="D844" s="33">
        <v>39</v>
      </c>
    </row>
    <row r="845" spans="1:4" x14ac:dyDescent="0.15">
      <c r="A845" s="32">
        <v>34851</v>
      </c>
      <c r="B845" s="33" t="s">
        <v>21</v>
      </c>
      <c r="C845" s="33" t="s">
        <v>30</v>
      </c>
      <c r="D845" s="33">
        <v>28</v>
      </c>
    </row>
    <row r="846" spans="1:4" x14ac:dyDescent="0.15">
      <c r="A846" s="32">
        <v>34851</v>
      </c>
      <c r="B846" s="33" t="s">
        <v>28</v>
      </c>
      <c r="C846" s="33" t="s">
        <v>30</v>
      </c>
      <c r="D846" s="33">
        <v>53</v>
      </c>
    </row>
    <row r="847" spans="1:4" x14ac:dyDescent="0.15">
      <c r="A847" s="32">
        <v>34851</v>
      </c>
      <c r="B847" s="33" t="s">
        <v>28</v>
      </c>
      <c r="C847" s="33" t="s">
        <v>30</v>
      </c>
      <c r="D847" s="33">
        <v>413</v>
      </c>
    </row>
    <row r="848" spans="1:4" x14ac:dyDescent="0.15">
      <c r="A848" s="32">
        <v>34851</v>
      </c>
      <c r="B848" s="33" t="s">
        <v>29</v>
      </c>
      <c r="C848" s="33" t="s">
        <v>30</v>
      </c>
      <c r="D848" s="33">
        <v>88</v>
      </c>
    </row>
    <row r="849" spans="1:4" x14ac:dyDescent="0.15">
      <c r="A849" s="32">
        <v>34851</v>
      </c>
      <c r="B849" s="33" t="s">
        <v>21</v>
      </c>
      <c r="C849" s="33" t="s">
        <v>30</v>
      </c>
      <c r="D849" s="33">
        <v>96</v>
      </c>
    </row>
    <row r="850" spans="1:4" x14ac:dyDescent="0.15">
      <c r="A850" s="32">
        <v>34851</v>
      </c>
      <c r="B850" s="33" t="s">
        <v>29</v>
      </c>
      <c r="C850" s="33" t="s">
        <v>30</v>
      </c>
      <c r="D850" s="33">
        <v>135</v>
      </c>
    </row>
    <row r="851" spans="1:4" x14ac:dyDescent="0.15">
      <c r="A851" s="32">
        <v>34851</v>
      </c>
      <c r="B851" s="33" t="s">
        <v>21</v>
      </c>
      <c r="C851" s="33" t="s">
        <v>30</v>
      </c>
      <c r="D851" s="33">
        <v>41</v>
      </c>
    </row>
    <row r="852" spans="1:4" x14ac:dyDescent="0.15">
      <c r="A852" s="32">
        <v>34851</v>
      </c>
      <c r="B852" s="33" t="s">
        <v>28</v>
      </c>
      <c r="C852" s="33" t="s">
        <v>30</v>
      </c>
      <c r="D852" s="33">
        <v>210</v>
      </c>
    </row>
    <row r="853" spans="1:4" x14ac:dyDescent="0.15">
      <c r="A853" s="32">
        <v>34881</v>
      </c>
      <c r="B853" s="33" t="s">
        <v>28</v>
      </c>
      <c r="C853" s="33" t="s">
        <v>22</v>
      </c>
      <c r="D853" s="33">
        <v>1758</v>
      </c>
    </row>
    <row r="854" spans="1:4" x14ac:dyDescent="0.15">
      <c r="A854" s="32">
        <v>34881</v>
      </c>
      <c r="B854" s="33" t="s">
        <v>28</v>
      </c>
      <c r="C854" s="33" t="s">
        <v>22</v>
      </c>
      <c r="D854" s="33">
        <v>338</v>
      </c>
    </row>
    <row r="855" spans="1:4" x14ac:dyDescent="0.15">
      <c r="A855" s="32">
        <v>34881</v>
      </c>
      <c r="B855" s="33" t="s">
        <v>26</v>
      </c>
      <c r="C855" s="33" t="s">
        <v>22</v>
      </c>
      <c r="D855" s="33">
        <v>338</v>
      </c>
    </row>
    <row r="856" spans="1:4" x14ac:dyDescent="0.15">
      <c r="A856" s="32">
        <v>34881</v>
      </c>
      <c r="B856" s="33" t="s">
        <v>28</v>
      </c>
      <c r="C856" s="33" t="s">
        <v>22</v>
      </c>
      <c r="D856" s="33">
        <v>441</v>
      </c>
    </row>
    <row r="857" spans="1:4" x14ac:dyDescent="0.15">
      <c r="A857" s="32">
        <v>34881</v>
      </c>
      <c r="B857" s="33" t="s">
        <v>21</v>
      </c>
      <c r="C857" s="33" t="s">
        <v>22</v>
      </c>
      <c r="D857" s="33">
        <v>546</v>
      </c>
    </row>
    <row r="858" spans="1:4" x14ac:dyDescent="0.15">
      <c r="A858" s="32">
        <v>34881</v>
      </c>
      <c r="B858" s="33" t="s">
        <v>28</v>
      </c>
      <c r="C858" s="33" t="s">
        <v>22</v>
      </c>
      <c r="D858" s="33">
        <v>570</v>
      </c>
    </row>
    <row r="859" spans="1:4" x14ac:dyDescent="0.15">
      <c r="A859" s="32">
        <v>34881</v>
      </c>
      <c r="B859" s="33" t="s">
        <v>21</v>
      </c>
      <c r="C859" s="33" t="s">
        <v>22</v>
      </c>
      <c r="D859" s="33">
        <v>581</v>
      </c>
    </row>
    <row r="860" spans="1:4" x14ac:dyDescent="0.15">
      <c r="A860" s="32">
        <v>34881</v>
      </c>
      <c r="B860" s="33" t="s">
        <v>21</v>
      </c>
      <c r="C860" s="33" t="s">
        <v>22</v>
      </c>
      <c r="D860" s="33">
        <v>730</v>
      </c>
    </row>
    <row r="861" spans="1:4" x14ac:dyDescent="0.15">
      <c r="A861" s="32">
        <v>34881</v>
      </c>
      <c r="B861" s="33" t="s">
        <v>26</v>
      </c>
      <c r="C861" s="33" t="s">
        <v>22</v>
      </c>
      <c r="D861" s="33">
        <v>1040</v>
      </c>
    </row>
    <row r="862" spans="1:4" x14ac:dyDescent="0.15">
      <c r="A862" s="32">
        <v>34881</v>
      </c>
      <c r="B862" s="33" t="s">
        <v>26</v>
      </c>
      <c r="C862" s="33" t="s">
        <v>22</v>
      </c>
      <c r="D862" s="33">
        <v>995</v>
      </c>
    </row>
    <row r="863" spans="1:4" x14ac:dyDescent="0.15">
      <c r="A863" s="32">
        <v>34881</v>
      </c>
      <c r="B863" s="33" t="s">
        <v>21</v>
      </c>
      <c r="C863" s="33" t="s">
        <v>22</v>
      </c>
      <c r="D863" s="33">
        <v>303</v>
      </c>
    </row>
    <row r="864" spans="1:4" x14ac:dyDescent="0.15">
      <c r="A864" s="32">
        <v>34881</v>
      </c>
      <c r="B864" s="33" t="s">
        <v>29</v>
      </c>
      <c r="C864" s="33" t="s">
        <v>22</v>
      </c>
      <c r="D864" s="33">
        <v>72</v>
      </c>
    </row>
    <row r="865" spans="1:4" x14ac:dyDescent="0.15">
      <c r="A865" s="32">
        <v>34881</v>
      </c>
      <c r="B865" s="33" t="s">
        <v>26</v>
      </c>
      <c r="C865" s="33" t="s">
        <v>22</v>
      </c>
      <c r="D865" s="33">
        <v>96</v>
      </c>
    </row>
    <row r="866" spans="1:4" x14ac:dyDescent="0.15">
      <c r="A866" s="32">
        <v>34881</v>
      </c>
      <c r="B866" s="33" t="s">
        <v>29</v>
      </c>
      <c r="C866" s="33" t="s">
        <v>22</v>
      </c>
      <c r="D866" s="33">
        <v>101</v>
      </c>
    </row>
    <row r="867" spans="1:4" x14ac:dyDescent="0.15">
      <c r="A867" s="32">
        <v>34881</v>
      </c>
      <c r="B867" s="33" t="s">
        <v>29</v>
      </c>
      <c r="C867" s="33" t="s">
        <v>22</v>
      </c>
      <c r="D867" s="33">
        <v>122</v>
      </c>
    </row>
    <row r="868" spans="1:4" x14ac:dyDescent="0.15">
      <c r="A868" s="32">
        <v>34881</v>
      </c>
      <c r="B868" s="33" t="s">
        <v>29</v>
      </c>
      <c r="C868" s="33" t="s">
        <v>22</v>
      </c>
      <c r="D868" s="33">
        <v>151</v>
      </c>
    </row>
    <row r="869" spans="1:4" x14ac:dyDescent="0.15">
      <c r="A869" s="32">
        <v>34881</v>
      </c>
      <c r="B869" s="33" t="s">
        <v>26</v>
      </c>
      <c r="C869" s="33" t="s">
        <v>23</v>
      </c>
      <c r="D869" s="33">
        <v>477</v>
      </c>
    </row>
    <row r="870" spans="1:4" x14ac:dyDescent="0.15">
      <c r="A870" s="32">
        <v>34881</v>
      </c>
      <c r="B870" s="33" t="s">
        <v>26</v>
      </c>
      <c r="C870" s="33" t="s">
        <v>23</v>
      </c>
      <c r="D870" s="33">
        <v>640</v>
      </c>
    </row>
    <row r="871" spans="1:4" x14ac:dyDescent="0.15">
      <c r="A871" s="32">
        <v>34881</v>
      </c>
      <c r="B871" s="33" t="s">
        <v>21</v>
      </c>
      <c r="C871" s="33" t="s">
        <v>23</v>
      </c>
      <c r="D871" s="33">
        <v>732</v>
      </c>
    </row>
    <row r="872" spans="1:4" x14ac:dyDescent="0.15">
      <c r="A872" s="32">
        <v>34881</v>
      </c>
      <c r="B872" s="33" t="s">
        <v>21</v>
      </c>
      <c r="C872" s="33" t="s">
        <v>23</v>
      </c>
      <c r="D872" s="33">
        <v>945</v>
      </c>
    </row>
    <row r="873" spans="1:4" x14ac:dyDescent="0.15">
      <c r="A873" s="32">
        <v>34881</v>
      </c>
      <c r="B873" s="33" t="s">
        <v>28</v>
      </c>
      <c r="C873" s="33" t="s">
        <v>23</v>
      </c>
      <c r="D873" s="33">
        <v>407</v>
      </c>
    </row>
    <row r="874" spans="1:4" x14ac:dyDescent="0.15">
      <c r="A874" s="32">
        <v>34881</v>
      </c>
      <c r="B874" s="33" t="s">
        <v>26</v>
      </c>
      <c r="C874" s="33" t="s">
        <v>23</v>
      </c>
      <c r="D874" s="33">
        <v>53</v>
      </c>
    </row>
    <row r="875" spans="1:4" x14ac:dyDescent="0.15">
      <c r="A875" s="32">
        <v>34881</v>
      </c>
      <c r="B875" s="33" t="s">
        <v>28</v>
      </c>
      <c r="C875" s="33" t="s">
        <v>23</v>
      </c>
      <c r="D875" s="33">
        <v>459</v>
      </c>
    </row>
    <row r="876" spans="1:4" x14ac:dyDescent="0.15">
      <c r="A876" s="32">
        <v>34881</v>
      </c>
      <c r="B876" s="33" t="s">
        <v>28</v>
      </c>
      <c r="C876" s="33" t="s">
        <v>23</v>
      </c>
      <c r="D876" s="33">
        <v>420</v>
      </c>
    </row>
    <row r="877" spans="1:4" x14ac:dyDescent="0.15">
      <c r="A877" s="32">
        <v>34881</v>
      </c>
      <c r="B877" s="33" t="s">
        <v>29</v>
      </c>
      <c r="C877" s="33" t="s">
        <v>23</v>
      </c>
      <c r="D877" s="33">
        <v>54</v>
      </c>
    </row>
    <row r="878" spans="1:4" x14ac:dyDescent="0.15">
      <c r="A878" s="32">
        <v>34881</v>
      </c>
      <c r="B878" s="33" t="s">
        <v>29</v>
      </c>
      <c r="C878" s="33" t="s">
        <v>23</v>
      </c>
      <c r="D878" s="33">
        <v>67</v>
      </c>
    </row>
    <row r="879" spans="1:4" x14ac:dyDescent="0.15">
      <c r="A879" s="32">
        <v>34881</v>
      </c>
      <c r="B879" s="33" t="s">
        <v>29</v>
      </c>
      <c r="C879" s="33" t="s">
        <v>23</v>
      </c>
      <c r="D879" s="33">
        <v>105</v>
      </c>
    </row>
    <row r="880" spans="1:4" x14ac:dyDescent="0.15">
      <c r="A880" s="32">
        <v>34881</v>
      </c>
      <c r="B880" s="33" t="s">
        <v>29</v>
      </c>
      <c r="C880" s="33" t="s">
        <v>23</v>
      </c>
      <c r="D880" s="33">
        <v>146</v>
      </c>
    </row>
    <row r="881" spans="1:4" x14ac:dyDescent="0.15">
      <c r="A881" s="32">
        <v>34881</v>
      </c>
      <c r="B881" s="33" t="s">
        <v>26</v>
      </c>
      <c r="C881" s="33" t="s">
        <v>23</v>
      </c>
      <c r="D881" s="33">
        <v>169</v>
      </c>
    </row>
    <row r="882" spans="1:4" x14ac:dyDescent="0.15">
      <c r="A882" s="32">
        <v>34881</v>
      </c>
      <c r="B882" s="33" t="s">
        <v>21</v>
      </c>
      <c r="C882" s="33" t="s">
        <v>23</v>
      </c>
      <c r="D882" s="33">
        <v>261</v>
      </c>
    </row>
    <row r="883" spans="1:4" x14ac:dyDescent="0.15">
      <c r="A883" s="32">
        <v>34881</v>
      </c>
      <c r="B883" s="33" t="s">
        <v>28</v>
      </c>
      <c r="C883" s="33" t="s">
        <v>23</v>
      </c>
      <c r="D883" s="33">
        <v>338</v>
      </c>
    </row>
    <row r="884" spans="1:4" x14ac:dyDescent="0.15">
      <c r="A884" s="32">
        <v>34881</v>
      </c>
      <c r="B884" s="33" t="s">
        <v>21</v>
      </c>
      <c r="C884" s="33" t="s">
        <v>23</v>
      </c>
      <c r="D884" s="33">
        <v>341</v>
      </c>
    </row>
    <row r="885" spans="1:4" x14ac:dyDescent="0.15">
      <c r="A885" s="32">
        <v>34881</v>
      </c>
      <c r="B885" s="33" t="s">
        <v>21</v>
      </c>
      <c r="C885" s="33" t="s">
        <v>24</v>
      </c>
      <c r="D885" s="33">
        <v>99</v>
      </c>
    </row>
    <row r="886" spans="1:4" x14ac:dyDescent="0.15">
      <c r="A886" s="32">
        <v>34881</v>
      </c>
      <c r="B886" s="33" t="s">
        <v>26</v>
      </c>
      <c r="C886" s="33" t="s">
        <v>24</v>
      </c>
      <c r="D886" s="33">
        <v>113</v>
      </c>
    </row>
    <row r="887" spans="1:4" x14ac:dyDescent="0.15">
      <c r="A887" s="32">
        <v>34881</v>
      </c>
      <c r="B887" s="33" t="s">
        <v>26</v>
      </c>
      <c r="C887" s="33" t="s">
        <v>24</v>
      </c>
      <c r="D887" s="33">
        <v>193</v>
      </c>
    </row>
    <row r="888" spans="1:4" x14ac:dyDescent="0.15">
      <c r="A888" s="32">
        <v>34881</v>
      </c>
      <c r="B888" s="33" t="s">
        <v>26</v>
      </c>
      <c r="C888" s="33" t="s">
        <v>24</v>
      </c>
      <c r="D888" s="33">
        <v>175</v>
      </c>
    </row>
    <row r="889" spans="1:4" x14ac:dyDescent="0.15">
      <c r="A889" s="32">
        <v>34881</v>
      </c>
      <c r="B889" s="33" t="s">
        <v>26</v>
      </c>
      <c r="C889" s="33" t="s">
        <v>24</v>
      </c>
      <c r="D889" s="33">
        <v>140</v>
      </c>
    </row>
    <row r="890" spans="1:4" x14ac:dyDescent="0.15">
      <c r="A890" s="32">
        <v>34881</v>
      </c>
      <c r="B890" s="33" t="s">
        <v>26</v>
      </c>
      <c r="C890" s="33" t="s">
        <v>24</v>
      </c>
      <c r="D890" s="33">
        <v>90</v>
      </c>
    </row>
    <row r="891" spans="1:4" x14ac:dyDescent="0.15">
      <c r="A891" s="32">
        <v>34881</v>
      </c>
      <c r="B891" s="33" t="s">
        <v>21</v>
      </c>
      <c r="C891" s="33" t="s">
        <v>24</v>
      </c>
      <c r="D891" s="33">
        <v>60</v>
      </c>
    </row>
    <row r="892" spans="1:4" x14ac:dyDescent="0.15">
      <c r="A892" s="32">
        <v>34881</v>
      </c>
      <c r="B892" s="33" t="s">
        <v>21</v>
      </c>
      <c r="C892" s="33" t="s">
        <v>24</v>
      </c>
      <c r="D892" s="33">
        <v>56</v>
      </c>
    </row>
    <row r="893" spans="1:4" x14ac:dyDescent="0.15">
      <c r="A893" s="32">
        <v>34881</v>
      </c>
      <c r="B893" s="33" t="s">
        <v>21</v>
      </c>
      <c r="C893" s="33" t="s">
        <v>24</v>
      </c>
      <c r="D893" s="33">
        <v>72</v>
      </c>
    </row>
    <row r="894" spans="1:4" x14ac:dyDescent="0.15">
      <c r="A894" s="32">
        <v>34881</v>
      </c>
      <c r="B894" s="33" t="s">
        <v>21</v>
      </c>
      <c r="C894" s="33" t="s">
        <v>24</v>
      </c>
      <c r="D894" s="33">
        <v>1483</v>
      </c>
    </row>
    <row r="895" spans="1:4" x14ac:dyDescent="0.15">
      <c r="A895" s="32">
        <v>34881</v>
      </c>
      <c r="B895" s="33" t="s">
        <v>21</v>
      </c>
      <c r="C895" s="33" t="s">
        <v>24</v>
      </c>
      <c r="D895" s="33">
        <v>1567</v>
      </c>
    </row>
    <row r="896" spans="1:4" x14ac:dyDescent="0.15">
      <c r="A896" s="32">
        <v>34881</v>
      </c>
      <c r="B896" s="33" t="s">
        <v>26</v>
      </c>
      <c r="C896" s="33" t="s">
        <v>24</v>
      </c>
      <c r="D896" s="33">
        <v>766</v>
      </c>
    </row>
    <row r="897" spans="1:4" x14ac:dyDescent="0.15">
      <c r="A897" s="32">
        <v>34881</v>
      </c>
      <c r="B897" s="33" t="s">
        <v>26</v>
      </c>
      <c r="C897" s="33" t="s">
        <v>25</v>
      </c>
      <c r="D897" s="33">
        <v>383</v>
      </c>
    </row>
    <row r="898" spans="1:4" x14ac:dyDescent="0.15">
      <c r="A898" s="32">
        <v>34881</v>
      </c>
      <c r="B898" s="33" t="s">
        <v>26</v>
      </c>
      <c r="C898" s="33" t="s">
        <v>25</v>
      </c>
      <c r="D898" s="33">
        <v>1740</v>
      </c>
    </row>
    <row r="899" spans="1:4" x14ac:dyDescent="0.15">
      <c r="A899" s="32">
        <v>34881</v>
      </c>
      <c r="B899" s="33" t="s">
        <v>28</v>
      </c>
      <c r="C899" s="33" t="s">
        <v>25</v>
      </c>
      <c r="D899" s="33">
        <v>826</v>
      </c>
    </row>
    <row r="900" spans="1:4" x14ac:dyDescent="0.15">
      <c r="A900" s="32">
        <v>34881</v>
      </c>
      <c r="B900" s="33" t="s">
        <v>21</v>
      </c>
      <c r="C900" s="33" t="s">
        <v>25</v>
      </c>
      <c r="D900" s="33">
        <v>922</v>
      </c>
    </row>
    <row r="901" spans="1:4" x14ac:dyDescent="0.15">
      <c r="A901" s="32">
        <v>34881</v>
      </c>
      <c r="B901" s="33" t="s">
        <v>26</v>
      </c>
      <c r="C901" s="33" t="s">
        <v>25</v>
      </c>
      <c r="D901" s="33">
        <v>1138</v>
      </c>
    </row>
    <row r="902" spans="1:4" x14ac:dyDescent="0.15">
      <c r="A902" s="32">
        <v>34881</v>
      </c>
      <c r="B902" s="33" t="s">
        <v>26</v>
      </c>
      <c r="C902" s="33" t="s">
        <v>25</v>
      </c>
      <c r="D902" s="33">
        <v>403</v>
      </c>
    </row>
    <row r="903" spans="1:4" x14ac:dyDescent="0.15">
      <c r="A903" s="32">
        <v>34881</v>
      </c>
      <c r="B903" s="33" t="s">
        <v>29</v>
      </c>
      <c r="C903" s="33" t="s">
        <v>25</v>
      </c>
      <c r="D903" s="33">
        <v>86</v>
      </c>
    </row>
    <row r="904" spans="1:4" x14ac:dyDescent="0.15">
      <c r="A904" s="32">
        <v>34881</v>
      </c>
      <c r="B904" s="33" t="s">
        <v>29</v>
      </c>
      <c r="C904" s="33" t="s">
        <v>25</v>
      </c>
      <c r="D904" s="33">
        <v>53</v>
      </c>
    </row>
    <row r="905" spans="1:4" x14ac:dyDescent="0.15">
      <c r="A905" s="32">
        <v>34881</v>
      </c>
      <c r="B905" s="33" t="s">
        <v>21</v>
      </c>
      <c r="C905" s="33" t="s">
        <v>25</v>
      </c>
      <c r="D905" s="33">
        <v>259</v>
      </c>
    </row>
    <row r="906" spans="1:4" x14ac:dyDescent="0.15">
      <c r="A906" s="32">
        <v>34881</v>
      </c>
      <c r="B906" s="33" t="s">
        <v>28</v>
      </c>
      <c r="C906" s="33" t="s">
        <v>25</v>
      </c>
      <c r="D906" s="33">
        <v>270</v>
      </c>
    </row>
    <row r="907" spans="1:4" x14ac:dyDescent="0.15">
      <c r="A907" s="32">
        <v>34881</v>
      </c>
      <c r="B907" s="33" t="s">
        <v>28</v>
      </c>
      <c r="C907" s="33" t="s">
        <v>25</v>
      </c>
      <c r="D907" s="33">
        <v>184</v>
      </c>
    </row>
    <row r="908" spans="1:4" x14ac:dyDescent="0.15">
      <c r="A908" s="32">
        <v>34881</v>
      </c>
      <c r="B908" s="33" t="s">
        <v>28</v>
      </c>
      <c r="C908" s="33" t="s">
        <v>25</v>
      </c>
      <c r="D908" s="33">
        <v>315</v>
      </c>
    </row>
    <row r="909" spans="1:4" x14ac:dyDescent="0.15">
      <c r="A909" s="32">
        <v>34881</v>
      </c>
      <c r="B909" s="33" t="s">
        <v>29</v>
      </c>
      <c r="C909" s="33" t="s">
        <v>25</v>
      </c>
      <c r="D909" s="33">
        <v>96</v>
      </c>
    </row>
    <row r="910" spans="1:4" x14ac:dyDescent="0.15">
      <c r="A910" s="32">
        <v>34881</v>
      </c>
      <c r="B910" s="33" t="s">
        <v>21</v>
      </c>
      <c r="C910" s="33" t="s">
        <v>25</v>
      </c>
      <c r="D910" s="33">
        <v>140</v>
      </c>
    </row>
    <row r="911" spans="1:4" x14ac:dyDescent="0.15">
      <c r="A911" s="32">
        <v>34881</v>
      </c>
      <c r="B911" s="33" t="s">
        <v>21</v>
      </c>
      <c r="C911" s="33" t="s">
        <v>25</v>
      </c>
      <c r="D911" s="33">
        <v>113</v>
      </c>
    </row>
    <row r="912" spans="1:4" x14ac:dyDescent="0.15">
      <c r="A912" s="32">
        <v>34881</v>
      </c>
      <c r="B912" s="33" t="s">
        <v>29</v>
      </c>
      <c r="C912" s="33" t="s">
        <v>25</v>
      </c>
      <c r="D912" s="33">
        <v>124</v>
      </c>
    </row>
    <row r="913" spans="1:4" x14ac:dyDescent="0.15">
      <c r="A913" s="32">
        <v>34881</v>
      </c>
      <c r="B913" s="33" t="s">
        <v>26</v>
      </c>
      <c r="C913" s="33" t="s">
        <v>27</v>
      </c>
      <c r="D913" s="33">
        <v>326</v>
      </c>
    </row>
    <row r="914" spans="1:4" x14ac:dyDescent="0.15">
      <c r="A914" s="32">
        <v>34881</v>
      </c>
      <c r="B914" s="33" t="s">
        <v>29</v>
      </c>
      <c r="C914" s="33" t="s">
        <v>27</v>
      </c>
      <c r="D914" s="33">
        <v>90</v>
      </c>
    </row>
    <row r="915" spans="1:4" x14ac:dyDescent="0.15">
      <c r="A915" s="32">
        <v>34881</v>
      </c>
      <c r="B915" s="33" t="s">
        <v>28</v>
      </c>
      <c r="C915" s="33" t="s">
        <v>27</v>
      </c>
      <c r="D915" s="33">
        <v>81</v>
      </c>
    </row>
    <row r="916" spans="1:4" x14ac:dyDescent="0.15">
      <c r="A916" s="32">
        <v>34881</v>
      </c>
      <c r="B916" s="33" t="s">
        <v>21</v>
      </c>
      <c r="C916" s="33" t="s">
        <v>27</v>
      </c>
      <c r="D916" s="33">
        <v>68</v>
      </c>
    </row>
    <row r="917" spans="1:4" x14ac:dyDescent="0.15">
      <c r="A917" s="32">
        <v>34881</v>
      </c>
      <c r="B917" s="33" t="s">
        <v>28</v>
      </c>
      <c r="C917" s="33" t="s">
        <v>27</v>
      </c>
      <c r="D917" s="33">
        <v>2892</v>
      </c>
    </row>
    <row r="918" spans="1:4" x14ac:dyDescent="0.15">
      <c r="A918" s="32">
        <v>34881</v>
      </c>
      <c r="B918" s="33" t="s">
        <v>26</v>
      </c>
      <c r="C918" s="33" t="s">
        <v>27</v>
      </c>
      <c r="D918" s="33">
        <v>1999</v>
      </c>
    </row>
    <row r="919" spans="1:4" x14ac:dyDescent="0.15">
      <c r="A919" s="32">
        <v>34881</v>
      </c>
      <c r="B919" s="33" t="s">
        <v>21</v>
      </c>
      <c r="C919" s="33" t="s">
        <v>27</v>
      </c>
      <c r="D919" s="33">
        <v>1220</v>
      </c>
    </row>
    <row r="920" spans="1:4" x14ac:dyDescent="0.15">
      <c r="A920" s="32">
        <v>34881</v>
      </c>
      <c r="B920" s="33" t="s">
        <v>28</v>
      </c>
      <c r="C920" s="33" t="s">
        <v>27</v>
      </c>
      <c r="D920" s="33">
        <v>1079</v>
      </c>
    </row>
    <row r="921" spans="1:4" x14ac:dyDescent="0.15">
      <c r="A921" s="32">
        <v>34881</v>
      </c>
      <c r="B921" s="33" t="s">
        <v>26</v>
      </c>
      <c r="C921" s="33" t="s">
        <v>27</v>
      </c>
      <c r="D921" s="33">
        <v>793</v>
      </c>
    </row>
    <row r="922" spans="1:4" x14ac:dyDescent="0.15">
      <c r="A922" s="32">
        <v>34881</v>
      </c>
      <c r="B922" s="33" t="s">
        <v>26</v>
      </c>
      <c r="C922" s="33" t="s">
        <v>27</v>
      </c>
      <c r="D922" s="33">
        <v>221</v>
      </c>
    </row>
    <row r="923" spans="1:4" x14ac:dyDescent="0.15">
      <c r="A923" s="32">
        <v>34881</v>
      </c>
      <c r="B923" s="33" t="s">
        <v>21</v>
      </c>
      <c r="C923" s="33" t="s">
        <v>27</v>
      </c>
      <c r="D923" s="33">
        <v>650</v>
      </c>
    </row>
    <row r="924" spans="1:4" x14ac:dyDescent="0.15">
      <c r="A924" s="32">
        <v>34881</v>
      </c>
      <c r="B924" s="33" t="s">
        <v>29</v>
      </c>
      <c r="C924" s="33" t="s">
        <v>27</v>
      </c>
      <c r="D924" s="33">
        <v>61</v>
      </c>
    </row>
    <row r="925" spans="1:4" x14ac:dyDescent="0.15">
      <c r="A925" s="32">
        <v>34881</v>
      </c>
      <c r="B925" s="33" t="s">
        <v>28</v>
      </c>
      <c r="C925" s="33" t="s">
        <v>27</v>
      </c>
      <c r="D925" s="33">
        <v>50</v>
      </c>
    </row>
    <row r="926" spans="1:4" x14ac:dyDescent="0.15">
      <c r="A926" s="32">
        <v>34881</v>
      </c>
      <c r="B926" s="33" t="s">
        <v>29</v>
      </c>
      <c r="C926" s="33" t="s">
        <v>27</v>
      </c>
      <c r="D926" s="33">
        <v>49</v>
      </c>
    </row>
    <row r="927" spans="1:4" x14ac:dyDescent="0.15">
      <c r="A927" s="32">
        <v>34881</v>
      </c>
      <c r="B927" s="33" t="s">
        <v>21</v>
      </c>
      <c r="C927" s="33" t="s">
        <v>27</v>
      </c>
      <c r="D927" s="33">
        <v>44</v>
      </c>
    </row>
    <row r="928" spans="1:4" x14ac:dyDescent="0.15">
      <c r="A928" s="32">
        <v>34881</v>
      </c>
      <c r="B928" s="33" t="s">
        <v>29</v>
      </c>
      <c r="C928" s="33" t="s">
        <v>27</v>
      </c>
      <c r="D928" s="33">
        <v>27</v>
      </c>
    </row>
    <row r="929" spans="1:4" x14ac:dyDescent="0.15">
      <c r="A929" s="32">
        <v>34881</v>
      </c>
      <c r="B929" s="33" t="s">
        <v>21</v>
      </c>
      <c r="C929" s="33" t="s">
        <v>30</v>
      </c>
      <c r="D929" s="33">
        <v>39</v>
      </c>
    </row>
    <row r="930" spans="1:4" x14ac:dyDescent="0.15">
      <c r="A930" s="32">
        <v>34881</v>
      </c>
      <c r="B930" s="33" t="s">
        <v>21</v>
      </c>
      <c r="C930" s="33" t="s">
        <v>30</v>
      </c>
      <c r="D930" s="33">
        <v>32</v>
      </c>
    </row>
    <row r="931" spans="1:4" x14ac:dyDescent="0.15">
      <c r="A931" s="32">
        <v>34881</v>
      </c>
      <c r="B931" s="33" t="s">
        <v>21</v>
      </c>
      <c r="C931" s="33" t="s">
        <v>30</v>
      </c>
      <c r="D931" s="33">
        <v>28</v>
      </c>
    </row>
    <row r="932" spans="1:4" x14ac:dyDescent="0.15">
      <c r="A932" s="32">
        <v>34881</v>
      </c>
      <c r="B932" s="33" t="s">
        <v>26</v>
      </c>
      <c r="C932" s="33" t="s">
        <v>30</v>
      </c>
      <c r="D932" s="33">
        <v>140</v>
      </c>
    </row>
    <row r="933" spans="1:4" x14ac:dyDescent="0.15">
      <c r="A933" s="32">
        <v>34881</v>
      </c>
      <c r="B933" s="33" t="s">
        <v>28</v>
      </c>
      <c r="C933" s="33" t="s">
        <v>30</v>
      </c>
      <c r="D933" s="33">
        <v>236</v>
      </c>
    </row>
    <row r="934" spans="1:4" x14ac:dyDescent="0.15">
      <c r="A934" s="32">
        <v>34881</v>
      </c>
      <c r="B934" s="33" t="s">
        <v>26</v>
      </c>
      <c r="C934" s="33" t="s">
        <v>30</v>
      </c>
      <c r="D934" s="33">
        <v>214</v>
      </c>
    </row>
    <row r="935" spans="1:4" x14ac:dyDescent="0.15">
      <c r="A935" s="32">
        <v>34881</v>
      </c>
      <c r="B935" s="33" t="s">
        <v>26</v>
      </c>
      <c r="C935" s="33" t="s">
        <v>30</v>
      </c>
      <c r="D935" s="33">
        <v>179</v>
      </c>
    </row>
    <row r="936" spans="1:4" x14ac:dyDescent="0.15">
      <c r="A936" s="32">
        <v>34881</v>
      </c>
      <c r="B936" s="33" t="s">
        <v>28</v>
      </c>
      <c r="C936" s="33" t="s">
        <v>30</v>
      </c>
      <c r="D936" s="33">
        <v>330</v>
      </c>
    </row>
    <row r="937" spans="1:4" x14ac:dyDescent="0.15">
      <c r="A937" s="32">
        <v>34881</v>
      </c>
      <c r="B937" s="33" t="s">
        <v>26</v>
      </c>
      <c r="C937" s="33" t="s">
        <v>30</v>
      </c>
      <c r="D937" s="33">
        <v>165</v>
      </c>
    </row>
    <row r="938" spans="1:4" x14ac:dyDescent="0.15">
      <c r="A938" s="32">
        <v>34881</v>
      </c>
      <c r="B938" s="33" t="s">
        <v>26</v>
      </c>
      <c r="C938" s="33" t="s">
        <v>30</v>
      </c>
      <c r="D938" s="33">
        <v>293</v>
      </c>
    </row>
    <row r="939" spans="1:4" x14ac:dyDescent="0.15">
      <c r="A939" s="32">
        <v>34881</v>
      </c>
      <c r="B939" s="33" t="s">
        <v>28</v>
      </c>
      <c r="C939" s="33" t="s">
        <v>30</v>
      </c>
      <c r="D939" s="33">
        <v>657</v>
      </c>
    </row>
    <row r="940" spans="1:4" x14ac:dyDescent="0.15">
      <c r="A940" s="32">
        <v>34881</v>
      </c>
      <c r="B940" s="33" t="s">
        <v>28</v>
      </c>
      <c r="C940" s="33" t="s">
        <v>30</v>
      </c>
      <c r="D940" s="33">
        <v>426</v>
      </c>
    </row>
    <row r="941" spans="1:4" x14ac:dyDescent="0.15">
      <c r="A941" s="32">
        <v>34881</v>
      </c>
      <c r="B941" s="33" t="s">
        <v>28</v>
      </c>
      <c r="C941" s="33" t="s">
        <v>30</v>
      </c>
      <c r="D941" s="33">
        <v>413</v>
      </c>
    </row>
    <row r="942" spans="1:4" x14ac:dyDescent="0.15">
      <c r="A942" s="32">
        <v>34881</v>
      </c>
      <c r="B942" s="33" t="s">
        <v>21</v>
      </c>
      <c r="C942" s="33" t="s">
        <v>30</v>
      </c>
      <c r="D942" s="33">
        <v>88</v>
      </c>
    </row>
    <row r="943" spans="1:4" x14ac:dyDescent="0.15">
      <c r="A943" s="32">
        <v>34881</v>
      </c>
      <c r="B943" s="33" t="s">
        <v>29</v>
      </c>
      <c r="C943" s="33" t="s">
        <v>30</v>
      </c>
      <c r="D943" s="33">
        <v>79</v>
      </c>
    </row>
    <row r="944" spans="1:4" x14ac:dyDescent="0.15">
      <c r="A944" s="32">
        <v>34881</v>
      </c>
      <c r="B944" s="33" t="s">
        <v>29</v>
      </c>
      <c r="C944" s="33" t="s">
        <v>30</v>
      </c>
      <c r="D944" s="33">
        <v>67</v>
      </c>
    </row>
    <row r="945" spans="1:4" x14ac:dyDescent="0.15">
      <c r="A945" s="32">
        <v>34881</v>
      </c>
      <c r="B945" s="33" t="s">
        <v>29</v>
      </c>
      <c r="C945" s="33" t="s">
        <v>30</v>
      </c>
      <c r="D945" s="33">
        <v>122</v>
      </c>
    </row>
    <row r="946" spans="1:4" x14ac:dyDescent="0.15">
      <c r="A946" s="32">
        <v>34881</v>
      </c>
      <c r="B946" s="33" t="s">
        <v>28</v>
      </c>
      <c r="C946" s="33" t="s">
        <v>30</v>
      </c>
      <c r="D946" s="33">
        <v>53</v>
      </c>
    </row>
    <row r="947" spans="1:4" x14ac:dyDescent="0.15">
      <c r="A947" s="32">
        <v>34881</v>
      </c>
      <c r="B947" s="33" t="s">
        <v>21</v>
      </c>
      <c r="C947" s="33" t="s">
        <v>30</v>
      </c>
      <c r="D947" s="33">
        <v>124</v>
      </c>
    </row>
    <row r="948" spans="1:4" x14ac:dyDescent="0.15">
      <c r="A948" s="32">
        <v>34881</v>
      </c>
      <c r="B948" s="33" t="s">
        <v>29</v>
      </c>
      <c r="C948" s="33" t="s">
        <v>30</v>
      </c>
      <c r="D948" s="33">
        <v>138</v>
      </c>
    </row>
    <row r="949" spans="1:4" x14ac:dyDescent="0.15">
      <c r="A949" s="32">
        <v>34881</v>
      </c>
      <c r="B949" s="33" t="s">
        <v>21</v>
      </c>
      <c r="C949" s="33" t="s">
        <v>30</v>
      </c>
      <c r="D949" s="33">
        <v>124</v>
      </c>
    </row>
    <row r="950" spans="1:4" x14ac:dyDescent="0.15">
      <c r="A950" s="32">
        <v>34881</v>
      </c>
      <c r="B950" s="33" t="s">
        <v>29</v>
      </c>
      <c r="C950" s="33" t="s">
        <v>30</v>
      </c>
      <c r="D950" s="33">
        <v>124</v>
      </c>
    </row>
    <row r="951" spans="1:4" x14ac:dyDescent="0.15">
      <c r="A951" s="32">
        <v>34881</v>
      </c>
      <c r="B951" s="33" t="s">
        <v>26</v>
      </c>
      <c r="C951" s="33" t="s">
        <v>30</v>
      </c>
      <c r="D951" s="33">
        <v>123</v>
      </c>
    </row>
    <row r="952" spans="1:4" x14ac:dyDescent="0.15">
      <c r="A952" s="32">
        <v>34881</v>
      </c>
      <c r="B952" s="33" t="s">
        <v>29</v>
      </c>
      <c r="C952" s="33" t="s">
        <v>30</v>
      </c>
      <c r="D952" s="33">
        <v>127</v>
      </c>
    </row>
    <row r="953" spans="1:4" x14ac:dyDescent="0.15">
      <c r="A953" s="32">
        <v>34912</v>
      </c>
      <c r="B953" s="33" t="s">
        <v>29</v>
      </c>
      <c r="C953" s="33" t="s">
        <v>22</v>
      </c>
      <c r="D953" s="33">
        <v>61</v>
      </c>
    </row>
    <row r="954" spans="1:4" x14ac:dyDescent="0.15">
      <c r="A954" s="32">
        <v>34912</v>
      </c>
      <c r="B954" s="33" t="s">
        <v>29</v>
      </c>
      <c r="C954" s="33" t="s">
        <v>22</v>
      </c>
      <c r="D954" s="33">
        <v>101</v>
      </c>
    </row>
    <row r="955" spans="1:4" x14ac:dyDescent="0.15">
      <c r="A955" s="32">
        <v>34912</v>
      </c>
      <c r="B955" s="33" t="s">
        <v>29</v>
      </c>
      <c r="C955" s="33" t="s">
        <v>22</v>
      </c>
      <c r="D955" s="33">
        <v>117</v>
      </c>
    </row>
    <row r="956" spans="1:4" x14ac:dyDescent="0.15">
      <c r="A956" s="32">
        <v>34912</v>
      </c>
      <c r="B956" s="33" t="s">
        <v>26</v>
      </c>
      <c r="C956" s="33" t="s">
        <v>22</v>
      </c>
      <c r="D956" s="33">
        <v>860</v>
      </c>
    </row>
    <row r="957" spans="1:4" x14ac:dyDescent="0.15">
      <c r="A957" s="32">
        <v>34912</v>
      </c>
      <c r="B957" s="33" t="s">
        <v>29</v>
      </c>
      <c r="C957" s="33" t="s">
        <v>22</v>
      </c>
      <c r="D957" s="33">
        <v>151</v>
      </c>
    </row>
    <row r="958" spans="1:4" x14ac:dyDescent="0.15">
      <c r="A958" s="32">
        <v>34912</v>
      </c>
      <c r="B958" s="33" t="s">
        <v>28</v>
      </c>
      <c r="C958" s="33" t="s">
        <v>22</v>
      </c>
      <c r="D958" s="33">
        <v>203</v>
      </c>
    </row>
    <row r="959" spans="1:4" x14ac:dyDescent="0.15">
      <c r="A959" s="32">
        <v>34912</v>
      </c>
      <c r="B959" s="33" t="s">
        <v>26</v>
      </c>
      <c r="C959" s="33" t="s">
        <v>22</v>
      </c>
      <c r="D959" s="33">
        <v>293</v>
      </c>
    </row>
    <row r="960" spans="1:4" x14ac:dyDescent="0.15">
      <c r="A960" s="32">
        <v>34912</v>
      </c>
      <c r="B960" s="33" t="s">
        <v>21</v>
      </c>
      <c r="C960" s="33" t="s">
        <v>22</v>
      </c>
      <c r="D960" s="33">
        <v>303</v>
      </c>
    </row>
    <row r="961" spans="1:4" x14ac:dyDescent="0.15">
      <c r="A961" s="32">
        <v>34912</v>
      </c>
      <c r="B961" s="33" t="s">
        <v>28</v>
      </c>
      <c r="C961" s="33" t="s">
        <v>22</v>
      </c>
      <c r="D961" s="33">
        <v>440</v>
      </c>
    </row>
    <row r="962" spans="1:4" x14ac:dyDescent="0.15">
      <c r="A962" s="32">
        <v>34912</v>
      </c>
      <c r="B962" s="33" t="s">
        <v>21</v>
      </c>
      <c r="C962" s="33" t="s">
        <v>22</v>
      </c>
      <c r="D962" s="33">
        <v>594</v>
      </c>
    </row>
    <row r="963" spans="1:4" x14ac:dyDescent="0.15">
      <c r="A963" s="32">
        <v>34912</v>
      </c>
      <c r="B963" s="33" t="s">
        <v>21</v>
      </c>
      <c r="C963" s="33" t="s">
        <v>22</v>
      </c>
      <c r="D963" s="33">
        <v>618</v>
      </c>
    </row>
    <row r="964" spans="1:4" x14ac:dyDescent="0.15">
      <c r="A964" s="32">
        <v>34912</v>
      </c>
      <c r="B964" s="33" t="s">
        <v>28</v>
      </c>
      <c r="C964" s="33" t="s">
        <v>22</v>
      </c>
      <c r="D964" s="33">
        <v>813</v>
      </c>
    </row>
    <row r="965" spans="1:4" x14ac:dyDescent="0.15">
      <c r="A965" s="32">
        <v>34912</v>
      </c>
      <c r="B965" s="33" t="s">
        <v>26</v>
      </c>
      <c r="C965" s="33" t="s">
        <v>22</v>
      </c>
      <c r="D965" s="33">
        <v>1202</v>
      </c>
    </row>
    <row r="966" spans="1:4" x14ac:dyDescent="0.15">
      <c r="A966" s="32">
        <v>34912</v>
      </c>
      <c r="B966" s="33" t="s">
        <v>28</v>
      </c>
      <c r="C966" s="33" t="s">
        <v>22</v>
      </c>
      <c r="D966" s="33">
        <v>1943</v>
      </c>
    </row>
    <row r="967" spans="1:4" x14ac:dyDescent="0.15">
      <c r="A967" s="32">
        <v>34912</v>
      </c>
      <c r="B967" s="33" t="s">
        <v>26</v>
      </c>
      <c r="C967" s="33" t="s">
        <v>22</v>
      </c>
      <c r="D967" s="33">
        <v>138</v>
      </c>
    </row>
    <row r="968" spans="1:4" x14ac:dyDescent="0.15">
      <c r="A968" s="32">
        <v>34912</v>
      </c>
      <c r="B968" s="33" t="s">
        <v>21</v>
      </c>
      <c r="C968" s="33" t="s">
        <v>22</v>
      </c>
      <c r="D968" s="33">
        <v>689</v>
      </c>
    </row>
    <row r="969" spans="1:4" x14ac:dyDescent="0.15">
      <c r="A969" s="32">
        <v>34912</v>
      </c>
      <c r="B969" s="33" t="s">
        <v>29</v>
      </c>
      <c r="C969" s="33" t="s">
        <v>23</v>
      </c>
      <c r="D969" s="33">
        <v>50</v>
      </c>
    </row>
    <row r="970" spans="1:4" x14ac:dyDescent="0.15">
      <c r="A970" s="32">
        <v>34912</v>
      </c>
      <c r="B970" s="33" t="s">
        <v>29</v>
      </c>
      <c r="C970" s="33" t="s">
        <v>23</v>
      </c>
      <c r="D970" s="33">
        <v>67</v>
      </c>
    </row>
    <row r="971" spans="1:4" x14ac:dyDescent="0.15">
      <c r="A971" s="32">
        <v>34912</v>
      </c>
      <c r="B971" s="33" t="s">
        <v>26</v>
      </c>
      <c r="C971" s="33" t="s">
        <v>23</v>
      </c>
      <c r="D971" s="33">
        <v>70</v>
      </c>
    </row>
    <row r="972" spans="1:4" x14ac:dyDescent="0.15">
      <c r="A972" s="32">
        <v>34912</v>
      </c>
      <c r="B972" s="33" t="s">
        <v>21</v>
      </c>
      <c r="C972" s="33" t="s">
        <v>23</v>
      </c>
      <c r="D972" s="33">
        <v>368</v>
      </c>
    </row>
    <row r="973" spans="1:4" x14ac:dyDescent="0.15">
      <c r="A973" s="32">
        <v>34912</v>
      </c>
      <c r="B973" s="33" t="s">
        <v>29</v>
      </c>
      <c r="C973" s="33" t="s">
        <v>23</v>
      </c>
      <c r="D973" s="33">
        <v>146</v>
      </c>
    </row>
    <row r="974" spans="1:4" x14ac:dyDescent="0.15">
      <c r="A974" s="32">
        <v>34912</v>
      </c>
      <c r="B974" s="33" t="s">
        <v>26</v>
      </c>
      <c r="C974" s="33" t="s">
        <v>23</v>
      </c>
      <c r="D974" s="33">
        <v>180</v>
      </c>
    </row>
    <row r="975" spans="1:4" x14ac:dyDescent="0.15">
      <c r="A975" s="32">
        <v>34912</v>
      </c>
      <c r="B975" s="33" t="s">
        <v>28</v>
      </c>
      <c r="C975" s="33" t="s">
        <v>23</v>
      </c>
      <c r="D975" s="33">
        <v>270</v>
      </c>
    </row>
    <row r="976" spans="1:4" x14ac:dyDescent="0.15">
      <c r="A976" s="32">
        <v>34912</v>
      </c>
      <c r="B976" s="33" t="s">
        <v>21</v>
      </c>
      <c r="C976" s="33" t="s">
        <v>23</v>
      </c>
      <c r="D976" s="33">
        <v>279</v>
      </c>
    </row>
    <row r="977" spans="1:4" x14ac:dyDescent="0.15">
      <c r="A977" s="32">
        <v>34912</v>
      </c>
      <c r="B977" s="33" t="s">
        <v>29</v>
      </c>
      <c r="C977" s="33" t="s">
        <v>23</v>
      </c>
      <c r="D977" s="33">
        <v>114</v>
      </c>
    </row>
    <row r="978" spans="1:4" x14ac:dyDescent="0.15">
      <c r="A978" s="32">
        <v>34912</v>
      </c>
      <c r="B978" s="33" t="s">
        <v>28</v>
      </c>
      <c r="C978" s="33" t="s">
        <v>23</v>
      </c>
      <c r="D978" s="33">
        <v>420</v>
      </c>
    </row>
    <row r="979" spans="1:4" x14ac:dyDescent="0.15">
      <c r="A979" s="32">
        <v>34912</v>
      </c>
      <c r="B979" s="33" t="s">
        <v>28</v>
      </c>
      <c r="C979" s="33" t="s">
        <v>23</v>
      </c>
      <c r="D979" s="33">
        <v>459</v>
      </c>
    </row>
    <row r="980" spans="1:4" x14ac:dyDescent="0.15">
      <c r="A980" s="32">
        <v>34912</v>
      </c>
      <c r="B980" s="33" t="s">
        <v>28</v>
      </c>
      <c r="C980" s="33" t="s">
        <v>23</v>
      </c>
      <c r="D980" s="33">
        <v>557</v>
      </c>
    </row>
    <row r="981" spans="1:4" x14ac:dyDescent="0.15">
      <c r="A981" s="32">
        <v>34912</v>
      </c>
      <c r="B981" s="33" t="s">
        <v>26</v>
      </c>
      <c r="C981" s="33" t="s">
        <v>23</v>
      </c>
      <c r="D981" s="33">
        <v>604</v>
      </c>
    </row>
    <row r="982" spans="1:4" x14ac:dyDescent="0.15">
      <c r="A982" s="32">
        <v>34912</v>
      </c>
      <c r="B982" s="33" t="s">
        <v>26</v>
      </c>
      <c r="C982" s="33" t="s">
        <v>23</v>
      </c>
      <c r="D982" s="33">
        <v>834</v>
      </c>
    </row>
    <row r="983" spans="1:4" x14ac:dyDescent="0.15">
      <c r="A983" s="32">
        <v>34912</v>
      </c>
      <c r="B983" s="33" t="s">
        <v>21</v>
      </c>
      <c r="C983" s="33" t="s">
        <v>23</v>
      </c>
      <c r="D983" s="33">
        <v>836</v>
      </c>
    </row>
    <row r="984" spans="1:4" x14ac:dyDescent="0.15">
      <c r="A984" s="32">
        <v>34912</v>
      </c>
      <c r="B984" s="33" t="s">
        <v>21</v>
      </c>
      <c r="C984" s="33" t="s">
        <v>23</v>
      </c>
      <c r="D984" s="33">
        <v>862</v>
      </c>
    </row>
    <row r="985" spans="1:4" x14ac:dyDescent="0.15">
      <c r="A985" s="32">
        <v>34912</v>
      </c>
      <c r="B985" s="33" t="s">
        <v>26</v>
      </c>
      <c r="C985" s="33" t="s">
        <v>24</v>
      </c>
      <c r="D985" s="33">
        <v>45</v>
      </c>
    </row>
    <row r="986" spans="1:4" x14ac:dyDescent="0.15">
      <c r="A986" s="32">
        <v>34912</v>
      </c>
      <c r="B986" s="33" t="s">
        <v>21</v>
      </c>
      <c r="C986" s="33" t="s">
        <v>24</v>
      </c>
      <c r="D986" s="33">
        <v>42</v>
      </c>
    </row>
    <row r="987" spans="1:4" x14ac:dyDescent="0.15">
      <c r="A987" s="32">
        <v>34912</v>
      </c>
      <c r="B987" s="33" t="s">
        <v>26</v>
      </c>
      <c r="C987" s="33" t="s">
        <v>24</v>
      </c>
      <c r="D987" s="33">
        <v>140</v>
      </c>
    </row>
    <row r="988" spans="1:4" x14ac:dyDescent="0.15">
      <c r="A988" s="32">
        <v>34912</v>
      </c>
      <c r="B988" s="33" t="s">
        <v>21</v>
      </c>
      <c r="C988" s="33" t="s">
        <v>24</v>
      </c>
      <c r="D988" s="33">
        <v>1477</v>
      </c>
    </row>
    <row r="989" spans="1:4" x14ac:dyDescent="0.15">
      <c r="A989" s="32">
        <v>34912</v>
      </c>
      <c r="B989" s="33" t="s">
        <v>21</v>
      </c>
      <c r="C989" s="33" t="s">
        <v>24</v>
      </c>
      <c r="D989" s="33">
        <v>2207</v>
      </c>
    </row>
    <row r="990" spans="1:4" x14ac:dyDescent="0.15">
      <c r="A990" s="32">
        <v>34912</v>
      </c>
      <c r="B990" s="33" t="s">
        <v>26</v>
      </c>
      <c r="C990" s="33" t="s">
        <v>24</v>
      </c>
      <c r="D990" s="33">
        <v>90</v>
      </c>
    </row>
    <row r="991" spans="1:4" x14ac:dyDescent="0.15">
      <c r="A991" s="32">
        <v>34912</v>
      </c>
      <c r="B991" s="33" t="s">
        <v>21</v>
      </c>
      <c r="C991" s="33" t="s">
        <v>24</v>
      </c>
      <c r="D991" s="33">
        <v>126</v>
      </c>
    </row>
    <row r="992" spans="1:4" x14ac:dyDescent="0.15">
      <c r="A992" s="32">
        <v>34912</v>
      </c>
      <c r="B992" s="33" t="s">
        <v>26</v>
      </c>
      <c r="C992" s="33" t="s">
        <v>24</v>
      </c>
      <c r="D992" s="33">
        <v>206</v>
      </c>
    </row>
    <row r="993" spans="1:4" x14ac:dyDescent="0.15">
      <c r="A993" s="32">
        <v>34912</v>
      </c>
      <c r="B993" s="33" t="s">
        <v>21</v>
      </c>
      <c r="C993" s="33" t="s">
        <v>24</v>
      </c>
      <c r="D993" s="33">
        <v>68</v>
      </c>
    </row>
    <row r="994" spans="1:4" x14ac:dyDescent="0.15">
      <c r="A994" s="32">
        <v>34912</v>
      </c>
      <c r="B994" s="33" t="s">
        <v>21</v>
      </c>
      <c r="C994" s="33" t="s">
        <v>24</v>
      </c>
      <c r="D994" s="33">
        <v>66</v>
      </c>
    </row>
    <row r="995" spans="1:4" x14ac:dyDescent="0.15">
      <c r="A995" s="32">
        <v>34912</v>
      </c>
      <c r="B995" s="33" t="s">
        <v>26</v>
      </c>
      <c r="C995" s="33" t="s">
        <v>24</v>
      </c>
      <c r="D995" s="33">
        <v>158</v>
      </c>
    </row>
    <row r="996" spans="1:4" x14ac:dyDescent="0.15">
      <c r="A996" s="32">
        <v>34912</v>
      </c>
      <c r="B996" s="33" t="s">
        <v>26</v>
      </c>
      <c r="C996" s="33" t="s">
        <v>24</v>
      </c>
      <c r="D996" s="33">
        <v>832</v>
      </c>
    </row>
    <row r="997" spans="1:4" x14ac:dyDescent="0.15">
      <c r="A997" s="32">
        <v>34912</v>
      </c>
      <c r="B997" s="33" t="s">
        <v>28</v>
      </c>
      <c r="C997" s="33" t="s">
        <v>25</v>
      </c>
      <c r="D997" s="33">
        <v>184</v>
      </c>
    </row>
    <row r="998" spans="1:4" x14ac:dyDescent="0.15">
      <c r="A998" s="32">
        <v>34912</v>
      </c>
      <c r="B998" s="33" t="s">
        <v>21</v>
      </c>
      <c r="C998" s="33" t="s">
        <v>25</v>
      </c>
      <c r="D998" s="33">
        <v>88</v>
      </c>
    </row>
    <row r="999" spans="1:4" x14ac:dyDescent="0.15">
      <c r="A999" s="32">
        <v>34912</v>
      </c>
      <c r="B999" s="33" t="s">
        <v>21</v>
      </c>
      <c r="C999" s="33" t="s">
        <v>25</v>
      </c>
      <c r="D999" s="33">
        <v>45</v>
      </c>
    </row>
    <row r="1000" spans="1:4" x14ac:dyDescent="0.15">
      <c r="A1000" s="32">
        <v>34912</v>
      </c>
      <c r="B1000" s="33" t="s">
        <v>29</v>
      </c>
      <c r="C1000" s="33" t="s">
        <v>25</v>
      </c>
      <c r="D1000" s="33">
        <v>53</v>
      </c>
    </row>
    <row r="1001" spans="1:4" x14ac:dyDescent="0.15">
      <c r="A1001" s="32">
        <v>34912</v>
      </c>
      <c r="B1001" s="33" t="s">
        <v>29</v>
      </c>
      <c r="C1001" s="33" t="s">
        <v>25</v>
      </c>
      <c r="D1001" s="33">
        <v>86</v>
      </c>
    </row>
    <row r="1002" spans="1:4" x14ac:dyDescent="0.15">
      <c r="A1002" s="32">
        <v>34912</v>
      </c>
      <c r="B1002" s="33" t="s">
        <v>29</v>
      </c>
      <c r="C1002" s="33" t="s">
        <v>25</v>
      </c>
      <c r="D1002" s="33">
        <v>113</v>
      </c>
    </row>
    <row r="1003" spans="1:4" x14ac:dyDescent="0.15">
      <c r="A1003" s="32">
        <v>34912</v>
      </c>
      <c r="B1003" s="33" t="s">
        <v>29</v>
      </c>
      <c r="C1003" s="33" t="s">
        <v>25</v>
      </c>
      <c r="D1003" s="33">
        <v>96</v>
      </c>
    </row>
    <row r="1004" spans="1:4" x14ac:dyDescent="0.15">
      <c r="A1004" s="32">
        <v>34912</v>
      </c>
      <c r="B1004" s="33" t="s">
        <v>28</v>
      </c>
      <c r="C1004" s="33" t="s">
        <v>25</v>
      </c>
      <c r="D1004" s="33">
        <v>688</v>
      </c>
    </row>
    <row r="1005" spans="1:4" x14ac:dyDescent="0.15">
      <c r="A1005" s="32">
        <v>34912</v>
      </c>
      <c r="B1005" s="33" t="s">
        <v>26</v>
      </c>
      <c r="C1005" s="33" t="s">
        <v>25</v>
      </c>
      <c r="D1005" s="33">
        <v>525</v>
      </c>
    </row>
    <row r="1006" spans="1:4" x14ac:dyDescent="0.15">
      <c r="A1006" s="32">
        <v>34912</v>
      </c>
      <c r="B1006" s="33" t="s">
        <v>26</v>
      </c>
      <c r="C1006" s="33" t="s">
        <v>25</v>
      </c>
      <c r="D1006" s="33">
        <v>349</v>
      </c>
    </row>
    <row r="1007" spans="1:4" x14ac:dyDescent="0.15">
      <c r="A1007" s="32">
        <v>34912</v>
      </c>
      <c r="B1007" s="33" t="s">
        <v>26</v>
      </c>
      <c r="C1007" s="33" t="s">
        <v>25</v>
      </c>
      <c r="D1007" s="33">
        <v>1560</v>
      </c>
    </row>
    <row r="1008" spans="1:4" x14ac:dyDescent="0.15">
      <c r="A1008" s="32">
        <v>34912</v>
      </c>
      <c r="B1008" s="33" t="s">
        <v>21</v>
      </c>
      <c r="C1008" s="33" t="s">
        <v>25</v>
      </c>
      <c r="D1008" s="33">
        <v>1039</v>
      </c>
    </row>
    <row r="1009" spans="1:4" x14ac:dyDescent="0.15">
      <c r="A1009" s="32">
        <v>34912</v>
      </c>
      <c r="B1009" s="33" t="s">
        <v>26</v>
      </c>
      <c r="C1009" s="33" t="s">
        <v>25</v>
      </c>
      <c r="D1009" s="33">
        <v>1031</v>
      </c>
    </row>
    <row r="1010" spans="1:4" x14ac:dyDescent="0.15">
      <c r="A1010" s="32">
        <v>34912</v>
      </c>
      <c r="B1010" s="33" t="s">
        <v>28</v>
      </c>
      <c r="C1010" s="33" t="s">
        <v>25</v>
      </c>
      <c r="D1010" s="33">
        <v>263</v>
      </c>
    </row>
    <row r="1011" spans="1:4" x14ac:dyDescent="0.15">
      <c r="A1011" s="32">
        <v>34912</v>
      </c>
      <c r="B1011" s="33" t="s">
        <v>28</v>
      </c>
      <c r="C1011" s="33" t="s">
        <v>25</v>
      </c>
      <c r="D1011" s="33">
        <v>203</v>
      </c>
    </row>
    <row r="1012" spans="1:4" x14ac:dyDescent="0.15">
      <c r="A1012" s="32">
        <v>34912</v>
      </c>
      <c r="B1012" s="33" t="s">
        <v>21</v>
      </c>
      <c r="C1012" s="33" t="s">
        <v>25</v>
      </c>
      <c r="D1012" s="33">
        <v>293</v>
      </c>
    </row>
    <row r="1013" spans="1:4" x14ac:dyDescent="0.15">
      <c r="A1013" s="32">
        <v>34912</v>
      </c>
      <c r="B1013" s="33" t="s">
        <v>29</v>
      </c>
      <c r="C1013" s="33" t="s">
        <v>27</v>
      </c>
      <c r="D1013" s="33">
        <v>61</v>
      </c>
    </row>
    <row r="1014" spans="1:4" x14ac:dyDescent="0.15">
      <c r="A1014" s="32">
        <v>34912</v>
      </c>
      <c r="B1014" s="33" t="s">
        <v>29</v>
      </c>
      <c r="C1014" s="33" t="s">
        <v>27</v>
      </c>
      <c r="D1014" s="33">
        <v>49</v>
      </c>
    </row>
    <row r="1015" spans="1:4" x14ac:dyDescent="0.15">
      <c r="A1015" s="32">
        <v>34912</v>
      </c>
      <c r="B1015" s="33" t="s">
        <v>26</v>
      </c>
      <c r="C1015" s="33" t="s">
        <v>27</v>
      </c>
      <c r="D1015" s="33">
        <v>360</v>
      </c>
    </row>
    <row r="1016" spans="1:4" x14ac:dyDescent="0.15">
      <c r="A1016" s="32">
        <v>34912</v>
      </c>
      <c r="B1016" s="33" t="s">
        <v>21</v>
      </c>
      <c r="C1016" s="33" t="s">
        <v>27</v>
      </c>
      <c r="D1016" s="33">
        <v>44</v>
      </c>
    </row>
    <row r="1017" spans="1:4" x14ac:dyDescent="0.15">
      <c r="A1017" s="32">
        <v>34912</v>
      </c>
      <c r="B1017" s="33" t="s">
        <v>26</v>
      </c>
      <c r="C1017" s="33" t="s">
        <v>27</v>
      </c>
      <c r="D1017" s="33">
        <v>863</v>
      </c>
    </row>
    <row r="1018" spans="1:4" x14ac:dyDescent="0.15">
      <c r="A1018" s="32">
        <v>34912</v>
      </c>
      <c r="B1018" s="33" t="s">
        <v>28</v>
      </c>
      <c r="C1018" s="33" t="s">
        <v>27</v>
      </c>
      <c r="D1018" s="33">
        <v>50</v>
      </c>
    </row>
    <row r="1019" spans="1:4" x14ac:dyDescent="0.15">
      <c r="A1019" s="32">
        <v>34912</v>
      </c>
      <c r="B1019" s="33" t="s">
        <v>28</v>
      </c>
      <c r="C1019" s="33" t="s">
        <v>27</v>
      </c>
      <c r="D1019" s="33">
        <v>56</v>
      </c>
    </row>
    <row r="1020" spans="1:4" x14ac:dyDescent="0.15">
      <c r="A1020" s="32">
        <v>34912</v>
      </c>
      <c r="B1020" s="33" t="s">
        <v>21</v>
      </c>
      <c r="C1020" s="33" t="s">
        <v>27</v>
      </c>
      <c r="D1020" s="33">
        <v>56</v>
      </c>
    </row>
    <row r="1021" spans="1:4" x14ac:dyDescent="0.15">
      <c r="A1021" s="32">
        <v>34912</v>
      </c>
      <c r="B1021" s="33" t="s">
        <v>26</v>
      </c>
      <c r="C1021" s="33" t="s">
        <v>27</v>
      </c>
      <c r="D1021" s="33">
        <v>221</v>
      </c>
    </row>
    <row r="1022" spans="1:4" x14ac:dyDescent="0.15">
      <c r="A1022" s="32">
        <v>34912</v>
      </c>
      <c r="B1022" s="33" t="s">
        <v>29</v>
      </c>
      <c r="C1022" s="33" t="s">
        <v>27</v>
      </c>
      <c r="D1022" s="33">
        <v>90</v>
      </c>
    </row>
    <row r="1023" spans="1:4" x14ac:dyDescent="0.15">
      <c r="A1023" s="32">
        <v>34912</v>
      </c>
      <c r="B1023" s="33" t="s">
        <v>29</v>
      </c>
      <c r="C1023" s="33" t="s">
        <v>27</v>
      </c>
      <c r="D1023" s="33">
        <v>23</v>
      </c>
    </row>
    <row r="1024" spans="1:4" x14ac:dyDescent="0.15">
      <c r="A1024" s="32">
        <v>34912</v>
      </c>
      <c r="B1024" s="33" t="s">
        <v>26</v>
      </c>
      <c r="C1024" s="33" t="s">
        <v>27</v>
      </c>
      <c r="D1024" s="33">
        <v>1850</v>
      </c>
    </row>
    <row r="1025" spans="1:4" x14ac:dyDescent="0.15">
      <c r="A1025" s="32">
        <v>34912</v>
      </c>
      <c r="B1025" s="33" t="s">
        <v>21</v>
      </c>
      <c r="C1025" s="33" t="s">
        <v>27</v>
      </c>
      <c r="D1025" s="33">
        <v>1787</v>
      </c>
    </row>
    <row r="1026" spans="1:4" x14ac:dyDescent="0.15">
      <c r="A1026" s="32">
        <v>34912</v>
      </c>
      <c r="B1026" s="33" t="s">
        <v>28</v>
      </c>
      <c r="C1026" s="33" t="s">
        <v>27</v>
      </c>
      <c r="D1026" s="33">
        <v>1741</v>
      </c>
    </row>
    <row r="1027" spans="1:4" x14ac:dyDescent="0.15">
      <c r="A1027" s="32">
        <v>34912</v>
      </c>
      <c r="B1027" s="33" t="s">
        <v>28</v>
      </c>
      <c r="C1027" s="33" t="s">
        <v>27</v>
      </c>
      <c r="D1027" s="33">
        <v>1041</v>
      </c>
    </row>
    <row r="1028" spans="1:4" x14ac:dyDescent="0.15">
      <c r="A1028" s="32">
        <v>34912</v>
      </c>
      <c r="B1028" s="33" t="s">
        <v>21</v>
      </c>
      <c r="C1028" s="33" t="s">
        <v>27</v>
      </c>
      <c r="D1028" s="33">
        <v>936</v>
      </c>
    </row>
    <row r="1029" spans="1:4" x14ac:dyDescent="0.15">
      <c r="A1029" s="32">
        <v>34912</v>
      </c>
      <c r="B1029" s="33" t="s">
        <v>28</v>
      </c>
      <c r="C1029" s="33" t="s">
        <v>30</v>
      </c>
      <c r="D1029" s="33">
        <v>639</v>
      </c>
    </row>
    <row r="1030" spans="1:4" x14ac:dyDescent="0.15">
      <c r="A1030" s="32">
        <v>34912</v>
      </c>
      <c r="B1030" s="33" t="s">
        <v>26</v>
      </c>
      <c r="C1030" s="33" t="s">
        <v>30</v>
      </c>
      <c r="D1030" s="33">
        <v>214</v>
      </c>
    </row>
    <row r="1031" spans="1:4" x14ac:dyDescent="0.15">
      <c r="A1031" s="32">
        <v>34912</v>
      </c>
      <c r="B1031" s="33" t="s">
        <v>26</v>
      </c>
      <c r="C1031" s="33" t="s">
        <v>30</v>
      </c>
      <c r="D1031" s="33">
        <v>193</v>
      </c>
    </row>
    <row r="1032" spans="1:4" x14ac:dyDescent="0.15">
      <c r="A1032" s="32">
        <v>34912</v>
      </c>
      <c r="B1032" s="33" t="s">
        <v>28</v>
      </c>
      <c r="C1032" s="33" t="s">
        <v>30</v>
      </c>
      <c r="D1032" s="33">
        <v>236</v>
      </c>
    </row>
    <row r="1033" spans="1:4" x14ac:dyDescent="0.15">
      <c r="A1033" s="32">
        <v>34912</v>
      </c>
      <c r="B1033" s="33" t="s">
        <v>28</v>
      </c>
      <c r="C1033" s="33" t="s">
        <v>30</v>
      </c>
      <c r="D1033" s="33">
        <v>165</v>
      </c>
    </row>
    <row r="1034" spans="1:4" x14ac:dyDescent="0.15">
      <c r="A1034" s="32">
        <v>34912</v>
      </c>
      <c r="B1034" s="33" t="s">
        <v>26</v>
      </c>
      <c r="C1034" s="33" t="s">
        <v>30</v>
      </c>
      <c r="D1034" s="33">
        <v>151</v>
      </c>
    </row>
    <row r="1035" spans="1:4" x14ac:dyDescent="0.15">
      <c r="A1035" s="32">
        <v>34912</v>
      </c>
      <c r="B1035" s="33" t="s">
        <v>21</v>
      </c>
      <c r="C1035" s="33" t="s">
        <v>30</v>
      </c>
      <c r="D1035" s="33">
        <v>135</v>
      </c>
    </row>
    <row r="1036" spans="1:4" x14ac:dyDescent="0.15">
      <c r="A1036" s="32">
        <v>34912</v>
      </c>
      <c r="B1036" s="33" t="s">
        <v>29</v>
      </c>
      <c r="C1036" s="33" t="s">
        <v>30</v>
      </c>
      <c r="D1036" s="33">
        <v>124</v>
      </c>
    </row>
    <row r="1037" spans="1:4" x14ac:dyDescent="0.15">
      <c r="A1037" s="32">
        <v>34912</v>
      </c>
      <c r="B1037" s="33" t="s">
        <v>26</v>
      </c>
      <c r="C1037" s="33" t="s">
        <v>30</v>
      </c>
      <c r="D1037" s="33">
        <v>123</v>
      </c>
    </row>
    <row r="1038" spans="1:4" x14ac:dyDescent="0.15">
      <c r="A1038" s="32">
        <v>34912</v>
      </c>
      <c r="B1038" s="33" t="s">
        <v>28</v>
      </c>
      <c r="C1038" s="33" t="s">
        <v>30</v>
      </c>
      <c r="D1038" s="33">
        <v>338</v>
      </c>
    </row>
    <row r="1039" spans="1:4" x14ac:dyDescent="0.15">
      <c r="A1039" s="32">
        <v>34912</v>
      </c>
      <c r="B1039" s="33" t="s">
        <v>28</v>
      </c>
      <c r="C1039" s="33" t="s">
        <v>30</v>
      </c>
      <c r="D1039" s="33">
        <v>330</v>
      </c>
    </row>
    <row r="1040" spans="1:4" x14ac:dyDescent="0.15">
      <c r="A1040" s="32">
        <v>34912</v>
      </c>
      <c r="B1040" s="33" t="s">
        <v>26</v>
      </c>
      <c r="C1040" s="33" t="s">
        <v>30</v>
      </c>
      <c r="D1040" s="33">
        <v>315</v>
      </c>
    </row>
    <row r="1041" spans="1:4" x14ac:dyDescent="0.15">
      <c r="A1041" s="32">
        <v>34912</v>
      </c>
      <c r="B1041" s="33" t="s">
        <v>21</v>
      </c>
      <c r="C1041" s="33" t="s">
        <v>30</v>
      </c>
      <c r="D1041" s="33">
        <v>23</v>
      </c>
    </row>
    <row r="1042" spans="1:4" x14ac:dyDescent="0.15">
      <c r="A1042" s="32">
        <v>34912</v>
      </c>
      <c r="B1042" s="33" t="s">
        <v>21</v>
      </c>
      <c r="C1042" s="33" t="s">
        <v>30</v>
      </c>
      <c r="D1042" s="33">
        <v>32</v>
      </c>
    </row>
    <row r="1043" spans="1:4" x14ac:dyDescent="0.15">
      <c r="A1043" s="32">
        <v>34912</v>
      </c>
      <c r="B1043" s="33" t="s">
        <v>21</v>
      </c>
      <c r="C1043" s="33" t="s">
        <v>30</v>
      </c>
      <c r="D1043" s="33">
        <v>44</v>
      </c>
    </row>
    <row r="1044" spans="1:4" x14ac:dyDescent="0.15">
      <c r="A1044" s="32">
        <v>34912</v>
      </c>
      <c r="B1044" s="33" t="s">
        <v>28</v>
      </c>
      <c r="C1044" s="33" t="s">
        <v>30</v>
      </c>
      <c r="D1044" s="33">
        <v>53</v>
      </c>
    </row>
    <row r="1045" spans="1:4" x14ac:dyDescent="0.15">
      <c r="A1045" s="32">
        <v>34912</v>
      </c>
      <c r="B1045" s="33" t="s">
        <v>21</v>
      </c>
      <c r="C1045" s="33" t="s">
        <v>30</v>
      </c>
      <c r="D1045" s="33">
        <v>110</v>
      </c>
    </row>
    <row r="1046" spans="1:4" x14ac:dyDescent="0.15">
      <c r="A1046" s="32">
        <v>34912</v>
      </c>
      <c r="B1046" s="33" t="s">
        <v>29</v>
      </c>
      <c r="C1046" s="33" t="s">
        <v>30</v>
      </c>
      <c r="D1046" s="33">
        <v>113</v>
      </c>
    </row>
    <row r="1047" spans="1:4" x14ac:dyDescent="0.15">
      <c r="A1047" s="32">
        <v>34912</v>
      </c>
      <c r="B1047" s="33" t="s">
        <v>29</v>
      </c>
      <c r="C1047" s="33" t="s">
        <v>30</v>
      </c>
      <c r="D1047" s="33">
        <v>121</v>
      </c>
    </row>
    <row r="1048" spans="1:4" x14ac:dyDescent="0.15">
      <c r="A1048" s="32">
        <v>34912</v>
      </c>
      <c r="B1048" s="33" t="s">
        <v>29</v>
      </c>
      <c r="C1048" s="33" t="s">
        <v>30</v>
      </c>
      <c r="D1048" s="33">
        <v>122</v>
      </c>
    </row>
    <row r="1049" spans="1:4" x14ac:dyDescent="0.15">
      <c r="A1049" s="32">
        <v>34912</v>
      </c>
      <c r="B1049" s="33" t="s">
        <v>21</v>
      </c>
      <c r="C1049" s="33" t="s">
        <v>30</v>
      </c>
      <c r="D1049" s="33">
        <v>96</v>
      </c>
    </row>
    <row r="1050" spans="1:4" x14ac:dyDescent="0.15">
      <c r="A1050" s="32">
        <v>34912</v>
      </c>
      <c r="B1050" s="33" t="s">
        <v>29</v>
      </c>
      <c r="C1050" s="33" t="s">
        <v>30</v>
      </c>
      <c r="D1050" s="33">
        <v>67</v>
      </c>
    </row>
    <row r="1051" spans="1:4" x14ac:dyDescent="0.15">
      <c r="A1051" s="32">
        <v>34912</v>
      </c>
      <c r="B1051" s="33" t="s">
        <v>29</v>
      </c>
      <c r="C1051" s="33" t="s">
        <v>30</v>
      </c>
      <c r="D1051" s="33">
        <v>79</v>
      </c>
    </row>
    <row r="1052" spans="1:4" x14ac:dyDescent="0.15">
      <c r="A1052" s="32">
        <v>34912</v>
      </c>
      <c r="B1052" s="33" t="s">
        <v>26</v>
      </c>
      <c r="C1052" s="33" t="s">
        <v>30</v>
      </c>
      <c r="D1052" s="33">
        <v>123</v>
      </c>
    </row>
    <row r="1053" spans="1:4" x14ac:dyDescent="0.15">
      <c r="A1053" s="32">
        <v>34943</v>
      </c>
      <c r="B1053" s="33" t="s">
        <v>26</v>
      </c>
      <c r="C1053" s="33" t="s">
        <v>22</v>
      </c>
      <c r="D1053" s="33">
        <v>248</v>
      </c>
    </row>
    <row r="1054" spans="1:4" x14ac:dyDescent="0.15">
      <c r="A1054" s="32">
        <v>34943</v>
      </c>
      <c r="B1054" s="33" t="s">
        <v>28</v>
      </c>
      <c r="C1054" s="33" t="s">
        <v>22</v>
      </c>
      <c r="D1054" s="33">
        <v>289</v>
      </c>
    </row>
    <row r="1055" spans="1:4" x14ac:dyDescent="0.15">
      <c r="A1055" s="32">
        <v>34943</v>
      </c>
      <c r="B1055" s="33" t="s">
        <v>26</v>
      </c>
      <c r="C1055" s="33" t="s">
        <v>22</v>
      </c>
      <c r="D1055" s="33">
        <v>330</v>
      </c>
    </row>
    <row r="1056" spans="1:4" x14ac:dyDescent="0.15">
      <c r="A1056" s="32">
        <v>34943</v>
      </c>
      <c r="B1056" s="33" t="s">
        <v>21</v>
      </c>
      <c r="C1056" s="33" t="s">
        <v>22</v>
      </c>
      <c r="D1056" s="33">
        <v>330</v>
      </c>
    </row>
    <row r="1057" spans="1:4" x14ac:dyDescent="0.15">
      <c r="A1057" s="32">
        <v>34943</v>
      </c>
      <c r="B1057" s="33" t="s">
        <v>28</v>
      </c>
      <c r="C1057" s="33" t="s">
        <v>22</v>
      </c>
      <c r="D1057" s="33">
        <v>338</v>
      </c>
    </row>
    <row r="1058" spans="1:4" x14ac:dyDescent="0.15">
      <c r="A1058" s="32">
        <v>34943</v>
      </c>
      <c r="B1058" s="33" t="s">
        <v>21</v>
      </c>
      <c r="C1058" s="33" t="s">
        <v>22</v>
      </c>
      <c r="D1058" s="33">
        <v>613</v>
      </c>
    </row>
    <row r="1059" spans="1:4" x14ac:dyDescent="0.15">
      <c r="A1059" s="32">
        <v>34943</v>
      </c>
      <c r="B1059" s="33" t="s">
        <v>21</v>
      </c>
      <c r="C1059" s="33" t="s">
        <v>22</v>
      </c>
      <c r="D1059" s="33">
        <v>666</v>
      </c>
    </row>
    <row r="1060" spans="1:4" x14ac:dyDescent="0.15">
      <c r="A1060" s="32">
        <v>34943</v>
      </c>
      <c r="B1060" s="33" t="s">
        <v>21</v>
      </c>
      <c r="C1060" s="33" t="s">
        <v>22</v>
      </c>
      <c r="D1060" s="33">
        <v>732</v>
      </c>
    </row>
    <row r="1061" spans="1:4" x14ac:dyDescent="0.15">
      <c r="A1061" s="32">
        <v>34943</v>
      </c>
      <c r="B1061" s="33" t="s">
        <v>29</v>
      </c>
      <c r="C1061" s="33" t="s">
        <v>22</v>
      </c>
      <c r="D1061" s="33">
        <v>113</v>
      </c>
    </row>
    <row r="1062" spans="1:4" x14ac:dyDescent="0.15">
      <c r="A1062" s="32">
        <v>34943</v>
      </c>
      <c r="B1062" s="33" t="s">
        <v>28</v>
      </c>
      <c r="C1062" s="33" t="s">
        <v>22</v>
      </c>
      <c r="D1062" s="33">
        <v>1062</v>
      </c>
    </row>
    <row r="1063" spans="1:4" x14ac:dyDescent="0.15">
      <c r="A1063" s="32">
        <v>34943</v>
      </c>
      <c r="B1063" s="33" t="s">
        <v>28</v>
      </c>
      <c r="C1063" s="33" t="s">
        <v>22</v>
      </c>
      <c r="D1063" s="33">
        <v>1813</v>
      </c>
    </row>
    <row r="1064" spans="1:4" x14ac:dyDescent="0.15">
      <c r="A1064" s="32">
        <v>34943</v>
      </c>
      <c r="B1064" s="33" t="s">
        <v>29</v>
      </c>
      <c r="C1064" s="33" t="s">
        <v>22</v>
      </c>
      <c r="D1064" s="33">
        <v>179</v>
      </c>
    </row>
    <row r="1065" spans="1:4" x14ac:dyDescent="0.15">
      <c r="A1065" s="32">
        <v>34943</v>
      </c>
      <c r="B1065" s="33" t="s">
        <v>26</v>
      </c>
      <c r="C1065" s="33" t="s">
        <v>22</v>
      </c>
      <c r="D1065" s="33">
        <v>68</v>
      </c>
    </row>
    <row r="1066" spans="1:4" x14ac:dyDescent="0.15">
      <c r="A1066" s="32">
        <v>34943</v>
      </c>
      <c r="B1066" s="33" t="s">
        <v>26</v>
      </c>
      <c r="C1066" s="33" t="s">
        <v>22</v>
      </c>
      <c r="D1066" s="33">
        <v>68</v>
      </c>
    </row>
    <row r="1067" spans="1:4" x14ac:dyDescent="0.15">
      <c r="A1067" s="32">
        <v>34943</v>
      </c>
      <c r="B1067" s="33" t="s">
        <v>29</v>
      </c>
      <c r="C1067" s="33" t="s">
        <v>22</v>
      </c>
      <c r="D1067" s="33">
        <v>72</v>
      </c>
    </row>
    <row r="1068" spans="1:4" x14ac:dyDescent="0.15">
      <c r="A1068" s="32">
        <v>34943</v>
      </c>
      <c r="B1068" s="33" t="s">
        <v>29</v>
      </c>
      <c r="C1068" s="33" t="s">
        <v>22</v>
      </c>
      <c r="D1068" s="33">
        <v>99</v>
      </c>
    </row>
    <row r="1069" spans="1:4" x14ac:dyDescent="0.15">
      <c r="A1069" s="32">
        <v>34943</v>
      </c>
      <c r="B1069" s="33" t="s">
        <v>21</v>
      </c>
      <c r="C1069" s="33" t="s">
        <v>23</v>
      </c>
      <c r="D1069" s="33">
        <v>834</v>
      </c>
    </row>
    <row r="1070" spans="1:4" x14ac:dyDescent="0.15">
      <c r="A1070" s="32">
        <v>34943</v>
      </c>
      <c r="B1070" s="33" t="s">
        <v>26</v>
      </c>
      <c r="C1070" s="33" t="s">
        <v>23</v>
      </c>
      <c r="D1070" s="33">
        <v>203</v>
      </c>
    </row>
    <row r="1071" spans="1:4" x14ac:dyDescent="0.15">
      <c r="A1071" s="32">
        <v>34943</v>
      </c>
      <c r="B1071" s="33" t="s">
        <v>29</v>
      </c>
      <c r="C1071" s="33" t="s">
        <v>23</v>
      </c>
      <c r="D1071" s="33">
        <v>63</v>
      </c>
    </row>
    <row r="1072" spans="1:4" x14ac:dyDescent="0.15">
      <c r="A1072" s="32">
        <v>34943</v>
      </c>
      <c r="B1072" s="33" t="s">
        <v>29</v>
      </c>
      <c r="C1072" s="33" t="s">
        <v>23</v>
      </c>
      <c r="D1072" s="33">
        <v>96</v>
      </c>
    </row>
    <row r="1073" spans="1:4" x14ac:dyDescent="0.15">
      <c r="A1073" s="32">
        <v>34943</v>
      </c>
      <c r="B1073" s="33" t="s">
        <v>26</v>
      </c>
      <c r="C1073" s="33" t="s">
        <v>23</v>
      </c>
      <c r="D1073" s="33">
        <v>96</v>
      </c>
    </row>
    <row r="1074" spans="1:4" x14ac:dyDescent="0.15">
      <c r="A1074" s="32">
        <v>34943</v>
      </c>
      <c r="B1074" s="33" t="s">
        <v>29</v>
      </c>
      <c r="C1074" s="33" t="s">
        <v>23</v>
      </c>
      <c r="D1074" s="33">
        <v>102</v>
      </c>
    </row>
    <row r="1075" spans="1:4" x14ac:dyDescent="0.15">
      <c r="A1075" s="32">
        <v>34943</v>
      </c>
      <c r="B1075" s="33" t="s">
        <v>29</v>
      </c>
      <c r="C1075" s="33" t="s">
        <v>23</v>
      </c>
      <c r="D1075" s="33">
        <v>146</v>
      </c>
    </row>
    <row r="1076" spans="1:4" x14ac:dyDescent="0.15">
      <c r="A1076" s="32">
        <v>34943</v>
      </c>
      <c r="B1076" s="33" t="s">
        <v>28</v>
      </c>
      <c r="C1076" s="33" t="s">
        <v>23</v>
      </c>
      <c r="D1076" s="33">
        <v>158</v>
      </c>
    </row>
    <row r="1077" spans="1:4" x14ac:dyDescent="0.15">
      <c r="A1077" s="32">
        <v>34943</v>
      </c>
      <c r="B1077" s="33" t="s">
        <v>26</v>
      </c>
      <c r="C1077" s="33" t="s">
        <v>23</v>
      </c>
      <c r="D1077" s="33">
        <v>994</v>
      </c>
    </row>
    <row r="1078" spans="1:4" x14ac:dyDescent="0.15">
      <c r="A1078" s="32">
        <v>34943</v>
      </c>
      <c r="B1078" s="33" t="s">
        <v>21</v>
      </c>
      <c r="C1078" s="33" t="s">
        <v>23</v>
      </c>
      <c r="D1078" s="33">
        <v>859</v>
      </c>
    </row>
    <row r="1079" spans="1:4" x14ac:dyDescent="0.15">
      <c r="A1079" s="32">
        <v>34943</v>
      </c>
      <c r="B1079" s="33" t="s">
        <v>21</v>
      </c>
      <c r="C1079" s="33" t="s">
        <v>23</v>
      </c>
      <c r="D1079" s="33">
        <v>302</v>
      </c>
    </row>
    <row r="1080" spans="1:4" x14ac:dyDescent="0.15">
      <c r="A1080" s="32">
        <v>34943</v>
      </c>
      <c r="B1080" s="33" t="s">
        <v>28</v>
      </c>
      <c r="C1080" s="33" t="s">
        <v>23</v>
      </c>
      <c r="D1080" s="33">
        <v>394</v>
      </c>
    </row>
    <row r="1081" spans="1:4" x14ac:dyDescent="0.15">
      <c r="A1081" s="32">
        <v>34943</v>
      </c>
      <c r="B1081" s="33" t="s">
        <v>21</v>
      </c>
      <c r="C1081" s="33" t="s">
        <v>23</v>
      </c>
      <c r="D1081" s="33">
        <v>411</v>
      </c>
    </row>
    <row r="1082" spans="1:4" x14ac:dyDescent="0.15">
      <c r="A1082" s="32">
        <v>34943</v>
      </c>
      <c r="B1082" s="33" t="s">
        <v>28</v>
      </c>
      <c r="C1082" s="33" t="s">
        <v>23</v>
      </c>
      <c r="D1082" s="33">
        <v>473</v>
      </c>
    </row>
    <row r="1083" spans="1:4" x14ac:dyDescent="0.15">
      <c r="A1083" s="32">
        <v>34943</v>
      </c>
      <c r="B1083" s="33" t="s">
        <v>26</v>
      </c>
      <c r="C1083" s="33" t="s">
        <v>23</v>
      </c>
      <c r="D1083" s="33">
        <v>603</v>
      </c>
    </row>
    <row r="1084" spans="1:4" x14ac:dyDescent="0.15">
      <c r="A1084" s="32">
        <v>34943</v>
      </c>
      <c r="B1084" s="33" t="s">
        <v>28</v>
      </c>
      <c r="C1084" s="33" t="s">
        <v>23</v>
      </c>
      <c r="D1084" s="33">
        <v>655</v>
      </c>
    </row>
    <row r="1085" spans="1:4" x14ac:dyDescent="0.15">
      <c r="A1085" s="32">
        <v>34943</v>
      </c>
      <c r="B1085" s="33" t="s">
        <v>26</v>
      </c>
      <c r="C1085" s="33" t="s">
        <v>24</v>
      </c>
      <c r="D1085" s="33">
        <v>885</v>
      </c>
    </row>
    <row r="1086" spans="1:4" x14ac:dyDescent="0.15">
      <c r="A1086" s="32">
        <v>34943</v>
      </c>
      <c r="B1086" s="33" t="s">
        <v>21</v>
      </c>
      <c r="C1086" s="33" t="s">
        <v>24</v>
      </c>
      <c r="D1086" s="33">
        <v>1609</v>
      </c>
    </row>
    <row r="1087" spans="1:4" x14ac:dyDescent="0.15">
      <c r="A1087" s="32">
        <v>34943</v>
      </c>
      <c r="B1087" s="33" t="s">
        <v>21</v>
      </c>
      <c r="C1087" s="33" t="s">
        <v>24</v>
      </c>
      <c r="D1087" s="33">
        <v>2999</v>
      </c>
    </row>
    <row r="1088" spans="1:4" x14ac:dyDescent="0.15">
      <c r="A1088" s="32">
        <v>34943</v>
      </c>
      <c r="B1088" s="33" t="s">
        <v>26</v>
      </c>
      <c r="C1088" s="33" t="s">
        <v>24</v>
      </c>
      <c r="D1088" s="33">
        <v>206</v>
      </c>
    </row>
    <row r="1089" spans="1:4" x14ac:dyDescent="0.15">
      <c r="A1089" s="32">
        <v>34943</v>
      </c>
      <c r="B1089" s="33" t="s">
        <v>26</v>
      </c>
      <c r="C1089" s="33" t="s">
        <v>24</v>
      </c>
      <c r="D1089" s="33">
        <v>210</v>
      </c>
    </row>
    <row r="1090" spans="1:4" x14ac:dyDescent="0.15">
      <c r="A1090" s="32">
        <v>34943</v>
      </c>
      <c r="B1090" s="33" t="s">
        <v>26</v>
      </c>
      <c r="C1090" s="33" t="s">
        <v>24</v>
      </c>
      <c r="D1090" s="33">
        <v>68</v>
      </c>
    </row>
    <row r="1091" spans="1:4" x14ac:dyDescent="0.15">
      <c r="A1091" s="32">
        <v>34943</v>
      </c>
      <c r="B1091" s="33" t="s">
        <v>26</v>
      </c>
      <c r="C1091" s="33" t="s">
        <v>24</v>
      </c>
      <c r="D1091" s="33">
        <v>79</v>
      </c>
    </row>
    <row r="1092" spans="1:4" x14ac:dyDescent="0.15">
      <c r="A1092" s="32">
        <v>34943</v>
      </c>
      <c r="B1092" s="33" t="s">
        <v>26</v>
      </c>
      <c r="C1092" s="33" t="s">
        <v>24</v>
      </c>
      <c r="D1092" s="33">
        <v>131</v>
      </c>
    </row>
    <row r="1093" spans="1:4" x14ac:dyDescent="0.15">
      <c r="A1093" s="32">
        <v>34943</v>
      </c>
      <c r="B1093" s="33" t="s">
        <v>21</v>
      </c>
      <c r="C1093" s="33" t="s">
        <v>24</v>
      </c>
      <c r="D1093" s="33">
        <v>126</v>
      </c>
    </row>
    <row r="1094" spans="1:4" x14ac:dyDescent="0.15">
      <c r="A1094" s="32">
        <v>34943</v>
      </c>
      <c r="B1094" s="33" t="s">
        <v>21</v>
      </c>
      <c r="C1094" s="33" t="s">
        <v>24</v>
      </c>
      <c r="D1094" s="33">
        <v>44</v>
      </c>
    </row>
    <row r="1095" spans="1:4" x14ac:dyDescent="0.15">
      <c r="A1095" s="32">
        <v>34943</v>
      </c>
      <c r="B1095" s="33" t="s">
        <v>21</v>
      </c>
      <c r="C1095" s="33" t="s">
        <v>24</v>
      </c>
      <c r="D1095" s="33">
        <v>68</v>
      </c>
    </row>
    <row r="1096" spans="1:4" x14ac:dyDescent="0.15">
      <c r="A1096" s="32">
        <v>34943</v>
      </c>
      <c r="B1096" s="33" t="s">
        <v>21</v>
      </c>
      <c r="C1096" s="33" t="s">
        <v>24</v>
      </c>
      <c r="D1096" s="33">
        <v>60</v>
      </c>
    </row>
    <row r="1097" spans="1:4" x14ac:dyDescent="0.15">
      <c r="A1097" s="32">
        <v>34943</v>
      </c>
      <c r="B1097" s="33" t="s">
        <v>26</v>
      </c>
      <c r="C1097" s="33" t="s">
        <v>25</v>
      </c>
      <c r="D1097" s="33">
        <v>990</v>
      </c>
    </row>
    <row r="1098" spans="1:4" x14ac:dyDescent="0.15">
      <c r="A1098" s="32">
        <v>34943</v>
      </c>
      <c r="B1098" s="33" t="s">
        <v>21</v>
      </c>
      <c r="C1098" s="33" t="s">
        <v>25</v>
      </c>
      <c r="D1098" s="33">
        <v>1111</v>
      </c>
    </row>
    <row r="1099" spans="1:4" x14ac:dyDescent="0.15">
      <c r="A1099" s="32">
        <v>34943</v>
      </c>
      <c r="B1099" s="33" t="s">
        <v>26</v>
      </c>
      <c r="C1099" s="33" t="s">
        <v>25</v>
      </c>
      <c r="D1099" s="33">
        <v>180</v>
      </c>
    </row>
    <row r="1100" spans="1:4" x14ac:dyDescent="0.15">
      <c r="A1100" s="32">
        <v>34943</v>
      </c>
      <c r="B1100" s="33" t="s">
        <v>21</v>
      </c>
      <c r="C1100" s="33" t="s">
        <v>25</v>
      </c>
      <c r="D1100" s="33">
        <v>68</v>
      </c>
    </row>
    <row r="1101" spans="1:4" x14ac:dyDescent="0.15">
      <c r="A1101" s="32">
        <v>34943</v>
      </c>
      <c r="B1101" s="33" t="s">
        <v>29</v>
      </c>
      <c r="C1101" s="33" t="s">
        <v>25</v>
      </c>
      <c r="D1101" s="33">
        <v>49</v>
      </c>
    </row>
    <row r="1102" spans="1:4" x14ac:dyDescent="0.15">
      <c r="A1102" s="32">
        <v>34943</v>
      </c>
      <c r="B1102" s="33" t="s">
        <v>29</v>
      </c>
      <c r="C1102" s="33" t="s">
        <v>25</v>
      </c>
      <c r="D1102" s="33">
        <v>114</v>
      </c>
    </row>
    <row r="1103" spans="1:4" x14ac:dyDescent="0.15">
      <c r="A1103" s="32">
        <v>34943</v>
      </c>
      <c r="B1103" s="33" t="s">
        <v>29</v>
      </c>
      <c r="C1103" s="33" t="s">
        <v>25</v>
      </c>
      <c r="D1103" s="33">
        <v>113</v>
      </c>
    </row>
    <row r="1104" spans="1:4" x14ac:dyDescent="0.15">
      <c r="A1104" s="32">
        <v>34943</v>
      </c>
      <c r="B1104" s="33" t="s">
        <v>21</v>
      </c>
      <c r="C1104" s="33" t="s">
        <v>25</v>
      </c>
      <c r="D1104" s="33">
        <v>70</v>
      </c>
    </row>
    <row r="1105" spans="1:4" x14ac:dyDescent="0.15">
      <c r="A1105" s="32">
        <v>34943</v>
      </c>
      <c r="B1105" s="33" t="s">
        <v>29</v>
      </c>
      <c r="C1105" s="33" t="s">
        <v>25</v>
      </c>
      <c r="D1105" s="33">
        <v>72</v>
      </c>
    </row>
    <row r="1106" spans="1:4" x14ac:dyDescent="0.15">
      <c r="A1106" s="32">
        <v>34943</v>
      </c>
      <c r="B1106" s="33" t="s">
        <v>28</v>
      </c>
      <c r="C1106" s="33" t="s">
        <v>25</v>
      </c>
      <c r="D1106" s="33">
        <v>590</v>
      </c>
    </row>
    <row r="1107" spans="1:4" x14ac:dyDescent="0.15">
      <c r="A1107" s="32">
        <v>34943</v>
      </c>
      <c r="B1107" s="33" t="s">
        <v>26</v>
      </c>
      <c r="C1107" s="33" t="s">
        <v>25</v>
      </c>
      <c r="D1107" s="33">
        <v>420</v>
      </c>
    </row>
    <row r="1108" spans="1:4" x14ac:dyDescent="0.15">
      <c r="A1108" s="32">
        <v>34943</v>
      </c>
      <c r="B1108" s="33" t="s">
        <v>21</v>
      </c>
      <c r="C1108" s="33" t="s">
        <v>25</v>
      </c>
      <c r="D1108" s="33">
        <v>304</v>
      </c>
    </row>
    <row r="1109" spans="1:4" x14ac:dyDescent="0.15">
      <c r="A1109" s="32">
        <v>34943</v>
      </c>
      <c r="B1109" s="33" t="s">
        <v>28</v>
      </c>
      <c r="C1109" s="33" t="s">
        <v>25</v>
      </c>
      <c r="D1109" s="33">
        <v>315</v>
      </c>
    </row>
    <row r="1110" spans="1:4" x14ac:dyDescent="0.15">
      <c r="A1110" s="32">
        <v>34943</v>
      </c>
      <c r="B1110" s="33" t="s">
        <v>28</v>
      </c>
      <c r="C1110" s="33" t="s">
        <v>25</v>
      </c>
      <c r="D1110" s="33">
        <v>210</v>
      </c>
    </row>
    <row r="1111" spans="1:4" x14ac:dyDescent="0.15">
      <c r="A1111" s="32">
        <v>34943</v>
      </c>
      <c r="B1111" s="33" t="s">
        <v>26</v>
      </c>
      <c r="C1111" s="33" t="s">
        <v>25</v>
      </c>
      <c r="D1111" s="33">
        <v>326</v>
      </c>
    </row>
    <row r="1112" spans="1:4" x14ac:dyDescent="0.15">
      <c r="A1112" s="32">
        <v>34943</v>
      </c>
      <c r="B1112" s="33" t="s">
        <v>28</v>
      </c>
      <c r="C1112" s="33" t="s">
        <v>25</v>
      </c>
      <c r="D1112" s="33">
        <v>338</v>
      </c>
    </row>
    <row r="1113" spans="1:4" x14ac:dyDescent="0.15">
      <c r="A1113" s="32">
        <v>34943</v>
      </c>
      <c r="B1113" s="33" t="s">
        <v>29</v>
      </c>
      <c r="C1113" s="33" t="s">
        <v>27</v>
      </c>
      <c r="D1113" s="33">
        <v>32</v>
      </c>
    </row>
    <row r="1114" spans="1:4" x14ac:dyDescent="0.15">
      <c r="A1114" s="32">
        <v>34943</v>
      </c>
      <c r="B1114" s="33" t="s">
        <v>29</v>
      </c>
      <c r="C1114" s="33" t="s">
        <v>27</v>
      </c>
      <c r="D1114" s="33">
        <v>60</v>
      </c>
    </row>
    <row r="1115" spans="1:4" x14ac:dyDescent="0.15">
      <c r="A1115" s="32">
        <v>34943</v>
      </c>
      <c r="B1115" s="33" t="s">
        <v>21</v>
      </c>
      <c r="C1115" s="33" t="s">
        <v>27</v>
      </c>
      <c r="D1115" s="33">
        <v>44</v>
      </c>
    </row>
    <row r="1116" spans="1:4" x14ac:dyDescent="0.15">
      <c r="A1116" s="32">
        <v>34943</v>
      </c>
      <c r="B1116" s="33" t="s">
        <v>28</v>
      </c>
      <c r="C1116" s="33" t="s">
        <v>27</v>
      </c>
      <c r="D1116" s="33">
        <v>50</v>
      </c>
    </row>
    <row r="1117" spans="1:4" x14ac:dyDescent="0.15">
      <c r="A1117" s="32">
        <v>34943</v>
      </c>
      <c r="B1117" s="33" t="s">
        <v>28</v>
      </c>
      <c r="C1117" s="33" t="s">
        <v>27</v>
      </c>
      <c r="D1117" s="33">
        <v>1131</v>
      </c>
    </row>
    <row r="1118" spans="1:4" x14ac:dyDescent="0.15">
      <c r="A1118" s="32">
        <v>34943</v>
      </c>
      <c r="B1118" s="33" t="s">
        <v>26</v>
      </c>
      <c r="C1118" s="33" t="s">
        <v>27</v>
      </c>
      <c r="D1118" s="33">
        <v>1176</v>
      </c>
    </row>
    <row r="1119" spans="1:4" x14ac:dyDescent="0.15">
      <c r="A1119" s="32">
        <v>34943</v>
      </c>
      <c r="B1119" s="33" t="s">
        <v>26</v>
      </c>
      <c r="C1119" s="33" t="s">
        <v>27</v>
      </c>
      <c r="D1119" s="33">
        <v>1825</v>
      </c>
    </row>
    <row r="1120" spans="1:4" x14ac:dyDescent="0.15">
      <c r="A1120" s="32">
        <v>34943</v>
      </c>
      <c r="B1120" s="33" t="s">
        <v>28</v>
      </c>
      <c r="C1120" s="33" t="s">
        <v>27</v>
      </c>
      <c r="D1120" s="33">
        <v>3376</v>
      </c>
    </row>
    <row r="1121" spans="1:4" x14ac:dyDescent="0.15">
      <c r="A1121" s="32">
        <v>34943</v>
      </c>
      <c r="B1121" s="33" t="s">
        <v>28</v>
      </c>
      <c r="C1121" s="33" t="s">
        <v>27</v>
      </c>
      <c r="D1121" s="33">
        <v>56</v>
      </c>
    </row>
    <row r="1122" spans="1:4" x14ac:dyDescent="0.15">
      <c r="A1122" s="32">
        <v>34943</v>
      </c>
      <c r="B1122" s="33" t="s">
        <v>21</v>
      </c>
      <c r="C1122" s="33" t="s">
        <v>27</v>
      </c>
      <c r="D1122" s="33">
        <v>68</v>
      </c>
    </row>
    <row r="1123" spans="1:4" x14ac:dyDescent="0.15">
      <c r="A1123" s="32">
        <v>34943</v>
      </c>
      <c r="B1123" s="33" t="s">
        <v>29</v>
      </c>
      <c r="C1123" s="33" t="s">
        <v>27</v>
      </c>
      <c r="D1123" s="33">
        <v>70</v>
      </c>
    </row>
    <row r="1124" spans="1:4" x14ac:dyDescent="0.15">
      <c r="A1124" s="32">
        <v>34943</v>
      </c>
      <c r="B1124" s="33" t="s">
        <v>29</v>
      </c>
      <c r="C1124" s="33" t="s">
        <v>27</v>
      </c>
      <c r="D1124" s="33">
        <v>101</v>
      </c>
    </row>
    <row r="1125" spans="1:4" x14ac:dyDescent="0.15">
      <c r="A1125" s="32">
        <v>34943</v>
      </c>
      <c r="B1125" s="33" t="s">
        <v>21</v>
      </c>
      <c r="C1125" s="33" t="s">
        <v>27</v>
      </c>
      <c r="D1125" s="33">
        <v>1016</v>
      </c>
    </row>
    <row r="1126" spans="1:4" x14ac:dyDescent="0.15">
      <c r="A1126" s="32">
        <v>34943</v>
      </c>
      <c r="B1126" s="33" t="s">
        <v>26</v>
      </c>
      <c r="C1126" s="33" t="s">
        <v>27</v>
      </c>
      <c r="D1126" s="33">
        <v>221</v>
      </c>
    </row>
    <row r="1127" spans="1:4" x14ac:dyDescent="0.15">
      <c r="A1127" s="32">
        <v>34943</v>
      </c>
      <c r="B1127" s="33" t="s">
        <v>21</v>
      </c>
      <c r="C1127" s="33" t="s">
        <v>27</v>
      </c>
      <c r="D1127" s="33">
        <v>727</v>
      </c>
    </row>
    <row r="1128" spans="1:4" x14ac:dyDescent="0.15">
      <c r="A1128" s="32">
        <v>34943</v>
      </c>
      <c r="B1128" s="33" t="s">
        <v>26</v>
      </c>
      <c r="C1128" s="33" t="s">
        <v>27</v>
      </c>
      <c r="D1128" s="33">
        <v>338</v>
      </c>
    </row>
    <row r="1129" spans="1:4" x14ac:dyDescent="0.15">
      <c r="A1129" s="32">
        <v>34943</v>
      </c>
      <c r="B1129" s="33" t="s">
        <v>28</v>
      </c>
      <c r="C1129" s="33" t="s">
        <v>30</v>
      </c>
      <c r="D1129" s="33">
        <v>371</v>
      </c>
    </row>
    <row r="1130" spans="1:4" x14ac:dyDescent="0.15">
      <c r="A1130" s="32">
        <v>34943</v>
      </c>
      <c r="B1130" s="33" t="s">
        <v>26</v>
      </c>
      <c r="C1130" s="33" t="s">
        <v>30</v>
      </c>
      <c r="D1130" s="33">
        <v>533</v>
      </c>
    </row>
    <row r="1131" spans="1:4" x14ac:dyDescent="0.15">
      <c r="A1131" s="32">
        <v>34943</v>
      </c>
      <c r="B1131" s="33" t="s">
        <v>28</v>
      </c>
      <c r="C1131" s="33" t="s">
        <v>30</v>
      </c>
      <c r="D1131" s="33">
        <v>597</v>
      </c>
    </row>
    <row r="1132" spans="1:4" x14ac:dyDescent="0.15">
      <c r="A1132" s="32">
        <v>34943</v>
      </c>
      <c r="B1132" s="33" t="s">
        <v>29</v>
      </c>
      <c r="C1132" s="33" t="s">
        <v>30</v>
      </c>
      <c r="D1132" s="33">
        <v>94</v>
      </c>
    </row>
    <row r="1133" spans="1:4" x14ac:dyDescent="0.15">
      <c r="A1133" s="32">
        <v>34943</v>
      </c>
      <c r="B1133" s="33" t="s">
        <v>28</v>
      </c>
      <c r="C1133" s="33" t="s">
        <v>30</v>
      </c>
      <c r="D1133" s="33">
        <v>289</v>
      </c>
    </row>
    <row r="1134" spans="1:4" x14ac:dyDescent="0.15">
      <c r="A1134" s="32">
        <v>34943</v>
      </c>
      <c r="B1134" s="33" t="s">
        <v>29</v>
      </c>
      <c r="C1134" s="33" t="s">
        <v>30</v>
      </c>
      <c r="D1134" s="33">
        <v>77</v>
      </c>
    </row>
    <row r="1135" spans="1:4" x14ac:dyDescent="0.15">
      <c r="A1135" s="32">
        <v>34943</v>
      </c>
      <c r="B1135" s="33" t="s">
        <v>21</v>
      </c>
      <c r="C1135" s="33" t="s">
        <v>30</v>
      </c>
      <c r="D1135" s="33">
        <v>23</v>
      </c>
    </row>
    <row r="1136" spans="1:4" x14ac:dyDescent="0.15">
      <c r="A1136" s="32">
        <v>34943</v>
      </c>
      <c r="B1136" s="33" t="s">
        <v>21</v>
      </c>
      <c r="C1136" s="33" t="s">
        <v>30</v>
      </c>
      <c r="D1136" s="33">
        <v>28</v>
      </c>
    </row>
    <row r="1137" spans="1:4" x14ac:dyDescent="0.15">
      <c r="A1137" s="32">
        <v>34943</v>
      </c>
      <c r="B1137" s="33" t="s">
        <v>21</v>
      </c>
      <c r="C1137" s="33" t="s">
        <v>30</v>
      </c>
      <c r="D1137" s="33">
        <v>44</v>
      </c>
    </row>
    <row r="1138" spans="1:4" x14ac:dyDescent="0.15">
      <c r="A1138" s="32">
        <v>34943</v>
      </c>
      <c r="B1138" s="33" t="s">
        <v>28</v>
      </c>
      <c r="C1138" s="33" t="s">
        <v>30</v>
      </c>
      <c r="D1138" s="33">
        <v>165</v>
      </c>
    </row>
    <row r="1139" spans="1:4" x14ac:dyDescent="0.15">
      <c r="A1139" s="32">
        <v>34943</v>
      </c>
      <c r="B1139" s="33" t="s">
        <v>26</v>
      </c>
      <c r="C1139" s="33" t="s">
        <v>30</v>
      </c>
      <c r="D1139" s="33">
        <v>165</v>
      </c>
    </row>
    <row r="1140" spans="1:4" x14ac:dyDescent="0.15">
      <c r="A1140" s="32">
        <v>34943</v>
      </c>
      <c r="B1140" s="33" t="s">
        <v>29</v>
      </c>
      <c r="C1140" s="33" t="s">
        <v>30</v>
      </c>
      <c r="D1140" s="33">
        <v>165</v>
      </c>
    </row>
    <row r="1141" spans="1:4" x14ac:dyDescent="0.15">
      <c r="A1141" s="32">
        <v>34943</v>
      </c>
      <c r="B1141" s="33" t="s">
        <v>26</v>
      </c>
      <c r="C1141" s="33" t="s">
        <v>30</v>
      </c>
      <c r="D1141" s="33">
        <v>203</v>
      </c>
    </row>
    <row r="1142" spans="1:4" x14ac:dyDescent="0.15">
      <c r="A1142" s="32">
        <v>34943</v>
      </c>
      <c r="B1142" s="33" t="s">
        <v>21</v>
      </c>
      <c r="C1142" s="33" t="s">
        <v>30</v>
      </c>
      <c r="D1142" s="33">
        <v>146</v>
      </c>
    </row>
    <row r="1143" spans="1:4" x14ac:dyDescent="0.15">
      <c r="A1143" s="32">
        <v>34943</v>
      </c>
      <c r="B1143" s="33" t="s">
        <v>28</v>
      </c>
      <c r="C1143" s="33" t="s">
        <v>30</v>
      </c>
      <c r="D1143" s="33">
        <v>289</v>
      </c>
    </row>
    <row r="1144" spans="1:4" x14ac:dyDescent="0.15">
      <c r="A1144" s="32">
        <v>34943</v>
      </c>
      <c r="B1144" s="33" t="s">
        <v>21</v>
      </c>
      <c r="C1144" s="33" t="s">
        <v>30</v>
      </c>
      <c r="D1144" s="33">
        <v>124</v>
      </c>
    </row>
    <row r="1145" spans="1:4" x14ac:dyDescent="0.15">
      <c r="A1145" s="32">
        <v>34943</v>
      </c>
      <c r="B1145" s="33" t="s">
        <v>29</v>
      </c>
      <c r="C1145" s="33" t="s">
        <v>30</v>
      </c>
      <c r="D1145" s="33">
        <v>105</v>
      </c>
    </row>
    <row r="1146" spans="1:4" x14ac:dyDescent="0.15">
      <c r="A1146" s="32">
        <v>34943</v>
      </c>
      <c r="B1146" s="33" t="s">
        <v>21</v>
      </c>
      <c r="C1146" s="33" t="s">
        <v>30</v>
      </c>
      <c r="D1146" s="33">
        <v>105</v>
      </c>
    </row>
    <row r="1147" spans="1:4" x14ac:dyDescent="0.15">
      <c r="A1147" s="32">
        <v>34943</v>
      </c>
      <c r="B1147" s="33" t="s">
        <v>26</v>
      </c>
      <c r="C1147" s="33" t="s">
        <v>30</v>
      </c>
      <c r="D1147" s="33">
        <v>114</v>
      </c>
    </row>
    <row r="1148" spans="1:4" x14ac:dyDescent="0.15">
      <c r="A1148" s="32">
        <v>34943</v>
      </c>
      <c r="B1148" s="33" t="s">
        <v>29</v>
      </c>
      <c r="C1148" s="33" t="s">
        <v>30</v>
      </c>
      <c r="D1148" s="33">
        <v>126</v>
      </c>
    </row>
    <row r="1149" spans="1:4" x14ac:dyDescent="0.15">
      <c r="A1149" s="32">
        <v>34943</v>
      </c>
      <c r="B1149" s="33" t="s">
        <v>26</v>
      </c>
      <c r="C1149" s="33" t="s">
        <v>30</v>
      </c>
      <c r="D1149" s="33">
        <v>138</v>
      </c>
    </row>
    <row r="1150" spans="1:4" x14ac:dyDescent="0.15">
      <c r="A1150" s="32">
        <v>34943</v>
      </c>
      <c r="B1150" s="33" t="s">
        <v>26</v>
      </c>
      <c r="C1150" s="33" t="s">
        <v>30</v>
      </c>
      <c r="D1150" s="33">
        <v>140</v>
      </c>
    </row>
    <row r="1151" spans="1:4" x14ac:dyDescent="0.15">
      <c r="A1151" s="32">
        <v>34943</v>
      </c>
      <c r="B1151" s="33" t="s">
        <v>29</v>
      </c>
      <c r="C1151" s="33" t="s">
        <v>30</v>
      </c>
      <c r="D1151" s="33">
        <v>124</v>
      </c>
    </row>
    <row r="1152" spans="1:4" x14ac:dyDescent="0.15">
      <c r="A1152" s="32">
        <v>34973</v>
      </c>
      <c r="B1152" s="33" t="s">
        <v>21</v>
      </c>
      <c r="C1152" s="33" t="s">
        <v>22</v>
      </c>
      <c r="D1152" s="33">
        <v>776</v>
      </c>
    </row>
    <row r="1153" spans="1:4" x14ac:dyDescent="0.15">
      <c r="A1153" s="32">
        <v>34973</v>
      </c>
      <c r="B1153" s="33" t="s">
        <v>26</v>
      </c>
      <c r="C1153" s="33" t="s">
        <v>22</v>
      </c>
      <c r="D1153" s="33">
        <v>220</v>
      </c>
    </row>
    <row r="1154" spans="1:4" x14ac:dyDescent="0.15">
      <c r="A1154" s="32">
        <v>34973</v>
      </c>
      <c r="B1154" s="33" t="s">
        <v>28</v>
      </c>
      <c r="C1154" s="33" t="s">
        <v>22</v>
      </c>
      <c r="D1154" s="33">
        <v>270</v>
      </c>
    </row>
    <row r="1155" spans="1:4" x14ac:dyDescent="0.15">
      <c r="A1155" s="32">
        <v>34973</v>
      </c>
      <c r="B1155" s="33" t="s">
        <v>29</v>
      </c>
      <c r="C1155" s="33" t="s">
        <v>22</v>
      </c>
      <c r="D1155" s="33">
        <v>275</v>
      </c>
    </row>
    <row r="1156" spans="1:4" x14ac:dyDescent="0.15">
      <c r="A1156" s="32">
        <v>34973</v>
      </c>
      <c r="B1156" s="33" t="s">
        <v>28</v>
      </c>
      <c r="C1156" s="33" t="s">
        <v>22</v>
      </c>
      <c r="D1156" s="33">
        <v>330</v>
      </c>
    </row>
    <row r="1157" spans="1:4" x14ac:dyDescent="0.15">
      <c r="A1157" s="32">
        <v>34973</v>
      </c>
      <c r="B1157" s="33" t="s">
        <v>21</v>
      </c>
      <c r="C1157" s="33" t="s">
        <v>22</v>
      </c>
      <c r="D1157" s="33">
        <v>358</v>
      </c>
    </row>
    <row r="1158" spans="1:4" x14ac:dyDescent="0.15">
      <c r="A1158" s="32">
        <v>34973</v>
      </c>
      <c r="B1158" s="33" t="s">
        <v>26</v>
      </c>
      <c r="C1158" s="33" t="s">
        <v>22</v>
      </c>
      <c r="D1158" s="33">
        <v>694</v>
      </c>
    </row>
    <row r="1159" spans="1:4" x14ac:dyDescent="0.15">
      <c r="A1159" s="32">
        <v>34973</v>
      </c>
      <c r="B1159" s="33" t="s">
        <v>21</v>
      </c>
      <c r="C1159" s="33" t="s">
        <v>22</v>
      </c>
      <c r="D1159" s="33">
        <v>734</v>
      </c>
    </row>
    <row r="1160" spans="1:4" x14ac:dyDescent="0.15">
      <c r="A1160" s="32">
        <v>34973</v>
      </c>
      <c r="B1160" s="33" t="s">
        <v>28</v>
      </c>
      <c r="C1160" s="33" t="s">
        <v>22</v>
      </c>
      <c r="D1160" s="33">
        <v>979</v>
      </c>
    </row>
    <row r="1161" spans="1:4" x14ac:dyDescent="0.15">
      <c r="A1161" s="32">
        <v>34973</v>
      </c>
      <c r="B1161" s="33" t="s">
        <v>28</v>
      </c>
      <c r="C1161" s="33" t="s">
        <v>22</v>
      </c>
      <c r="D1161" s="33">
        <v>2287</v>
      </c>
    </row>
    <row r="1162" spans="1:4" x14ac:dyDescent="0.15">
      <c r="A1162" s="32">
        <v>34973</v>
      </c>
      <c r="B1162" s="33" t="s">
        <v>21</v>
      </c>
      <c r="C1162" s="33" t="s">
        <v>22</v>
      </c>
      <c r="D1162" s="33">
        <v>709</v>
      </c>
    </row>
    <row r="1163" spans="1:4" x14ac:dyDescent="0.15">
      <c r="A1163" s="32">
        <v>34973</v>
      </c>
      <c r="B1163" s="33" t="s">
        <v>29</v>
      </c>
      <c r="C1163" s="33" t="s">
        <v>22</v>
      </c>
      <c r="D1163" s="33">
        <v>50</v>
      </c>
    </row>
    <row r="1164" spans="1:4" x14ac:dyDescent="0.15">
      <c r="A1164" s="32">
        <v>34973</v>
      </c>
      <c r="B1164" s="33" t="s">
        <v>26</v>
      </c>
      <c r="C1164" s="33" t="s">
        <v>22</v>
      </c>
      <c r="D1164" s="33">
        <v>90</v>
      </c>
    </row>
    <row r="1165" spans="1:4" x14ac:dyDescent="0.15">
      <c r="A1165" s="32">
        <v>34973</v>
      </c>
      <c r="B1165" s="33" t="s">
        <v>29</v>
      </c>
      <c r="C1165" s="33" t="s">
        <v>22</v>
      </c>
      <c r="D1165" s="33">
        <v>113</v>
      </c>
    </row>
    <row r="1166" spans="1:4" x14ac:dyDescent="0.15">
      <c r="A1166" s="32">
        <v>34973</v>
      </c>
      <c r="B1166" s="33" t="s">
        <v>29</v>
      </c>
      <c r="C1166" s="33" t="s">
        <v>22</v>
      </c>
      <c r="D1166" s="33">
        <v>131</v>
      </c>
    </row>
    <row r="1167" spans="1:4" x14ac:dyDescent="0.15">
      <c r="A1167" s="32">
        <v>34973</v>
      </c>
      <c r="B1167" s="33" t="s">
        <v>21</v>
      </c>
      <c r="C1167" s="33" t="s">
        <v>23</v>
      </c>
      <c r="D1167" s="33">
        <v>459</v>
      </c>
    </row>
    <row r="1168" spans="1:4" x14ac:dyDescent="0.15">
      <c r="A1168" s="32">
        <v>34973</v>
      </c>
      <c r="B1168" s="33" t="s">
        <v>29</v>
      </c>
      <c r="C1168" s="33" t="s">
        <v>23</v>
      </c>
      <c r="D1168" s="33">
        <v>149</v>
      </c>
    </row>
    <row r="1169" spans="1:4" x14ac:dyDescent="0.15">
      <c r="A1169" s="32">
        <v>34973</v>
      </c>
      <c r="B1169" s="33" t="s">
        <v>26</v>
      </c>
      <c r="C1169" s="33" t="s">
        <v>23</v>
      </c>
      <c r="D1169" s="33">
        <v>169</v>
      </c>
    </row>
    <row r="1170" spans="1:4" x14ac:dyDescent="0.15">
      <c r="A1170" s="32">
        <v>34973</v>
      </c>
      <c r="B1170" s="33" t="s">
        <v>26</v>
      </c>
      <c r="C1170" s="33" t="s">
        <v>23</v>
      </c>
      <c r="D1170" s="33">
        <v>175</v>
      </c>
    </row>
    <row r="1171" spans="1:4" x14ac:dyDescent="0.15">
      <c r="A1171" s="32">
        <v>34973</v>
      </c>
      <c r="B1171" s="33" t="s">
        <v>29</v>
      </c>
      <c r="C1171" s="33" t="s">
        <v>23</v>
      </c>
      <c r="D1171" s="33">
        <v>203</v>
      </c>
    </row>
    <row r="1172" spans="1:4" x14ac:dyDescent="0.15">
      <c r="A1172" s="32">
        <v>34973</v>
      </c>
      <c r="B1172" s="33" t="s">
        <v>28</v>
      </c>
      <c r="C1172" s="33" t="s">
        <v>23</v>
      </c>
      <c r="D1172" s="33">
        <v>210</v>
      </c>
    </row>
    <row r="1173" spans="1:4" x14ac:dyDescent="0.15">
      <c r="A1173" s="32">
        <v>34973</v>
      </c>
      <c r="B1173" s="33" t="s">
        <v>29</v>
      </c>
      <c r="C1173" s="33" t="s">
        <v>23</v>
      </c>
      <c r="D1173" s="33">
        <v>116</v>
      </c>
    </row>
    <row r="1174" spans="1:4" x14ac:dyDescent="0.15">
      <c r="A1174" s="32">
        <v>34973</v>
      </c>
      <c r="B1174" s="33" t="s">
        <v>21</v>
      </c>
      <c r="C1174" s="33" t="s">
        <v>23</v>
      </c>
      <c r="D1174" s="33">
        <v>360</v>
      </c>
    </row>
    <row r="1175" spans="1:4" x14ac:dyDescent="0.15">
      <c r="A1175" s="32">
        <v>34973</v>
      </c>
      <c r="B1175" s="33" t="s">
        <v>26</v>
      </c>
      <c r="C1175" s="33" t="s">
        <v>23</v>
      </c>
      <c r="D1175" s="33">
        <v>105</v>
      </c>
    </row>
    <row r="1176" spans="1:4" x14ac:dyDescent="0.15">
      <c r="A1176" s="32">
        <v>34973</v>
      </c>
      <c r="B1176" s="33" t="s">
        <v>28</v>
      </c>
      <c r="C1176" s="33" t="s">
        <v>23</v>
      </c>
      <c r="D1176" s="33">
        <v>472</v>
      </c>
    </row>
    <row r="1177" spans="1:4" x14ac:dyDescent="0.15">
      <c r="A1177" s="32">
        <v>34973</v>
      </c>
      <c r="B1177" s="33" t="s">
        <v>28</v>
      </c>
      <c r="C1177" s="33" t="s">
        <v>23</v>
      </c>
      <c r="D1177" s="33">
        <v>590</v>
      </c>
    </row>
    <row r="1178" spans="1:4" x14ac:dyDescent="0.15">
      <c r="A1178" s="32">
        <v>34973</v>
      </c>
      <c r="B1178" s="33" t="s">
        <v>26</v>
      </c>
      <c r="C1178" s="33" t="s">
        <v>23</v>
      </c>
      <c r="D1178" s="33">
        <v>739</v>
      </c>
    </row>
    <row r="1179" spans="1:4" x14ac:dyDescent="0.15">
      <c r="A1179" s="32">
        <v>34973</v>
      </c>
      <c r="B1179" s="33" t="s">
        <v>21</v>
      </c>
      <c r="C1179" s="33" t="s">
        <v>23</v>
      </c>
      <c r="D1179" s="33">
        <v>846</v>
      </c>
    </row>
    <row r="1180" spans="1:4" x14ac:dyDescent="0.15">
      <c r="A1180" s="32">
        <v>34973</v>
      </c>
      <c r="B1180" s="33" t="s">
        <v>21</v>
      </c>
      <c r="C1180" s="33" t="s">
        <v>23</v>
      </c>
      <c r="D1180" s="33">
        <v>873</v>
      </c>
    </row>
    <row r="1181" spans="1:4" x14ac:dyDescent="0.15">
      <c r="A1181" s="32">
        <v>34973</v>
      </c>
      <c r="B1181" s="33" t="s">
        <v>28</v>
      </c>
      <c r="C1181" s="33" t="s">
        <v>23</v>
      </c>
      <c r="D1181" s="33">
        <v>341</v>
      </c>
    </row>
    <row r="1182" spans="1:4" x14ac:dyDescent="0.15">
      <c r="A1182" s="32">
        <v>34973</v>
      </c>
      <c r="B1182" s="33" t="s">
        <v>29</v>
      </c>
      <c r="C1182" s="33" t="s">
        <v>23</v>
      </c>
      <c r="D1182" s="33">
        <v>90</v>
      </c>
    </row>
    <row r="1183" spans="1:4" x14ac:dyDescent="0.15">
      <c r="A1183" s="32">
        <v>34973</v>
      </c>
      <c r="B1183" s="33" t="s">
        <v>26</v>
      </c>
      <c r="C1183" s="33" t="s">
        <v>24</v>
      </c>
      <c r="D1183" s="33">
        <v>193</v>
      </c>
    </row>
    <row r="1184" spans="1:4" x14ac:dyDescent="0.15">
      <c r="A1184" s="32">
        <v>34973</v>
      </c>
      <c r="B1184" s="33" t="s">
        <v>26</v>
      </c>
      <c r="C1184" s="33" t="s">
        <v>24</v>
      </c>
      <c r="D1184" s="33">
        <v>193</v>
      </c>
    </row>
    <row r="1185" spans="1:4" x14ac:dyDescent="0.15">
      <c r="A1185" s="32">
        <v>34973</v>
      </c>
      <c r="B1185" s="33" t="s">
        <v>26</v>
      </c>
      <c r="C1185" s="33" t="s">
        <v>24</v>
      </c>
      <c r="D1185" s="33">
        <v>131</v>
      </c>
    </row>
    <row r="1186" spans="1:4" x14ac:dyDescent="0.15">
      <c r="A1186" s="32">
        <v>34973</v>
      </c>
      <c r="B1186" s="33" t="s">
        <v>21</v>
      </c>
      <c r="C1186" s="33" t="s">
        <v>24</v>
      </c>
      <c r="D1186" s="33">
        <v>55</v>
      </c>
    </row>
    <row r="1187" spans="1:4" x14ac:dyDescent="0.15">
      <c r="A1187" s="32">
        <v>34973</v>
      </c>
      <c r="B1187" s="33" t="s">
        <v>26</v>
      </c>
      <c r="C1187" s="33" t="s">
        <v>24</v>
      </c>
      <c r="D1187" s="33">
        <v>68</v>
      </c>
    </row>
    <row r="1188" spans="1:4" x14ac:dyDescent="0.15">
      <c r="A1188" s="32">
        <v>34973</v>
      </c>
      <c r="B1188" s="33" t="s">
        <v>21</v>
      </c>
      <c r="C1188" s="33" t="s">
        <v>24</v>
      </c>
      <c r="D1188" s="33">
        <v>79</v>
      </c>
    </row>
    <row r="1189" spans="1:4" x14ac:dyDescent="0.15">
      <c r="A1189" s="32">
        <v>34973</v>
      </c>
      <c r="B1189" s="33" t="s">
        <v>26</v>
      </c>
      <c r="C1189" s="33" t="s">
        <v>24</v>
      </c>
      <c r="D1189" s="33">
        <v>123</v>
      </c>
    </row>
    <row r="1190" spans="1:4" x14ac:dyDescent="0.15">
      <c r="A1190" s="32">
        <v>34973</v>
      </c>
      <c r="B1190" s="33" t="s">
        <v>21</v>
      </c>
      <c r="C1190" s="33" t="s">
        <v>24</v>
      </c>
      <c r="D1190" s="33">
        <v>122</v>
      </c>
    </row>
    <row r="1191" spans="1:4" x14ac:dyDescent="0.15">
      <c r="A1191" s="32">
        <v>34973</v>
      </c>
      <c r="B1191" s="33" t="s">
        <v>21</v>
      </c>
      <c r="C1191" s="33" t="s">
        <v>24</v>
      </c>
      <c r="D1191" s="33">
        <v>70</v>
      </c>
    </row>
    <row r="1192" spans="1:4" x14ac:dyDescent="0.15">
      <c r="A1192" s="32">
        <v>34973</v>
      </c>
      <c r="B1192" s="33" t="s">
        <v>26</v>
      </c>
      <c r="C1192" s="33" t="s">
        <v>24</v>
      </c>
      <c r="D1192" s="33">
        <v>79</v>
      </c>
    </row>
    <row r="1193" spans="1:4" x14ac:dyDescent="0.15">
      <c r="A1193" s="32">
        <v>34973</v>
      </c>
      <c r="B1193" s="33" t="s">
        <v>21</v>
      </c>
      <c r="C1193" s="33" t="s">
        <v>24</v>
      </c>
      <c r="D1193" s="33">
        <v>1810</v>
      </c>
    </row>
    <row r="1194" spans="1:4" x14ac:dyDescent="0.15">
      <c r="A1194" s="32">
        <v>34973</v>
      </c>
      <c r="B1194" s="33" t="s">
        <v>21</v>
      </c>
      <c r="C1194" s="33" t="s">
        <v>24</v>
      </c>
      <c r="D1194" s="33">
        <v>1681</v>
      </c>
    </row>
    <row r="1195" spans="1:4" x14ac:dyDescent="0.15">
      <c r="A1195" s="32">
        <v>34973</v>
      </c>
      <c r="B1195" s="33" t="s">
        <v>28</v>
      </c>
      <c r="C1195" s="33" t="s">
        <v>25</v>
      </c>
      <c r="D1195" s="33">
        <v>210</v>
      </c>
    </row>
    <row r="1196" spans="1:4" x14ac:dyDescent="0.15">
      <c r="A1196" s="32">
        <v>34973</v>
      </c>
      <c r="B1196" s="33" t="s">
        <v>29</v>
      </c>
      <c r="C1196" s="33" t="s">
        <v>25</v>
      </c>
      <c r="D1196" s="33">
        <v>123</v>
      </c>
    </row>
    <row r="1197" spans="1:4" x14ac:dyDescent="0.15">
      <c r="A1197" s="32">
        <v>34973</v>
      </c>
      <c r="B1197" s="33" t="s">
        <v>29</v>
      </c>
      <c r="C1197" s="33" t="s">
        <v>25</v>
      </c>
      <c r="D1197" s="33">
        <v>46</v>
      </c>
    </row>
    <row r="1198" spans="1:4" x14ac:dyDescent="0.15">
      <c r="A1198" s="32">
        <v>34973</v>
      </c>
      <c r="B1198" s="33" t="s">
        <v>21</v>
      </c>
      <c r="C1198" s="33" t="s">
        <v>25</v>
      </c>
      <c r="D1198" s="33">
        <v>70</v>
      </c>
    </row>
    <row r="1199" spans="1:4" x14ac:dyDescent="0.15">
      <c r="A1199" s="32">
        <v>34973</v>
      </c>
      <c r="B1199" s="33" t="s">
        <v>21</v>
      </c>
      <c r="C1199" s="33" t="s">
        <v>25</v>
      </c>
      <c r="D1199" s="33">
        <v>68</v>
      </c>
    </row>
    <row r="1200" spans="1:4" x14ac:dyDescent="0.15">
      <c r="A1200" s="32">
        <v>34973</v>
      </c>
      <c r="B1200" s="33" t="s">
        <v>29</v>
      </c>
      <c r="C1200" s="33" t="s">
        <v>25</v>
      </c>
      <c r="D1200" s="33">
        <v>68</v>
      </c>
    </row>
    <row r="1201" spans="1:4" x14ac:dyDescent="0.15">
      <c r="A1201" s="32">
        <v>34973</v>
      </c>
      <c r="B1201" s="33" t="s">
        <v>29</v>
      </c>
      <c r="C1201" s="33" t="s">
        <v>25</v>
      </c>
      <c r="D1201" s="33">
        <v>113</v>
      </c>
    </row>
    <row r="1202" spans="1:4" x14ac:dyDescent="0.15">
      <c r="A1202" s="32">
        <v>34973</v>
      </c>
      <c r="B1202" s="33" t="s">
        <v>21</v>
      </c>
      <c r="C1202" s="33" t="s">
        <v>25</v>
      </c>
      <c r="D1202" s="33">
        <v>326</v>
      </c>
    </row>
    <row r="1203" spans="1:4" x14ac:dyDescent="0.15">
      <c r="A1203" s="32">
        <v>34973</v>
      </c>
      <c r="B1203" s="33" t="s">
        <v>28</v>
      </c>
      <c r="C1203" s="33" t="s">
        <v>25</v>
      </c>
      <c r="D1203" s="33">
        <v>656</v>
      </c>
    </row>
    <row r="1204" spans="1:4" x14ac:dyDescent="0.15">
      <c r="A1204" s="32">
        <v>34973</v>
      </c>
      <c r="B1204" s="33" t="s">
        <v>28</v>
      </c>
      <c r="C1204" s="33" t="s">
        <v>25</v>
      </c>
      <c r="D1204" s="33">
        <v>405</v>
      </c>
    </row>
    <row r="1205" spans="1:4" x14ac:dyDescent="0.15">
      <c r="A1205" s="32">
        <v>34973</v>
      </c>
      <c r="B1205" s="33" t="s">
        <v>26</v>
      </c>
      <c r="C1205" s="33" t="s">
        <v>25</v>
      </c>
      <c r="D1205" s="33">
        <v>326</v>
      </c>
    </row>
    <row r="1206" spans="1:4" x14ac:dyDescent="0.15">
      <c r="A1206" s="32">
        <v>34973</v>
      </c>
      <c r="B1206" s="33" t="s">
        <v>26</v>
      </c>
      <c r="C1206" s="33" t="s">
        <v>25</v>
      </c>
      <c r="D1206" s="33">
        <v>270</v>
      </c>
    </row>
    <row r="1207" spans="1:4" x14ac:dyDescent="0.15">
      <c r="A1207" s="32">
        <v>34973</v>
      </c>
      <c r="B1207" s="33" t="s">
        <v>26</v>
      </c>
      <c r="C1207" s="33" t="s">
        <v>25</v>
      </c>
      <c r="D1207" s="33">
        <v>263</v>
      </c>
    </row>
    <row r="1208" spans="1:4" x14ac:dyDescent="0.15">
      <c r="A1208" s="32">
        <v>34973</v>
      </c>
      <c r="B1208" s="33" t="s">
        <v>28</v>
      </c>
      <c r="C1208" s="33" t="s">
        <v>25</v>
      </c>
      <c r="D1208" s="33">
        <v>263</v>
      </c>
    </row>
    <row r="1209" spans="1:4" x14ac:dyDescent="0.15">
      <c r="A1209" s="32">
        <v>34973</v>
      </c>
      <c r="B1209" s="33" t="s">
        <v>26</v>
      </c>
      <c r="C1209" s="33" t="s">
        <v>25</v>
      </c>
      <c r="D1209" s="33">
        <v>949</v>
      </c>
    </row>
    <row r="1210" spans="1:4" x14ac:dyDescent="0.15">
      <c r="A1210" s="32">
        <v>34973</v>
      </c>
      <c r="B1210" s="33" t="s">
        <v>21</v>
      </c>
      <c r="C1210" s="33" t="s">
        <v>25</v>
      </c>
      <c r="D1210" s="33">
        <v>1196</v>
      </c>
    </row>
    <row r="1211" spans="1:4" x14ac:dyDescent="0.15">
      <c r="A1211" s="32">
        <v>34973</v>
      </c>
      <c r="B1211" s="33" t="s">
        <v>26</v>
      </c>
      <c r="C1211" s="33" t="s">
        <v>27</v>
      </c>
      <c r="D1211" s="33">
        <v>338</v>
      </c>
    </row>
    <row r="1212" spans="1:4" x14ac:dyDescent="0.15">
      <c r="A1212" s="32">
        <v>34973</v>
      </c>
      <c r="B1212" s="33" t="s">
        <v>21</v>
      </c>
      <c r="C1212" s="33" t="s">
        <v>27</v>
      </c>
      <c r="D1212" s="33">
        <v>694</v>
      </c>
    </row>
    <row r="1213" spans="1:4" x14ac:dyDescent="0.15">
      <c r="A1213" s="32">
        <v>34973</v>
      </c>
      <c r="B1213" s="33" t="s">
        <v>28</v>
      </c>
      <c r="C1213" s="33" t="s">
        <v>27</v>
      </c>
      <c r="D1213" s="33">
        <v>908</v>
      </c>
    </row>
    <row r="1214" spans="1:4" x14ac:dyDescent="0.15">
      <c r="A1214" s="32">
        <v>34973</v>
      </c>
      <c r="B1214" s="33" t="s">
        <v>21</v>
      </c>
      <c r="C1214" s="33" t="s">
        <v>27</v>
      </c>
      <c r="D1214" s="33">
        <v>1051</v>
      </c>
    </row>
    <row r="1215" spans="1:4" x14ac:dyDescent="0.15">
      <c r="A1215" s="32">
        <v>34973</v>
      </c>
      <c r="B1215" s="33" t="s">
        <v>28</v>
      </c>
      <c r="C1215" s="33" t="s">
        <v>27</v>
      </c>
      <c r="D1215" s="33">
        <v>2797</v>
      </c>
    </row>
    <row r="1216" spans="1:4" x14ac:dyDescent="0.15">
      <c r="A1216" s="32">
        <v>34973</v>
      </c>
      <c r="B1216" s="33" t="s">
        <v>29</v>
      </c>
      <c r="C1216" s="33" t="s">
        <v>27</v>
      </c>
      <c r="D1216" s="33">
        <v>36</v>
      </c>
    </row>
    <row r="1217" spans="1:4" x14ac:dyDescent="0.15">
      <c r="A1217" s="32">
        <v>34973</v>
      </c>
      <c r="B1217" s="33" t="s">
        <v>26</v>
      </c>
      <c r="C1217" s="33" t="s">
        <v>27</v>
      </c>
      <c r="D1217" s="33">
        <v>1783</v>
      </c>
    </row>
    <row r="1218" spans="1:4" x14ac:dyDescent="0.15">
      <c r="A1218" s="32">
        <v>34973</v>
      </c>
      <c r="B1218" s="33" t="s">
        <v>29</v>
      </c>
      <c r="C1218" s="33" t="s">
        <v>27</v>
      </c>
      <c r="D1218" s="33">
        <v>53</v>
      </c>
    </row>
    <row r="1219" spans="1:4" x14ac:dyDescent="0.15">
      <c r="A1219" s="32">
        <v>34973</v>
      </c>
      <c r="B1219" s="33" t="s">
        <v>28</v>
      </c>
      <c r="C1219" s="33" t="s">
        <v>27</v>
      </c>
      <c r="D1219" s="33">
        <v>39</v>
      </c>
    </row>
    <row r="1220" spans="1:4" x14ac:dyDescent="0.15">
      <c r="A1220" s="32">
        <v>34973</v>
      </c>
      <c r="B1220" s="33" t="s">
        <v>26</v>
      </c>
      <c r="C1220" s="33" t="s">
        <v>27</v>
      </c>
      <c r="D1220" s="33">
        <v>203</v>
      </c>
    </row>
    <row r="1221" spans="1:4" x14ac:dyDescent="0.15">
      <c r="A1221" s="32">
        <v>34973</v>
      </c>
      <c r="B1221" s="33" t="s">
        <v>21</v>
      </c>
      <c r="C1221" s="33" t="s">
        <v>27</v>
      </c>
      <c r="D1221" s="33">
        <v>68</v>
      </c>
    </row>
    <row r="1222" spans="1:4" x14ac:dyDescent="0.15">
      <c r="A1222" s="32">
        <v>34973</v>
      </c>
      <c r="B1222" s="33" t="s">
        <v>28</v>
      </c>
      <c r="C1222" s="33" t="s">
        <v>27</v>
      </c>
      <c r="D1222" s="33">
        <v>72</v>
      </c>
    </row>
    <row r="1223" spans="1:4" x14ac:dyDescent="0.15">
      <c r="A1223" s="32">
        <v>34973</v>
      </c>
      <c r="B1223" s="33" t="s">
        <v>29</v>
      </c>
      <c r="C1223" s="33" t="s">
        <v>27</v>
      </c>
      <c r="D1223" s="33">
        <v>77</v>
      </c>
    </row>
    <row r="1224" spans="1:4" x14ac:dyDescent="0.15">
      <c r="A1224" s="32">
        <v>34973</v>
      </c>
      <c r="B1224" s="33" t="s">
        <v>29</v>
      </c>
      <c r="C1224" s="33" t="s">
        <v>27</v>
      </c>
      <c r="D1224" s="33">
        <v>90</v>
      </c>
    </row>
    <row r="1225" spans="1:4" x14ac:dyDescent="0.15">
      <c r="A1225" s="32">
        <v>34973</v>
      </c>
      <c r="B1225" s="33" t="s">
        <v>21</v>
      </c>
      <c r="C1225" s="33" t="s">
        <v>27</v>
      </c>
      <c r="D1225" s="33">
        <v>44</v>
      </c>
    </row>
    <row r="1226" spans="1:4" x14ac:dyDescent="0.15">
      <c r="A1226" s="32">
        <v>34973</v>
      </c>
      <c r="B1226" s="33" t="s">
        <v>26</v>
      </c>
      <c r="C1226" s="33" t="s">
        <v>27</v>
      </c>
      <c r="D1226" s="33">
        <v>977</v>
      </c>
    </row>
    <row r="1227" spans="1:4" x14ac:dyDescent="0.15">
      <c r="A1227" s="32">
        <v>34973</v>
      </c>
      <c r="B1227" s="33" t="s">
        <v>29</v>
      </c>
      <c r="C1227" s="33" t="s">
        <v>30</v>
      </c>
      <c r="D1227" s="33">
        <v>121</v>
      </c>
    </row>
    <row r="1228" spans="1:4" x14ac:dyDescent="0.15">
      <c r="A1228" s="32">
        <v>34973</v>
      </c>
      <c r="B1228" s="33" t="s">
        <v>21</v>
      </c>
      <c r="C1228" s="33" t="s">
        <v>30</v>
      </c>
      <c r="D1228" s="33">
        <v>105</v>
      </c>
    </row>
    <row r="1229" spans="1:4" x14ac:dyDescent="0.15">
      <c r="A1229" s="32">
        <v>34973</v>
      </c>
      <c r="B1229" s="33" t="s">
        <v>26</v>
      </c>
      <c r="C1229" s="33" t="s">
        <v>30</v>
      </c>
      <c r="D1229" s="33">
        <v>110</v>
      </c>
    </row>
    <row r="1230" spans="1:4" x14ac:dyDescent="0.15">
      <c r="A1230" s="32">
        <v>34973</v>
      </c>
      <c r="B1230" s="33" t="s">
        <v>29</v>
      </c>
      <c r="C1230" s="33" t="s">
        <v>30</v>
      </c>
      <c r="D1230" s="33">
        <v>88</v>
      </c>
    </row>
    <row r="1231" spans="1:4" x14ac:dyDescent="0.15">
      <c r="A1231" s="32">
        <v>34973</v>
      </c>
      <c r="B1231" s="33" t="s">
        <v>21</v>
      </c>
      <c r="C1231" s="33" t="s">
        <v>30</v>
      </c>
      <c r="D1231" s="33">
        <v>124</v>
      </c>
    </row>
    <row r="1232" spans="1:4" x14ac:dyDescent="0.15">
      <c r="A1232" s="32">
        <v>34973</v>
      </c>
      <c r="B1232" s="33" t="s">
        <v>29</v>
      </c>
      <c r="C1232" s="33" t="s">
        <v>30</v>
      </c>
      <c r="D1232" s="33">
        <v>138</v>
      </c>
    </row>
    <row r="1233" spans="1:4" x14ac:dyDescent="0.15">
      <c r="A1233" s="32">
        <v>34973</v>
      </c>
      <c r="B1233" s="33" t="s">
        <v>26</v>
      </c>
      <c r="C1233" s="33" t="s">
        <v>30</v>
      </c>
      <c r="D1233" s="33">
        <v>138</v>
      </c>
    </row>
    <row r="1234" spans="1:4" x14ac:dyDescent="0.15">
      <c r="A1234" s="32">
        <v>34973</v>
      </c>
      <c r="B1234" s="33" t="s">
        <v>26</v>
      </c>
      <c r="C1234" s="33" t="s">
        <v>30</v>
      </c>
      <c r="D1234" s="33">
        <v>140</v>
      </c>
    </row>
    <row r="1235" spans="1:4" x14ac:dyDescent="0.15">
      <c r="A1235" s="32">
        <v>34973</v>
      </c>
      <c r="B1235" s="33" t="s">
        <v>29</v>
      </c>
      <c r="C1235" s="33" t="s">
        <v>30</v>
      </c>
      <c r="D1235" s="33">
        <v>146</v>
      </c>
    </row>
    <row r="1236" spans="1:4" x14ac:dyDescent="0.15">
      <c r="A1236" s="32">
        <v>34973</v>
      </c>
      <c r="B1236" s="33" t="s">
        <v>26</v>
      </c>
      <c r="C1236" s="33" t="s">
        <v>30</v>
      </c>
      <c r="D1236" s="33">
        <v>114</v>
      </c>
    </row>
    <row r="1237" spans="1:4" x14ac:dyDescent="0.15">
      <c r="A1237" s="32">
        <v>34973</v>
      </c>
      <c r="B1237" s="33" t="s">
        <v>21</v>
      </c>
      <c r="C1237" s="33" t="s">
        <v>30</v>
      </c>
      <c r="D1237" s="33">
        <v>39</v>
      </c>
    </row>
    <row r="1238" spans="1:4" x14ac:dyDescent="0.15">
      <c r="A1238" s="32">
        <v>34973</v>
      </c>
      <c r="B1238" s="33" t="s">
        <v>29</v>
      </c>
      <c r="C1238" s="33" t="s">
        <v>30</v>
      </c>
      <c r="D1238" s="33">
        <v>81</v>
      </c>
    </row>
    <row r="1239" spans="1:4" x14ac:dyDescent="0.15">
      <c r="A1239" s="32">
        <v>34973</v>
      </c>
      <c r="B1239" s="33" t="s">
        <v>26</v>
      </c>
      <c r="C1239" s="33" t="s">
        <v>30</v>
      </c>
      <c r="D1239" s="33">
        <v>629</v>
      </c>
    </row>
    <row r="1240" spans="1:4" x14ac:dyDescent="0.15">
      <c r="A1240" s="32">
        <v>34973</v>
      </c>
      <c r="B1240" s="33" t="s">
        <v>28</v>
      </c>
      <c r="C1240" s="33" t="s">
        <v>30</v>
      </c>
      <c r="D1240" s="33">
        <v>304</v>
      </c>
    </row>
    <row r="1241" spans="1:4" x14ac:dyDescent="0.15">
      <c r="A1241" s="32">
        <v>34973</v>
      </c>
      <c r="B1241" s="33" t="s">
        <v>29</v>
      </c>
      <c r="C1241" s="33" t="s">
        <v>30</v>
      </c>
      <c r="D1241" s="33">
        <v>149</v>
      </c>
    </row>
    <row r="1242" spans="1:4" x14ac:dyDescent="0.15">
      <c r="A1242" s="32">
        <v>34973</v>
      </c>
      <c r="B1242" s="33" t="s">
        <v>26</v>
      </c>
      <c r="C1242" s="33" t="s">
        <v>30</v>
      </c>
      <c r="D1242" s="33">
        <v>191</v>
      </c>
    </row>
    <row r="1243" spans="1:4" x14ac:dyDescent="0.15">
      <c r="A1243" s="32">
        <v>34973</v>
      </c>
      <c r="B1243" s="33" t="s">
        <v>28</v>
      </c>
      <c r="C1243" s="33" t="s">
        <v>30</v>
      </c>
      <c r="D1243" s="33">
        <v>206</v>
      </c>
    </row>
    <row r="1244" spans="1:4" x14ac:dyDescent="0.15">
      <c r="A1244" s="32">
        <v>34973</v>
      </c>
      <c r="B1244" s="33" t="s">
        <v>28</v>
      </c>
      <c r="C1244" s="33" t="s">
        <v>30</v>
      </c>
      <c r="D1244" s="33">
        <v>330</v>
      </c>
    </row>
    <row r="1245" spans="1:4" x14ac:dyDescent="0.15">
      <c r="A1245" s="32">
        <v>34973</v>
      </c>
      <c r="B1245" s="33" t="s">
        <v>28</v>
      </c>
      <c r="C1245" s="33" t="s">
        <v>30</v>
      </c>
      <c r="D1245" s="33">
        <v>315</v>
      </c>
    </row>
    <row r="1246" spans="1:4" x14ac:dyDescent="0.15">
      <c r="A1246" s="32">
        <v>34973</v>
      </c>
      <c r="B1246" s="33" t="s">
        <v>21</v>
      </c>
      <c r="C1246" s="33" t="s">
        <v>30</v>
      </c>
      <c r="D1246" s="33">
        <v>146</v>
      </c>
    </row>
    <row r="1247" spans="1:4" x14ac:dyDescent="0.15">
      <c r="A1247" s="32">
        <v>34973</v>
      </c>
      <c r="B1247" s="33" t="s">
        <v>21</v>
      </c>
      <c r="C1247" s="33" t="s">
        <v>30</v>
      </c>
      <c r="D1247" s="33">
        <v>28</v>
      </c>
    </row>
    <row r="1248" spans="1:4" x14ac:dyDescent="0.15">
      <c r="A1248" s="32">
        <v>34973</v>
      </c>
      <c r="B1248" s="33" t="s">
        <v>21</v>
      </c>
      <c r="C1248" s="33" t="s">
        <v>30</v>
      </c>
      <c r="D1248" s="33">
        <v>23</v>
      </c>
    </row>
    <row r="1249" spans="1:4" x14ac:dyDescent="0.15">
      <c r="A1249" s="32">
        <v>34973</v>
      </c>
      <c r="B1249" s="33" t="s">
        <v>28</v>
      </c>
      <c r="C1249" s="33" t="s">
        <v>30</v>
      </c>
      <c r="D1249" s="33">
        <v>777</v>
      </c>
    </row>
    <row r="1250" spans="1:4" x14ac:dyDescent="0.15">
      <c r="A1250" s="32">
        <v>35004</v>
      </c>
      <c r="B1250" s="33" t="s">
        <v>21</v>
      </c>
      <c r="C1250" s="33" t="s">
        <v>22</v>
      </c>
      <c r="D1250" s="33">
        <v>923</v>
      </c>
    </row>
    <row r="1251" spans="1:4" x14ac:dyDescent="0.15">
      <c r="A1251" s="32">
        <v>35004</v>
      </c>
      <c r="B1251" s="33" t="s">
        <v>29</v>
      </c>
      <c r="C1251" s="33" t="s">
        <v>22</v>
      </c>
      <c r="D1251" s="33">
        <v>212</v>
      </c>
    </row>
    <row r="1252" spans="1:4" x14ac:dyDescent="0.15">
      <c r="A1252" s="32">
        <v>35004</v>
      </c>
      <c r="B1252" s="33" t="s">
        <v>26</v>
      </c>
      <c r="C1252" s="33" t="s">
        <v>22</v>
      </c>
      <c r="D1252" s="33">
        <v>248</v>
      </c>
    </row>
    <row r="1253" spans="1:4" x14ac:dyDescent="0.15">
      <c r="A1253" s="32">
        <v>35004</v>
      </c>
      <c r="B1253" s="33" t="s">
        <v>29</v>
      </c>
      <c r="C1253" s="33" t="s">
        <v>22</v>
      </c>
      <c r="D1253" s="33">
        <v>248</v>
      </c>
    </row>
    <row r="1254" spans="1:4" x14ac:dyDescent="0.15">
      <c r="A1254" s="32">
        <v>35004</v>
      </c>
      <c r="B1254" s="33" t="s">
        <v>28</v>
      </c>
      <c r="C1254" s="33" t="s">
        <v>22</v>
      </c>
      <c r="D1254" s="33">
        <v>270</v>
      </c>
    </row>
    <row r="1255" spans="1:4" x14ac:dyDescent="0.15">
      <c r="A1255" s="32">
        <v>35004</v>
      </c>
      <c r="B1255" s="33" t="s">
        <v>28</v>
      </c>
      <c r="C1255" s="33" t="s">
        <v>22</v>
      </c>
      <c r="D1255" s="33">
        <v>413</v>
      </c>
    </row>
    <row r="1256" spans="1:4" x14ac:dyDescent="0.15">
      <c r="A1256" s="32">
        <v>35004</v>
      </c>
      <c r="B1256" s="33" t="s">
        <v>21</v>
      </c>
      <c r="C1256" s="33" t="s">
        <v>22</v>
      </c>
      <c r="D1256" s="33">
        <v>427</v>
      </c>
    </row>
    <row r="1257" spans="1:4" x14ac:dyDescent="0.15">
      <c r="A1257" s="32">
        <v>35004</v>
      </c>
      <c r="B1257" s="33" t="s">
        <v>31</v>
      </c>
      <c r="C1257" s="33" t="s">
        <v>22</v>
      </c>
      <c r="D1257" s="33">
        <v>534</v>
      </c>
    </row>
    <row r="1258" spans="1:4" x14ac:dyDescent="0.15">
      <c r="A1258" s="32">
        <v>35004</v>
      </c>
      <c r="B1258" s="33" t="s">
        <v>21</v>
      </c>
      <c r="C1258" s="33" t="s">
        <v>22</v>
      </c>
      <c r="D1258" s="33">
        <v>563</v>
      </c>
    </row>
    <row r="1259" spans="1:4" x14ac:dyDescent="0.15">
      <c r="A1259" s="32">
        <v>35004</v>
      </c>
      <c r="B1259" s="33" t="s">
        <v>26</v>
      </c>
      <c r="C1259" s="33" t="s">
        <v>22</v>
      </c>
      <c r="D1259" s="33">
        <v>588</v>
      </c>
    </row>
    <row r="1260" spans="1:4" x14ac:dyDescent="0.15">
      <c r="A1260" s="32">
        <v>35004</v>
      </c>
      <c r="B1260" s="33" t="s">
        <v>31</v>
      </c>
      <c r="C1260" s="33" t="s">
        <v>22</v>
      </c>
      <c r="D1260" s="33">
        <v>902</v>
      </c>
    </row>
    <row r="1261" spans="1:4" x14ac:dyDescent="0.15">
      <c r="A1261" s="32">
        <v>35004</v>
      </c>
      <c r="B1261" s="33" t="s">
        <v>28</v>
      </c>
      <c r="C1261" s="33" t="s">
        <v>22</v>
      </c>
      <c r="D1261" s="33">
        <v>972</v>
      </c>
    </row>
    <row r="1262" spans="1:4" x14ac:dyDescent="0.15">
      <c r="A1262" s="32">
        <v>35004</v>
      </c>
      <c r="B1262" s="33" t="s">
        <v>28</v>
      </c>
      <c r="C1262" s="33" t="s">
        <v>22</v>
      </c>
      <c r="D1262" s="33">
        <v>1600</v>
      </c>
    </row>
    <row r="1263" spans="1:4" x14ac:dyDescent="0.15">
      <c r="A1263" s="32">
        <v>35004</v>
      </c>
      <c r="B1263" s="33" t="s">
        <v>21</v>
      </c>
      <c r="C1263" s="33" t="s">
        <v>22</v>
      </c>
      <c r="D1263" s="33">
        <v>658</v>
      </c>
    </row>
    <row r="1264" spans="1:4" x14ac:dyDescent="0.15">
      <c r="A1264" s="32">
        <v>35004</v>
      </c>
      <c r="B1264" s="33" t="s">
        <v>29</v>
      </c>
      <c r="C1264" s="33" t="s">
        <v>22</v>
      </c>
      <c r="D1264" s="33">
        <v>169</v>
      </c>
    </row>
    <row r="1265" spans="1:4" x14ac:dyDescent="0.15">
      <c r="A1265" s="32">
        <v>35004</v>
      </c>
      <c r="B1265" s="33" t="s">
        <v>29</v>
      </c>
      <c r="C1265" s="33" t="s">
        <v>22</v>
      </c>
      <c r="D1265" s="33">
        <v>66</v>
      </c>
    </row>
    <row r="1266" spans="1:4" x14ac:dyDescent="0.15">
      <c r="A1266" s="32">
        <v>35004</v>
      </c>
      <c r="B1266" s="33" t="s">
        <v>26</v>
      </c>
      <c r="C1266" s="33" t="s">
        <v>22</v>
      </c>
      <c r="D1266" s="33">
        <v>113</v>
      </c>
    </row>
    <row r="1267" spans="1:4" x14ac:dyDescent="0.15">
      <c r="A1267" s="32">
        <v>35004</v>
      </c>
      <c r="B1267" s="33" t="s">
        <v>26</v>
      </c>
      <c r="C1267" s="33" t="s">
        <v>23</v>
      </c>
      <c r="D1267" s="33">
        <v>114</v>
      </c>
    </row>
    <row r="1268" spans="1:4" x14ac:dyDescent="0.15">
      <c r="A1268" s="32">
        <v>35004</v>
      </c>
      <c r="B1268" s="33" t="s">
        <v>31</v>
      </c>
      <c r="C1268" s="33" t="s">
        <v>23</v>
      </c>
      <c r="D1268" s="33">
        <v>131</v>
      </c>
    </row>
    <row r="1269" spans="1:4" x14ac:dyDescent="0.15">
      <c r="A1269" s="32">
        <v>35004</v>
      </c>
      <c r="B1269" s="33" t="s">
        <v>26</v>
      </c>
      <c r="C1269" s="33" t="s">
        <v>23</v>
      </c>
      <c r="D1269" s="33">
        <v>140</v>
      </c>
    </row>
    <row r="1270" spans="1:4" x14ac:dyDescent="0.15">
      <c r="A1270" s="32">
        <v>35004</v>
      </c>
      <c r="B1270" s="33" t="s">
        <v>29</v>
      </c>
      <c r="C1270" s="33" t="s">
        <v>23</v>
      </c>
      <c r="D1270" s="33">
        <v>144</v>
      </c>
    </row>
    <row r="1271" spans="1:4" x14ac:dyDescent="0.15">
      <c r="A1271" s="32">
        <v>35004</v>
      </c>
      <c r="B1271" s="33" t="s">
        <v>29</v>
      </c>
      <c r="C1271" s="33" t="s">
        <v>23</v>
      </c>
      <c r="D1271" s="33">
        <v>196</v>
      </c>
    </row>
    <row r="1272" spans="1:4" x14ac:dyDescent="0.15">
      <c r="A1272" s="32">
        <v>35004</v>
      </c>
      <c r="B1272" s="33" t="s">
        <v>26</v>
      </c>
      <c r="C1272" s="33" t="s">
        <v>23</v>
      </c>
      <c r="D1272" s="33">
        <v>169</v>
      </c>
    </row>
    <row r="1273" spans="1:4" x14ac:dyDescent="0.15">
      <c r="A1273" s="32">
        <v>35004</v>
      </c>
      <c r="B1273" s="33" t="s">
        <v>26</v>
      </c>
      <c r="C1273" s="33" t="s">
        <v>23</v>
      </c>
      <c r="D1273" s="33">
        <v>450</v>
      </c>
    </row>
    <row r="1274" spans="1:4" x14ac:dyDescent="0.15">
      <c r="A1274" s="32">
        <v>35004</v>
      </c>
      <c r="B1274" s="33" t="s">
        <v>31</v>
      </c>
      <c r="C1274" s="33" t="s">
        <v>23</v>
      </c>
      <c r="D1274" s="33">
        <v>214</v>
      </c>
    </row>
    <row r="1275" spans="1:4" x14ac:dyDescent="0.15">
      <c r="A1275" s="32">
        <v>35004</v>
      </c>
      <c r="B1275" s="33" t="s">
        <v>29</v>
      </c>
      <c r="C1275" s="33" t="s">
        <v>23</v>
      </c>
      <c r="D1275" s="33">
        <v>245</v>
      </c>
    </row>
    <row r="1276" spans="1:4" x14ac:dyDescent="0.15">
      <c r="A1276" s="32">
        <v>35004</v>
      </c>
      <c r="B1276" s="33" t="s">
        <v>28</v>
      </c>
      <c r="C1276" s="33" t="s">
        <v>23</v>
      </c>
      <c r="D1276" s="33">
        <v>263</v>
      </c>
    </row>
    <row r="1277" spans="1:4" x14ac:dyDescent="0.15">
      <c r="A1277" s="32">
        <v>35004</v>
      </c>
      <c r="B1277" s="33" t="s">
        <v>21</v>
      </c>
      <c r="C1277" s="33" t="s">
        <v>23</v>
      </c>
      <c r="D1277" s="33">
        <v>306</v>
      </c>
    </row>
    <row r="1278" spans="1:4" x14ac:dyDescent="0.15">
      <c r="A1278" s="32">
        <v>35004</v>
      </c>
      <c r="B1278" s="33" t="s">
        <v>29</v>
      </c>
      <c r="C1278" s="33" t="s">
        <v>23</v>
      </c>
      <c r="D1278" s="33">
        <v>315</v>
      </c>
    </row>
    <row r="1279" spans="1:4" x14ac:dyDescent="0.15">
      <c r="A1279" s="32">
        <v>35004</v>
      </c>
      <c r="B1279" s="33" t="s">
        <v>21</v>
      </c>
      <c r="C1279" s="33" t="s">
        <v>23</v>
      </c>
      <c r="D1279" s="33">
        <v>620</v>
      </c>
    </row>
    <row r="1280" spans="1:4" x14ac:dyDescent="0.15">
      <c r="A1280" s="32">
        <v>35004</v>
      </c>
      <c r="B1280" s="33" t="s">
        <v>28</v>
      </c>
      <c r="C1280" s="33" t="s">
        <v>23</v>
      </c>
      <c r="D1280" s="33">
        <v>623</v>
      </c>
    </row>
    <row r="1281" spans="1:4" x14ac:dyDescent="0.15">
      <c r="A1281" s="32">
        <v>35004</v>
      </c>
      <c r="B1281" s="33" t="s">
        <v>21</v>
      </c>
      <c r="C1281" s="33" t="s">
        <v>23</v>
      </c>
      <c r="D1281" s="33">
        <v>690</v>
      </c>
    </row>
    <row r="1282" spans="1:4" x14ac:dyDescent="0.15">
      <c r="A1282" s="32">
        <v>35004</v>
      </c>
      <c r="B1282" s="33" t="s">
        <v>28</v>
      </c>
      <c r="C1282" s="33" t="s">
        <v>23</v>
      </c>
      <c r="D1282" s="33">
        <v>696</v>
      </c>
    </row>
    <row r="1283" spans="1:4" x14ac:dyDescent="0.15">
      <c r="A1283" s="32">
        <v>35004</v>
      </c>
      <c r="B1283" s="33" t="s">
        <v>21</v>
      </c>
      <c r="C1283" s="33" t="s">
        <v>23</v>
      </c>
      <c r="D1283" s="33">
        <v>1124</v>
      </c>
    </row>
    <row r="1284" spans="1:4" x14ac:dyDescent="0.15">
      <c r="A1284" s="32">
        <v>35004</v>
      </c>
      <c r="B1284" s="33" t="s">
        <v>28</v>
      </c>
      <c r="C1284" s="33" t="s">
        <v>23</v>
      </c>
      <c r="D1284" s="33">
        <v>394</v>
      </c>
    </row>
    <row r="1285" spans="1:4" x14ac:dyDescent="0.15">
      <c r="A1285" s="32">
        <v>35004</v>
      </c>
      <c r="B1285" s="33" t="s">
        <v>26</v>
      </c>
      <c r="C1285" s="33" t="s">
        <v>24</v>
      </c>
      <c r="D1285" s="33">
        <v>105</v>
      </c>
    </row>
    <row r="1286" spans="1:4" x14ac:dyDescent="0.15">
      <c r="A1286" s="32">
        <v>35004</v>
      </c>
      <c r="B1286" s="33" t="s">
        <v>21</v>
      </c>
      <c r="C1286" s="33" t="s">
        <v>24</v>
      </c>
      <c r="D1286" s="33">
        <v>90</v>
      </c>
    </row>
    <row r="1287" spans="1:4" x14ac:dyDescent="0.15">
      <c r="A1287" s="32">
        <v>35004</v>
      </c>
      <c r="B1287" s="33" t="s">
        <v>26</v>
      </c>
      <c r="C1287" s="33" t="s">
        <v>24</v>
      </c>
      <c r="D1287" s="33">
        <v>90</v>
      </c>
    </row>
    <row r="1288" spans="1:4" x14ac:dyDescent="0.15">
      <c r="A1288" s="32">
        <v>35004</v>
      </c>
      <c r="B1288" s="33" t="s">
        <v>26</v>
      </c>
      <c r="C1288" s="33" t="s">
        <v>24</v>
      </c>
      <c r="D1288" s="33">
        <v>90</v>
      </c>
    </row>
    <row r="1289" spans="1:4" x14ac:dyDescent="0.15">
      <c r="A1289" s="32">
        <v>35004</v>
      </c>
      <c r="B1289" s="33" t="s">
        <v>21</v>
      </c>
      <c r="C1289" s="33" t="s">
        <v>24</v>
      </c>
      <c r="D1289" s="33">
        <v>81</v>
      </c>
    </row>
    <row r="1290" spans="1:4" x14ac:dyDescent="0.15">
      <c r="A1290" s="32">
        <v>35004</v>
      </c>
      <c r="B1290" s="33" t="s">
        <v>21</v>
      </c>
      <c r="C1290" s="33" t="s">
        <v>24</v>
      </c>
      <c r="D1290" s="33">
        <v>55</v>
      </c>
    </row>
    <row r="1291" spans="1:4" x14ac:dyDescent="0.15">
      <c r="A1291" s="32">
        <v>35004</v>
      </c>
      <c r="B1291" s="33" t="s">
        <v>21</v>
      </c>
      <c r="C1291" s="33" t="s">
        <v>24</v>
      </c>
      <c r="D1291" s="33">
        <v>1975</v>
      </c>
    </row>
    <row r="1292" spans="1:4" x14ac:dyDescent="0.15">
      <c r="A1292" s="32">
        <v>35004</v>
      </c>
      <c r="B1292" s="33" t="s">
        <v>21</v>
      </c>
      <c r="C1292" s="33" t="s">
        <v>24</v>
      </c>
      <c r="D1292" s="33">
        <v>3490</v>
      </c>
    </row>
    <row r="1293" spans="1:4" x14ac:dyDescent="0.15">
      <c r="A1293" s="32">
        <v>35004</v>
      </c>
      <c r="B1293" s="33" t="s">
        <v>21</v>
      </c>
      <c r="C1293" s="33" t="s">
        <v>24</v>
      </c>
      <c r="D1293" s="33">
        <v>113</v>
      </c>
    </row>
    <row r="1294" spans="1:4" x14ac:dyDescent="0.15">
      <c r="A1294" s="32">
        <v>35004</v>
      </c>
      <c r="B1294" s="33" t="s">
        <v>26</v>
      </c>
      <c r="C1294" s="33" t="s">
        <v>24</v>
      </c>
      <c r="D1294" s="33">
        <v>140</v>
      </c>
    </row>
    <row r="1295" spans="1:4" x14ac:dyDescent="0.15">
      <c r="A1295" s="32">
        <v>35004</v>
      </c>
      <c r="B1295" s="33" t="s">
        <v>26</v>
      </c>
      <c r="C1295" s="33" t="s">
        <v>24</v>
      </c>
      <c r="D1295" s="33">
        <v>234</v>
      </c>
    </row>
    <row r="1296" spans="1:4" x14ac:dyDescent="0.15">
      <c r="A1296" s="32">
        <v>35004</v>
      </c>
      <c r="B1296" s="33" t="s">
        <v>26</v>
      </c>
      <c r="C1296" s="33" t="s">
        <v>24</v>
      </c>
      <c r="D1296" s="33">
        <v>248</v>
      </c>
    </row>
    <row r="1297" spans="1:4" x14ac:dyDescent="0.15">
      <c r="A1297" s="32">
        <v>35004</v>
      </c>
      <c r="B1297" s="33" t="s">
        <v>21</v>
      </c>
      <c r="C1297" s="33" t="s">
        <v>25</v>
      </c>
      <c r="D1297" s="33">
        <v>1456</v>
      </c>
    </row>
    <row r="1298" spans="1:4" x14ac:dyDescent="0.15">
      <c r="A1298" s="32">
        <v>35004</v>
      </c>
      <c r="B1298" s="33" t="s">
        <v>31</v>
      </c>
      <c r="C1298" s="33" t="s">
        <v>25</v>
      </c>
      <c r="D1298" s="33">
        <v>140</v>
      </c>
    </row>
    <row r="1299" spans="1:4" x14ac:dyDescent="0.15">
      <c r="A1299" s="32">
        <v>35004</v>
      </c>
      <c r="B1299" s="33" t="s">
        <v>26</v>
      </c>
      <c r="C1299" s="33" t="s">
        <v>25</v>
      </c>
      <c r="D1299" s="33">
        <v>135</v>
      </c>
    </row>
    <row r="1300" spans="1:4" x14ac:dyDescent="0.15">
      <c r="A1300" s="32">
        <v>35004</v>
      </c>
      <c r="B1300" s="33" t="s">
        <v>21</v>
      </c>
      <c r="C1300" s="33" t="s">
        <v>25</v>
      </c>
      <c r="D1300" s="33">
        <v>90</v>
      </c>
    </row>
    <row r="1301" spans="1:4" x14ac:dyDescent="0.15">
      <c r="A1301" s="32">
        <v>35004</v>
      </c>
      <c r="B1301" s="33" t="s">
        <v>21</v>
      </c>
      <c r="C1301" s="33" t="s">
        <v>25</v>
      </c>
      <c r="D1301" s="33">
        <v>88</v>
      </c>
    </row>
    <row r="1302" spans="1:4" x14ac:dyDescent="0.15">
      <c r="A1302" s="32">
        <v>35004</v>
      </c>
      <c r="B1302" s="33" t="s">
        <v>31</v>
      </c>
      <c r="C1302" s="33" t="s">
        <v>25</v>
      </c>
      <c r="D1302" s="33">
        <v>79</v>
      </c>
    </row>
    <row r="1303" spans="1:4" x14ac:dyDescent="0.15">
      <c r="A1303" s="32">
        <v>35004</v>
      </c>
      <c r="B1303" s="33" t="s">
        <v>29</v>
      </c>
      <c r="C1303" s="33" t="s">
        <v>25</v>
      </c>
      <c r="D1303" s="33">
        <v>53</v>
      </c>
    </row>
    <row r="1304" spans="1:4" x14ac:dyDescent="0.15">
      <c r="A1304" s="32">
        <v>35004</v>
      </c>
      <c r="B1304" s="33" t="s">
        <v>29</v>
      </c>
      <c r="C1304" s="33" t="s">
        <v>25</v>
      </c>
      <c r="D1304" s="33">
        <v>81</v>
      </c>
    </row>
    <row r="1305" spans="1:4" x14ac:dyDescent="0.15">
      <c r="A1305" s="32">
        <v>35004</v>
      </c>
      <c r="B1305" s="33" t="s">
        <v>29</v>
      </c>
      <c r="C1305" s="33" t="s">
        <v>25</v>
      </c>
      <c r="D1305" s="33">
        <v>113</v>
      </c>
    </row>
    <row r="1306" spans="1:4" x14ac:dyDescent="0.15">
      <c r="A1306" s="32">
        <v>35004</v>
      </c>
      <c r="B1306" s="33" t="s">
        <v>21</v>
      </c>
      <c r="C1306" s="33" t="s">
        <v>25</v>
      </c>
      <c r="D1306" s="33">
        <v>394</v>
      </c>
    </row>
    <row r="1307" spans="1:4" x14ac:dyDescent="0.15">
      <c r="A1307" s="32">
        <v>35004</v>
      </c>
      <c r="B1307" s="33" t="s">
        <v>26</v>
      </c>
      <c r="C1307" s="33" t="s">
        <v>25</v>
      </c>
      <c r="D1307" s="33">
        <v>349</v>
      </c>
    </row>
    <row r="1308" spans="1:4" x14ac:dyDescent="0.15">
      <c r="A1308" s="32">
        <v>35004</v>
      </c>
      <c r="B1308" s="33" t="s">
        <v>28</v>
      </c>
      <c r="C1308" s="33" t="s">
        <v>25</v>
      </c>
      <c r="D1308" s="33">
        <v>408</v>
      </c>
    </row>
    <row r="1309" spans="1:4" x14ac:dyDescent="0.15">
      <c r="A1309" s="32">
        <v>35004</v>
      </c>
      <c r="B1309" s="33" t="s">
        <v>26</v>
      </c>
      <c r="C1309" s="33" t="s">
        <v>25</v>
      </c>
      <c r="D1309" s="33">
        <v>1055</v>
      </c>
    </row>
    <row r="1310" spans="1:4" x14ac:dyDescent="0.15">
      <c r="A1310" s="32">
        <v>35004</v>
      </c>
      <c r="B1310" s="33" t="s">
        <v>29</v>
      </c>
      <c r="C1310" s="33" t="s">
        <v>25</v>
      </c>
      <c r="D1310" s="33">
        <v>166</v>
      </c>
    </row>
    <row r="1311" spans="1:4" x14ac:dyDescent="0.15">
      <c r="A1311" s="32">
        <v>35004</v>
      </c>
      <c r="B1311" s="33" t="s">
        <v>26</v>
      </c>
      <c r="C1311" s="33" t="s">
        <v>25</v>
      </c>
      <c r="D1311" s="33">
        <v>193</v>
      </c>
    </row>
    <row r="1312" spans="1:4" x14ac:dyDescent="0.15">
      <c r="A1312" s="32">
        <v>35004</v>
      </c>
      <c r="B1312" s="33" t="s">
        <v>28</v>
      </c>
      <c r="C1312" s="33" t="s">
        <v>25</v>
      </c>
      <c r="D1312" s="33">
        <v>210</v>
      </c>
    </row>
    <row r="1313" spans="1:4" x14ac:dyDescent="0.15">
      <c r="A1313" s="32">
        <v>35004</v>
      </c>
      <c r="B1313" s="33" t="s">
        <v>28</v>
      </c>
      <c r="C1313" s="33" t="s">
        <v>25</v>
      </c>
      <c r="D1313" s="33">
        <v>210</v>
      </c>
    </row>
    <row r="1314" spans="1:4" x14ac:dyDescent="0.15">
      <c r="A1314" s="32">
        <v>35004</v>
      </c>
      <c r="B1314" s="33" t="s">
        <v>28</v>
      </c>
      <c r="C1314" s="33" t="s">
        <v>25</v>
      </c>
      <c r="D1314" s="33">
        <v>623</v>
      </c>
    </row>
    <row r="1315" spans="1:4" x14ac:dyDescent="0.15">
      <c r="A1315" s="32">
        <v>35004</v>
      </c>
      <c r="B1315" s="33" t="s">
        <v>29</v>
      </c>
      <c r="C1315" s="33" t="s">
        <v>27</v>
      </c>
      <c r="D1315" s="33">
        <v>102</v>
      </c>
    </row>
    <row r="1316" spans="1:4" x14ac:dyDescent="0.15">
      <c r="A1316" s="32">
        <v>35004</v>
      </c>
      <c r="B1316" s="33" t="s">
        <v>29</v>
      </c>
      <c r="C1316" s="33" t="s">
        <v>27</v>
      </c>
      <c r="D1316" s="33">
        <v>45</v>
      </c>
    </row>
    <row r="1317" spans="1:4" x14ac:dyDescent="0.15">
      <c r="A1317" s="32">
        <v>35004</v>
      </c>
      <c r="B1317" s="33" t="s">
        <v>28</v>
      </c>
      <c r="C1317" s="33" t="s">
        <v>27</v>
      </c>
      <c r="D1317" s="33">
        <v>50</v>
      </c>
    </row>
    <row r="1318" spans="1:4" x14ac:dyDescent="0.15">
      <c r="A1318" s="32">
        <v>35004</v>
      </c>
      <c r="B1318" s="33" t="s">
        <v>21</v>
      </c>
      <c r="C1318" s="33" t="s">
        <v>27</v>
      </c>
      <c r="D1318" s="33">
        <v>53</v>
      </c>
    </row>
    <row r="1319" spans="1:4" x14ac:dyDescent="0.15">
      <c r="A1319" s="32">
        <v>35004</v>
      </c>
      <c r="B1319" s="33" t="s">
        <v>28</v>
      </c>
      <c r="C1319" s="33" t="s">
        <v>27</v>
      </c>
      <c r="D1319" s="33">
        <v>56</v>
      </c>
    </row>
    <row r="1320" spans="1:4" x14ac:dyDescent="0.15">
      <c r="A1320" s="32">
        <v>35004</v>
      </c>
      <c r="B1320" s="33" t="s">
        <v>29</v>
      </c>
      <c r="C1320" s="33" t="s">
        <v>27</v>
      </c>
      <c r="D1320" s="33">
        <v>79</v>
      </c>
    </row>
    <row r="1321" spans="1:4" x14ac:dyDescent="0.15">
      <c r="A1321" s="32">
        <v>35004</v>
      </c>
      <c r="B1321" s="33" t="s">
        <v>21</v>
      </c>
      <c r="C1321" s="33" t="s">
        <v>27</v>
      </c>
      <c r="D1321" s="33">
        <v>90</v>
      </c>
    </row>
    <row r="1322" spans="1:4" x14ac:dyDescent="0.15">
      <c r="A1322" s="32">
        <v>35004</v>
      </c>
      <c r="B1322" s="33" t="s">
        <v>29</v>
      </c>
      <c r="C1322" s="33" t="s">
        <v>27</v>
      </c>
      <c r="D1322" s="33">
        <v>90</v>
      </c>
    </row>
    <row r="1323" spans="1:4" x14ac:dyDescent="0.15">
      <c r="A1323" s="32">
        <v>35004</v>
      </c>
      <c r="B1323" s="33" t="s">
        <v>26</v>
      </c>
      <c r="C1323" s="33" t="s">
        <v>27</v>
      </c>
      <c r="D1323" s="33">
        <v>371</v>
      </c>
    </row>
    <row r="1324" spans="1:4" x14ac:dyDescent="0.15">
      <c r="A1324" s="32">
        <v>35004</v>
      </c>
      <c r="B1324" s="33" t="s">
        <v>26</v>
      </c>
      <c r="C1324" s="33" t="s">
        <v>27</v>
      </c>
      <c r="D1324" s="33">
        <v>252</v>
      </c>
    </row>
    <row r="1325" spans="1:4" x14ac:dyDescent="0.15">
      <c r="A1325" s="32">
        <v>35004</v>
      </c>
      <c r="B1325" s="33" t="s">
        <v>31</v>
      </c>
      <c r="C1325" s="33" t="s">
        <v>27</v>
      </c>
      <c r="D1325" s="33">
        <v>113</v>
      </c>
    </row>
    <row r="1326" spans="1:4" x14ac:dyDescent="0.15">
      <c r="A1326" s="32">
        <v>35004</v>
      </c>
      <c r="B1326" s="33" t="s">
        <v>31</v>
      </c>
      <c r="C1326" s="33" t="s">
        <v>27</v>
      </c>
      <c r="D1326" s="33">
        <v>123</v>
      </c>
    </row>
    <row r="1327" spans="1:4" x14ac:dyDescent="0.15">
      <c r="A1327" s="32">
        <v>35004</v>
      </c>
      <c r="B1327" s="33" t="s">
        <v>21</v>
      </c>
      <c r="C1327" s="33" t="s">
        <v>27</v>
      </c>
      <c r="D1327" s="33">
        <v>586</v>
      </c>
    </row>
    <row r="1328" spans="1:4" x14ac:dyDescent="0.15">
      <c r="A1328" s="32">
        <v>35004</v>
      </c>
      <c r="B1328" s="33" t="s">
        <v>21</v>
      </c>
      <c r="C1328" s="33" t="s">
        <v>27</v>
      </c>
      <c r="D1328" s="33">
        <v>642</v>
      </c>
    </row>
    <row r="1329" spans="1:4" x14ac:dyDescent="0.15">
      <c r="A1329" s="32">
        <v>35004</v>
      </c>
      <c r="B1329" s="33" t="s">
        <v>28</v>
      </c>
      <c r="C1329" s="33" t="s">
        <v>27</v>
      </c>
      <c r="D1329" s="33">
        <v>747</v>
      </c>
    </row>
    <row r="1330" spans="1:4" x14ac:dyDescent="0.15">
      <c r="A1330" s="32">
        <v>35004</v>
      </c>
      <c r="B1330" s="33" t="s">
        <v>26</v>
      </c>
      <c r="C1330" s="33" t="s">
        <v>27</v>
      </c>
      <c r="D1330" s="33">
        <v>1238</v>
      </c>
    </row>
    <row r="1331" spans="1:4" x14ac:dyDescent="0.15">
      <c r="A1331" s="32">
        <v>35004</v>
      </c>
      <c r="B1331" s="33" t="s">
        <v>28</v>
      </c>
      <c r="C1331" s="33" t="s">
        <v>27</v>
      </c>
      <c r="D1331" s="33">
        <v>1603</v>
      </c>
    </row>
    <row r="1332" spans="1:4" x14ac:dyDescent="0.15">
      <c r="A1332" s="32">
        <v>35004</v>
      </c>
      <c r="B1332" s="33" t="s">
        <v>26</v>
      </c>
      <c r="C1332" s="33" t="s">
        <v>27</v>
      </c>
      <c r="D1332" s="33">
        <v>1938</v>
      </c>
    </row>
    <row r="1333" spans="1:4" x14ac:dyDescent="0.15">
      <c r="A1333" s="32">
        <v>35004</v>
      </c>
      <c r="B1333" s="33" t="s">
        <v>31</v>
      </c>
      <c r="C1333" s="33" t="s">
        <v>30</v>
      </c>
      <c r="D1333" s="33">
        <v>180</v>
      </c>
    </row>
    <row r="1334" spans="1:4" x14ac:dyDescent="0.15">
      <c r="A1334" s="32">
        <v>35004</v>
      </c>
      <c r="B1334" s="33" t="s">
        <v>29</v>
      </c>
      <c r="C1334" s="33" t="s">
        <v>30</v>
      </c>
      <c r="D1334" s="33">
        <v>203</v>
      </c>
    </row>
    <row r="1335" spans="1:4" x14ac:dyDescent="0.15">
      <c r="A1335" s="32">
        <v>35004</v>
      </c>
      <c r="B1335" s="33" t="s">
        <v>29</v>
      </c>
      <c r="C1335" s="33" t="s">
        <v>30</v>
      </c>
      <c r="D1335" s="33">
        <v>171</v>
      </c>
    </row>
    <row r="1336" spans="1:4" x14ac:dyDescent="0.15">
      <c r="A1336" s="32">
        <v>35004</v>
      </c>
      <c r="B1336" s="33" t="s">
        <v>26</v>
      </c>
      <c r="C1336" s="33" t="s">
        <v>30</v>
      </c>
      <c r="D1336" s="33">
        <v>203</v>
      </c>
    </row>
    <row r="1337" spans="1:4" x14ac:dyDescent="0.15">
      <c r="A1337" s="32">
        <v>35004</v>
      </c>
      <c r="B1337" s="33" t="s">
        <v>31</v>
      </c>
      <c r="C1337" s="33" t="s">
        <v>30</v>
      </c>
      <c r="D1337" s="33">
        <v>228</v>
      </c>
    </row>
    <row r="1338" spans="1:4" x14ac:dyDescent="0.15">
      <c r="A1338" s="32">
        <v>35004</v>
      </c>
      <c r="B1338" s="33" t="s">
        <v>29</v>
      </c>
      <c r="C1338" s="33" t="s">
        <v>30</v>
      </c>
      <c r="D1338" s="33">
        <v>151</v>
      </c>
    </row>
    <row r="1339" spans="1:4" x14ac:dyDescent="0.15">
      <c r="A1339" s="32">
        <v>35004</v>
      </c>
      <c r="B1339" s="33" t="s">
        <v>29</v>
      </c>
      <c r="C1339" s="33" t="s">
        <v>30</v>
      </c>
      <c r="D1339" s="33">
        <v>105</v>
      </c>
    </row>
    <row r="1340" spans="1:4" x14ac:dyDescent="0.15">
      <c r="A1340" s="32">
        <v>35004</v>
      </c>
      <c r="B1340" s="33" t="s">
        <v>29</v>
      </c>
      <c r="C1340" s="33" t="s">
        <v>30</v>
      </c>
      <c r="D1340" s="33">
        <v>105</v>
      </c>
    </row>
    <row r="1341" spans="1:4" x14ac:dyDescent="0.15">
      <c r="A1341" s="32">
        <v>35004</v>
      </c>
      <c r="B1341" s="33" t="s">
        <v>21</v>
      </c>
      <c r="C1341" s="33" t="s">
        <v>30</v>
      </c>
      <c r="D1341" s="33">
        <v>114</v>
      </c>
    </row>
    <row r="1342" spans="1:4" x14ac:dyDescent="0.15">
      <c r="A1342" s="32">
        <v>35004</v>
      </c>
      <c r="B1342" s="33" t="s">
        <v>26</v>
      </c>
      <c r="C1342" s="33" t="s">
        <v>30</v>
      </c>
      <c r="D1342" s="33">
        <v>123</v>
      </c>
    </row>
    <row r="1343" spans="1:4" x14ac:dyDescent="0.15">
      <c r="A1343" s="32">
        <v>35004</v>
      </c>
      <c r="B1343" s="33" t="s">
        <v>28</v>
      </c>
      <c r="C1343" s="33" t="s">
        <v>30</v>
      </c>
      <c r="D1343" s="33">
        <v>124</v>
      </c>
    </row>
    <row r="1344" spans="1:4" x14ac:dyDescent="0.15">
      <c r="A1344" s="32">
        <v>35004</v>
      </c>
      <c r="B1344" s="33" t="s">
        <v>26</v>
      </c>
      <c r="C1344" s="33" t="s">
        <v>30</v>
      </c>
      <c r="D1344" s="33">
        <v>175</v>
      </c>
    </row>
    <row r="1345" spans="1:4" x14ac:dyDescent="0.15">
      <c r="A1345" s="32">
        <v>35004</v>
      </c>
      <c r="B1345" s="33" t="s">
        <v>26</v>
      </c>
      <c r="C1345" s="33" t="s">
        <v>30</v>
      </c>
      <c r="D1345" s="33">
        <v>138</v>
      </c>
    </row>
    <row r="1346" spans="1:4" x14ac:dyDescent="0.15">
      <c r="A1346" s="32">
        <v>35004</v>
      </c>
      <c r="B1346" s="33" t="s">
        <v>21</v>
      </c>
      <c r="C1346" s="33" t="s">
        <v>30</v>
      </c>
      <c r="D1346" s="33">
        <v>44</v>
      </c>
    </row>
    <row r="1347" spans="1:4" x14ac:dyDescent="0.15">
      <c r="A1347" s="32">
        <v>35004</v>
      </c>
      <c r="B1347" s="33" t="s">
        <v>21</v>
      </c>
      <c r="C1347" s="33" t="s">
        <v>30</v>
      </c>
      <c r="D1347" s="33">
        <v>32</v>
      </c>
    </row>
    <row r="1348" spans="1:4" x14ac:dyDescent="0.15">
      <c r="A1348" s="32">
        <v>35004</v>
      </c>
      <c r="B1348" s="33" t="s">
        <v>21</v>
      </c>
      <c r="C1348" s="33" t="s">
        <v>30</v>
      </c>
      <c r="D1348" s="33">
        <v>23</v>
      </c>
    </row>
    <row r="1349" spans="1:4" x14ac:dyDescent="0.15">
      <c r="A1349" s="32">
        <v>35004</v>
      </c>
      <c r="B1349" s="33" t="s">
        <v>26</v>
      </c>
      <c r="C1349" s="33" t="s">
        <v>30</v>
      </c>
      <c r="D1349" s="33">
        <v>151</v>
      </c>
    </row>
    <row r="1350" spans="1:4" x14ac:dyDescent="0.15">
      <c r="A1350" s="32">
        <v>35004</v>
      </c>
      <c r="B1350" s="33" t="s">
        <v>21</v>
      </c>
      <c r="C1350" s="33" t="s">
        <v>30</v>
      </c>
      <c r="D1350" s="33">
        <v>151</v>
      </c>
    </row>
    <row r="1351" spans="1:4" x14ac:dyDescent="0.15">
      <c r="A1351" s="32">
        <v>35004</v>
      </c>
      <c r="B1351" s="33" t="s">
        <v>21</v>
      </c>
      <c r="C1351" s="33" t="s">
        <v>30</v>
      </c>
      <c r="D1351" s="33">
        <v>158</v>
      </c>
    </row>
    <row r="1352" spans="1:4" x14ac:dyDescent="0.15">
      <c r="A1352" s="32">
        <v>35004</v>
      </c>
      <c r="B1352" s="33" t="s">
        <v>29</v>
      </c>
      <c r="C1352" s="33" t="s">
        <v>30</v>
      </c>
      <c r="D1352" s="33">
        <v>135</v>
      </c>
    </row>
    <row r="1353" spans="1:4" x14ac:dyDescent="0.15">
      <c r="A1353" s="32">
        <v>35004</v>
      </c>
      <c r="B1353" s="33" t="s">
        <v>26</v>
      </c>
      <c r="C1353" s="33" t="s">
        <v>30</v>
      </c>
      <c r="D1353" s="33">
        <v>1057</v>
      </c>
    </row>
    <row r="1354" spans="1:4" x14ac:dyDescent="0.15">
      <c r="A1354" s="32">
        <v>35004</v>
      </c>
      <c r="B1354" s="33" t="s">
        <v>28</v>
      </c>
      <c r="C1354" s="33" t="s">
        <v>30</v>
      </c>
      <c r="D1354" s="33">
        <v>413</v>
      </c>
    </row>
    <row r="1355" spans="1:4" x14ac:dyDescent="0.15">
      <c r="A1355" s="32">
        <v>35004</v>
      </c>
      <c r="B1355" s="33" t="s">
        <v>28</v>
      </c>
      <c r="C1355" s="33" t="s">
        <v>30</v>
      </c>
      <c r="D1355" s="33">
        <v>263</v>
      </c>
    </row>
    <row r="1356" spans="1:4" x14ac:dyDescent="0.15">
      <c r="A1356" s="32">
        <v>35004</v>
      </c>
      <c r="B1356" s="33" t="s">
        <v>28</v>
      </c>
      <c r="C1356" s="33" t="s">
        <v>30</v>
      </c>
      <c r="D1356" s="33">
        <v>270</v>
      </c>
    </row>
    <row r="1357" spans="1:4" x14ac:dyDescent="0.15">
      <c r="A1357" s="32">
        <v>35004</v>
      </c>
      <c r="B1357" s="33" t="s">
        <v>28</v>
      </c>
      <c r="C1357" s="33" t="s">
        <v>30</v>
      </c>
      <c r="D1357" s="33">
        <v>405</v>
      </c>
    </row>
    <row r="1358" spans="1:4" x14ac:dyDescent="0.15">
      <c r="A1358" s="32">
        <v>35004</v>
      </c>
      <c r="B1358" s="33" t="s">
        <v>31</v>
      </c>
      <c r="C1358" s="33" t="s">
        <v>30</v>
      </c>
      <c r="D1358" s="33">
        <v>110</v>
      </c>
    </row>
    <row r="1359" spans="1:4" x14ac:dyDescent="0.15">
      <c r="A1359" s="32">
        <v>35034</v>
      </c>
      <c r="B1359" s="33" t="s">
        <v>29</v>
      </c>
      <c r="C1359" s="33" t="s">
        <v>22</v>
      </c>
      <c r="D1359" s="33">
        <v>220</v>
      </c>
    </row>
    <row r="1360" spans="1:4" x14ac:dyDescent="0.15">
      <c r="A1360" s="32">
        <v>35034</v>
      </c>
      <c r="B1360" s="33" t="s">
        <v>29</v>
      </c>
      <c r="C1360" s="33" t="s">
        <v>22</v>
      </c>
      <c r="D1360" s="33">
        <v>61</v>
      </c>
    </row>
    <row r="1361" spans="1:4" x14ac:dyDescent="0.15">
      <c r="A1361" s="32">
        <v>35034</v>
      </c>
      <c r="B1361" s="33" t="s">
        <v>26</v>
      </c>
      <c r="C1361" s="33" t="s">
        <v>22</v>
      </c>
      <c r="D1361" s="33">
        <v>79</v>
      </c>
    </row>
    <row r="1362" spans="1:4" x14ac:dyDescent="0.15">
      <c r="A1362" s="32">
        <v>35034</v>
      </c>
      <c r="B1362" s="33" t="s">
        <v>28</v>
      </c>
      <c r="C1362" s="33" t="s">
        <v>22</v>
      </c>
      <c r="D1362" s="33">
        <v>124</v>
      </c>
    </row>
    <row r="1363" spans="1:4" x14ac:dyDescent="0.15">
      <c r="A1363" s="32">
        <v>35034</v>
      </c>
      <c r="B1363" s="33" t="s">
        <v>29</v>
      </c>
      <c r="C1363" s="33" t="s">
        <v>22</v>
      </c>
      <c r="D1363" s="33">
        <v>191</v>
      </c>
    </row>
    <row r="1364" spans="1:4" x14ac:dyDescent="0.15">
      <c r="A1364" s="32">
        <v>35034</v>
      </c>
      <c r="B1364" s="33" t="s">
        <v>29</v>
      </c>
      <c r="C1364" s="33" t="s">
        <v>22</v>
      </c>
      <c r="D1364" s="33">
        <v>230</v>
      </c>
    </row>
    <row r="1365" spans="1:4" x14ac:dyDescent="0.15">
      <c r="A1365" s="32">
        <v>35034</v>
      </c>
      <c r="B1365" s="33" t="s">
        <v>26</v>
      </c>
      <c r="C1365" s="33" t="s">
        <v>22</v>
      </c>
      <c r="D1365" s="33">
        <v>220</v>
      </c>
    </row>
    <row r="1366" spans="1:4" x14ac:dyDescent="0.15">
      <c r="A1366" s="32">
        <v>35034</v>
      </c>
      <c r="B1366" s="33" t="s">
        <v>28</v>
      </c>
      <c r="C1366" s="33" t="s">
        <v>22</v>
      </c>
      <c r="D1366" s="33">
        <v>270</v>
      </c>
    </row>
    <row r="1367" spans="1:4" x14ac:dyDescent="0.15">
      <c r="A1367" s="32">
        <v>35034</v>
      </c>
      <c r="B1367" s="33" t="s">
        <v>21</v>
      </c>
      <c r="C1367" s="33" t="s">
        <v>22</v>
      </c>
      <c r="D1367" s="33">
        <v>507</v>
      </c>
    </row>
    <row r="1368" spans="1:4" x14ac:dyDescent="0.15">
      <c r="A1368" s="32">
        <v>35034</v>
      </c>
      <c r="B1368" s="33" t="s">
        <v>31</v>
      </c>
      <c r="C1368" s="33" t="s">
        <v>22</v>
      </c>
      <c r="D1368" s="33">
        <v>534</v>
      </c>
    </row>
    <row r="1369" spans="1:4" x14ac:dyDescent="0.15">
      <c r="A1369" s="32">
        <v>35034</v>
      </c>
      <c r="B1369" s="33" t="s">
        <v>28</v>
      </c>
      <c r="C1369" s="33" t="s">
        <v>22</v>
      </c>
      <c r="D1369" s="33">
        <v>658</v>
      </c>
    </row>
    <row r="1370" spans="1:4" x14ac:dyDescent="0.15">
      <c r="A1370" s="32">
        <v>35034</v>
      </c>
      <c r="B1370" s="33" t="s">
        <v>21</v>
      </c>
      <c r="C1370" s="33" t="s">
        <v>22</v>
      </c>
      <c r="D1370" s="33">
        <v>659</v>
      </c>
    </row>
    <row r="1371" spans="1:4" x14ac:dyDescent="0.15">
      <c r="A1371" s="32">
        <v>35034</v>
      </c>
      <c r="B1371" s="33" t="s">
        <v>21</v>
      </c>
      <c r="C1371" s="33" t="s">
        <v>22</v>
      </c>
      <c r="D1371" s="33">
        <v>770</v>
      </c>
    </row>
    <row r="1372" spans="1:4" x14ac:dyDescent="0.15">
      <c r="A1372" s="32">
        <v>35034</v>
      </c>
      <c r="B1372" s="33" t="s">
        <v>21</v>
      </c>
      <c r="C1372" s="33" t="s">
        <v>22</v>
      </c>
      <c r="D1372" s="33">
        <v>836</v>
      </c>
    </row>
    <row r="1373" spans="1:4" x14ac:dyDescent="0.15">
      <c r="A1373" s="32">
        <v>35034</v>
      </c>
      <c r="B1373" s="33" t="s">
        <v>31</v>
      </c>
      <c r="C1373" s="33" t="s">
        <v>22</v>
      </c>
      <c r="D1373" s="33">
        <v>923</v>
      </c>
    </row>
    <row r="1374" spans="1:4" x14ac:dyDescent="0.15">
      <c r="A1374" s="32">
        <v>35034</v>
      </c>
      <c r="B1374" s="33" t="s">
        <v>28</v>
      </c>
      <c r="C1374" s="33" t="s">
        <v>22</v>
      </c>
      <c r="D1374" s="33">
        <v>2068</v>
      </c>
    </row>
    <row r="1375" spans="1:4" x14ac:dyDescent="0.15">
      <c r="A1375" s="32">
        <v>35034</v>
      </c>
      <c r="B1375" s="33" t="s">
        <v>26</v>
      </c>
      <c r="C1375" s="33" t="s">
        <v>22</v>
      </c>
      <c r="D1375" s="33">
        <v>945</v>
      </c>
    </row>
    <row r="1376" spans="1:4" x14ac:dyDescent="0.15">
      <c r="A1376" s="32">
        <v>35034</v>
      </c>
      <c r="B1376" s="33" t="s">
        <v>26</v>
      </c>
      <c r="C1376" s="33" t="s">
        <v>23</v>
      </c>
      <c r="D1376" s="33">
        <v>146</v>
      </c>
    </row>
    <row r="1377" spans="1:4" x14ac:dyDescent="0.15">
      <c r="A1377" s="32">
        <v>35034</v>
      </c>
      <c r="B1377" s="33" t="s">
        <v>31</v>
      </c>
      <c r="C1377" s="33" t="s">
        <v>23</v>
      </c>
      <c r="D1377" s="33">
        <v>270</v>
      </c>
    </row>
    <row r="1378" spans="1:4" x14ac:dyDescent="0.15">
      <c r="A1378" s="32">
        <v>35034</v>
      </c>
      <c r="B1378" s="33" t="s">
        <v>21</v>
      </c>
      <c r="C1378" s="33" t="s">
        <v>23</v>
      </c>
      <c r="D1378" s="33">
        <v>315</v>
      </c>
    </row>
    <row r="1379" spans="1:4" x14ac:dyDescent="0.15">
      <c r="A1379" s="32">
        <v>35034</v>
      </c>
      <c r="B1379" s="33" t="s">
        <v>28</v>
      </c>
      <c r="C1379" s="33" t="s">
        <v>23</v>
      </c>
      <c r="D1379" s="33">
        <v>368</v>
      </c>
    </row>
    <row r="1380" spans="1:4" x14ac:dyDescent="0.15">
      <c r="A1380" s="32">
        <v>35034</v>
      </c>
      <c r="B1380" s="33" t="s">
        <v>28</v>
      </c>
      <c r="C1380" s="33" t="s">
        <v>23</v>
      </c>
      <c r="D1380" s="33">
        <v>368</v>
      </c>
    </row>
    <row r="1381" spans="1:4" x14ac:dyDescent="0.15">
      <c r="A1381" s="32">
        <v>35034</v>
      </c>
      <c r="B1381" s="33" t="s">
        <v>26</v>
      </c>
      <c r="C1381" s="33" t="s">
        <v>23</v>
      </c>
      <c r="D1381" s="33">
        <v>477</v>
      </c>
    </row>
    <row r="1382" spans="1:4" x14ac:dyDescent="0.15">
      <c r="A1382" s="32">
        <v>35034</v>
      </c>
      <c r="B1382" s="33" t="s">
        <v>28</v>
      </c>
      <c r="C1382" s="33" t="s">
        <v>23</v>
      </c>
      <c r="D1382" s="33">
        <v>557</v>
      </c>
    </row>
    <row r="1383" spans="1:4" x14ac:dyDescent="0.15">
      <c r="A1383" s="32">
        <v>35034</v>
      </c>
      <c r="B1383" s="33" t="s">
        <v>21</v>
      </c>
      <c r="C1383" s="33" t="s">
        <v>23</v>
      </c>
      <c r="D1383" s="33">
        <v>630</v>
      </c>
    </row>
    <row r="1384" spans="1:4" x14ac:dyDescent="0.15">
      <c r="A1384" s="32">
        <v>35034</v>
      </c>
      <c r="B1384" s="33" t="s">
        <v>21</v>
      </c>
      <c r="C1384" s="33" t="s">
        <v>23</v>
      </c>
      <c r="D1384" s="33">
        <v>646</v>
      </c>
    </row>
    <row r="1385" spans="1:4" x14ac:dyDescent="0.15">
      <c r="A1385" s="32">
        <v>35034</v>
      </c>
      <c r="B1385" s="33" t="s">
        <v>21</v>
      </c>
      <c r="C1385" s="33" t="s">
        <v>23</v>
      </c>
      <c r="D1385" s="33">
        <v>838</v>
      </c>
    </row>
    <row r="1386" spans="1:4" x14ac:dyDescent="0.15">
      <c r="A1386" s="32">
        <v>35034</v>
      </c>
      <c r="B1386" s="33" t="s">
        <v>28</v>
      </c>
      <c r="C1386" s="33" t="s">
        <v>23</v>
      </c>
      <c r="D1386" s="33">
        <v>862</v>
      </c>
    </row>
    <row r="1387" spans="1:4" x14ac:dyDescent="0.15">
      <c r="A1387" s="32">
        <v>35034</v>
      </c>
      <c r="B1387" s="33" t="s">
        <v>26</v>
      </c>
      <c r="C1387" s="33" t="s">
        <v>23</v>
      </c>
      <c r="D1387" s="33">
        <v>105</v>
      </c>
    </row>
    <row r="1388" spans="1:4" x14ac:dyDescent="0.15">
      <c r="A1388" s="32">
        <v>35034</v>
      </c>
      <c r="B1388" s="33" t="s">
        <v>29</v>
      </c>
      <c r="C1388" s="33" t="s">
        <v>23</v>
      </c>
      <c r="D1388" s="33">
        <v>259</v>
      </c>
    </row>
    <row r="1389" spans="1:4" x14ac:dyDescent="0.15">
      <c r="A1389" s="32">
        <v>35034</v>
      </c>
      <c r="B1389" s="33" t="s">
        <v>31</v>
      </c>
      <c r="C1389" s="33" t="s">
        <v>23</v>
      </c>
      <c r="D1389" s="33">
        <v>131</v>
      </c>
    </row>
    <row r="1390" spans="1:4" x14ac:dyDescent="0.15">
      <c r="A1390" s="32">
        <v>35034</v>
      </c>
      <c r="B1390" s="33" t="s">
        <v>26</v>
      </c>
      <c r="C1390" s="33" t="s">
        <v>23</v>
      </c>
      <c r="D1390" s="33">
        <v>175</v>
      </c>
    </row>
    <row r="1391" spans="1:4" x14ac:dyDescent="0.15">
      <c r="A1391" s="32">
        <v>35034</v>
      </c>
      <c r="B1391" s="33" t="s">
        <v>29</v>
      </c>
      <c r="C1391" s="33" t="s">
        <v>23</v>
      </c>
      <c r="D1391" s="33">
        <v>176</v>
      </c>
    </row>
    <row r="1392" spans="1:4" x14ac:dyDescent="0.15">
      <c r="A1392" s="32">
        <v>35034</v>
      </c>
      <c r="B1392" s="33" t="s">
        <v>29</v>
      </c>
      <c r="C1392" s="33" t="s">
        <v>23</v>
      </c>
      <c r="D1392" s="33">
        <v>201</v>
      </c>
    </row>
    <row r="1393" spans="1:4" x14ac:dyDescent="0.15">
      <c r="A1393" s="32">
        <v>35034</v>
      </c>
      <c r="B1393" s="33" t="s">
        <v>29</v>
      </c>
      <c r="C1393" s="33" t="s">
        <v>23</v>
      </c>
      <c r="D1393" s="33">
        <v>214</v>
      </c>
    </row>
    <row r="1394" spans="1:4" x14ac:dyDescent="0.15">
      <c r="A1394" s="32">
        <v>35034</v>
      </c>
      <c r="B1394" s="33" t="s">
        <v>21</v>
      </c>
      <c r="C1394" s="33" t="s">
        <v>24</v>
      </c>
      <c r="D1394" s="33">
        <v>1874</v>
      </c>
    </row>
    <row r="1395" spans="1:4" x14ac:dyDescent="0.15">
      <c r="A1395" s="32">
        <v>35034</v>
      </c>
      <c r="B1395" s="33" t="s">
        <v>21</v>
      </c>
      <c r="C1395" s="33" t="s">
        <v>24</v>
      </c>
      <c r="D1395" s="33">
        <v>2875</v>
      </c>
    </row>
    <row r="1396" spans="1:4" x14ac:dyDescent="0.15">
      <c r="A1396" s="32">
        <v>35034</v>
      </c>
      <c r="B1396" s="33" t="s">
        <v>26</v>
      </c>
      <c r="C1396" s="33" t="s">
        <v>24</v>
      </c>
      <c r="D1396" s="33">
        <v>248</v>
      </c>
    </row>
    <row r="1397" spans="1:4" x14ac:dyDescent="0.15">
      <c r="A1397" s="32">
        <v>35034</v>
      </c>
      <c r="B1397" s="33" t="s">
        <v>21</v>
      </c>
      <c r="C1397" s="33" t="s">
        <v>24</v>
      </c>
      <c r="D1397" s="33">
        <v>66</v>
      </c>
    </row>
    <row r="1398" spans="1:4" x14ac:dyDescent="0.15">
      <c r="A1398" s="32">
        <v>35034</v>
      </c>
      <c r="B1398" s="33" t="s">
        <v>21</v>
      </c>
      <c r="C1398" s="33" t="s">
        <v>24</v>
      </c>
      <c r="D1398" s="33">
        <v>126</v>
      </c>
    </row>
    <row r="1399" spans="1:4" x14ac:dyDescent="0.15">
      <c r="A1399" s="32">
        <v>35034</v>
      </c>
      <c r="B1399" s="33" t="s">
        <v>26</v>
      </c>
      <c r="C1399" s="33" t="s">
        <v>24</v>
      </c>
      <c r="D1399" s="33">
        <v>123</v>
      </c>
    </row>
    <row r="1400" spans="1:4" x14ac:dyDescent="0.15">
      <c r="A1400" s="32">
        <v>35034</v>
      </c>
      <c r="B1400" s="33" t="s">
        <v>26</v>
      </c>
      <c r="C1400" s="33" t="s">
        <v>24</v>
      </c>
      <c r="D1400" s="33">
        <v>220</v>
      </c>
    </row>
    <row r="1401" spans="1:4" x14ac:dyDescent="0.15">
      <c r="A1401" s="32">
        <v>35034</v>
      </c>
      <c r="B1401" s="33" t="s">
        <v>26</v>
      </c>
      <c r="C1401" s="33" t="s">
        <v>24</v>
      </c>
      <c r="D1401" s="33">
        <v>88</v>
      </c>
    </row>
    <row r="1402" spans="1:4" x14ac:dyDescent="0.15">
      <c r="A1402" s="32">
        <v>35034</v>
      </c>
      <c r="B1402" s="33" t="s">
        <v>26</v>
      </c>
      <c r="C1402" s="33" t="s">
        <v>24</v>
      </c>
      <c r="D1402" s="33">
        <v>90</v>
      </c>
    </row>
    <row r="1403" spans="1:4" x14ac:dyDescent="0.15">
      <c r="A1403" s="32">
        <v>35034</v>
      </c>
      <c r="B1403" s="33" t="s">
        <v>21</v>
      </c>
      <c r="C1403" s="33" t="s">
        <v>24</v>
      </c>
      <c r="D1403" s="33">
        <v>90</v>
      </c>
    </row>
    <row r="1404" spans="1:4" x14ac:dyDescent="0.15">
      <c r="A1404" s="32">
        <v>35034</v>
      </c>
      <c r="B1404" s="33" t="s">
        <v>26</v>
      </c>
      <c r="C1404" s="33" t="s">
        <v>24</v>
      </c>
      <c r="D1404" s="33">
        <v>90</v>
      </c>
    </row>
    <row r="1405" spans="1:4" x14ac:dyDescent="0.15">
      <c r="A1405" s="32">
        <v>35034</v>
      </c>
      <c r="B1405" s="33" t="s">
        <v>21</v>
      </c>
      <c r="C1405" s="33" t="s">
        <v>24</v>
      </c>
      <c r="D1405" s="33">
        <v>70</v>
      </c>
    </row>
    <row r="1406" spans="1:4" x14ac:dyDescent="0.15">
      <c r="A1406" s="32">
        <v>35034</v>
      </c>
      <c r="B1406" s="33" t="s">
        <v>21</v>
      </c>
      <c r="C1406" s="33" t="s">
        <v>25</v>
      </c>
      <c r="D1406" s="33">
        <v>123</v>
      </c>
    </row>
    <row r="1407" spans="1:4" x14ac:dyDescent="0.15">
      <c r="A1407" s="32">
        <v>35034</v>
      </c>
      <c r="B1407" s="33" t="s">
        <v>31</v>
      </c>
      <c r="C1407" s="33" t="s">
        <v>25</v>
      </c>
      <c r="D1407" s="33">
        <v>140</v>
      </c>
    </row>
    <row r="1408" spans="1:4" x14ac:dyDescent="0.15">
      <c r="A1408" s="32">
        <v>35034</v>
      </c>
      <c r="B1408" s="33" t="s">
        <v>29</v>
      </c>
      <c r="C1408" s="33" t="s">
        <v>25</v>
      </c>
      <c r="D1408" s="33">
        <v>149</v>
      </c>
    </row>
    <row r="1409" spans="1:4" x14ac:dyDescent="0.15">
      <c r="A1409" s="32">
        <v>35034</v>
      </c>
      <c r="B1409" s="33" t="s">
        <v>28</v>
      </c>
      <c r="C1409" s="33" t="s">
        <v>25</v>
      </c>
      <c r="D1409" s="33">
        <v>236</v>
      </c>
    </row>
    <row r="1410" spans="1:4" x14ac:dyDescent="0.15">
      <c r="A1410" s="32">
        <v>35034</v>
      </c>
      <c r="B1410" s="33" t="s">
        <v>28</v>
      </c>
      <c r="C1410" s="33" t="s">
        <v>25</v>
      </c>
      <c r="D1410" s="33">
        <v>263</v>
      </c>
    </row>
    <row r="1411" spans="1:4" x14ac:dyDescent="0.15">
      <c r="A1411" s="32">
        <v>35034</v>
      </c>
      <c r="B1411" s="33" t="s">
        <v>26</v>
      </c>
      <c r="C1411" s="33" t="s">
        <v>25</v>
      </c>
      <c r="D1411" s="33">
        <v>263</v>
      </c>
    </row>
    <row r="1412" spans="1:4" x14ac:dyDescent="0.15">
      <c r="A1412" s="32">
        <v>35034</v>
      </c>
      <c r="B1412" s="33" t="s">
        <v>29</v>
      </c>
      <c r="C1412" s="33" t="s">
        <v>25</v>
      </c>
      <c r="D1412" s="33">
        <v>49</v>
      </c>
    </row>
    <row r="1413" spans="1:4" x14ac:dyDescent="0.15">
      <c r="A1413" s="32">
        <v>35034</v>
      </c>
      <c r="B1413" s="33" t="s">
        <v>29</v>
      </c>
      <c r="C1413" s="33" t="s">
        <v>25</v>
      </c>
      <c r="D1413" s="33">
        <v>113</v>
      </c>
    </row>
    <row r="1414" spans="1:4" x14ac:dyDescent="0.15">
      <c r="A1414" s="32">
        <v>35034</v>
      </c>
      <c r="B1414" s="33" t="s">
        <v>31</v>
      </c>
      <c r="C1414" s="33" t="s">
        <v>25</v>
      </c>
      <c r="D1414" s="33">
        <v>113</v>
      </c>
    </row>
    <row r="1415" spans="1:4" x14ac:dyDescent="0.15">
      <c r="A1415" s="32">
        <v>35034</v>
      </c>
      <c r="B1415" s="33" t="s">
        <v>21</v>
      </c>
      <c r="C1415" s="33" t="s">
        <v>25</v>
      </c>
      <c r="D1415" s="33">
        <v>90</v>
      </c>
    </row>
    <row r="1416" spans="1:4" x14ac:dyDescent="0.15">
      <c r="A1416" s="32">
        <v>35034</v>
      </c>
      <c r="B1416" s="33" t="s">
        <v>26</v>
      </c>
      <c r="C1416" s="33" t="s">
        <v>25</v>
      </c>
      <c r="D1416" s="33">
        <v>113</v>
      </c>
    </row>
    <row r="1417" spans="1:4" x14ac:dyDescent="0.15">
      <c r="A1417" s="32">
        <v>35034</v>
      </c>
      <c r="B1417" s="33" t="s">
        <v>29</v>
      </c>
      <c r="C1417" s="33" t="s">
        <v>25</v>
      </c>
      <c r="D1417" s="33">
        <v>72</v>
      </c>
    </row>
    <row r="1418" spans="1:4" x14ac:dyDescent="0.15">
      <c r="A1418" s="32">
        <v>35034</v>
      </c>
      <c r="B1418" s="33" t="s">
        <v>26</v>
      </c>
      <c r="C1418" s="33" t="s">
        <v>25</v>
      </c>
      <c r="D1418" s="33">
        <v>958</v>
      </c>
    </row>
    <row r="1419" spans="1:4" x14ac:dyDescent="0.15">
      <c r="A1419" s="32">
        <v>35034</v>
      </c>
      <c r="B1419" s="33" t="s">
        <v>21</v>
      </c>
      <c r="C1419" s="33" t="s">
        <v>25</v>
      </c>
      <c r="D1419" s="33">
        <v>1343</v>
      </c>
    </row>
    <row r="1420" spans="1:4" x14ac:dyDescent="0.15">
      <c r="A1420" s="32">
        <v>35034</v>
      </c>
      <c r="B1420" s="33" t="s">
        <v>26</v>
      </c>
      <c r="C1420" s="33" t="s">
        <v>25</v>
      </c>
      <c r="D1420" s="33">
        <v>371</v>
      </c>
    </row>
    <row r="1421" spans="1:4" x14ac:dyDescent="0.15">
      <c r="A1421" s="32">
        <v>35034</v>
      </c>
      <c r="B1421" s="33" t="s">
        <v>21</v>
      </c>
      <c r="C1421" s="33" t="s">
        <v>25</v>
      </c>
      <c r="D1421" s="33">
        <v>404</v>
      </c>
    </row>
    <row r="1422" spans="1:4" x14ac:dyDescent="0.15">
      <c r="A1422" s="32">
        <v>35034</v>
      </c>
      <c r="B1422" s="33" t="s">
        <v>28</v>
      </c>
      <c r="C1422" s="33" t="s">
        <v>25</v>
      </c>
      <c r="D1422" s="33">
        <v>859</v>
      </c>
    </row>
    <row r="1423" spans="1:4" x14ac:dyDescent="0.15">
      <c r="A1423" s="32">
        <v>35034</v>
      </c>
      <c r="B1423" s="33" t="s">
        <v>28</v>
      </c>
      <c r="C1423" s="33" t="s">
        <v>25</v>
      </c>
      <c r="D1423" s="33">
        <v>706</v>
      </c>
    </row>
    <row r="1424" spans="1:4" x14ac:dyDescent="0.15">
      <c r="A1424" s="32">
        <v>35034</v>
      </c>
      <c r="B1424" s="33" t="s">
        <v>28</v>
      </c>
      <c r="C1424" s="33" t="s">
        <v>27</v>
      </c>
      <c r="D1424" s="33">
        <v>72</v>
      </c>
    </row>
    <row r="1425" spans="1:4" x14ac:dyDescent="0.15">
      <c r="A1425" s="32">
        <v>35034</v>
      </c>
      <c r="B1425" s="33" t="s">
        <v>21</v>
      </c>
      <c r="C1425" s="33" t="s">
        <v>27</v>
      </c>
      <c r="D1425" s="33">
        <v>739</v>
      </c>
    </row>
    <row r="1426" spans="1:4" x14ac:dyDescent="0.15">
      <c r="A1426" s="32">
        <v>35034</v>
      </c>
      <c r="B1426" s="33" t="s">
        <v>21</v>
      </c>
      <c r="C1426" s="33" t="s">
        <v>27</v>
      </c>
      <c r="D1426" s="33">
        <v>44</v>
      </c>
    </row>
    <row r="1427" spans="1:4" x14ac:dyDescent="0.15">
      <c r="A1427" s="32">
        <v>35034</v>
      </c>
      <c r="B1427" s="33" t="s">
        <v>29</v>
      </c>
      <c r="C1427" s="33" t="s">
        <v>27</v>
      </c>
      <c r="D1427" s="33">
        <v>50</v>
      </c>
    </row>
    <row r="1428" spans="1:4" x14ac:dyDescent="0.15">
      <c r="A1428" s="32">
        <v>35034</v>
      </c>
      <c r="B1428" s="33" t="s">
        <v>28</v>
      </c>
      <c r="C1428" s="33" t="s">
        <v>27</v>
      </c>
      <c r="D1428" s="33">
        <v>63</v>
      </c>
    </row>
    <row r="1429" spans="1:4" x14ac:dyDescent="0.15">
      <c r="A1429" s="32">
        <v>35034</v>
      </c>
      <c r="B1429" s="33" t="s">
        <v>29</v>
      </c>
      <c r="C1429" s="33" t="s">
        <v>27</v>
      </c>
      <c r="D1429" s="33">
        <v>70</v>
      </c>
    </row>
    <row r="1430" spans="1:4" x14ac:dyDescent="0.15">
      <c r="A1430" s="32">
        <v>35034</v>
      </c>
      <c r="B1430" s="33" t="s">
        <v>29</v>
      </c>
      <c r="C1430" s="33" t="s">
        <v>27</v>
      </c>
      <c r="D1430" s="33">
        <v>79</v>
      </c>
    </row>
    <row r="1431" spans="1:4" x14ac:dyDescent="0.15">
      <c r="A1431" s="32">
        <v>35034</v>
      </c>
      <c r="B1431" s="33" t="s">
        <v>21</v>
      </c>
      <c r="C1431" s="33" t="s">
        <v>27</v>
      </c>
      <c r="D1431" s="33">
        <v>79</v>
      </c>
    </row>
    <row r="1432" spans="1:4" x14ac:dyDescent="0.15">
      <c r="A1432" s="32">
        <v>35034</v>
      </c>
      <c r="B1432" s="33" t="s">
        <v>29</v>
      </c>
      <c r="C1432" s="33" t="s">
        <v>27</v>
      </c>
      <c r="D1432" s="33">
        <v>98</v>
      </c>
    </row>
    <row r="1433" spans="1:4" x14ac:dyDescent="0.15">
      <c r="A1433" s="32">
        <v>35034</v>
      </c>
      <c r="B1433" s="33" t="s">
        <v>31</v>
      </c>
      <c r="C1433" s="33" t="s">
        <v>27</v>
      </c>
      <c r="D1433" s="33">
        <v>113</v>
      </c>
    </row>
    <row r="1434" spans="1:4" x14ac:dyDescent="0.15">
      <c r="A1434" s="32">
        <v>35034</v>
      </c>
      <c r="B1434" s="33" t="s">
        <v>31</v>
      </c>
      <c r="C1434" s="33" t="s">
        <v>27</v>
      </c>
      <c r="D1434" s="33">
        <v>175</v>
      </c>
    </row>
    <row r="1435" spans="1:4" x14ac:dyDescent="0.15">
      <c r="A1435" s="32">
        <v>35034</v>
      </c>
      <c r="B1435" s="33" t="s">
        <v>26</v>
      </c>
      <c r="C1435" s="33" t="s">
        <v>27</v>
      </c>
      <c r="D1435" s="33">
        <v>371</v>
      </c>
    </row>
    <row r="1436" spans="1:4" x14ac:dyDescent="0.15">
      <c r="A1436" s="32">
        <v>35034</v>
      </c>
      <c r="B1436" s="33" t="s">
        <v>28</v>
      </c>
      <c r="C1436" s="33" t="s">
        <v>27</v>
      </c>
      <c r="D1436" s="33">
        <v>933</v>
      </c>
    </row>
    <row r="1437" spans="1:4" x14ac:dyDescent="0.15">
      <c r="A1437" s="32">
        <v>35034</v>
      </c>
      <c r="B1437" s="33" t="s">
        <v>26</v>
      </c>
      <c r="C1437" s="33" t="s">
        <v>27</v>
      </c>
      <c r="D1437" s="33">
        <v>1206</v>
      </c>
    </row>
    <row r="1438" spans="1:4" x14ac:dyDescent="0.15">
      <c r="A1438" s="32">
        <v>35034</v>
      </c>
      <c r="B1438" s="33" t="s">
        <v>26</v>
      </c>
      <c r="C1438" s="33" t="s">
        <v>27</v>
      </c>
      <c r="D1438" s="33">
        <v>1867</v>
      </c>
    </row>
    <row r="1439" spans="1:4" x14ac:dyDescent="0.15">
      <c r="A1439" s="32">
        <v>35034</v>
      </c>
      <c r="B1439" s="33" t="s">
        <v>28</v>
      </c>
      <c r="C1439" s="33" t="s">
        <v>27</v>
      </c>
      <c r="D1439" s="33">
        <v>1900</v>
      </c>
    </row>
    <row r="1440" spans="1:4" x14ac:dyDescent="0.15">
      <c r="A1440" s="32">
        <v>35034</v>
      </c>
      <c r="B1440" s="33" t="s">
        <v>21</v>
      </c>
      <c r="C1440" s="33" t="s">
        <v>27</v>
      </c>
      <c r="D1440" s="33">
        <v>1976</v>
      </c>
    </row>
    <row r="1441" spans="1:4" x14ac:dyDescent="0.15">
      <c r="A1441" s="32">
        <v>35034</v>
      </c>
      <c r="B1441" s="33" t="s">
        <v>26</v>
      </c>
      <c r="C1441" s="33" t="s">
        <v>27</v>
      </c>
      <c r="D1441" s="33">
        <v>239</v>
      </c>
    </row>
    <row r="1442" spans="1:4" x14ac:dyDescent="0.15">
      <c r="A1442" s="32">
        <v>35034</v>
      </c>
      <c r="B1442" s="33" t="s">
        <v>31</v>
      </c>
      <c r="C1442" s="33" t="s">
        <v>30</v>
      </c>
      <c r="D1442" s="33">
        <v>254</v>
      </c>
    </row>
    <row r="1443" spans="1:4" x14ac:dyDescent="0.15">
      <c r="A1443" s="32">
        <v>35034</v>
      </c>
      <c r="B1443" s="33" t="s">
        <v>28</v>
      </c>
      <c r="C1443" s="33" t="s">
        <v>30</v>
      </c>
      <c r="D1443" s="33">
        <v>615</v>
      </c>
    </row>
    <row r="1444" spans="1:4" x14ac:dyDescent="0.15">
      <c r="A1444" s="32">
        <v>35034</v>
      </c>
      <c r="B1444" s="33" t="s">
        <v>28</v>
      </c>
      <c r="C1444" s="33" t="s">
        <v>30</v>
      </c>
      <c r="D1444" s="33">
        <v>413</v>
      </c>
    </row>
    <row r="1445" spans="1:4" x14ac:dyDescent="0.15">
      <c r="A1445" s="32">
        <v>35034</v>
      </c>
      <c r="B1445" s="33" t="s">
        <v>26</v>
      </c>
      <c r="C1445" s="33" t="s">
        <v>30</v>
      </c>
      <c r="D1445" s="33">
        <v>1165</v>
      </c>
    </row>
    <row r="1446" spans="1:4" x14ac:dyDescent="0.15">
      <c r="A1446" s="32">
        <v>35034</v>
      </c>
      <c r="B1446" s="33" t="s">
        <v>28</v>
      </c>
      <c r="C1446" s="33" t="s">
        <v>30</v>
      </c>
      <c r="D1446" s="33">
        <v>263</v>
      </c>
    </row>
    <row r="1447" spans="1:4" x14ac:dyDescent="0.15">
      <c r="A1447" s="32">
        <v>35034</v>
      </c>
      <c r="B1447" s="33" t="s">
        <v>31</v>
      </c>
      <c r="C1447" s="33" t="s">
        <v>30</v>
      </c>
      <c r="D1447" s="33">
        <v>225</v>
      </c>
    </row>
    <row r="1448" spans="1:4" x14ac:dyDescent="0.15">
      <c r="A1448" s="32">
        <v>35034</v>
      </c>
      <c r="B1448" s="33" t="s">
        <v>29</v>
      </c>
      <c r="C1448" s="33" t="s">
        <v>30</v>
      </c>
      <c r="D1448" s="33">
        <v>191</v>
      </c>
    </row>
    <row r="1449" spans="1:4" x14ac:dyDescent="0.15">
      <c r="A1449" s="32">
        <v>35034</v>
      </c>
      <c r="B1449" s="33" t="s">
        <v>26</v>
      </c>
      <c r="C1449" s="33" t="s">
        <v>30</v>
      </c>
      <c r="D1449" s="33">
        <v>180</v>
      </c>
    </row>
    <row r="1450" spans="1:4" x14ac:dyDescent="0.15">
      <c r="A1450" s="32">
        <v>35034</v>
      </c>
      <c r="B1450" s="33" t="s">
        <v>21</v>
      </c>
      <c r="C1450" s="33" t="s">
        <v>30</v>
      </c>
      <c r="D1450" s="33">
        <v>169</v>
      </c>
    </row>
    <row r="1451" spans="1:4" x14ac:dyDescent="0.15">
      <c r="A1451" s="32">
        <v>35034</v>
      </c>
      <c r="B1451" s="33" t="s">
        <v>28</v>
      </c>
      <c r="C1451" s="33" t="s">
        <v>30</v>
      </c>
      <c r="D1451" s="33">
        <v>270</v>
      </c>
    </row>
    <row r="1452" spans="1:4" x14ac:dyDescent="0.15">
      <c r="A1452" s="32">
        <v>35034</v>
      </c>
      <c r="B1452" s="33" t="s">
        <v>29</v>
      </c>
      <c r="C1452" s="33" t="s">
        <v>30</v>
      </c>
      <c r="D1452" s="33">
        <v>151</v>
      </c>
    </row>
    <row r="1453" spans="1:4" x14ac:dyDescent="0.15">
      <c r="A1453" s="32">
        <v>35034</v>
      </c>
      <c r="B1453" s="33" t="s">
        <v>21</v>
      </c>
      <c r="C1453" s="33" t="s">
        <v>30</v>
      </c>
      <c r="D1453" s="33">
        <v>28</v>
      </c>
    </row>
    <row r="1454" spans="1:4" x14ac:dyDescent="0.15">
      <c r="A1454" s="32">
        <v>35034</v>
      </c>
      <c r="B1454" s="33" t="s">
        <v>21</v>
      </c>
      <c r="C1454" s="33" t="s">
        <v>30</v>
      </c>
      <c r="D1454" s="33">
        <v>27</v>
      </c>
    </row>
    <row r="1455" spans="1:4" x14ac:dyDescent="0.15">
      <c r="A1455" s="32">
        <v>35034</v>
      </c>
      <c r="B1455" s="33" t="s">
        <v>26</v>
      </c>
      <c r="C1455" s="33" t="s">
        <v>30</v>
      </c>
      <c r="D1455" s="33">
        <v>158</v>
      </c>
    </row>
    <row r="1456" spans="1:4" x14ac:dyDescent="0.15">
      <c r="A1456" s="32">
        <v>35034</v>
      </c>
      <c r="B1456" s="33" t="s">
        <v>29</v>
      </c>
      <c r="C1456" s="33" t="s">
        <v>30</v>
      </c>
      <c r="D1456" s="33">
        <v>149</v>
      </c>
    </row>
    <row r="1457" spans="1:4" x14ac:dyDescent="0.15">
      <c r="A1457" s="32">
        <v>35034</v>
      </c>
      <c r="B1457" s="33" t="s">
        <v>29</v>
      </c>
      <c r="C1457" s="33" t="s">
        <v>30</v>
      </c>
      <c r="D1457" s="33">
        <v>149</v>
      </c>
    </row>
    <row r="1458" spans="1:4" x14ac:dyDescent="0.15">
      <c r="A1458" s="32">
        <v>35034</v>
      </c>
      <c r="B1458" s="33" t="s">
        <v>21</v>
      </c>
      <c r="C1458" s="33" t="s">
        <v>30</v>
      </c>
      <c r="D1458" s="33">
        <v>124</v>
      </c>
    </row>
    <row r="1459" spans="1:4" x14ac:dyDescent="0.15">
      <c r="A1459" s="32">
        <v>35034</v>
      </c>
      <c r="B1459" s="33" t="s">
        <v>28</v>
      </c>
      <c r="C1459" s="33" t="s">
        <v>30</v>
      </c>
      <c r="D1459" s="33">
        <v>124</v>
      </c>
    </row>
    <row r="1460" spans="1:4" x14ac:dyDescent="0.15">
      <c r="A1460" s="32">
        <v>35034</v>
      </c>
      <c r="B1460" s="33" t="s">
        <v>21</v>
      </c>
      <c r="C1460" s="33" t="s">
        <v>30</v>
      </c>
      <c r="D1460" s="33">
        <v>114</v>
      </c>
    </row>
    <row r="1461" spans="1:4" x14ac:dyDescent="0.15">
      <c r="A1461" s="32">
        <v>35034</v>
      </c>
      <c r="B1461" s="33" t="s">
        <v>21</v>
      </c>
      <c r="C1461" s="33" t="s">
        <v>30</v>
      </c>
      <c r="D1461" s="33">
        <v>44</v>
      </c>
    </row>
    <row r="1462" spans="1:4" x14ac:dyDescent="0.15">
      <c r="A1462" s="32">
        <v>35034</v>
      </c>
      <c r="B1462" s="33" t="s">
        <v>26</v>
      </c>
      <c r="C1462" s="33" t="s">
        <v>30</v>
      </c>
      <c r="D1462" s="33">
        <v>110</v>
      </c>
    </row>
    <row r="1463" spans="1:4" x14ac:dyDescent="0.15">
      <c r="A1463" s="32">
        <v>35034</v>
      </c>
      <c r="B1463" s="33" t="s">
        <v>28</v>
      </c>
      <c r="C1463" s="33" t="s">
        <v>30</v>
      </c>
      <c r="D1463" s="33">
        <v>53</v>
      </c>
    </row>
    <row r="1464" spans="1:4" x14ac:dyDescent="0.15">
      <c r="A1464" s="32">
        <v>35034</v>
      </c>
      <c r="B1464" s="33" t="s">
        <v>29</v>
      </c>
      <c r="C1464" s="33" t="s">
        <v>30</v>
      </c>
      <c r="D1464" s="33">
        <v>96</v>
      </c>
    </row>
    <row r="1465" spans="1:4" x14ac:dyDescent="0.15">
      <c r="A1465" s="32">
        <v>35034</v>
      </c>
      <c r="B1465" s="33" t="s">
        <v>29</v>
      </c>
      <c r="C1465" s="33" t="s">
        <v>30</v>
      </c>
      <c r="D1465" s="33">
        <v>95</v>
      </c>
    </row>
    <row r="1466" spans="1:4" x14ac:dyDescent="0.15">
      <c r="A1466" s="32">
        <v>35034</v>
      </c>
      <c r="B1466" s="33" t="s">
        <v>31</v>
      </c>
      <c r="C1466" s="33" t="s">
        <v>30</v>
      </c>
      <c r="D1466" s="33">
        <v>83</v>
      </c>
    </row>
    <row r="1467" spans="1:4" x14ac:dyDescent="0.15">
      <c r="A1467" s="32">
        <v>35034</v>
      </c>
      <c r="B1467" s="33" t="s">
        <v>26</v>
      </c>
      <c r="C1467" s="33" t="s">
        <v>30</v>
      </c>
      <c r="D1467" s="33">
        <v>151</v>
      </c>
    </row>
    <row r="1468" spans="1:4" x14ac:dyDescent="0.15">
      <c r="A1468" s="32">
        <v>35034</v>
      </c>
      <c r="B1468" s="33" t="s">
        <v>26</v>
      </c>
      <c r="C1468" s="33" t="s">
        <v>30</v>
      </c>
      <c r="D1468" s="33">
        <v>114</v>
      </c>
    </row>
    <row r="1469" spans="1:4" x14ac:dyDescent="0.15">
      <c r="A1469" s="32">
        <v>35065</v>
      </c>
      <c r="B1469" s="33" t="s">
        <v>28</v>
      </c>
      <c r="C1469" s="33" t="s">
        <v>22</v>
      </c>
      <c r="D1469" s="33">
        <v>441</v>
      </c>
    </row>
    <row r="1470" spans="1:4" x14ac:dyDescent="0.15">
      <c r="A1470" s="32">
        <v>35065</v>
      </c>
      <c r="B1470" s="33" t="s">
        <v>31</v>
      </c>
      <c r="C1470" s="33" t="s">
        <v>22</v>
      </c>
      <c r="D1470" s="33">
        <v>588</v>
      </c>
    </row>
    <row r="1471" spans="1:4" x14ac:dyDescent="0.15">
      <c r="A1471" s="32">
        <v>35065</v>
      </c>
      <c r="B1471" s="33" t="s">
        <v>21</v>
      </c>
      <c r="C1471" s="33" t="s">
        <v>22</v>
      </c>
      <c r="D1471" s="33">
        <v>681</v>
      </c>
    </row>
    <row r="1472" spans="1:4" x14ac:dyDescent="0.15">
      <c r="A1472" s="32">
        <v>35065</v>
      </c>
      <c r="B1472" s="33" t="s">
        <v>21</v>
      </c>
      <c r="C1472" s="33" t="s">
        <v>22</v>
      </c>
      <c r="D1472" s="33">
        <v>735</v>
      </c>
    </row>
    <row r="1473" spans="1:4" x14ac:dyDescent="0.15">
      <c r="A1473" s="32">
        <v>35065</v>
      </c>
      <c r="B1473" s="33" t="s">
        <v>21</v>
      </c>
      <c r="C1473" s="33" t="s">
        <v>22</v>
      </c>
      <c r="D1473" s="33">
        <v>770</v>
      </c>
    </row>
    <row r="1474" spans="1:4" x14ac:dyDescent="0.15">
      <c r="A1474" s="32">
        <v>35065</v>
      </c>
      <c r="B1474" s="33" t="s">
        <v>28</v>
      </c>
      <c r="C1474" s="33" t="s">
        <v>22</v>
      </c>
      <c r="D1474" s="33">
        <v>782</v>
      </c>
    </row>
    <row r="1475" spans="1:4" x14ac:dyDescent="0.15">
      <c r="A1475" s="32">
        <v>35065</v>
      </c>
      <c r="B1475" s="33" t="s">
        <v>21</v>
      </c>
      <c r="C1475" s="33" t="s">
        <v>22</v>
      </c>
      <c r="D1475" s="33">
        <v>848</v>
      </c>
    </row>
    <row r="1476" spans="1:4" x14ac:dyDescent="0.15">
      <c r="A1476" s="32">
        <v>35065</v>
      </c>
      <c r="B1476" s="33" t="s">
        <v>26</v>
      </c>
      <c r="C1476" s="33" t="s">
        <v>22</v>
      </c>
      <c r="D1476" s="33">
        <v>1075</v>
      </c>
    </row>
    <row r="1477" spans="1:4" x14ac:dyDescent="0.15">
      <c r="A1477" s="32">
        <v>35065</v>
      </c>
      <c r="B1477" s="33" t="s">
        <v>29</v>
      </c>
      <c r="C1477" s="33" t="s">
        <v>22</v>
      </c>
      <c r="D1477" s="33">
        <v>248</v>
      </c>
    </row>
    <row r="1478" spans="1:4" x14ac:dyDescent="0.15">
      <c r="A1478" s="32">
        <v>35065</v>
      </c>
      <c r="B1478" s="33" t="s">
        <v>28</v>
      </c>
      <c r="C1478" s="33" t="s">
        <v>22</v>
      </c>
      <c r="D1478" s="33">
        <v>2443</v>
      </c>
    </row>
    <row r="1479" spans="1:4" x14ac:dyDescent="0.15">
      <c r="A1479" s="32">
        <v>35065</v>
      </c>
      <c r="B1479" s="33" t="s">
        <v>29</v>
      </c>
      <c r="C1479" s="33" t="s">
        <v>22</v>
      </c>
      <c r="D1479" s="33">
        <v>50</v>
      </c>
    </row>
    <row r="1480" spans="1:4" x14ac:dyDescent="0.15">
      <c r="A1480" s="32">
        <v>35065</v>
      </c>
      <c r="B1480" s="33" t="s">
        <v>29</v>
      </c>
      <c r="C1480" s="33" t="s">
        <v>22</v>
      </c>
      <c r="D1480" s="33">
        <v>302</v>
      </c>
    </row>
    <row r="1481" spans="1:4" x14ac:dyDescent="0.15">
      <c r="A1481" s="32">
        <v>35065</v>
      </c>
      <c r="B1481" s="33" t="s">
        <v>28</v>
      </c>
      <c r="C1481" s="33" t="s">
        <v>22</v>
      </c>
      <c r="D1481" s="33">
        <v>270</v>
      </c>
    </row>
    <row r="1482" spans="1:4" x14ac:dyDescent="0.15">
      <c r="A1482" s="32">
        <v>35065</v>
      </c>
      <c r="B1482" s="33" t="s">
        <v>26</v>
      </c>
      <c r="C1482" s="33" t="s">
        <v>22</v>
      </c>
      <c r="D1482" s="33">
        <v>90</v>
      </c>
    </row>
    <row r="1483" spans="1:4" x14ac:dyDescent="0.15">
      <c r="A1483" s="32">
        <v>35065</v>
      </c>
      <c r="B1483" s="33" t="s">
        <v>31</v>
      </c>
      <c r="C1483" s="33" t="s">
        <v>22</v>
      </c>
      <c r="D1483" s="33">
        <v>113</v>
      </c>
    </row>
    <row r="1484" spans="1:4" x14ac:dyDescent="0.15">
      <c r="A1484" s="32">
        <v>35065</v>
      </c>
      <c r="B1484" s="33" t="s">
        <v>29</v>
      </c>
      <c r="C1484" s="33" t="s">
        <v>22</v>
      </c>
      <c r="D1484" s="33">
        <v>225</v>
      </c>
    </row>
    <row r="1485" spans="1:4" x14ac:dyDescent="0.15">
      <c r="A1485" s="32">
        <v>35065</v>
      </c>
      <c r="B1485" s="33" t="s">
        <v>26</v>
      </c>
      <c r="C1485" s="33" t="s">
        <v>22</v>
      </c>
      <c r="D1485" s="33">
        <v>248</v>
      </c>
    </row>
    <row r="1486" spans="1:4" x14ac:dyDescent="0.15">
      <c r="A1486" s="32">
        <v>35065</v>
      </c>
      <c r="B1486" s="33" t="s">
        <v>28</v>
      </c>
      <c r="C1486" s="33" t="s">
        <v>23</v>
      </c>
      <c r="D1486" s="33">
        <v>420</v>
      </c>
    </row>
    <row r="1487" spans="1:4" x14ac:dyDescent="0.15">
      <c r="A1487" s="32">
        <v>35065</v>
      </c>
      <c r="B1487" s="33" t="s">
        <v>29</v>
      </c>
      <c r="C1487" s="33" t="s">
        <v>23</v>
      </c>
      <c r="D1487" s="33">
        <v>245</v>
      </c>
    </row>
    <row r="1488" spans="1:4" x14ac:dyDescent="0.15">
      <c r="A1488" s="32">
        <v>35065</v>
      </c>
      <c r="B1488" s="33" t="s">
        <v>29</v>
      </c>
      <c r="C1488" s="33" t="s">
        <v>23</v>
      </c>
      <c r="D1488" s="33">
        <v>273</v>
      </c>
    </row>
    <row r="1489" spans="1:4" x14ac:dyDescent="0.15">
      <c r="A1489" s="32">
        <v>35065</v>
      </c>
      <c r="B1489" s="33" t="s">
        <v>31</v>
      </c>
      <c r="C1489" s="33" t="s">
        <v>23</v>
      </c>
      <c r="D1489" s="33">
        <v>293</v>
      </c>
    </row>
    <row r="1490" spans="1:4" x14ac:dyDescent="0.15">
      <c r="A1490" s="32">
        <v>35065</v>
      </c>
      <c r="B1490" s="33" t="s">
        <v>21</v>
      </c>
      <c r="C1490" s="33" t="s">
        <v>23</v>
      </c>
      <c r="D1490" s="33">
        <v>315</v>
      </c>
    </row>
    <row r="1491" spans="1:4" x14ac:dyDescent="0.15">
      <c r="A1491" s="32">
        <v>35065</v>
      </c>
      <c r="B1491" s="33" t="s">
        <v>29</v>
      </c>
      <c r="C1491" s="33" t="s">
        <v>23</v>
      </c>
      <c r="D1491" s="33">
        <v>360</v>
      </c>
    </row>
    <row r="1492" spans="1:4" x14ac:dyDescent="0.15">
      <c r="A1492" s="32">
        <v>35065</v>
      </c>
      <c r="B1492" s="33" t="s">
        <v>29</v>
      </c>
      <c r="C1492" s="33" t="s">
        <v>23</v>
      </c>
      <c r="D1492" s="33">
        <v>185</v>
      </c>
    </row>
    <row r="1493" spans="1:4" x14ac:dyDescent="0.15">
      <c r="A1493" s="32">
        <v>35065</v>
      </c>
      <c r="B1493" s="33" t="s">
        <v>26</v>
      </c>
      <c r="C1493" s="33" t="s">
        <v>23</v>
      </c>
      <c r="D1493" s="33">
        <v>175</v>
      </c>
    </row>
    <row r="1494" spans="1:4" x14ac:dyDescent="0.15">
      <c r="A1494" s="32">
        <v>35065</v>
      </c>
      <c r="B1494" s="33" t="s">
        <v>28</v>
      </c>
      <c r="C1494" s="33" t="s">
        <v>23</v>
      </c>
      <c r="D1494" s="33">
        <v>557</v>
      </c>
    </row>
    <row r="1495" spans="1:4" x14ac:dyDescent="0.15">
      <c r="A1495" s="32">
        <v>35065</v>
      </c>
      <c r="B1495" s="33" t="s">
        <v>21</v>
      </c>
      <c r="C1495" s="33" t="s">
        <v>23</v>
      </c>
      <c r="D1495" s="33">
        <v>606</v>
      </c>
    </row>
    <row r="1496" spans="1:4" x14ac:dyDescent="0.15">
      <c r="A1496" s="32">
        <v>35065</v>
      </c>
      <c r="B1496" s="33" t="s">
        <v>26</v>
      </c>
      <c r="C1496" s="33" t="s">
        <v>23</v>
      </c>
      <c r="D1496" s="33">
        <v>630</v>
      </c>
    </row>
    <row r="1497" spans="1:4" x14ac:dyDescent="0.15">
      <c r="A1497" s="32">
        <v>35065</v>
      </c>
      <c r="B1497" s="33" t="s">
        <v>28</v>
      </c>
      <c r="C1497" s="33" t="s">
        <v>23</v>
      </c>
      <c r="D1497" s="33">
        <v>394</v>
      </c>
    </row>
    <row r="1498" spans="1:4" x14ac:dyDescent="0.15">
      <c r="A1498" s="32">
        <v>35065</v>
      </c>
      <c r="B1498" s="33" t="s">
        <v>26</v>
      </c>
      <c r="C1498" s="33" t="s">
        <v>23</v>
      </c>
      <c r="D1498" s="33">
        <v>79</v>
      </c>
    </row>
    <row r="1499" spans="1:4" x14ac:dyDescent="0.15">
      <c r="A1499" s="32">
        <v>35065</v>
      </c>
      <c r="B1499" s="33" t="s">
        <v>31</v>
      </c>
      <c r="C1499" s="33" t="s">
        <v>23</v>
      </c>
      <c r="D1499" s="33">
        <v>123</v>
      </c>
    </row>
    <row r="1500" spans="1:4" x14ac:dyDescent="0.15">
      <c r="A1500" s="32">
        <v>35065</v>
      </c>
      <c r="B1500" s="33" t="s">
        <v>26</v>
      </c>
      <c r="C1500" s="33" t="s">
        <v>23</v>
      </c>
      <c r="D1500" s="33">
        <v>135</v>
      </c>
    </row>
    <row r="1501" spans="1:4" x14ac:dyDescent="0.15">
      <c r="A1501" s="32">
        <v>35065</v>
      </c>
      <c r="B1501" s="33" t="s">
        <v>28</v>
      </c>
      <c r="C1501" s="33" t="s">
        <v>23</v>
      </c>
      <c r="D1501" s="33">
        <v>952</v>
      </c>
    </row>
    <row r="1502" spans="1:4" x14ac:dyDescent="0.15">
      <c r="A1502" s="32">
        <v>35065</v>
      </c>
      <c r="B1502" s="33" t="s">
        <v>21</v>
      </c>
      <c r="C1502" s="33" t="s">
        <v>23</v>
      </c>
      <c r="D1502" s="33">
        <v>985</v>
      </c>
    </row>
    <row r="1503" spans="1:4" x14ac:dyDescent="0.15">
      <c r="A1503" s="32">
        <v>35065</v>
      </c>
      <c r="B1503" s="33" t="s">
        <v>21</v>
      </c>
      <c r="C1503" s="33" t="s">
        <v>23</v>
      </c>
      <c r="D1503" s="33">
        <v>696</v>
      </c>
    </row>
    <row r="1504" spans="1:4" x14ac:dyDescent="0.15">
      <c r="A1504" s="32">
        <v>35065</v>
      </c>
      <c r="B1504" s="33" t="s">
        <v>21</v>
      </c>
      <c r="C1504" s="33" t="s">
        <v>24</v>
      </c>
      <c r="D1504" s="33">
        <v>90</v>
      </c>
    </row>
    <row r="1505" spans="1:4" x14ac:dyDescent="0.15">
      <c r="A1505" s="32">
        <v>35065</v>
      </c>
      <c r="B1505" s="33" t="s">
        <v>21</v>
      </c>
      <c r="C1505" s="33" t="s">
        <v>24</v>
      </c>
      <c r="D1505" s="33">
        <v>63</v>
      </c>
    </row>
    <row r="1506" spans="1:4" x14ac:dyDescent="0.15">
      <c r="A1506" s="32">
        <v>35065</v>
      </c>
      <c r="B1506" s="33" t="s">
        <v>26</v>
      </c>
      <c r="C1506" s="33" t="s">
        <v>24</v>
      </c>
      <c r="D1506" s="33">
        <v>90</v>
      </c>
    </row>
    <row r="1507" spans="1:4" x14ac:dyDescent="0.15">
      <c r="A1507" s="32">
        <v>35065</v>
      </c>
      <c r="B1507" s="33" t="s">
        <v>26</v>
      </c>
      <c r="C1507" s="33" t="s">
        <v>24</v>
      </c>
      <c r="D1507" s="33">
        <v>234</v>
      </c>
    </row>
    <row r="1508" spans="1:4" x14ac:dyDescent="0.15">
      <c r="A1508" s="32">
        <v>35065</v>
      </c>
      <c r="B1508" s="33" t="s">
        <v>26</v>
      </c>
      <c r="C1508" s="33" t="s">
        <v>24</v>
      </c>
      <c r="D1508" s="33">
        <v>140</v>
      </c>
    </row>
    <row r="1509" spans="1:4" x14ac:dyDescent="0.15">
      <c r="A1509" s="32">
        <v>35065</v>
      </c>
      <c r="B1509" s="33" t="s">
        <v>21</v>
      </c>
      <c r="C1509" s="33" t="s">
        <v>24</v>
      </c>
      <c r="D1509" s="33">
        <v>72</v>
      </c>
    </row>
    <row r="1510" spans="1:4" x14ac:dyDescent="0.15">
      <c r="A1510" s="32">
        <v>35065</v>
      </c>
      <c r="B1510" s="33" t="s">
        <v>26</v>
      </c>
      <c r="C1510" s="33" t="s">
        <v>24</v>
      </c>
      <c r="D1510" s="33">
        <v>149</v>
      </c>
    </row>
    <row r="1511" spans="1:4" x14ac:dyDescent="0.15">
      <c r="A1511" s="32">
        <v>35065</v>
      </c>
      <c r="B1511" s="33" t="s">
        <v>21</v>
      </c>
      <c r="C1511" s="33" t="s">
        <v>24</v>
      </c>
      <c r="D1511" s="33">
        <v>113</v>
      </c>
    </row>
    <row r="1512" spans="1:4" x14ac:dyDescent="0.15">
      <c r="A1512" s="32">
        <v>35065</v>
      </c>
      <c r="B1512" s="33" t="s">
        <v>26</v>
      </c>
      <c r="C1512" s="33" t="s">
        <v>24</v>
      </c>
      <c r="D1512" s="33">
        <v>113</v>
      </c>
    </row>
    <row r="1513" spans="1:4" x14ac:dyDescent="0.15">
      <c r="A1513" s="32">
        <v>35065</v>
      </c>
      <c r="B1513" s="33" t="s">
        <v>21</v>
      </c>
      <c r="C1513" s="33" t="s">
        <v>24</v>
      </c>
      <c r="D1513" s="33">
        <v>2290</v>
      </c>
    </row>
    <row r="1514" spans="1:4" x14ac:dyDescent="0.15">
      <c r="A1514" s="32">
        <v>35065</v>
      </c>
      <c r="B1514" s="33" t="s">
        <v>21</v>
      </c>
      <c r="C1514" s="33" t="s">
        <v>24</v>
      </c>
      <c r="D1514" s="33">
        <v>1601</v>
      </c>
    </row>
    <row r="1515" spans="1:4" x14ac:dyDescent="0.15">
      <c r="A1515" s="32">
        <v>35065</v>
      </c>
      <c r="B1515" s="33" t="s">
        <v>26</v>
      </c>
      <c r="C1515" s="33" t="s">
        <v>24</v>
      </c>
      <c r="D1515" s="33">
        <v>358</v>
      </c>
    </row>
    <row r="1516" spans="1:4" x14ac:dyDescent="0.15">
      <c r="A1516" s="32">
        <v>35065</v>
      </c>
      <c r="B1516" s="33" t="s">
        <v>29</v>
      </c>
      <c r="C1516" s="33" t="s">
        <v>25</v>
      </c>
      <c r="D1516" s="33">
        <v>56</v>
      </c>
    </row>
    <row r="1517" spans="1:4" x14ac:dyDescent="0.15">
      <c r="A1517" s="32">
        <v>35065</v>
      </c>
      <c r="B1517" s="33" t="s">
        <v>26</v>
      </c>
      <c r="C1517" s="33" t="s">
        <v>25</v>
      </c>
      <c r="D1517" s="33">
        <v>45</v>
      </c>
    </row>
    <row r="1518" spans="1:4" x14ac:dyDescent="0.15">
      <c r="A1518" s="32">
        <v>35065</v>
      </c>
      <c r="B1518" s="33" t="s">
        <v>29</v>
      </c>
      <c r="C1518" s="33" t="s">
        <v>25</v>
      </c>
      <c r="D1518" s="33">
        <v>135</v>
      </c>
    </row>
    <row r="1519" spans="1:4" x14ac:dyDescent="0.15">
      <c r="A1519" s="32">
        <v>35065</v>
      </c>
      <c r="B1519" s="33" t="s">
        <v>28</v>
      </c>
      <c r="C1519" s="33" t="s">
        <v>25</v>
      </c>
      <c r="D1519" s="33">
        <v>210</v>
      </c>
    </row>
    <row r="1520" spans="1:4" x14ac:dyDescent="0.15">
      <c r="A1520" s="32">
        <v>35065</v>
      </c>
      <c r="B1520" s="33" t="s">
        <v>26</v>
      </c>
      <c r="C1520" s="33" t="s">
        <v>25</v>
      </c>
      <c r="D1520" s="33">
        <v>440</v>
      </c>
    </row>
    <row r="1521" spans="1:4" x14ac:dyDescent="0.15">
      <c r="A1521" s="32">
        <v>35065</v>
      </c>
      <c r="B1521" s="33" t="s">
        <v>31</v>
      </c>
      <c r="C1521" s="33" t="s">
        <v>25</v>
      </c>
      <c r="D1521" s="33">
        <v>158</v>
      </c>
    </row>
    <row r="1522" spans="1:4" x14ac:dyDescent="0.15">
      <c r="A1522" s="32">
        <v>35065</v>
      </c>
      <c r="B1522" s="33" t="s">
        <v>29</v>
      </c>
      <c r="C1522" s="33" t="s">
        <v>25</v>
      </c>
      <c r="D1522" s="33">
        <v>166</v>
      </c>
    </row>
    <row r="1523" spans="1:4" x14ac:dyDescent="0.15">
      <c r="A1523" s="32">
        <v>35065</v>
      </c>
      <c r="B1523" s="33" t="s">
        <v>21</v>
      </c>
      <c r="C1523" s="33" t="s">
        <v>25</v>
      </c>
      <c r="D1523" s="33">
        <v>175</v>
      </c>
    </row>
    <row r="1524" spans="1:4" x14ac:dyDescent="0.15">
      <c r="A1524" s="32">
        <v>35065</v>
      </c>
      <c r="B1524" s="33" t="s">
        <v>28</v>
      </c>
      <c r="C1524" s="33" t="s">
        <v>25</v>
      </c>
      <c r="D1524" s="33">
        <v>184</v>
      </c>
    </row>
    <row r="1525" spans="1:4" x14ac:dyDescent="0.15">
      <c r="A1525" s="32">
        <v>35065</v>
      </c>
      <c r="B1525" s="33" t="s">
        <v>21</v>
      </c>
      <c r="C1525" s="33" t="s">
        <v>25</v>
      </c>
      <c r="D1525" s="33">
        <v>437</v>
      </c>
    </row>
    <row r="1526" spans="1:4" x14ac:dyDescent="0.15">
      <c r="A1526" s="32">
        <v>35065</v>
      </c>
      <c r="B1526" s="33" t="s">
        <v>26</v>
      </c>
      <c r="C1526" s="33" t="s">
        <v>25</v>
      </c>
      <c r="D1526" s="33">
        <v>1115</v>
      </c>
    </row>
    <row r="1527" spans="1:4" x14ac:dyDescent="0.15">
      <c r="A1527" s="32">
        <v>35065</v>
      </c>
      <c r="B1527" s="33" t="s">
        <v>29</v>
      </c>
      <c r="C1527" s="33" t="s">
        <v>25</v>
      </c>
      <c r="D1527" s="33">
        <v>86</v>
      </c>
    </row>
    <row r="1528" spans="1:4" x14ac:dyDescent="0.15">
      <c r="A1528" s="32">
        <v>35065</v>
      </c>
      <c r="B1528" s="33" t="s">
        <v>21</v>
      </c>
      <c r="C1528" s="33" t="s">
        <v>25</v>
      </c>
      <c r="D1528" s="33">
        <v>1310</v>
      </c>
    </row>
    <row r="1529" spans="1:4" x14ac:dyDescent="0.15">
      <c r="A1529" s="32">
        <v>35065</v>
      </c>
      <c r="B1529" s="33" t="s">
        <v>21</v>
      </c>
      <c r="C1529" s="33" t="s">
        <v>25</v>
      </c>
      <c r="D1529" s="33">
        <v>113</v>
      </c>
    </row>
    <row r="1530" spans="1:4" x14ac:dyDescent="0.15">
      <c r="A1530" s="32">
        <v>35065</v>
      </c>
      <c r="B1530" s="33" t="s">
        <v>31</v>
      </c>
      <c r="C1530" s="33" t="s">
        <v>25</v>
      </c>
      <c r="D1530" s="33">
        <v>131</v>
      </c>
    </row>
    <row r="1531" spans="1:4" x14ac:dyDescent="0.15">
      <c r="A1531" s="32">
        <v>35065</v>
      </c>
      <c r="B1531" s="33" t="s">
        <v>28</v>
      </c>
      <c r="C1531" s="33" t="s">
        <v>25</v>
      </c>
      <c r="D1531" s="33">
        <v>468</v>
      </c>
    </row>
    <row r="1532" spans="1:4" x14ac:dyDescent="0.15">
      <c r="A1532" s="32">
        <v>35065</v>
      </c>
      <c r="B1532" s="33" t="s">
        <v>28</v>
      </c>
      <c r="C1532" s="33" t="s">
        <v>25</v>
      </c>
      <c r="D1532" s="33">
        <v>786</v>
      </c>
    </row>
    <row r="1533" spans="1:4" x14ac:dyDescent="0.15">
      <c r="A1533" s="32">
        <v>35065</v>
      </c>
      <c r="B1533" s="33" t="s">
        <v>26</v>
      </c>
      <c r="C1533" s="33" t="s">
        <v>25</v>
      </c>
      <c r="D1533" s="33">
        <v>458</v>
      </c>
    </row>
    <row r="1534" spans="1:4" x14ac:dyDescent="0.15">
      <c r="A1534" s="32">
        <v>35065</v>
      </c>
      <c r="B1534" s="33" t="s">
        <v>26</v>
      </c>
      <c r="C1534" s="33" t="s">
        <v>27</v>
      </c>
      <c r="D1534" s="33">
        <v>1272</v>
      </c>
    </row>
    <row r="1535" spans="1:4" x14ac:dyDescent="0.15">
      <c r="A1535" s="32">
        <v>35065</v>
      </c>
      <c r="B1535" s="33" t="s">
        <v>21</v>
      </c>
      <c r="C1535" s="33" t="s">
        <v>27</v>
      </c>
      <c r="D1535" s="33">
        <v>1630</v>
      </c>
    </row>
    <row r="1536" spans="1:4" x14ac:dyDescent="0.15">
      <c r="A1536" s="32">
        <v>35065</v>
      </c>
      <c r="B1536" s="33" t="s">
        <v>26</v>
      </c>
      <c r="C1536" s="33" t="s">
        <v>27</v>
      </c>
      <c r="D1536" s="33">
        <v>2083</v>
      </c>
    </row>
    <row r="1537" spans="1:4" x14ac:dyDescent="0.15">
      <c r="A1537" s="32">
        <v>35065</v>
      </c>
      <c r="B1537" s="33" t="s">
        <v>21</v>
      </c>
      <c r="C1537" s="33" t="s">
        <v>27</v>
      </c>
      <c r="D1537" s="33">
        <v>644</v>
      </c>
    </row>
    <row r="1538" spans="1:4" x14ac:dyDescent="0.15">
      <c r="A1538" s="32">
        <v>35065</v>
      </c>
      <c r="B1538" s="33" t="s">
        <v>28</v>
      </c>
      <c r="C1538" s="33" t="s">
        <v>27</v>
      </c>
      <c r="D1538" s="33">
        <v>1129</v>
      </c>
    </row>
    <row r="1539" spans="1:4" x14ac:dyDescent="0.15">
      <c r="A1539" s="32">
        <v>35065</v>
      </c>
      <c r="B1539" s="33" t="s">
        <v>28</v>
      </c>
      <c r="C1539" s="33" t="s">
        <v>27</v>
      </c>
      <c r="D1539" s="33">
        <v>912</v>
      </c>
    </row>
    <row r="1540" spans="1:4" x14ac:dyDescent="0.15">
      <c r="A1540" s="32">
        <v>35065</v>
      </c>
      <c r="B1540" s="33" t="s">
        <v>21</v>
      </c>
      <c r="C1540" s="33" t="s">
        <v>27</v>
      </c>
      <c r="D1540" s="33">
        <v>44</v>
      </c>
    </row>
    <row r="1541" spans="1:4" x14ac:dyDescent="0.15">
      <c r="A1541" s="32">
        <v>35065</v>
      </c>
      <c r="B1541" s="33" t="s">
        <v>28</v>
      </c>
      <c r="C1541" s="33" t="s">
        <v>27</v>
      </c>
      <c r="D1541" s="33">
        <v>56</v>
      </c>
    </row>
    <row r="1542" spans="1:4" x14ac:dyDescent="0.15">
      <c r="A1542" s="32">
        <v>35065</v>
      </c>
      <c r="B1542" s="33" t="s">
        <v>29</v>
      </c>
      <c r="C1542" s="33" t="s">
        <v>27</v>
      </c>
      <c r="D1542" s="33">
        <v>63</v>
      </c>
    </row>
    <row r="1543" spans="1:4" x14ac:dyDescent="0.15">
      <c r="A1543" s="32">
        <v>35065</v>
      </c>
      <c r="B1543" s="33" t="s">
        <v>28</v>
      </c>
      <c r="C1543" s="33" t="s">
        <v>27</v>
      </c>
      <c r="D1543" s="33">
        <v>72</v>
      </c>
    </row>
    <row r="1544" spans="1:4" x14ac:dyDescent="0.15">
      <c r="A1544" s="32">
        <v>35065</v>
      </c>
      <c r="B1544" s="33" t="s">
        <v>21</v>
      </c>
      <c r="C1544" s="33" t="s">
        <v>27</v>
      </c>
      <c r="D1544" s="33">
        <v>79</v>
      </c>
    </row>
    <row r="1545" spans="1:4" x14ac:dyDescent="0.15">
      <c r="A1545" s="32">
        <v>35065</v>
      </c>
      <c r="B1545" s="33" t="s">
        <v>29</v>
      </c>
      <c r="C1545" s="33" t="s">
        <v>27</v>
      </c>
      <c r="D1545" s="33">
        <v>79</v>
      </c>
    </row>
    <row r="1546" spans="1:4" x14ac:dyDescent="0.15">
      <c r="A1546" s="32">
        <v>35065</v>
      </c>
      <c r="B1546" s="33" t="s">
        <v>29</v>
      </c>
      <c r="C1546" s="33" t="s">
        <v>27</v>
      </c>
      <c r="D1546" s="33">
        <v>90</v>
      </c>
    </row>
    <row r="1547" spans="1:4" x14ac:dyDescent="0.15">
      <c r="A1547" s="32">
        <v>35065</v>
      </c>
      <c r="B1547" s="33" t="s">
        <v>29</v>
      </c>
      <c r="C1547" s="33" t="s">
        <v>27</v>
      </c>
      <c r="D1547" s="33">
        <v>105</v>
      </c>
    </row>
    <row r="1548" spans="1:4" x14ac:dyDescent="0.15">
      <c r="A1548" s="32">
        <v>35065</v>
      </c>
      <c r="B1548" s="33" t="s">
        <v>31</v>
      </c>
      <c r="C1548" s="33" t="s">
        <v>27</v>
      </c>
      <c r="D1548" s="33">
        <v>124</v>
      </c>
    </row>
    <row r="1549" spans="1:4" x14ac:dyDescent="0.15">
      <c r="A1549" s="32">
        <v>35065</v>
      </c>
      <c r="B1549" s="33" t="s">
        <v>31</v>
      </c>
      <c r="C1549" s="33" t="s">
        <v>27</v>
      </c>
      <c r="D1549" s="33">
        <v>140</v>
      </c>
    </row>
    <row r="1550" spans="1:4" x14ac:dyDescent="0.15">
      <c r="A1550" s="32">
        <v>35065</v>
      </c>
      <c r="B1550" s="33" t="s">
        <v>26</v>
      </c>
      <c r="C1550" s="33" t="s">
        <v>27</v>
      </c>
      <c r="D1550" s="33">
        <v>252</v>
      </c>
    </row>
    <row r="1551" spans="1:4" x14ac:dyDescent="0.15">
      <c r="A1551" s="32">
        <v>35065</v>
      </c>
      <c r="B1551" s="33" t="s">
        <v>26</v>
      </c>
      <c r="C1551" s="33" t="s">
        <v>27</v>
      </c>
      <c r="D1551" s="33">
        <v>415</v>
      </c>
    </row>
    <row r="1552" spans="1:4" x14ac:dyDescent="0.15">
      <c r="A1552" s="32">
        <v>35065</v>
      </c>
      <c r="B1552" s="33" t="s">
        <v>21</v>
      </c>
      <c r="C1552" s="33" t="s">
        <v>30</v>
      </c>
      <c r="D1552" s="33">
        <v>191</v>
      </c>
    </row>
    <row r="1553" spans="1:4" x14ac:dyDescent="0.15">
      <c r="A1553" s="32">
        <v>35065</v>
      </c>
      <c r="B1553" s="33" t="s">
        <v>21</v>
      </c>
      <c r="C1553" s="33" t="s">
        <v>30</v>
      </c>
      <c r="D1553" s="33">
        <v>27</v>
      </c>
    </row>
    <row r="1554" spans="1:4" x14ac:dyDescent="0.15">
      <c r="A1554" s="32">
        <v>35065</v>
      </c>
      <c r="B1554" s="33" t="s">
        <v>21</v>
      </c>
      <c r="C1554" s="33" t="s">
        <v>30</v>
      </c>
      <c r="D1554" s="33">
        <v>61</v>
      </c>
    </row>
    <row r="1555" spans="1:4" x14ac:dyDescent="0.15">
      <c r="A1555" s="32">
        <v>35065</v>
      </c>
      <c r="B1555" s="33" t="s">
        <v>29</v>
      </c>
      <c r="C1555" s="33" t="s">
        <v>30</v>
      </c>
      <c r="D1555" s="33">
        <v>171</v>
      </c>
    </row>
    <row r="1556" spans="1:4" x14ac:dyDescent="0.15">
      <c r="A1556" s="32">
        <v>35065</v>
      </c>
      <c r="B1556" s="33" t="s">
        <v>26</v>
      </c>
      <c r="C1556" s="33" t="s">
        <v>30</v>
      </c>
      <c r="D1556" s="33">
        <v>158</v>
      </c>
    </row>
    <row r="1557" spans="1:4" x14ac:dyDescent="0.15">
      <c r="A1557" s="32">
        <v>35065</v>
      </c>
      <c r="B1557" s="33" t="s">
        <v>29</v>
      </c>
      <c r="C1557" s="33" t="s">
        <v>30</v>
      </c>
      <c r="D1557" s="33">
        <v>158</v>
      </c>
    </row>
    <row r="1558" spans="1:4" x14ac:dyDescent="0.15">
      <c r="A1558" s="32">
        <v>35065</v>
      </c>
      <c r="B1558" s="33" t="s">
        <v>29</v>
      </c>
      <c r="C1558" s="33" t="s">
        <v>30</v>
      </c>
      <c r="D1558" s="33">
        <v>151</v>
      </c>
    </row>
    <row r="1559" spans="1:4" x14ac:dyDescent="0.15">
      <c r="A1559" s="32">
        <v>35065</v>
      </c>
      <c r="B1559" s="33" t="s">
        <v>21</v>
      </c>
      <c r="C1559" s="33" t="s">
        <v>30</v>
      </c>
      <c r="D1559" s="33">
        <v>28</v>
      </c>
    </row>
    <row r="1560" spans="1:4" x14ac:dyDescent="0.15">
      <c r="A1560" s="32">
        <v>35065</v>
      </c>
      <c r="B1560" s="33" t="s">
        <v>21</v>
      </c>
      <c r="C1560" s="33" t="s">
        <v>30</v>
      </c>
      <c r="D1560" s="33">
        <v>131</v>
      </c>
    </row>
    <row r="1561" spans="1:4" x14ac:dyDescent="0.15">
      <c r="A1561" s="32">
        <v>35065</v>
      </c>
      <c r="B1561" s="33" t="s">
        <v>26</v>
      </c>
      <c r="C1561" s="33" t="s">
        <v>30</v>
      </c>
      <c r="D1561" s="33">
        <v>123</v>
      </c>
    </row>
    <row r="1562" spans="1:4" x14ac:dyDescent="0.15">
      <c r="A1562" s="32">
        <v>35065</v>
      </c>
      <c r="B1562" s="33" t="s">
        <v>31</v>
      </c>
      <c r="C1562" s="33" t="s">
        <v>30</v>
      </c>
      <c r="D1562" s="33">
        <v>113</v>
      </c>
    </row>
    <row r="1563" spans="1:4" x14ac:dyDescent="0.15">
      <c r="A1563" s="32">
        <v>35065</v>
      </c>
      <c r="B1563" s="33" t="s">
        <v>29</v>
      </c>
      <c r="C1563" s="33" t="s">
        <v>30</v>
      </c>
      <c r="D1563" s="33">
        <v>105</v>
      </c>
    </row>
    <row r="1564" spans="1:4" x14ac:dyDescent="0.15">
      <c r="A1564" s="32">
        <v>35065</v>
      </c>
      <c r="B1564" s="33" t="s">
        <v>29</v>
      </c>
      <c r="C1564" s="33" t="s">
        <v>30</v>
      </c>
      <c r="D1564" s="33">
        <v>102</v>
      </c>
    </row>
    <row r="1565" spans="1:4" x14ac:dyDescent="0.15">
      <c r="A1565" s="32">
        <v>35065</v>
      </c>
      <c r="B1565" s="33" t="s">
        <v>26</v>
      </c>
      <c r="C1565" s="33" t="s">
        <v>30</v>
      </c>
      <c r="D1565" s="33">
        <v>83</v>
      </c>
    </row>
    <row r="1566" spans="1:4" x14ac:dyDescent="0.15">
      <c r="A1566" s="32">
        <v>35065</v>
      </c>
      <c r="B1566" s="33" t="s">
        <v>21</v>
      </c>
      <c r="C1566" s="33" t="s">
        <v>30</v>
      </c>
      <c r="D1566" s="33">
        <v>138</v>
      </c>
    </row>
    <row r="1567" spans="1:4" x14ac:dyDescent="0.15">
      <c r="A1567" s="32">
        <v>35065</v>
      </c>
      <c r="B1567" s="33" t="s">
        <v>26</v>
      </c>
      <c r="C1567" s="33" t="s">
        <v>30</v>
      </c>
      <c r="D1567" s="33">
        <v>193</v>
      </c>
    </row>
    <row r="1568" spans="1:4" x14ac:dyDescent="0.15">
      <c r="A1568" s="32">
        <v>35065</v>
      </c>
      <c r="B1568" s="33" t="s">
        <v>26</v>
      </c>
      <c r="C1568" s="33" t="s">
        <v>30</v>
      </c>
      <c r="D1568" s="33">
        <v>191</v>
      </c>
    </row>
    <row r="1569" spans="1:4" x14ac:dyDescent="0.15">
      <c r="A1569" s="32">
        <v>35065</v>
      </c>
      <c r="B1569" s="33" t="s">
        <v>28</v>
      </c>
      <c r="C1569" s="33" t="s">
        <v>30</v>
      </c>
      <c r="D1569" s="33">
        <v>1180</v>
      </c>
    </row>
    <row r="1570" spans="1:4" x14ac:dyDescent="0.15">
      <c r="A1570" s="32">
        <v>35065</v>
      </c>
      <c r="B1570" s="33" t="s">
        <v>26</v>
      </c>
      <c r="C1570" s="33" t="s">
        <v>30</v>
      </c>
      <c r="D1570" s="33">
        <v>1136</v>
      </c>
    </row>
    <row r="1571" spans="1:4" x14ac:dyDescent="0.15">
      <c r="A1571" s="32">
        <v>35065</v>
      </c>
      <c r="B1571" s="33" t="s">
        <v>28</v>
      </c>
      <c r="C1571" s="33" t="s">
        <v>30</v>
      </c>
      <c r="D1571" s="33">
        <v>304</v>
      </c>
    </row>
    <row r="1572" spans="1:4" x14ac:dyDescent="0.15">
      <c r="A1572" s="32">
        <v>35065</v>
      </c>
      <c r="B1572" s="33" t="s">
        <v>28</v>
      </c>
      <c r="C1572" s="33" t="s">
        <v>30</v>
      </c>
      <c r="D1572" s="33">
        <v>289</v>
      </c>
    </row>
    <row r="1573" spans="1:4" x14ac:dyDescent="0.15">
      <c r="A1573" s="32">
        <v>35065</v>
      </c>
      <c r="B1573" s="33" t="s">
        <v>31</v>
      </c>
      <c r="C1573" s="33" t="s">
        <v>30</v>
      </c>
      <c r="D1573" s="33">
        <v>236</v>
      </c>
    </row>
    <row r="1574" spans="1:4" x14ac:dyDescent="0.15">
      <c r="A1574" s="32">
        <v>35065</v>
      </c>
      <c r="B1574" s="33" t="s">
        <v>31</v>
      </c>
      <c r="C1574" s="33" t="s">
        <v>30</v>
      </c>
      <c r="D1574" s="33">
        <v>220</v>
      </c>
    </row>
    <row r="1575" spans="1:4" x14ac:dyDescent="0.15">
      <c r="A1575" s="32">
        <v>35065</v>
      </c>
      <c r="B1575" s="33" t="s">
        <v>28</v>
      </c>
      <c r="C1575" s="33" t="s">
        <v>30</v>
      </c>
      <c r="D1575" s="33">
        <v>206</v>
      </c>
    </row>
    <row r="1576" spans="1:4" x14ac:dyDescent="0.15">
      <c r="A1576" s="32">
        <v>35065</v>
      </c>
      <c r="B1576" s="33" t="s">
        <v>29</v>
      </c>
      <c r="C1576" s="33" t="s">
        <v>30</v>
      </c>
      <c r="D1576" s="33">
        <v>203</v>
      </c>
    </row>
    <row r="1577" spans="1:4" x14ac:dyDescent="0.15">
      <c r="A1577" s="32">
        <v>35065</v>
      </c>
      <c r="B1577" s="33" t="s">
        <v>28</v>
      </c>
      <c r="C1577" s="33" t="s">
        <v>30</v>
      </c>
      <c r="D1577" s="33">
        <v>655</v>
      </c>
    </row>
    <row r="1578" spans="1:4" x14ac:dyDescent="0.15">
      <c r="A1578" s="32">
        <v>35096</v>
      </c>
      <c r="B1578" s="33" t="s">
        <v>29</v>
      </c>
      <c r="C1578" s="33" t="s">
        <v>22</v>
      </c>
      <c r="D1578" s="33">
        <v>330</v>
      </c>
    </row>
    <row r="1579" spans="1:4" x14ac:dyDescent="0.15">
      <c r="A1579" s="32">
        <v>35096</v>
      </c>
      <c r="B1579" s="33" t="s">
        <v>26</v>
      </c>
      <c r="C1579" s="33" t="s">
        <v>22</v>
      </c>
      <c r="D1579" s="33">
        <v>45</v>
      </c>
    </row>
    <row r="1580" spans="1:4" x14ac:dyDescent="0.15">
      <c r="A1580" s="32">
        <v>35096</v>
      </c>
      <c r="B1580" s="33" t="s">
        <v>31</v>
      </c>
      <c r="C1580" s="33" t="s">
        <v>22</v>
      </c>
      <c r="D1580" s="33">
        <v>124</v>
      </c>
    </row>
    <row r="1581" spans="1:4" x14ac:dyDescent="0.15">
      <c r="A1581" s="32">
        <v>35096</v>
      </c>
      <c r="B1581" s="33" t="s">
        <v>26</v>
      </c>
      <c r="C1581" s="33" t="s">
        <v>22</v>
      </c>
      <c r="D1581" s="33">
        <v>193</v>
      </c>
    </row>
    <row r="1582" spans="1:4" x14ac:dyDescent="0.15">
      <c r="A1582" s="32">
        <v>35096</v>
      </c>
      <c r="B1582" s="33" t="s">
        <v>26</v>
      </c>
      <c r="C1582" s="33" t="s">
        <v>22</v>
      </c>
      <c r="D1582" s="33">
        <v>225</v>
      </c>
    </row>
    <row r="1583" spans="1:4" x14ac:dyDescent="0.15">
      <c r="A1583" s="32">
        <v>35096</v>
      </c>
      <c r="B1583" s="33" t="s">
        <v>28</v>
      </c>
      <c r="C1583" s="33" t="s">
        <v>22</v>
      </c>
      <c r="D1583" s="33">
        <v>270</v>
      </c>
    </row>
    <row r="1584" spans="1:4" x14ac:dyDescent="0.15">
      <c r="A1584" s="32">
        <v>35096</v>
      </c>
      <c r="B1584" s="33" t="s">
        <v>29</v>
      </c>
      <c r="C1584" s="33" t="s">
        <v>22</v>
      </c>
      <c r="D1584" s="33">
        <v>66</v>
      </c>
    </row>
    <row r="1585" spans="1:4" x14ac:dyDescent="0.15">
      <c r="A1585" s="32">
        <v>35096</v>
      </c>
      <c r="B1585" s="33" t="s">
        <v>28</v>
      </c>
      <c r="C1585" s="33" t="s">
        <v>22</v>
      </c>
      <c r="D1585" s="33">
        <v>371</v>
      </c>
    </row>
    <row r="1586" spans="1:4" x14ac:dyDescent="0.15">
      <c r="A1586" s="32">
        <v>35096</v>
      </c>
      <c r="B1586" s="33" t="s">
        <v>29</v>
      </c>
      <c r="C1586" s="33" t="s">
        <v>22</v>
      </c>
      <c r="D1586" s="33">
        <v>270</v>
      </c>
    </row>
    <row r="1587" spans="1:4" x14ac:dyDescent="0.15">
      <c r="A1587" s="32">
        <v>35096</v>
      </c>
      <c r="B1587" s="33" t="s">
        <v>29</v>
      </c>
      <c r="C1587" s="33" t="s">
        <v>22</v>
      </c>
      <c r="D1587" s="33">
        <v>441</v>
      </c>
    </row>
    <row r="1588" spans="1:4" x14ac:dyDescent="0.15">
      <c r="A1588" s="32">
        <v>35096</v>
      </c>
      <c r="B1588" s="33" t="s">
        <v>31</v>
      </c>
      <c r="C1588" s="33" t="s">
        <v>22</v>
      </c>
      <c r="D1588" s="33">
        <v>587</v>
      </c>
    </row>
    <row r="1589" spans="1:4" x14ac:dyDescent="0.15">
      <c r="A1589" s="32">
        <v>35096</v>
      </c>
      <c r="B1589" s="33" t="s">
        <v>21</v>
      </c>
      <c r="C1589" s="33" t="s">
        <v>22</v>
      </c>
      <c r="D1589" s="33">
        <v>615</v>
      </c>
    </row>
    <row r="1590" spans="1:4" x14ac:dyDescent="0.15">
      <c r="A1590" s="32">
        <v>35096</v>
      </c>
      <c r="B1590" s="33" t="s">
        <v>21</v>
      </c>
      <c r="C1590" s="33" t="s">
        <v>22</v>
      </c>
      <c r="D1590" s="33">
        <v>633</v>
      </c>
    </row>
    <row r="1591" spans="1:4" x14ac:dyDescent="0.15">
      <c r="A1591" s="32">
        <v>35096</v>
      </c>
      <c r="B1591" s="33" t="s">
        <v>21</v>
      </c>
      <c r="C1591" s="33" t="s">
        <v>22</v>
      </c>
      <c r="D1591" s="33">
        <v>774</v>
      </c>
    </row>
    <row r="1592" spans="1:4" x14ac:dyDescent="0.15">
      <c r="A1592" s="32">
        <v>35096</v>
      </c>
      <c r="B1592" s="33" t="s">
        <v>21</v>
      </c>
      <c r="C1592" s="33" t="s">
        <v>22</v>
      </c>
      <c r="D1592" s="33">
        <v>976</v>
      </c>
    </row>
    <row r="1593" spans="1:4" x14ac:dyDescent="0.15">
      <c r="A1593" s="32">
        <v>35096</v>
      </c>
      <c r="B1593" s="33" t="s">
        <v>28</v>
      </c>
      <c r="C1593" s="33" t="s">
        <v>22</v>
      </c>
      <c r="D1593" s="33">
        <v>1039</v>
      </c>
    </row>
    <row r="1594" spans="1:4" x14ac:dyDescent="0.15">
      <c r="A1594" s="32">
        <v>35096</v>
      </c>
      <c r="B1594" s="33" t="s">
        <v>31</v>
      </c>
      <c r="C1594" s="33" t="s">
        <v>22</v>
      </c>
      <c r="D1594" s="33">
        <v>1081</v>
      </c>
    </row>
    <row r="1595" spans="1:4" x14ac:dyDescent="0.15">
      <c r="A1595" s="32">
        <v>35096</v>
      </c>
      <c r="B1595" s="33" t="s">
        <v>31</v>
      </c>
      <c r="C1595" s="33" t="s">
        <v>22</v>
      </c>
      <c r="D1595" s="33">
        <v>1134</v>
      </c>
    </row>
    <row r="1596" spans="1:4" x14ac:dyDescent="0.15">
      <c r="A1596" s="32">
        <v>35096</v>
      </c>
      <c r="B1596" s="33" t="s">
        <v>28</v>
      </c>
      <c r="C1596" s="33" t="s">
        <v>22</v>
      </c>
      <c r="D1596" s="33">
        <v>2517</v>
      </c>
    </row>
    <row r="1597" spans="1:4" x14ac:dyDescent="0.15">
      <c r="A1597" s="32">
        <v>35096</v>
      </c>
      <c r="B1597" s="33" t="s">
        <v>26</v>
      </c>
      <c r="C1597" s="33" t="s">
        <v>22</v>
      </c>
      <c r="D1597" s="33">
        <v>1475</v>
      </c>
    </row>
    <row r="1598" spans="1:4" x14ac:dyDescent="0.15">
      <c r="A1598" s="32">
        <v>35096</v>
      </c>
      <c r="B1598" s="33" t="s">
        <v>28</v>
      </c>
      <c r="C1598" s="33" t="s">
        <v>23</v>
      </c>
      <c r="D1598" s="33">
        <v>368</v>
      </c>
    </row>
    <row r="1599" spans="1:4" x14ac:dyDescent="0.15">
      <c r="A1599" s="32">
        <v>35096</v>
      </c>
      <c r="B1599" s="33" t="s">
        <v>21</v>
      </c>
      <c r="C1599" s="33" t="s">
        <v>23</v>
      </c>
      <c r="D1599" s="33">
        <v>448</v>
      </c>
    </row>
    <row r="1600" spans="1:4" x14ac:dyDescent="0.15">
      <c r="A1600" s="32">
        <v>35096</v>
      </c>
      <c r="B1600" s="33" t="s">
        <v>31</v>
      </c>
      <c r="C1600" s="33" t="s">
        <v>23</v>
      </c>
      <c r="D1600" s="33">
        <v>473</v>
      </c>
    </row>
    <row r="1601" spans="1:4" x14ac:dyDescent="0.15">
      <c r="A1601" s="32">
        <v>35096</v>
      </c>
      <c r="B1601" s="33" t="s">
        <v>29</v>
      </c>
      <c r="C1601" s="33" t="s">
        <v>23</v>
      </c>
      <c r="D1601" s="33">
        <v>480</v>
      </c>
    </row>
    <row r="1602" spans="1:4" x14ac:dyDescent="0.15">
      <c r="A1602" s="32">
        <v>35096</v>
      </c>
      <c r="B1602" s="33" t="s">
        <v>26</v>
      </c>
      <c r="C1602" s="33" t="s">
        <v>23</v>
      </c>
      <c r="D1602" s="33">
        <v>193</v>
      </c>
    </row>
    <row r="1603" spans="1:4" x14ac:dyDescent="0.15">
      <c r="A1603" s="32">
        <v>35096</v>
      </c>
      <c r="B1603" s="33" t="s">
        <v>26</v>
      </c>
      <c r="C1603" s="33" t="s">
        <v>23</v>
      </c>
      <c r="D1603" s="33">
        <v>90</v>
      </c>
    </row>
    <row r="1604" spans="1:4" x14ac:dyDescent="0.15">
      <c r="A1604" s="32">
        <v>35096</v>
      </c>
      <c r="B1604" s="33" t="s">
        <v>28</v>
      </c>
      <c r="C1604" s="33" t="s">
        <v>23</v>
      </c>
      <c r="D1604" s="33">
        <v>270</v>
      </c>
    </row>
    <row r="1605" spans="1:4" x14ac:dyDescent="0.15">
      <c r="A1605" s="32">
        <v>35096</v>
      </c>
      <c r="B1605" s="33" t="s">
        <v>31</v>
      </c>
      <c r="C1605" s="33" t="s">
        <v>23</v>
      </c>
      <c r="D1605" s="33">
        <v>149</v>
      </c>
    </row>
    <row r="1606" spans="1:4" x14ac:dyDescent="0.15">
      <c r="A1606" s="32">
        <v>35096</v>
      </c>
      <c r="B1606" s="33" t="s">
        <v>29</v>
      </c>
      <c r="C1606" s="33" t="s">
        <v>23</v>
      </c>
      <c r="D1606" s="33">
        <v>230</v>
      </c>
    </row>
    <row r="1607" spans="1:4" x14ac:dyDescent="0.15">
      <c r="A1607" s="32">
        <v>35096</v>
      </c>
      <c r="B1607" s="33" t="s">
        <v>21</v>
      </c>
      <c r="C1607" s="33" t="s">
        <v>23</v>
      </c>
      <c r="D1607" s="33">
        <v>261</v>
      </c>
    </row>
    <row r="1608" spans="1:4" x14ac:dyDescent="0.15">
      <c r="A1608" s="32">
        <v>35096</v>
      </c>
      <c r="B1608" s="33" t="s">
        <v>29</v>
      </c>
      <c r="C1608" s="33" t="s">
        <v>23</v>
      </c>
      <c r="D1608" s="33">
        <v>263</v>
      </c>
    </row>
    <row r="1609" spans="1:4" x14ac:dyDescent="0.15">
      <c r="A1609" s="32">
        <v>35096</v>
      </c>
      <c r="B1609" s="33" t="s">
        <v>29</v>
      </c>
      <c r="C1609" s="33" t="s">
        <v>23</v>
      </c>
      <c r="D1609" s="33">
        <v>312</v>
      </c>
    </row>
    <row r="1610" spans="1:4" x14ac:dyDescent="0.15">
      <c r="A1610" s="32">
        <v>35096</v>
      </c>
      <c r="B1610" s="33" t="s">
        <v>28</v>
      </c>
      <c r="C1610" s="33" t="s">
        <v>23</v>
      </c>
      <c r="D1610" s="33">
        <v>368</v>
      </c>
    </row>
    <row r="1611" spans="1:4" x14ac:dyDescent="0.15">
      <c r="A1611" s="32">
        <v>35096</v>
      </c>
      <c r="B1611" s="33" t="s">
        <v>31</v>
      </c>
      <c r="C1611" s="33" t="s">
        <v>23</v>
      </c>
      <c r="D1611" s="33">
        <v>146</v>
      </c>
    </row>
    <row r="1612" spans="1:4" x14ac:dyDescent="0.15">
      <c r="A1612" s="32">
        <v>35096</v>
      </c>
      <c r="B1612" s="33" t="s">
        <v>26</v>
      </c>
      <c r="C1612" s="33" t="s">
        <v>23</v>
      </c>
      <c r="D1612" s="33">
        <v>70</v>
      </c>
    </row>
    <row r="1613" spans="1:4" x14ac:dyDescent="0.15">
      <c r="A1613" s="32">
        <v>35096</v>
      </c>
      <c r="B1613" s="33" t="s">
        <v>26</v>
      </c>
      <c r="C1613" s="33" t="s">
        <v>23</v>
      </c>
      <c r="D1613" s="33">
        <v>620</v>
      </c>
    </row>
    <row r="1614" spans="1:4" x14ac:dyDescent="0.15">
      <c r="A1614" s="32">
        <v>35096</v>
      </c>
      <c r="B1614" s="33" t="s">
        <v>31</v>
      </c>
      <c r="C1614" s="33" t="s">
        <v>23</v>
      </c>
      <c r="D1614" s="33">
        <v>653</v>
      </c>
    </row>
    <row r="1615" spans="1:4" x14ac:dyDescent="0.15">
      <c r="A1615" s="32">
        <v>35096</v>
      </c>
      <c r="B1615" s="33" t="s">
        <v>28</v>
      </c>
      <c r="C1615" s="33" t="s">
        <v>23</v>
      </c>
      <c r="D1615" s="33">
        <v>688</v>
      </c>
    </row>
    <row r="1616" spans="1:4" x14ac:dyDescent="0.15">
      <c r="A1616" s="32">
        <v>35096</v>
      </c>
      <c r="B1616" s="33" t="s">
        <v>21</v>
      </c>
      <c r="C1616" s="33" t="s">
        <v>23</v>
      </c>
      <c r="D1616" s="33">
        <v>782</v>
      </c>
    </row>
    <row r="1617" spans="1:4" x14ac:dyDescent="0.15">
      <c r="A1617" s="32">
        <v>35096</v>
      </c>
      <c r="B1617" s="33" t="s">
        <v>21</v>
      </c>
      <c r="C1617" s="33" t="s">
        <v>23</v>
      </c>
      <c r="D1617" s="33">
        <v>1365</v>
      </c>
    </row>
    <row r="1618" spans="1:4" x14ac:dyDescent="0.15">
      <c r="A1618" s="32">
        <v>35096</v>
      </c>
      <c r="B1618" s="33" t="s">
        <v>21</v>
      </c>
      <c r="C1618" s="33" t="s">
        <v>24</v>
      </c>
      <c r="D1618" s="33">
        <v>1979</v>
      </c>
    </row>
    <row r="1619" spans="1:4" x14ac:dyDescent="0.15">
      <c r="A1619" s="32">
        <v>35096</v>
      </c>
      <c r="B1619" s="33" t="s">
        <v>21</v>
      </c>
      <c r="C1619" s="33" t="s">
        <v>24</v>
      </c>
      <c r="D1619" s="33">
        <v>2166</v>
      </c>
    </row>
    <row r="1620" spans="1:4" x14ac:dyDescent="0.15">
      <c r="A1620" s="32">
        <v>35096</v>
      </c>
      <c r="B1620" s="33" t="s">
        <v>26</v>
      </c>
      <c r="C1620" s="33" t="s">
        <v>24</v>
      </c>
      <c r="D1620" s="33">
        <v>175</v>
      </c>
    </row>
    <row r="1621" spans="1:4" x14ac:dyDescent="0.15">
      <c r="A1621" s="32">
        <v>35096</v>
      </c>
      <c r="B1621" s="33" t="s">
        <v>26</v>
      </c>
      <c r="C1621" s="33" t="s">
        <v>24</v>
      </c>
      <c r="D1621" s="33">
        <v>248</v>
      </c>
    </row>
    <row r="1622" spans="1:4" x14ac:dyDescent="0.15">
      <c r="A1622" s="32">
        <v>35096</v>
      </c>
      <c r="B1622" s="33" t="s">
        <v>21</v>
      </c>
      <c r="C1622" s="33" t="s">
        <v>24</v>
      </c>
      <c r="D1622" s="33">
        <v>126</v>
      </c>
    </row>
    <row r="1623" spans="1:4" x14ac:dyDescent="0.15">
      <c r="A1623" s="32">
        <v>35096</v>
      </c>
      <c r="B1623" s="33" t="s">
        <v>21</v>
      </c>
      <c r="C1623" s="33" t="s">
        <v>24</v>
      </c>
      <c r="D1623" s="33">
        <v>101</v>
      </c>
    </row>
    <row r="1624" spans="1:4" x14ac:dyDescent="0.15">
      <c r="A1624" s="32">
        <v>35096</v>
      </c>
      <c r="B1624" s="33" t="s">
        <v>26</v>
      </c>
      <c r="C1624" s="33" t="s">
        <v>24</v>
      </c>
      <c r="D1624" s="33">
        <v>101</v>
      </c>
    </row>
    <row r="1625" spans="1:4" x14ac:dyDescent="0.15">
      <c r="A1625" s="32">
        <v>35096</v>
      </c>
      <c r="B1625" s="33" t="s">
        <v>26</v>
      </c>
      <c r="C1625" s="33" t="s">
        <v>24</v>
      </c>
      <c r="D1625" s="33">
        <v>113</v>
      </c>
    </row>
    <row r="1626" spans="1:4" x14ac:dyDescent="0.15">
      <c r="A1626" s="32">
        <v>35096</v>
      </c>
      <c r="B1626" s="33" t="s">
        <v>21</v>
      </c>
      <c r="C1626" s="33" t="s">
        <v>24</v>
      </c>
      <c r="D1626" s="33">
        <v>60</v>
      </c>
    </row>
    <row r="1627" spans="1:4" x14ac:dyDescent="0.15">
      <c r="A1627" s="32">
        <v>35096</v>
      </c>
      <c r="B1627" s="33" t="s">
        <v>26</v>
      </c>
      <c r="C1627" s="33" t="s">
        <v>24</v>
      </c>
      <c r="D1627" s="33">
        <v>88</v>
      </c>
    </row>
    <row r="1628" spans="1:4" x14ac:dyDescent="0.15">
      <c r="A1628" s="32">
        <v>35096</v>
      </c>
      <c r="B1628" s="33" t="s">
        <v>26</v>
      </c>
      <c r="C1628" s="33" t="s">
        <v>24</v>
      </c>
      <c r="D1628" s="33">
        <v>275</v>
      </c>
    </row>
    <row r="1629" spans="1:4" x14ac:dyDescent="0.15">
      <c r="A1629" s="32">
        <v>35096</v>
      </c>
      <c r="B1629" s="33" t="s">
        <v>21</v>
      </c>
      <c r="C1629" s="33" t="s">
        <v>24</v>
      </c>
      <c r="D1629" s="33">
        <v>72</v>
      </c>
    </row>
    <row r="1630" spans="1:4" x14ac:dyDescent="0.15">
      <c r="A1630" s="32">
        <v>35096</v>
      </c>
      <c r="B1630" s="33" t="s">
        <v>21</v>
      </c>
      <c r="C1630" s="33" t="s">
        <v>25</v>
      </c>
      <c r="D1630" s="33">
        <v>113</v>
      </c>
    </row>
    <row r="1631" spans="1:4" x14ac:dyDescent="0.15">
      <c r="A1631" s="32">
        <v>35096</v>
      </c>
      <c r="B1631" s="33" t="s">
        <v>29</v>
      </c>
      <c r="C1631" s="33" t="s">
        <v>25</v>
      </c>
      <c r="D1631" s="33">
        <v>63</v>
      </c>
    </row>
    <row r="1632" spans="1:4" x14ac:dyDescent="0.15">
      <c r="A1632" s="32">
        <v>35096</v>
      </c>
      <c r="B1632" s="33" t="s">
        <v>26</v>
      </c>
      <c r="C1632" s="33" t="s">
        <v>25</v>
      </c>
      <c r="D1632" s="33">
        <v>68</v>
      </c>
    </row>
    <row r="1633" spans="1:4" x14ac:dyDescent="0.15">
      <c r="A1633" s="32">
        <v>35096</v>
      </c>
      <c r="B1633" s="33" t="s">
        <v>26</v>
      </c>
      <c r="C1633" s="33" t="s">
        <v>25</v>
      </c>
      <c r="D1633" s="33">
        <v>1326</v>
      </c>
    </row>
    <row r="1634" spans="1:4" x14ac:dyDescent="0.15">
      <c r="A1634" s="32">
        <v>35096</v>
      </c>
      <c r="B1634" s="33" t="s">
        <v>29</v>
      </c>
      <c r="C1634" s="33" t="s">
        <v>25</v>
      </c>
      <c r="D1634" s="33">
        <v>99</v>
      </c>
    </row>
    <row r="1635" spans="1:4" x14ac:dyDescent="0.15">
      <c r="A1635" s="32">
        <v>35096</v>
      </c>
      <c r="B1635" s="33" t="s">
        <v>26</v>
      </c>
      <c r="C1635" s="33" t="s">
        <v>25</v>
      </c>
      <c r="D1635" s="33">
        <v>630</v>
      </c>
    </row>
    <row r="1636" spans="1:4" x14ac:dyDescent="0.15">
      <c r="A1636" s="32">
        <v>35096</v>
      </c>
      <c r="B1636" s="33" t="s">
        <v>31</v>
      </c>
      <c r="C1636" s="33" t="s">
        <v>25</v>
      </c>
      <c r="D1636" s="33">
        <v>668</v>
      </c>
    </row>
    <row r="1637" spans="1:4" x14ac:dyDescent="0.15">
      <c r="A1637" s="32">
        <v>35096</v>
      </c>
      <c r="B1637" s="33" t="s">
        <v>28</v>
      </c>
      <c r="C1637" s="33" t="s">
        <v>25</v>
      </c>
      <c r="D1637" s="33">
        <v>858</v>
      </c>
    </row>
    <row r="1638" spans="1:4" x14ac:dyDescent="0.15">
      <c r="A1638" s="32">
        <v>35096</v>
      </c>
      <c r="B1638" s="33" t="s">
        <v>26</v>
      </c>
      <c r="C1638" s="33" t="s">
        <v>25</v>
      </c>
      <c r="D1638" s="33">
        <v>611</v>
      </c>
    </row>
    <row r="1639" spans="1:4" x14ac:dyDescent="0.15">
      <c r="A1639" s="32">
        <v>35096</v>
      </c>
      <c r="B1639" s="33" t="s">
        <v>21</v>
      </c>
      <c r="C1639" s="33" t="s">
        <v>25</v>
      </c>
      <c r="D1639" s="33">
        <v>1354</v>
      </c>
    </row>
    <row r="1640" spans="1:4" x14ac:dyDescent="0.15">
      <c r="A1640" s="32">
        <v>35096</v>
      </c>
      <c r="B1640" s="33" t="s">
        <v>31</v>
      </c>
      <c r="C1640" s="33" t="s">
        <v>25</v>
      </c>
      <c r="D1640" s="33">
        <v>124</v>
      </c>
    </row>
    <row r="1641" spans="1:4" x14ac:dyDescent="0.15">
      <c r="A1641" s="32">
        <v>35096</v>
      </c>
      <c r="B1641" s="33" t="s">
        <v>31</v>
      </c>
      <c r="C1641" s="33" t="s">
        <v>25</v>
      </c>
      <c r="D1641" s="33">
        <v>131</v>
      </c>
    </row>
    <row r="1642" spans="1:4" x14ac:dyDescent="0.15">
      <c r="A1642" s="32">
        <v>35096</v>
      </c>
      <c r="B1642" s="33" t="s">
        <v>21</v>
      </c>
      <c r="C1642" s="33" t="s">
        <v>25</v>
      </c>
      <c r="D1642" s="33">
        <v>158</v>
      </c>
    </row>
    <row r="1643" spans="1:4" x14ac:dyDescent="0.15">
      <c r="A1643" s="32">
        <v>35096</v>
      </c>
      <c r="B1643" s="33" t="s">
        <v>29</v>
      </c>
      <c r="C1643" s="33" t="s">
        <v>25</v>
      </c>
      <c r="D1643" s="33">
        <v>169</v>
      </c>
    </row>
    <row r="1644" spans="1:4" x14ac:dyDescent="0.15">
      <c r="A1644" s="32">
        <v>35096</v>
      </c>
      <c r="B1644" s="33" t="s">
        <v>29</v>
      </c>
      <c r="C1644" s="33" t="s">
        <v>25</v>
      </c>
      <c r="D1644" s="33">
        <v>201</v>
      </c>
    </row>
    <row r="1645" spans="1:4" x14ac:dyDescent="0.15">
      <c r="A1645" s="32">
        <v>35096</v>
      </c>
      <c r="B1645" s="33" t="s">
        <v>28</v>
      </c>
      <c r="C1645" s="33" t="s">
        <v>25</v>
      </c>
      <c r="D1645" s="33">
        <v>210</v>
      </c>
    </row>
    <row r="1646" spans="1:4" x14ac:dyDescent="0.15">
      <c r="A1646" s="32">
        <v>35096</v>
      </c>
      <c r="B1646" s="33" t="s">
        <v>28</v>
      </c>
      <c r="C1646" s="33" t="s">
        <v>25</v>
      </c>
      <c r="D1646" s="33">
        <v>210</v>
      </c>
    </row>
    <row r="1647" spans="1:4" x14ac:dyDescent="0.15">
      <c r="A1647" s="32">
        <v>35096</v>
      </c>
      <c r="B1647" s="33" t="s">
        <v>31</v>
      </c>
      <c r="C1647" s="33" t="s">
        <v>25</v>
      </c>
      <c r="D1647" s="33">
        <v>630</v>
      </c>
    </row>
    <row r="1648" spans="1:4" x14ac:dyDescent="0.15">
      <c r="A1648" s="32">
        <v>35096</v>
      </c>
      <c r="B1648" s="33" t="s">
        <v>21</v>
      </c>
      <c r="C1648" s="33" t="s">
        <v>25</v>
      </c>
      <c r="D1648" s="33">
        <v>525</v>
      </c>
    </row>
    <row r="1649" spans="1:4" x14ac:dyDescent="0.15">
      <c r="A1649" s="32">
        <v>35096</v>
      </c>
      <c r="B1649" s="33" t="s">
        <v>28</v>
      </c>
      <c r="C1649" s="33" t="s">
        <v>25</v>
      </c>
      <c r="D1649" s="33">
        <v>540</v>
      </c>
    </row>
    <row r="1650" spans="1:4" x14ac:dyDescent="0.15">
      <c r="A1650" s="32">
        <v>35096</v>
      </c>
      <c r="B1650" s="33" t="s">
        <v>21</v>
      </c>
      <c r="C1650" s="33" t="s">
        <v>27</v>
      </c>
      <c r="D1650" s="33">
        <v>79</v>
      </c>
    </row>
    <row r="1651" spans="1:4" x14ac:dyDescent="0.15">
      <c r="A1651" s="32">
        <v>35096</v>
      </c>
      <c r="B1651" s="33" t="s">
        <v>21</v>
      </c>
      <c r="C1651" s="33" t="s">
        <v>27</v>
      </c>
      <c r="D1651" s="33">
        <v>53</v>
      </c>
    </row>
    <row r="1652" spans="1:4" x14ac:dyDescent="0.15">
      <c r="A1652" s="32">
        <v>35096</v>
      </c>
      <c r="B1652" s="33" t="s">
        <v>28</v>
      </c>
      <c r="C1652" s="33" t="s">
        <v>27</v>
      </c>
      <c r="D1652" s="33">
        <v>56</v>
      </c>
    </row>
    <row r="1653" spans="1:4" x14ac:dyDescent="0.15">
      <c r="A1653" s="32">
        <v>35096</v>
      </c>
      <c r="B1653" s="33" t="s">
        <v>28</v>
      </c>
      <c r="C1653" s="33" t="s">
        <v>27</v>
      </c>
      <c r="D1653" s="33">
        <v>81</v>
      </c>
    </row>
    <row r="1654" spans="1:4" x14ac:dyDescent="0.15">
      <c r="A1654" s="32">
        <v>35096</v>
      </c>
      <c r="B1654" s="33" t="s">
        <v>29</v>
      </c>
      <c r="C1654" s="33" t="s">
        <v>27</v>
      </c>
      <c r="D1654" s="33">
        <v>63</v>
      </c>
    </row>
    <row r="1655" spans="1:4" x14ac:dyDescent="0.15">
      <c r="A1655" s="32">
        <v>35096</v>
      </c>
      <c r="B1655" s="33" t="s">
        <v>28</v>
      </c>
      <c r="C1655" s="33" t="s">
        <v>27</v>
      </c>
      <c r="D1655" s="33">
        <v>3002</v>
      </c>
    </row>
    <row r="1656" spans="1:4" x14ac:dyDescent="0.15">
      <c r="A1656" s="32">
        <v>35096</v>
      </c>
      <c r="B1656" s="33" t="s">
        <v>29</v>
      </c>
      <c r="C1656" s="33" t="s">
        <v>27</v>
      </c>
      <c r="D1656" s="33">
        <v>96</v>
      </c>
    </row>
    <row r="1657" spans="1:4" x14ac:dyDescent="0.15">
      <c r="A1657" s="32">
        <v>35096</v>
      </c>
      <c r="B1657" s="33" t="s">
        <v>31</v>
      </c>
      <c r="C1657" s="33" t="s">
        <v>27</v>
      </c>
      <c r="D1657" s="33">
        <v>113</v>
      </c>
    </row>
    <row r="1658" spans="1:4" x14ac:dyDescent="0.15">
      <c r="A1658" s="32">
        <v>35096</v>
      </c>
      <c r="B1658" s="33" t="s">
        <v>29</v>
      </c>
      <c r="C1658" s="33" t="s">
        <v>27</v>
      </c>
      <c r="D1658" s="33">
        <v>123</v>
      </c>
    </row>
    <row r="1659" spans="1:4" x14ac:dyDescent="0.15">
      <c r="A1659" s="32">
        <v>35096</v>
      </c>
      <c r="B1659" s="33" t="s">
        <v>31</v>
      </c>
      <c r="C1659" s="33" t="s">
        <v>27</v>
      </c>
      <c r="D1659" s="33">
        <v>123</v>
      </c>
    </row>
    <row r="1660" spans="1:4" x14ac:dyDescent="0.15">
      <c r="A1660" s="32">
        <v>35096</v>
      </c>
      <c r="B1660" s="33" t="s">
        <v>29</v>
      </c>
      <c r="C1660" s="33" t="s">
        <v>27</v>
      </c>
      <c r="D1660" s="33">
        <v>124</v>
      </c>
    </row>
    <row r="1661" spans="1:4" x14ac:dyDescent="0.15">
      <c r="A1661" s="32">
        <v>35096</v>
      </c>
      <c r="B1661" s="33" t="s">
        <v>31</v>
      </c>
      <c r="C1661" s="33" t="s">
        <v>27</v>
      </c>
      <c r="D1661" s="33">
        <v>291</v>
      </c>
    </row>
    <row r="1662" spans="1:4" x14ac:dyDescent="0.15">
      <c r="A1662" s="32">
        <v>35096</v>
      </c>
      <c r="B1662" s="33" t="s">
        <v>31</v>
      </c>
      <c r="C1662" s="33" t="s">
        <v>27</v>
      </c>
      <c r="D1662" s="33">
        <v>356</v>
      </c>
    </row>
    <row r="1663" spans="1:4" x14ac:dyDescent="0.15">
      <c r="A1663" s="32">
        <v>35096</v>
      </c>
      <c r="B1663" s="33" t="s">
        <v>26</v>
      </c>
      <c r="C1663" s="33" t="s">
        <v>27</v>
      </c>
      <c r="D1663" s="33">
        <v>374</v>
      </c>
    </row>
    <row r="1664" spans="1:4" x14ac:dyDescent="0.15">
      <c r="A1664" s="32">
        <v>35096</v>
      </c>
      <c r="B1664" s="33" t="s">
        <v>21</v>
      </c>
      <c r="C1664" s="33" t="s">
        <v>27</v>
      </c>
      <c r="D1664" s="33">
        <v>511</v>
      </c>
    </row>
    <row r="1665" spans="1:4" x14ac:dyDescent="0.15">
      <c r="A1665" s="32">
        <v>35096</v>
      </c>
      <c r="B1665" s="33" t="s">
        <v>26</v>
      </c>
      <c r="C1665" s="33" t="s">
        <v>27</v>
      </c>
      <c r="D1665" s="33">
        <v>601</v>
      </c>
    </row>
    <row r="1666" spans="1:4" x14ac:dyDescent="0.15">
      <c r="A1666" s="32">
        <v>35096</v>
      </c>
      <c r="B1666" s="33" t="s">
        <v>26</v>
      </c>
      <c r="C1666" s="33" t="s">
        <v>27</v>
      </c>
      <c r="D1666" s="33">
        <v>1050</v>
      </c>
    </row>
    <row r="1667" spans="1:4" x14ac:dyDescent="0.15">
      <c r="A1667" s="32">
        <v>35096</v>
      </c>
      <c r="B1667" s="33" t="s">
        <v>28</v>
      </c>
      <c r="C1667" s="33" t="s">
        <v>27</v>
      </c>
      <c r="D1667" s="33">
        <v>1131</v>
      </c>
    </row>
    <row r="1668" spans="1:4" x14ac:dyDescent="0.15">
      <c r="A1668" s="32">
        <v>35096</v>
      </c>
      <c r="B1668" s="33" t="s">
        <v>26</v>
      </c>
      <c r="C1668" s="33" t="s">
        <v>27</v>
      </c>
      <c r="D1668" s="33">
        <v>2516</v>
      </c>
    </row>
    <row r="1669" spans="1:4" x14ac:dyDescent="0.15">
      <c r="A1669" s="32">
        <v>35096</v>
      </c>
      <c r="B1669" s="33" t="s">
        <v>21</v>
      </c>
      <c r="C1669" s="33" t="s">
        <v>27</v>
      </c>
      <c r="D1669" s="33">
        <v>1431</v>
      </c>
    </row>
    <row r="1670" spans="1:4" x14ac:dyDescent="0.15">
      <c r="A1670" s="32">
        <v>35096</v>
      </c>
      <c r="B1670" s="33" t="s">
        <v>31</v>
      </c>
      <c r="C1670" s="33" t="s">
        <v>30</v>
      </c>
      <c r="D1670" s="33">
        <v>1662</v>
      </c>
    </row>
    <row r="1671" spans="1:4" x14ac:dyDescent="0.15">
      <c r="A1671" s="32">
        <v>35096</v>
      </c>
      <c r="B1671" s="33" t="s">
        <v>31</v>
      </c>
      <c r="C1671" s="33" t="s">
        <v>30</v>
      </c>
      <c r="D1671" s="33">
        <v>1164</v>
      </c>
    </row>
    <row r="1672" spans="1:4" x14ac:dyDescent="0.15">
      <c r="A1672" s="32">
        <v>35096</v>
      </c>
      <c r="B1672" s="33" t="s">
        <v>26</v>
      </c>
      <c r="C1672" s="33" t="s">
        <v>30</v>
      </c>
      <c r="D1672" s="33">
        <v>627</v>
      </c>
    </row>
    <row r="1673" spans="1:4" x14ac:dyDescent="0.15">
      <c r="A1673" s="32">
        <v>35096</v>
      </c>
      <c r="B1673" s="33" t="s">
        <v>28</v>
      </c>
      <c r="C1673" s="33" t="s">
        <v>30</v>
      </c>
      <c r="D1673" s="33">
        <v>165</v>
      </c>
    </row>
    <row r="1674" spans="1:4" x14ac:dyDescent="0.15">
      <c r="A1674" s="32">
        <v>35096</v>
      </c>
      <c r="B1674" s="33" t="s">
        <v>26</v>
      </c>
      <c r="C1674" s="33" t="s">
        <v>30</v>
      </c>
      <c r="D1674" s="33">
        <v>53</v>
      </c>
    </row>
    <row r="1675" spans="1:4" x14ac:dyDescent="0.15">
      <c r="A1675" s="32">
        <v>35096</v>
      </c>
      <c r="B1675" s="33" t="s">
        <v>26</v>
      </c>
      <c r="C1675" s="33" t="s">
        <v>30</v>
      </c>
      <c r="D1675" s="33">
        <v>69</v>
      </c>
    </row>
    <row r="1676" spans="1:4" x14ac:dyDescent="0.15">
      <c r="A1676" s="32">
        <v>35096</v>
      </c>
      <c r="B1676" s="33" t="s">
        <v>29</v>
      </c>
      <c r="C1676" s="33" t="s">
        <v>30</v>
      </c>
      <c r="D1676" s="33">
        <v>69</v>
      </c>
    </row>
    <row r="1677" spans="1:4" x14ac:dyDescent="0.15">
      <c r="A1677" s="32">
        <v>35096</v>
      </c>
      <c r="B1677" s="33" t="s">
        <v>21</v>
      </c>
      <c r="C1677" s="33" t="s">
        <v>30</v>
      </c>
      <c r="D1677" s="33">
        <v>56</v>
      </c>
    </row>
    <row r="1678" spans="1:4" x14ac:dyDescent="0.15">
      <c r="A1678" s="32">
        <v>35096</v>
      </c>
      <c r="B1678" s="33" t="s">
        <v>21</v>
      </c>
      <c r="C1678" s="33" t="s">
        <v>30</v>
      </c>
      <c r="D1678" s="33">
        <v>55</v>
      </c>
    </row>
    <row r="1679" spans="1:4" x14ac:dyDescent="0.15">
      <c r="A1679" s="32">
        <v>35096</v>
      </c>
      <c r="B1679" s="33" t="s">
        <v>31</v>
      </c>
      <c r="C1679" s="33" t="s">
        <v>30</v>
      </c>
      <c r="D1679" s="33">
        <v>306</v>
      </c>
    </row>
    <row r="1680" spans="1:4" x14ac:dyDescent="0.15">
      <c r="A1680" s="32">
        <v>35096</v>
      </c>
      <c r="B1680" s="33" t="s">
        <v>26</v>
      </c>
      <c r="C1680" s="33" t="s">
        <v>30</v>
      </c>
      <c r="D1680" s="33">
        <v>53</v>
      </c>
    </row>
    <row r="1681" spans="1:4" x14ac:dyDescent="0.15">
      <c r="A1681" s="32">
        <v>35096</v>
      </c>
      <c r="B1681" s="33" t="s">
        <v>26</v>
      </c>
      <c r="C1681" s="33" t="s">
        <v>30</v>
      </c>
      <c r="D1681" s="33">
        <v>79</v>
      </c>
    </row>
    <row r="1682" spans="1:4" x14ac:dyDescent="0.15">
      <c r="A1682" s="32">
        <v>35096</v>
      </c>
      <c r="B1682" s="33" t="s">
        <v>21</v>
      </c>
      <c r="C1682" s="33" t="s">
        <v>30</v>
      </c>
      <c r="D1682" s="33">
        <v>44</v>
      </c>
    </row>
    <row r="1683" spans="1:4" x14ac:dyDescent="0.15">
      <c r="A1683" s="32">
        <v>35096</v>
      </c>
      <c r="B1683" s="33" t="s">
        <v>29</v>
      </c>
      <c r="C1683" s="33" t="s">
        <v>30</v>
      </c>
      <c r="D1683" s="33">
        <v>44</v>
      </c>
    </row>
    <row r="1684" spans="1:4" x14ac:dyDescent="0.15">
      <c r="A1684" s="32">
        <v>35096</v>
      </c>
      <c r="B1684" s="33" t="s">
        <v>29</v>
      </c>
      <c r="C1684" s="33" t="s">
        <v>30</v>
      </c>
      <c r="D1684" s="33">
        <v>39</v>
      </c>
    </row>
    <row r="1685" spans="1:4" x14ac:dyDescent="0.15">
      <c r="A1685" s="32">
        <v>35096</v>
      </c>
      <c r="B1685" s="33" t="s">
        <v>21</v>
      </c>
      <c r="C1685" s="33" t="s">
        <v>30</v>
      </c>
      <c r="D1685" s="33">
        <v>28</v>
      </c>
    </row>
    <row r="1686" spans="1:4" x14ac:dyDescent="0.15">
      <c r="A1686" s="32">
        <v>35096</v>
      </c>
      <c r="B1686" s="33" t="s">
        <v>31</v>
      </c>
      <c r="C1686" s="33" t="s">
        <v>30</v>
      </c>
      <c r="D1686" s="33">
        <v>23</v>
      </c>
    </row>
    <row r="1687" spans="1:4" x14ac:dyDescent="0.15">
      <c r="A1687" s="32">
        <v>35096</v>
      </c>
      <c r="B1687" s="33" t="s">
        <v>21</v>
      </c>
      <c r="C1687" s="33" t="s">
        <v>30</v>
      </c>
      <c r="D1687" s="33">
        <v>14</v>
      </c>
    </row>
    <row r="1688" spans="1:4" x14ac:dyDescent="0.15">
      <c r="A1688" s="32">
        <v>35096</v>
      </c>
      <c r="B1688" s="33" t="s">
        <v>29</v>
      </c>
      <c r="C1688" s="33" t="s">
        <v>30</v>
      </c>
      <c r="D1688" s="33">
        <v>54</v>
      </c>
    </row>
    <row r="1689" spans="1:4" x14ac:dyDescent="0.15">
      <c r="A1689" s="32">
        <v>35096</v>
      </c>
      <c r="B1689" s="33" t="s">
        <v>28</v>
      </c>
      <c r="C1689" s="33" t="s">
        <v>30</v>
      </c>
      <c r="D1689" s="33">
        <v>158</v>
      </c>
    </row>
    <row r="1690" spans="1:4" x14ac:dyDescent="0.15">
      <c r="A1690" s="32">
        <v>35096</v>
      </c>
      <c r="B1690" s="33" t="s">
        <v>28</v>
      </c>
      <c r="C1690" s="33" t="s">
        <v>30</v>
      </c>
      <c r="D1690" s="33">
        <v>113</v>
      </c>
    </row>
    <row r="1691" spans="1:4" x14ac:dyDescent="0.15">
      <c r="A1691" s="32">
        <v>35096</v>
      </c>
      <c r="B1691" s="33" t="s">
        <v>29</v>
      </c>
      <c r="C1691" s="33" t="s">
        <v>30</v>
      </c>
      <c r="D1691" s="33">
        <v>77</v>
      </c>
    </row>
    <row r="1692" spans="1:4" x14ac:dyDescent="0.15">
      <c r="A1692" s="32">
        <v>35096</v>
      </c>
      <c r="B1692" s="33" t="s">
        <v>28</v>
      </c>
      <c r="C1692" s="33" t="s">
        <v>30</v>
      </c>
      <c r="D1692" s="33">
        <v>96</v>
      </c>
    </row>
    <row r="1693" spans="1:4" x14ac:dyDescent="0.15">
      <c r="A1693" s="32">
        <v>35096</v>
      </c>
      <c r="B1693" s="33" t="s">
        <v>26</v>
      </c>
      <c r="C1693" s="33" t="s">
        <v>30</v>
      </c>
      <c r="D1693" s="33">
        <v>94</v>
      </c>
    </row>
    <row r="1694" spans="1:4" x14ac:dyDescent="0.15">
      <c r="A1694" s="32">
        <v>35096</v>
      </c>
      <c r="B1694" s="33" t="s">
        <v>29</v>
      </c>
      <c r="C1694" s="33" t="s">
        <v>30</v>
      </c>
      <c r="D1694" s="33">
        <v>90</v>
      </c>
    </row>
    <row r="1695" spans="1:4" x14ac:dyDescent="0.15">
      <c r="A1695" s="32">
        <v>35096</v>
      </c>
      <c r="B1695" s="33" t="s">
        <v>28</v>
      </c>
      <c r="C1695" s="33" t="s">
        <v>30</v>
      </c>
      <c r="D1695" s="33">
        <v>83</v>
      </c>
    </row>
    <row r="1696" spans="1:4" x14ac:dyDescent="0.15">
      <c r="A1696" s="32">
        <v>35096</v>
      </c>
      <c r="B1696" s="33" t="s">
        <v>31</v>
      </c>
      <c r="C1696" s="33" t="s">
        <v>30</v>
      </c>
      <c r="D1696" s="33">
        <v>79</v>
      </c>
    </row>
    <row r="1697" spans="1:4" x14ac:dyDescent="0.15">
      <c r="A1697" s="32">
        <v>35096</v>
      </c>
      <c r="B1697" s="33" t="s">
        <v>31</v>
      </c>
      <c r="C1697" s="33" t="s">
        <v>30</v>
      </c>
      <c r="D1697" s="33">
        <v>96</v>
      </c>
    </row>
    <row r="1698" spans="1:4" x14ac:dyDescent="0.15">
      <c r="A1698" s="32">
        <v>35096</v>
      </c>
      <c r="B1698" s="33" t="s">
        <v>21</v>
      </c>
      <c r="C1698" s="33" t="s">
        <v>30</v>
      </c>
      <c r="D1698" s="33">
        <v>11</v>
      </c>
    </row>
    <row r="1699" spans="1:4" x14ac:dyDescent="0.15">
      <c r="A1699" s="32">
        <v>35125</v>
      </c>
      <c r="B1699" s="33" t="s">
        <v>28</v>
      </c>
      <c r="C1699" s="33" t="s">
        <v>22</v>
      </c>
      <c r="D1699" s="33">
        <v>1050</v>
      </c>
    </row>
    <row r="1700" spans="1:4" x14ac:dyDescent="0.15">
      <c r="A1700" s="32">
        <v>35125</v>
      </c>
      <c r="B1700" s="33" t="s">
        <v>31</v>
      </c>
      <c r="C1700" s="33" t="s">
        <v>22</v>
      </c>
      <c r="D1700" s="33">
        <v>1142</v>
      </c>
    </row>
    <row r="1701" spans="1:4" x14ac:dyDescent="0.15">
      <c r="A1701" s="32">
        <v>35125</v>
      </c>
      <c r="B1701" s="33" t="s">
        <v>21</v>
      </c>
      <c r="C1701" s="33" t="s">
        <v>22</v>
      </c>
      <c r="D1701" s="33">
        <v>1156</v>
      </c>
    </row>
    <row r="1702" spans="1:4" x14ac:dyDescent="0.15">
      <c r="A1702" s="32">
        <v>35125</v>
      </c>
      <c r="B1702" s="33" t="s">
        <v>31</v>
      </c>
      <c r="C1702" s="33" t="s">
        <v>22</v>
      </c>
      <c r="D1702" s="33">
        <v>1182</v>
      </c>
    </row>
    <row r="1703" spans="1:4" x14ac:dyDescent="0.15">
      <c r="A1703" s="32">
        <v>35125</v>
      </c>
      <c r="B1703" s="33" t="s">
        <v>21</v>
      </c>
      <c r="C1703" s="33" t="s">
        <v>22</v>
      </c>
      <c r="D1703" s="33">
        <v>825</v>
      </c>
    </row>
    <row r="1704" spans="1:4" x14ac:dyDescent="0.15">
      <c r="A1704" s="32">
        <v>35125</v>
      </c>
      <c r="B1704" s="33" t="s">
        <v>29</v>
      </c>
      <c r="C1704" s="33" t="s">
        <v>22</v>
      </c>
      <c r="D1704" s="33">
        <v>214</v>
      </c>
    </row>
    <row r="1705" spans="1:4" x14ac:dyDescent="0.15">
      <c r="A1705" s="32">
        <v>35125</v>
      </c>
      <c r="B1705" s="33" t="s">
        <v>29</v>
      </c>
      <c r="C1705" s="33" t="s">
        <v>22</v>
      </c>
      <c r="D1705" s="33">
        <v>55</v>
      </c>
    </row>
    <row r="1706" spans="1:4" x14ac:dyDescent="0.15">
      <c r="A1706" s="32">
        <v>35125</v>
      </c>
      <c r="B1706" s="33" t="s">
        <v>26</v>
      </c>
      <c r="C1706" s="33" t="s">
        <v>22</v>
      </c>
      <c r="D1706" s="33">
        <v>79</v>
      </c>
    </row>
    <row r="1707" spans="1:4" x14ac:dyDescent="0.15">
      <c r="A1707" s="32">
        <v>35125</v>
      </c>
      <c r="B1707" s="33" t="s">
        <v>31</v>
      </c>
      <c r="C1707" s="33" t="s">
        <v>22</v>
      </c>
      <c r="D1707" s="33">
        <v>124</v>
      </c>
    </row>
    <row r="1708" spans="1:4" x14ac:dyDescent="0.15">
      <c r="A1708" s="32">
        <v>35125</v>
      </c>
      <c r="B1708" s="33" t="s">
        <v>28</v>
      </c>
      <c r="C1708" s="33" t="s">
        <v>22</v>
      </c>
      <c r="D1708" s="33">
        <v>855</v>
      </c>
    </row>
    <row r="1709" spans="1:4" x14ac:dyDescent="0.15">
      <c r="A1709" s="32">
        <v>35125</v>
      </c>
      <c r="B1709" s="33" t="s">
        <v>26</v>
      </c>
      <c r="C1709" s="33" t="s">
        <v>22</v>
      </c>
      <c r="D1709" s="33">
        <v>827</v>
      </c>
    </row>
    <row r="1710" spans="1:4" x14ac:dyDescent="0.15">
      <c r="A1710" s="32">
        <v>35125</v>
      </c>
      <c r="B1710" s="33" t="s">
        <v>26</v>
      </c>
      <c r="C1710" s="33" t="s">
        <v>22</v>
      </c>
      <c r="D1710" s="33">
        <v>225</v>
      </c>
    </row>
    <row r="1711" spans="1:4" x14ac:dyDescent="0.15">
      <c r="A1711" s="32">
        <v>35125</v>
      </c>
      <c r="B1711" s="33" t="s">
        <v>26</v>
      </c>
      <c r="C1711" s="33" t="s">
        <v>22</v>
      </c>
      <c r="D1711" s="33">
        <v>248</v>
      </c>
    </row>
    <row r="1712" spans="1:4" x14ac:dyDescent="0.15">
      <c r="A1712" s="32">
        <v>35125</v>
      </c>
      <c r="B1712" s="33" t="s">
        <v>28</v>
      </c>
      <c r="C1712" s="33" t="s">
        <v>22</v>
      </c>
      <c r="D1712" s="33">
        <v>270</v>
      </c>
    </row>
    <row r="1713" spans="1:4" x14ac:dyDescent="0.15">
      <c r="A1713" s="32">
        <v>35125</v>
      </c>
      <c r="B1713" s="33" t="s">
        <v>28</v>
      </c>
      <c r="C1713" s="33" t="s">
        <v>22</v>
      </c>
      <c r="D1713" s="33">
        <v>338</v>
      </c>
    </row>
    <row r="1714" spans="1:4" x14ac:dyDescent="0.15">
      <c r="A1714" s="32">
        <v>35125</v>
      </c>
      <c r="B1714" s="33" t="s">
        <v>29</v>
      </c>
      <c r="C1714" s="33" t="s">
        <v>22</v>
      </c>
      <c r="D1714" s="33">
        <v>371</v>
      </c>
    </row>
    <row r="1715" spans="1:4" x14ac:dyDescent="0.15">
      <c r="A1715" s="32">
        <v>35125</v>
      </c>
      <c r="B1715" s="33" t="s">
        <v>29</v>
      </c>
      <c r="C1715" s="33" t="s">
        <v>22</v>
      </c>
      <c r="D1715" s="33">
        <v>410</v>
      </c>
    </row>
    <row r="1716" spans="1:4" x14ac:dyDescent="0.15">
      <c r="A1716" s="32">
        <v>35125</v>
      </c>
      <c r="B1716" s="33" t="s">
        <v>21</v>
      </c>
      <c r="C1716" s="33" t="s">
        <v>22</v>
      </c>
      <c r="D1716" s="33">
        <v>534</v>
      </c>
    </row>
    <row r="1717" spans="1:4" x14ac:dyDescent="0.15">
      <c r="A1717" s="32">
        <v>35125</v>
      </c>
      <c r="B1717" s="33" t="s">
        <v>31</v>
      </c>
      <c r="C1717" s="33" t="s">
        <v>22</v>
      </c>
      <c r="D1717" s="33">
        <v>681</v>
      </c>
    </row>
    <row r="1718" spans="1:4" x14ac:dyDescent="0.15">
      <c r="A1718" s="32">
        <v>35125</v>
      </c>
      <c r="B1718" s="33" t="s">
        <v>21</v>
      </c>
      <c r="C1718" s="33" t="s">
        <v>22</v>
      </c>
      <c r="D1718" s="33">
        <v>699</v>
      </c>
    </row>
    <row r="1719" spans="1:4" x14ac:dyDescent="0.15">
      <c r="A1719" s="32">
        <v>35125</v>
      </c>
      <c r="B1719" s="33" t="s">
        <v>26</v>
      </c>
      <c r="C1719" s="33" t="s">
        <v>23</v>
      </c>
      <c r="D1719" s="33">
        <v>79</v>
      </c>
    </row>
    <row r="1720" spans="1:4" x14ac:dyDescent="0.15">
      <c r="A1720" s="32">
        <v>35125</v>
      </c>
      <c r="B1720" s="33" t="s">
        <v>21</v>
      </c>
      <c r="C1720" s="33" t="s">
        <v>23</v>
      </c>
      <c r="D1720" s="33">
        <v>923</v>
      </c>
    </row>
    <row r="1721" spans="1:4" x14ac:dyDescent="0.15">
      <c r="A1721" s="32">
        <v>35125</v>
      </c>
      <c r="B1721" s="33" t="s">
        <v>31</v>
      </c>
      <c r="C1721" s="33" t="s">
        <v>23</v>
      </c>
      <c r="D1721" s="33">
        <v>101</v>
      </c>
    </row>
    <row r="1722" spans="1:4" x14ac:dyDescent="0.15">
      <c r="A1722" s="32">
        <v>35125</v>
      </c>
      <c r="B1722" s="33" t="s">
        <v>31</v>
      </c>
      <c r="C1722" s="33" t="s">
        <v>23</v>
      </c>
      <c r="D1722" s="33">
        <v>438</v>
      </c>
    </row>
    <row r="1723" spans="1:4" x14ac:dyDescent="0.15">
      <c r="A1723" s="32">
        <v>35125</v>
      </c>
      <c r="B1723" s="33" t="s">
        <v>28</v>
      </c>
      <c r="C1723" s="33" t="s">
        <v>23</v>
      </c>
      <c r="D1723" s="33">
        <v>484</v>
      </c>
    </row>
    <row r="1724" spans="1:4" x14ac:dyDescent="0.15">
      <c r="A1724" s="32">
        <v>35125</v>
      </c>
      <c r="B1724" s="33" t="s">
        <v>28</v>
      </c>
      <c r="C1724" s="33" t="s">
        <v>23</v>
      </c>
      <c r="D1724" s="33">
        <v>492</v>
      </c>
    </row>
    <row r="1725" spans="1:4" x14ac:dyDescent="0.15">
      <c r="A1725" s="32">
        <v>35125</v>
      </c>
      <c r="B1725" s="33" t="s">
        <v>26</v>
      </c>
      <c r="C1725" s="33" t="s">
        <v>23</v>
      </c>
      <c r="D1725" s="33">
        <v>495</v>
      </c>
    </row>
    <row r="1726" spans="1:4" x14ac:dyDescent="0.15">
      <c r="A1726" s="32">
        <v>35125</v>
      </c>
      <c r="B1726" s="33" t="s">
        <v>29</v>
      </c>
      <c r="C1726" s="33" t="s">
        <v>23</v>
      </c>
      <c r="D1726" s="33">
        <v>513</v>
      </c>
    </row>
    <row r="1727" spans="1:4" x14ac:dyDescent="0.15">
      <c r="A1727" s="32">
        <v>35125</v>
      </c>
      <c r="B1727" s="33" t="s">
        <v>21</v>
      </c>
      <c r="C1727" s="33" t="s">
        <v>23</v>
      </c>
      <c r="D1727" s="33">
        <v>377</v>
      </c>
    </row>
    <row r="1728" spans="1:4" x14ac:dyDescent="0.15">
      <c r="A1728" s="32">
        <v>35125</v>
      </c>
      <c r="B1728" s="33" t="s">
        <v>31</v>
      </c>
      <c r="C1728" s="33" t="s">
        <v>23</v>
      </c>
      <c r="D1728" s="33">
        <v>653</v>
      </c>
    </row>
    <row r="1729" spans="1:4" x14ac:dyDescent="0.15">
      <c r="A1729" s="32">
        <v>35125</v>
      </c>
      <c r="B1729" s="33" t="s">
        <v>21</v>
      </c>
      <c r="C1729" s="33" t="s">
        <v>23</v>
      </c>
      <c r="D1729" s="33">
        <v>697</v>
      </c>
    </row>
    <row r="1730" spans="1:4" x14ac:dyDescent="0.15">
      <c r="A1730" s="32">
        <v>35125</v>
      </c>
      <c r="B1730" s="33" t="s">
        <v>29</v>
      </c>
      <c r="C1730" s="33" t="s">
        <v>23</v>
      </c>
      <c r="D1730" s="33">
        <v>245</v>
      </c>
    </row>
    <row r="1731" spans="1:4" x14ac:dyDescent="0.15">
      <c r="A1731" s="32">
        <v>35125</v>
      </c>
      <c r="B1731" s="33" t="s">
        <v>26</v>
      </c>
      <c r="C1731" s="33" t="s">
        <v>23</v>
      </c>
      <c r="D1731" s="33">
        <v>124</v>
      </c>
    </row>
    <row r="1732" spans="1:4" x14ac:dyDescent="0.15">
      <c r="A1732" s="32">
        <v>35125</v>
      </c>
      <c r="B1732" s="33" t="s">
        <v>31</v>
      </c>
      <c r="C1732" s="33" t="s">
        <v>23</v>
      </c>
      <c r="D1732" s="33">
        <v>140</v>
      </c>
    </row>
    <row r="1733" spans="1:4" x14ac:dyDescent="0.15">
      <c r="A1733" s="32">
        <v>35125</v>
      </c>
      <c r="B1733" s="33" t="s">
        <v>26</v>
      </c>
      <c r="C1733" s="33" t="s">
        <v>23</v>
      </c>
      <c r="D1733" s="33">
        <v>175</v>
      </c>
    </row>
    <row r="1734" spans="1:4" x14ac:dyDescent="0.15">
      <c r="A1734" s="32">
        <v>35125</v>
      </c>
      <c r="B1734" s="33" t="s">
        <v>29</v>
      </c>
      <c r="C1734" s="33" t="s">
        <v>23</v>
      </c>
      <c r="D1734" s="33">
        <v>248</v>
      </c>
    </row>
    <row r="1735" spans="1:4" x14ac:dyDescent="0.15">
      <c r="A1735" s="32">
        <v>35125</v>
      </c>
      <c r="B1735" s="33" t="s">
        <v>21</v>
      </c>
      <c r="C1735" s="33" t="s">
        <v>23</v>
      </c>
      <c r="D1735" s="33">
        <v>257</v>
      </c>
    </row>
    <row r="1736" spans="1:4" x14ac:dyDescent="0.15">
      <c r="A1736" s="32">
        <v>35125</v>
      </c>
      <c r="B1736" s="33" t="s">
        <v>28</v>
      </c>
      <c r="C1736" s="33" t="s">
        <v>23</v>
      </c>
      <c r="D1736" s="33">
        <v>315</v>
      </c>
    </row>
    <row r="1737" spans="1:4" x14ac:dyDescent="0.15">
      <c r="A1737" s="32">
        <v>35125</v>
      </c>
      <c r="B1737" s="33" t="s">
        <v>29</v>
      </c>
      <c r="C1737" s="33" t="s">
        <v>23</v>
      </c>
      <c r="D1737" s="33">
        <v>322</v>
      </c>
    </row>
    <row r="1738" spans="1:4" x14ac:dyDescent="0.15">
      <c r="A1738" s="32">
        <v>35125</v>
      </c>
      <c r="B1738" s="33" t="s">
        <v>28</v>
      </c>
      <c r="C1738" s="33" t="s">
        <v>23</v>
      </c>
      <c r="D1738" s="33">
        <v>203</v>
      </c>
    </row>
    <row r="1739" spans="1:4" x14ac:dyDescent="0.15">
      <c r="A1739" s="32">
        <v>35125</v>
      </c>
      <c r="B1739" s="33" t="s">
        <v>26</v>
      </c>
      <c r="C1739" s="33" t="s">
        <v>32</v>
      </c>
      <c r="D1739" s="33">
        <v>79</v>
      </c>
    </row>
    <row r="1740" spans="1:4" x14ac:dyDescent="0.15">
      <c r="A1740" s="32">
        <v>35125</v>
      </c>
      <c r="B1740" s="33" t="s">
        <v>21</v>
      </c>
      <c r="C1740" s="33" t="s">
        <v>32</v>
      </c>
      <c r="D1740" s="33">
        <v>11</v>
      </c>
    </row>
    <row r="1741" spans="1:4" x14ac:dyDescent="0.15">
      <c r="A1741" s="32">
        <v>35125</v>
      </c>
      <c r="B1741" s="33" t="s">
        <v>31</v>
      </c>
      <c r="C1741" s="33" t="s">
        <v>32</v>
      </c>
      <c r="D1741" s="33">
        <v>116</v>
      </c>
    </row>
    <row r="1742" spans="1:4" x14ac:dyDescent="0.15">
      <c r="A1742" s="32">
        <v>35125</v>
      </c>
      <c r="B1742" s="33" t="s">
        <v>28</v>
      </c>
      <c r="C1742" s="33" t="s">
        <v>32</v>
      </c>
      <c r="D1742" s="33">
        <v>158</v>
      </c>
    </row>
    <row r="1743" spans="1:4" x14ac:dyDescent="0.15">
      <c r="A1743" s="32">
        <v>35125</v>
      </c>
      <c r="B1743" s="33" t="s">
        <v>31</v>
      </c>
      <c r="C1743" s="33" t="s">
        <v>32</v>
      </c>
      <c r="D1743" s="33">
        <v>167</v>
      </c>
    </row>
    <row r="1744" spans="1:4" x14ac:dyDescent="0.15">
      <c r="A1744" s="32">
        <v>35125</v>
      </c>
      <c r="B1744" s="33" t="s">
        <v>26</v>
      </c>
      <c r="C1744" s="33" t="s">
        <v>32</v>
      </c>
      <c r="D1744" s="33">
        <v>594</v>
      </c>
    </row>
    <row r="1745" spans="1:4" x14ac:dyDescent="0.15">
      <c r="A1745" s="32">
        <v>35125</v>
      </c>
      <c r="B1745" s="33" t="s">
        <v>26</v>
      </c>
      <c r="C1745" s="33" t="s">
        <v>32</v>
      </c>
      <c r="D1745" s="33">
        <v>287</v>
      </c>
    </row>
    <row r="1746" spans="1:4" x14ac:dyDescent="0.15">
      <c r="A1746" s="32">
        <v>35125</v>
      </c>
      <c r="B1746" s="33" t="s">
        <v>28</v>
      </c>
      <c r="C1746" s="33" t="s">
        <v>32</v>
      </c>
      <c r="D1746" s="33">
        <v>338</v>
      </c>
    </row>
    <row r="1747" spans="1:4" x14ac:dyDescent="0.15">
      <c r="A1747" s="32">
        <v>35125</v>
      </c>
      <c r="B1747" s="33" t="s">
        <v>29</v>
      </c>
      <c r="C1747" s="33" t="s">
        <v>32</v>
      </c>
      <c r="D1747" s="33">
        <v>23</v>
      </c>
    </row>
    <row r="1748" spans="1:4" x14ac:dyDescent="0.15">
      <c r="A1748" s="32">
        <v>35125</v>
      </c>
      <c r="B1748" s="33" t="s">
        <v>31</v>
      </c>
      <c r="C1748" s="33" t="s">
        <v>32</v>
      </c>
      <c r="D1748" s="33">
        <v>23</v>
      </c>
    </row>
    <row r="1749" spans="1:4" x14ac:dyDescent="0.15">
      <c r="A1749" s="32">
        <v>35125</v>
      </c>
      <c r="B1749" s="33" t="s">
        <v>29</v>
      </c>
      <c r="C1749" s="33" t="s">
        <v>32</v>
      </c>
      <c r="D1749" s="33">
        <v>23</v>
      </c>
    </row>
    <row r="1750" spans="1:4" x14ac:dyDescent="0.15">
      <c r="A1750" s="32">
        <v>35125</v>
      </c>
      <c r="B1750" s="33" t="s">
        <v>21</v>
      </c>
      <c r="C1750" s="33" t="s">
        <v>32</v>
      </c>
      <c r="D1750" s="33">
        <v>32</v>
      </c>
    </row>
    <row r="1751" spans="1:4" x14ac:dyDescent="0.15">
      <c r="A1751" s="32">
        <v>35125</v>
      </c>
      <c r="B1751" s="33" t="s">
        <v>21</v>
      </c>
      <c r="C1751" s="33" t="s">
        <v>32</v>
      </c>
      <c r="D1751" s="33">
        <v>34</v>
      </c>
    </row>
    <row r="1752" spans="1:4" x14ac:dyDescent="0.15">
      <c r="A1752" s="32">
        <v>35125</v>
      </c>
      <c r="B1752" s="33" t="s">
        <v>21</v>
      </c>
      <c r="C1752" s="33" t="s">
        <v>32</v>
      </c>
      <c r="D1752" s="33">
        <v>35</v>
      </c>
    </row>
    <row r="1753" spans="1:4" x14ac:dyDescent="0.15">
      <c r="A1753" s="32">
        <v>35125</v>
      </c>
      <c r="B1753" s="33" t="s">
        <v>29</v>
      </c>
      <c r="C1753" s="33" t="s">
        <v>32</v>
      </c>
      <c r="D1753" s="33">
        <v>46</v>
      </c>
    </row>
    <row r="1754" spans="1:4" x14ac:dyDescent="0.15">
      <c r="A1754" s="32">
        <v>35125</v>
      </c>
      <c r="B1754" s="33" t="s">
        <v>28</v>
      </c>
      <c r="C1754" s="33" t="s">
        <v>32</v>
      </c>
      <c r="D1754" s="33">
        <v>70</v>
      </c>
    </row>
    <row r="1755" spans="1:4" x14ac:dyDescent="0.15">
      <c r="A1755" s="32">
        <v>35125</v>
      </c>
      <c r="B1755" s="33" t="s">
        <v>29</v>
      </c>
      <c r="C1755" s="33" t="s">
        <v>32</v>
      </c>
      <c r="D1755" s="33">
        <v>70</v>
      </c>
    </row>
    <row r="1756" spans="1:4" x14ac:dyDescent="0.15">
      <c r="A1756" s="32">
        <v>35125</v>
      </c>
      <c r="B1756" s="33" t="s">
        <v>28</v>
      </c>
      <c r="C1756" s="33" t="s">
        <v>32</v>
      </c>
      <c r="D1756" s="33">
        <v>79</v>
      </c>
    </row>
    <row r="1757" spans="1:4" x14ac:dyDescent="0.15">
      <c r="A1757" s="32">
        <v>35125</v>
      </c>
      <c r="B1757" s="33" t="s">
        <v>26</v>
      </c>
      <c r="C1757" s="33" t="s">
        <v>32</v>
      </c>
      <c r="D1757" s="33">
        <v>79</v>
      </c>
    </row>
    <row r="1758" spans="1:4" x14ac:dyDescent="0.15">
      <c r="A1758" s="32">
        <v>35125</v>
      </c>
      <c r="B1758" s="33" t="s">
        <v>31</v>
      </c>
      <c r="C1758" s="33" t="s">
        <v>32</v>
      </c>
      <c r="D1758" s="33">
        <v>18</v>
      </c>
    </row>
    <row r="1759" spans="1:4" x14ac:dyDescent="0.15">
      <c r="A1759" s="32">
        <v>35125</v>
      </c>
      <c r="B1759" s="33" t="s">
        <v>21</v>
      </c>
      <c r="C1759" s="33" t="s">
        <v>24</v>
      </c>
      <c r="D1759" s="33">
        <v>149</v>
      </c>
    </row>
    <row r="1760" spans="1:4" x14ac:dyDescent="0.15">
      <c r="A1760" s="32">
        <v>35125</v>
      </c>
      <c r="B1760" s="33" t="s">
        <v>26</v>
      </c>
      <c r="C1760" s="33" t="s">
        <v>24</v>
      </c>
      <c r="D1760" s="33">
        <v>135</v>
      </c>
    </row>
    <row r="1761" spans="1:4" x14ac:dyDescent="0.15">
      <c r="A1761" s="32">
        <v>35125</v>
      </c>
      <c r="B1761" s="33" t="s">
        <v>21</v>
      </c>
      <c r="C1761" s="33" t="s">
        <v>24</v>
      </c>
      <c r="D1761" s="33">
        <v>101</v>
      </c>
    </row>
    <row r="1762" spans="1:4" x14ac:dyDescent="0.15">
      <c r="A1762" s="32">
        <v>35125</v>
      </c>
      <c r="B1762" s="33" t="s">
        <v>26</v>
      </c>
      <c r="C1762" s="33" t="s">
        <v>24</v>
      </c>
      <c r="D1762" s="33">
        <v>88</v>
      </c>
    </row>
    <row r="1763" spans="1:4" x14ac:dyDescent="0.15">
      <c r="A1763" s="32">
        <v>35125</v>
      </c>
      <c r="B1763" s="33" t="s">
        <v>26</v>
      </c>
      <c r="C1763" s="33" t="s">
        <v>24</v>
      </c>
      <c r="D1763" s="33">
        <v>79</v>
      </c>
    </row>
    <row r="1764" spans="1:4" x14ac:dyDescent="0.15">
      <c r="A1764" s="32">
        <v>35125</v>
      </c>
      <c r="B1764" s="33" t="s">
        <v>21</v>
      </c>
      <c r="C1764" s="33" t="s">
        <v>24</v>
      </c>
      <c r="D1764" s="33">
        <v>72</v>
      </c>
    </row>
    <row r="1765" spans="1:4" x14ac:dyDescent="0.15">
      <c r="A1765" s="32">
        <v>35125</v>
      </c>
      <c r="B1765" s="33" t="s">
        <v>21</v>
      </c>
      <c r="C1765" s="33" t="s">
        <v>24</v>
      </c>
      <c r="D1765" s="33">
        <v>63</v>
      </c>
    </row>
    <row r="1766" spans="1:4" x14ac:dyDescent="0.15">
      <c r="A1766" s="32">
        <v>35125</v>
      </c>
      <c r="B1766" s="33" t="s">
        <v>21</v>
      </c>
      <c r="C1766" s="33" t="s">
        <v>24</v>
      </c>
      <c r="D1766" s="33">
        <v>950</v>
      </c>
    </row>
    <row r="1767" spans="1:4" x14ac:dyDescent="0.15">
      <c r="A1767" s="32">
        <v>35125</v>
      </c>
      <c r="B1767" s="33" t="s">
        <v>21</v>
      </c>
      <c r="C1767" s="33" t="s">
        <v>24</v>
      </c>
      <c r="D1767" s="33">
        <v>1976</v>
      </c>
    </row>
    <row r="1768" spans="1:4" x14ac:dyDescent="0.15">
      <c r="A1768" s="32">
        <v>35125</v>
      </c>
      <c r="B1768" s="33" t="s">
        <v>26</v>
      </c>
      <c r="C1768" s="33" t="s">
        <v>24</v>
      </c>
      <c r="D1768" s="33">
        <v>220</v>
      </c>
    </row>
    <row r="1769" spans="1:4" x14ac:dyDescent="0.15">
      <c r="A1769" s="32">
        <v>35125</v>
      </c>
      <c r="B1769" s="33" t="s">
        <v>26</v>
      </c>
      <c r="C1769" s="33" t="s">
        <v>24</v>
      </c>
      <c r="D1769" s="33">
        <v>275</v>
      </c>
    </row>
    <row r="1770" spans="1:4" x14ac:dyDescent="0.15">
      <c r="A1770" s="32">
        <v>35125</v>
      </c>
      <c r="B1770" s="33" t="s">
        <v>26</v>
      </c>
      <c r="C1770" s="33" t="s">
        <v>24</v>
      </c>
      <c r="D1770" s="33">
        <v>158</v>
      </c>
    </row>
    <row r="1771" spans="1:4" x14ac:dyDescent="0.15">
      <c r="A1771" s="32">
        <v>35125</v>
      </c>
      <c r="B1771" s="33" t="s">
        <v>28</v>
      </c>
      <c r="C1771" s="33" t="s">
        <v>25</v>
      </c>
      <c r="D1771" s="33">
        <v>1079</v>
      </c>
    </row>
    <row r="1772" spans="1:4" x14ac:dyDescent="0.15">
      <c r="A1772" s="32">
        <v>35125</v>
      </c>
      <c r="B1772" s="33" t="s">
        <v>26</v>
      </c>
      <c r="C1772" s="33" t="s">
        <v>25</v>
      </c>
      <c r="D1772" s="33">
        <v>525</v>
      </c>
    </row>
    <row r="1773" spans="1:4" x14ac:dyDescent="0.15">
      <c r="A1773" s="32">
        <v>35125</v>
      </c>
      <c r="B1773" s="33" t="s">
        <v>31</v>
      </c>
      <c r="C1773" s="33" t="s">
        <v>25</v>
      </c>
      <c r="D1773" s="33">
        <v>525</v>
      </c>
    </row>
    <row r="1774" spans="1:4" x14ac:dyDescent="0.15">
      <c r="A1774" s="32">
        <v>35125</v>
      </c>
      <c r="B1774" s="33" t="s">
        <v>26</v>
      </c>
      <c r="C1774" s="33" t="s">
        <v>25</v>
      </c>
      <c r="D1774" s="33">
        <v>565</v>
      </c>
    </row>
    <row r="1775" spans="1:4" x14ac:dyDescent="0.15">
      <c r="A1775" s="32">
        <v>35125</v>
      </c>
      <c r="B1775" s="33" t="s">
        <v>26</v>
      </c>
      <c r="C1775" s="33" t="s">
        <v>25</v>
      </c>
      <c r="D1775" s="33">
        <v>1047</v>
      </c>
    </row>
    <row r="1776" spans="1:4" x14ac:dyDescent="0.15">
      <c r="A1776" s="32">
        <v>35125</v>
      </c>
      <c r="B1776" s="33" t="s">
        <v>21</v>
      </c>
      <c r="C1776" s="33" t="s">
        <v>25</v>
      </c>
      <c r="D1776" s="33">
        <v>1062</v>
      </c>
    </row>
    <row r="1777" spans="1:4" x14ac:dyDescent="0.15">
      <c r="A1777" s="32">
        <v>35125</v>
      </c>
      <c r="B1777" s="33" t="s">
        <v>21</v>
      </c>
      <c r="C1777" s="33" t="s">
        <v>25</v>
      </c>
      <c r="D1777" s="33">
        <v>448</v>
      </c>
    </row>
    <row r="1778" spans="1:4" x14ac:dyDescent="0.15">
      <c r="A1778" s="32">
        <v>35125</v>
      </c>
      <c r="B1778" s="33" t="s">
        <v>21</v>
      </c>
      <c r="C1778" s="33" t="s">
        <v>25</v>
      </c>
      <c r="D1778" s="33">
        <v>210</v>
      </c>
    </row>
    <row r="1779" spans="1:4" x14ac:dyDescent="0.15">
      <c r="A1779" s="32">
        <v>35125</v>
      </c>
      <c r="B1779" s="33" t="s">
        <v>21</v>
      </c>
      <c r="C1779" s="33" t="s">
        <v>25</v>
      </c>
      <c r="D1779" s="33">
        <v>135</v>
      </c>
    </row>
    <row r="1780" spans="1:4" x14ac:dyDescent="0.15">
      <c r="A1780" s="32">
        <v>35125</v>
      </c>
      <c r="B1780" s="33" t="s">
        <v>29</v>
      </c>
      <c r="C1780" s="33" t="s">
        <v>25</v>
      </c>
      <c r="D1780" s="33">
        <v>135</v>
      </c>
    </row>
    <row r="1781" spans="1:4" x14ac:dyDescent="0.15">
      <c r="A1781" s="32">
        <v>35125</v>
      </c>
      <c r="B1781" s="33" t="s">
        <v>31</v>
      </c>
      <c r="C1781" s="33" t="s">
        <v>25</v>
      </c>
      <c r="D1781" s="33">
        <v>140</v>
      </c>
    </row>
    <row r="1782" spans="1:4" x14ac:dyDescent="0.15">
      <c r="A1782" s="32">
        <v>35125</v>
      </c>
      <c r="B1782" s="33" t="s">
        <v>31</v>
      </c>
      <c r="C1782" s="33" t="s">
        <v>25</v>
      </c>
      <c r="D1782" s="33">
        <v>146</v>
      </c>
    </row>
    <row r="1783" spans="1:4" x14ac:dyDescent="0.15">
      <c r="A1783" s="32">
        <v>35125</v>
      </c>
      <c r="B1783" s="33" t="s">
        <v>28</v>
      </c>
      <c r="C1783" s="33" t="s">
        <v>25</v>
      </c>
      <c r="D1783" s="33">
        <v>158</v>
      </c>
    </row>
    <row r="1784" spans="1:4" x14ac:dyDescent="0.15">
      <c r="A1784" s="32">
        <v>35125</v>
      </c>
      <c r="B1784" s="33" t="s">
        <v>28</v>
      </c>
      <c r="C1784" s="33" t="s">
        <v>25</v>
      </c>
      <c r="D1784" s="33">
        <v>473</v>
      </c>
    </row>
    <row r="1785" spans="1:4" x14ac:dyDescent="0.15">
      <c r="A1785" s="32">
        <v>35125</v>
      </c>
      <c r="B1785" s="33" t="s">
        <v>28</v>
      </c>
      <c r="C1785" s="33" t="s">
        <v>25</v>
      </c>
      <c r="D1785" s="33">
        <v>184</v>
      </c>
    </row>
    <row r="1786" spans="1:4" x14ac:dyDescent="0.15">
      <c r="A1786" s="32">
        <v>35125</v>
      </c>
      <c r="B1786" s="33" t="s">
        <v>31</v>
      </c>
      <c r="C1786" s="33" t="s">
        <v>25</v>
      </c>
      <c r="D1786" s="33">
        <v>408</v>
      </c>
    </row>
    <row r="1787" spans="1:4" x14ac:dyDescent="0.15">
      <c r="A1787" s="32">
        <v>35125</v>
      </c>
      <c r="B1787" s="33" t="s">
        <v>29</v>
      </c>
      <c r="C1787" s="33" t="s">
        <v>25</v>
      </c>
      <c r="D1787" s="33">
        <v>184</v>
      </c>
    </row>
    <row r="1788" spans="1:4" x14ac:dyDescent="0.15">
      <c r="A1788" s="32">
        <v>35125</v>
      </c>
      <c r="B1788" s="33" t="s">
        <v>26</v>
      </c>
      <c r="C1788" s="33" t="s">
        <v>25</v>
      </c>
      <c r="D1788" s="33">
        <v>135</v>
      </c>
    </row>
    <row r="1789" spans="1:4" x14ac:dyDescent="0.15">
      <c r="A1789" s="32">
        <v>35125</v>
      </c>
      <c r="B1789" s="33" t="s">
        <v>29</v>
      </c>
      <c r="C1789" s="33" t="s">
        <v>25</v>
      </c>
      <c r="D1789" s="33">
        <v>53</v>
      </c>
    </row>
    <row r="1790" spans="1:4" x14ac:dyDescent="0.15">
      <c r="A1790" s="32">
        <v>35125</v>
      </c>
      <c r="B1790" s="33" t="s">
        <v>29</v>
      </c>
      <c r="C1790" s="33" t="s">
        <v>25</v>
      </c>
      <c r="D1790" s="33">
        <v>86</v>
      </c>
    </row>
    <row r="1791" spans="1:4" x14ac:dyDescent="0.15">
      <c r="A1791" s="32">
        <v>35125</v>
      </c>
      <c r="B1791" s="33" t="s">
        <v>29</v>
      </c>
      <c r="C1791" s="33" t="s">
        <v>27</v>
      </c>
      <c r="D1791" s="33">
        <v>124</v>
      </c>
    </row>
    <row r="1792" spans="1:4" x14ac:dyDescent="0.15">
      <c r="A1792" s="32">
        <v>35125</v>
      </c>
      <c r="B1792" s="33" t="s">
        <v>21</v>
      </c>
      <c r="C1792" s="33" t="s">
        <v>27</v>
      </c>
      <c r="D1792" s="33">
        <v>44</v>
      </c>
    </row>
    <row r="1793" spans="1:4" x14ac:dyDescent="0.15">
      <c r="A1793" s="32">
        <v>35125</v>
      </c>
      <c r="B1793" s="33" t="s">
        <v>28</v>
      </c>
      <c r="C1793" s="33" t="s">
        <v>27</v>
      </c>
      <c r="D1793" s="33">
        <v>44</v>
      </c>
    </row>
    <row r="1794" spans="1:4" x14ac:dyDescent="0.15">
      <c r="A1794" s="32">
        <v>35125</v>
      </c>
      <c r="B1794" s="33" t="s">
        <v>29</v>
      </c>
      <c r="C1794" s="33" t="s">
        <v>27</v>
      </c>
      <c r="D1794" s="33">
        <v>50</v>
      </c>
    </row>
    <row r="1795" spans="1:4" x14ac:dyDescent="0.15">
      <c r="A1795" s="32">
        <v>35125</v>
      </c>
      <c r="B1795" s="33" t="s">
        <v>28</v>
      </c>
      <c r="C1795" s="33" t="s">
        <v>27</v>
      </c>
      <c r="D1795" s="33">
        <v>56</v>
      </c>
    </row>
    <row r="1796" spans="1:4" x14ac:dyDescent="0.15">
      <c r="A1796" s="32">
        <v>35125</v>
      </c>
      <c r="B1796" s="33" t="s">
        <v>21</v>
      </c>
      <c r="C1796" s="33" t="s">
        <v>27</v>
      </c>
      <c r="D1796" s="33">
        <v>56</v>
      </c>
    </row>
    <row r="1797" spans="1:4" x14ac:dyDescent="0.15">
      <c r="A1797" s="32">
        <v>35125</v>
      </c>
      <c r="B1797" s="33" t="s">
        <v>28</v>
      </c>
      <c r="C1797" s="33" t="s">
        <v>27</v>
      </c>
      <c r="D1797" s="33">
        <v>72</v>
      </c>
    </row>
    <row r="1798" spans="1:4" x14ac:dyDescent="0.15">
      <c r="A1798" s="32">
        <v>35125</v>
      </c>
      <c r="B1798" s="33" t="s">
        <v>29</v>
      </c>
      <c r="C1798" s="33" t="s">
        <v>27</v>
      </c>
      <c r="D1798" s="33">
        <v>79</v>
      </c>
    </row>
    <row r="1799" spans="1:4" x14ac:dyDescent="0.15">
      <c r="A1799" s="32">
        <v>35125</v>
      </c>
      <c r="B1799" s="33" t="s">
        <v>31</v>
      </c>
      <c r="C1799" s="33" t="s">
        <v>27</v>
      </c>
      <c r="D1799" s="33">
        <v>277</v>
      </c>
    </row>
    <row r="1800" spans="1:4" x14ac:dyDescent="0.15">
      <c r="A1800" s="32">
        <v>35125</v>
      </c>
      <c r="B1800" s="33" t="s">
        <v>26</v>
      </c>
      <c r="C1800" s="33" t="s">
        <v>27</v>
      </c>
      <c r="D1800" s="33">
        <v>455</v>
      </c>
    </row>
    <row r="1801" spans="1:4" x14ac:dyDescent="0.15">
      <c r="A1801" s="32">
        <v>35125</v>
      </c>
      <c r="B1801" s="33" t="s">
        <v>26</v>
      </c>
      <c r="C1801" s="33" t="s">
        <v>27</v>
      </c>
      <c r="D1801" s="33">
        <v>481</v>
      </c>
    </row>
    <row r="1802" spans="1:4" x14ac:dyDescent="0.15">
      <c r="A1802" s="32">
        <v>35125</v>
      </c>
      <c r="B1802" s="33" t="s">
        <v>21</v>
      </c>
      <c r="C1802" s="33" t="s">
        <v>27</v>
      </c>
      <c r="D1802" s="33">
        <v>590</v>
      </c>
    </row>
    <row r="1803" spans="1:4" x14ac:dyDescent="0.15">
      <c r="A1803" s="32">
        <v>35125</v>
      </c>
      <c r="B1803" s="33" t="s">
        <v>31</v>
      </c>
      <c r="C1803" s="33" t="s">
        <v>27</v>
      </c>
      <c r="D1803" s="33">
        <v>716</v>
      </c>
    </row>
    <row r="1804" spans="1:4" x14ac:dyDescent="0.15">
      <c r="A1804" s="32">
        <v>35125</v>
      </c>
      <c r="B1804" s="33" t="s">
        <v>26</v>
      </c>
      <c r="C1804" s="33" t="s">
        <v>27</v>
      </c>
      <c r="D1804" s="33">
        <v>1269</v>
      </c>
    </row>
    <row r="1805" spans="1:4" x14ac:dyDescent="0.15">
      <c r="A1805" s="32">
        <v>35125</v>
      </c>
      <c r="B1805" s="33" t="s">
        <v>21</v>
      </c>
      <c r="C1805" s="33" t="s">
        <v>27</v>
      </c>
      <c r="D1805" s="33">
        <v>1549</v>
      </c>
    </row>
    <row r="1806" spans="1:4" x14ac:dyDescent="0.15">
      <c r="A1806" s="32">
        <v>35125</v>
      </c>
      <c r="B1806" s="33" t="s">
        <v>26</v>
      </c>
      <c r="C1806" s="33" t="s">
        <v>27</v>
      </c>
      <c r="D1806" s="33">
        <v>2338</v>
      </c>
    </row>
    <row r="1807" spans="1:4" x14ac:dyDescent="0.15">
      <c r="A1807" s="32">
        <v>35125</v>
      </c>
      <c r="B1807" s="33" t="s">
        <v>28</v>
      </c>
      <c r="C1807" s="33" t="s">
        <v>27</v>
      </c>
      <c r="D1807" s="33">
        <v>3157</v>
      </c>
    </row>
    <row r="1808" spans="1:4" x14ac:dyDescent="0.15">
      <c r="A1808" s="32">
        <v>35125</v>
      </c>
      <c r="B1808" s="33" t="s">
        <v>29</v>
      </c>
      <c r="C1808" s="33" t="s">
        <v>27</v>
      </c>
      <c r="D1808" s="33">
        <v>112</v>
      </c>
    </row>
    <row r="1809" spans="1:4" x14ac:dyDescent="0.15">
      <c r="A1809" s="32">
        <v>35125</v>
      </c>
      <c r="B1809" s="33" t="s">
        <v>31</v>
      </c>
      <c r="C1809" s="33" t="s">
        <v>27</v>
      </c>
      <c r="D1809" s="33">
        <v>131</v>
      </c>
    </row>
    <row r="1810" spans="1:4" x14ac:dyDescent="0.15">
      <c r="A1810" s="32">
        <v>35125</v>
      </c>
      <c r="B1810" s="33" t="s">
        <v>31</v>
      </c>
      <c r="C1810" s="33" t="s">
        <v>27</v>
      </c>
      <c r="D1810" s="33">
        <v>124</v>
      </c>
    </row>
    <row r="1811" spans="1:4" x14ac:dyDescent="0.15">
      <c r="A1811" s="32">
        <v>35125</v>
      </c>
      <c r="B1811" s="33" t="s">
        <v>31</v>
      </c>
      <c r="C1811" s="33" t="s">
        <v>30</v>
      </c>
      <c r="D1811" s="33">
        <v>1860</v>
      </c>
    </row>
    <row r="1812" spans="1:4" x14ac:dyDescent="0.15">
      <c r="A1812" s="32">
        <v>35125</v>
      </c>
      <c r="B1812" s="33" t="s">
        <v>29</v>
      </c>
      <c r="C1812" s="33" t="s">
        <v>30</v>
      </c>
      <c r="D1812" s="33">
        <v>69</v>
      </c>
    </row>
    <row r="1813" spans="1:4" x14ac:dyDescent="0.15">
      <c r="A1813" s="32">
        <v>35125</v>
      </c>
      <c r="B1813" s="33" t="s">
        <v>26</v>
      </c>
      <c r="C1813" s="33" t="s">
        <v>30</v>
      </c>
      <c r="D1813" s="33">
        <v>66</v>
      </c>
    </row>
    <row r="1814" spans="1:4" x14ac:dyDescent="0.15">
      <c r="A1814" s="32">
        <v>35125</v>
      </c>
      <c r="B1814" s="33" t="s">
        <v>31</v>
      </c>
      <c r="C1814" s="33" t="s">
        <v>30</v>
      </c>
      <c r="D1814" s="33">
        <v>61</v>
      </c>
    </row>
    <row r="1815" spans="1:4" x14ac:dyDescent="0.15">
      <c r="A1815" s="32">
        <v>35125</v>
      </c>
      <c r="B1815" s="33" t="s">
        <v>21</v>
      </c>
      <c r="C1815" s="33" t="s">
        <v>30</v>
      </c>
      <c r="D1815" s="33">
        <v>56</v>
      </c>
    </row>
    <row r="1816" spans="1:4" x14ac:dyDescent="0.15">
      <c r="A1816" s="32">
        <v>35125</v>
      </c>
      <c r="B1816" s="33" t="s">
        <v>28</v>
      </c>
      <c r="C1816" s="33" t="s">
        <v>30</v>
      </c>
      <c r="D1816" s="33">
        <v>53</v>
      </c>
    </row>
    <row r="1817" spans="1:4" x14ac:dyDescent="0.15">
      <c r="A1817" s="32">
        <v>35125</v>
      </c>
      <c r="B1817" s="33" t="s">
        <v>31</v>
      </c>
      <c r="C1817" s="33" t="s">
        <v>30</v>
      </c>
      <c r="D1817" s="33">
        <v>34</v>
      </c>
    </row>
    <row r="1818" spans="1:4" x14ac:dyDescent="0.15">
      <c r="A1818" s="32">
        <v>35125</v>
      </c>
      <c r="B1818" s="33" t="s">
        <v>29</v>
      </c>
      <c r="C1818" s="33" t="s">
        <v>30</v>
      </c>
      <c r="D1818" s="33">
        <v>50</v>
      </c>
    </row>
    <row r="1819" spans="1:4" x14ac:dyDescent="0.15">
      <c r="A1819" s="32">
        <v>35125</v>
      </c>
      <c r="B1819" s="33" t="s">
        <v>28</v>
      </c>
      <c r="C1819" s="33" t="s">
        <v>30</v>
      </c>
      <c r="D1819" s="33">
        <v>83</v>
      </c>
    </row>
    <row r="1820" spans="1:4" x14ac:dyDescent="0.15">
      <c r="A1820" s="32">
        <v>35125</v>
      </c>
      <c r="B1820" s="33" t="s">
        <v>21</v>
      </c>
      <c r="C1820" s="33" t="s">
        <v>30</v>
      </c>
      <c r="D1820" s="33">
        <v>44</v>
      </c>
    </row>
    <row r="1821" spans="1:4" x14ac:dyDescent="0.15">
      <c r="A1821" s="32">
        <v>35125</v>
      </c>
      <c r="B1821" s="33" t="s">
        <v>26</v>
      </c>
      <c r="C1821" s="33" t="s">
        <v>30</v>
      </c>
      <c r="D1821" s="33">
        <v>44</v>
      </c>
    </row>
    <row r="1822" spans="1:4" x14ac:dyDescent="0.15">
      <c r="A1822" s="32">
        <v>35125</v>
      </c>
      <c r="B1822" s="33" t="s">
        <v>26</v>
      </c>
      <c r="C1822" s="33" t="s">
        <v>30</v>
      </c>
      <c r="D1822" s="33">
        <v>42</v>
      </c>
    </row>
    <row r="1823" spans="1:4" x14ac:dyDescent="0.15">
      <c r="A1823" s="32">
        <v>35125</v>
      </c>
      <c r="B1823" s="33" t="s">
        <v>21</v>
      </c>
      <c r="C1823" s="33" t="s">
        <v>30</v>
      </c>
      <c r="D1823" s="33">
        <v>41</v>
      </c>
    </row>
    <row r="1824" spans="1:4" x14ac:dyDescent="0.15">
      <c r="A1824" s="32">
        <v>35125</v>
      </c>
      <c r="B1824" s="33" t="s">
        <v>29</v>
      </c>
      <c r="C1824" s="33" t="s">
        <v>30</v>
      </c>
      <c r="D1824" s="33">
        <v>35</v>
      </c>
    </row>
    <row r="1825" spans="1:4" x14ac:dyDescent="0.15">
      <c r="A1825" s="32">
        <v>35125</v>
      </c>
      <c r="B1825" s="33" t="s">
        <v>31</v>
      </c>
      <c r="C1825" s="33" t="s">
        <v>30</v>
      </c>
      <c r="D1825" s="33">
        <v>1172</v>
      </c>
    </row>
    <row r="1826" spans="1:4" x14ac:dyDescent="0.15">
      <c r="A1826" s="32">
        <v>35125</v>
      </c>
      <c r="B1826" s="33" t="s">
        <v>26</v>
      </c>
      <c r="C1826" s="33" t="s">
        <v>30</v>
      </c>
      <c r="D1826" s="33">
        <v>450</v>
      </c>
    </row>
    <row r="1827" spans="1:4" x14ac:dyDescent="0.15">
      <c r="A1827" s="32">
        <v>35125</v>
      </c>
      <c r="B1827" s="33" t="s">
        <v>31</v>
      </c>
      <c r="C1827" s="33" t="s">
        <v>30</v>
      </c>
      <c r="D1827" s="33">
        <v>338</v>
      </c>
    </row>
    <row r="1828" spans="1:4" x14ac:dyDescent="0.15">
      <c r="A1828" s="32">
        <v>35125</v>
      </c>
      <c r="B1828" s="33" t="s">
        <v>28</v>
      </c>
      <c r="C1828" s="33" t="s">
        <v>30</v>
      </c>
      <c r="D1828" s="33">
        <v>79</v>
      </c>
    </row>
    <row r="1829" spans="1:4" x14ac:dyDescent="0.15">
      <c r="A1829" s="32">
        <v>35125</v>
      </c>
      <c r="B1829" s="33" t="s">
        <v>28</v>
      </c>
      <c r="C1829" s="33" t="s">
        <v>30</v>
      </c>
      <c r="D1829" s="33">
        <v>165</v>
      </c>
    </row>
    <row r="1830" spans="1:4" x14ac:dyDescent="0.15">
      <c r="A1830" s="32">
        <v>35125</v>
      </c>
      <c r="B1830" s="33" t="s">
        <v>26</v>
      </c>
      <c r="C1830" s="33" t="s">
        <v>30</v>
      </c>
      <c r="D1830" s="33">
        <v>79</v>
      </c>
    </row>
    <row r="1831" spans="1:4" x14ac:dyDescent="0.15">
      <c r="A1831" s="32">
        <v>35125</v>
      </c>
      <c r="B1831" s="33" t="s">
        <v>29</v>
      </c>
      <c r="C1831" s="33" t="s">
        <v>30</v>
      </c>
      <c r="D1831" s="33">
        <v>90</v>
      </c>
    </row>
    <row r="1832" spans="1:4" x14ac:dyDescent="0.15">
      <c r="A1832" s="32">
        <v>35125</v>
      </c>
      <c r="B1832" s="33" t="s">
        <v>29</v>
      </c>
      <c r="C1832" s="33" t="s">
        <v>30</v>
      </c>
      <c r="D1832" s="33">
        <v>88</v>
      </c>
    </row>
    <row r="1833" spans="1:4" x14ac:dyDescent="0.15">
      <c r="A1833" s="32">
        <v>35125</v>
      </c>
      <c r="B1833" s="33" t="s">
        <v>26</v>
      </c>
      <c r="C1833" s="33" t="s">
        <v>30</v>
      </c>
      <c r="D1833" s="33">
        <v>83</v>
      </c>
    </row>
    <row r="1834" spans="1:4" x14ac:dyDescent="0.15">
      <c r="A1834" s="32">
        <v>35125</v>
      </c>
      <c r="B1834" s="33" t="s">
        <v>31</v>
      </c>
      <c r="C1834" s="33" t="s">
        <v>30</v>
      </c>
      <c r="D1834" s="33">
        <v>83</v>
      </c>
    </row>
    <row r="1835" spans="1:4" x14ac:dyDescent="0.15">
      <c r="A1835" s="32">
        <v>35125</v>
      </c>
      <c r="B1835" s="33" t="s">
        <v>21</v>
      </c>
      <c r="C1835" s="33" t="s">
        <v>30</v>
      </c>
      <c r="D1835" s="33">
        <v>33</v>
      </c>
    </row>
    <row r="1836" spans="1:4" x14ac:dyDescent="0.15">
      <c r="A1836" s="32">
        <v>35125</v>
      </c>
      <c r="B1836" s="33" t="s">
        <v>28</v>
      </c>
      <c r="C1836" s="33" t="s">
        <v>30</v>
      </c>
      <c r="D1836" s="33">
        <v>180</v>
      </c>
    </row>
    <row r="1837" spans="1:4" x14ac:dyDescent="0.15">
      <c r="A1837" s="32">
        <v>35125</v>
      </c>
      <c r="B1837" s="33" t="s">
        <v>29</v>
      </c>
      <c r="C1837" s="33" t="s">
        <v>30</v>
      </c>
      <c r="D1837" s="33">
        <v>35</v>
      </c>
    </row>
    <row r="1838" spans="1:4" x14ac:dyDescent="0.15">
      <c r="A1838" s="32">
        <v>35125</v>
      </c>
      <c r="B1838" s="33" t="s">
        <v>28</v>
      </c>
      <c r="C1838" s="33" t="s">
        <v>30</v>
      </c>
      <c r="D1838" s="33">
        <v>18</v>
      </c>
    </row>
    <row r="1839" spans="1:4" x14ac:dyDescent="0.15">
      <c r="A1839" s="32">
        <v>35125</v>
      </c>
      <c r="B1839" s="33" t="s">
        <v>21</v>
      </c>
      <c r="C1839" s="33" t="s">
        <v>30</v>
      </c>
      <c r="D1839" s="33">
        <v>11</v>
      </c>
    </row>
    <row r="1840" spans="1:4" x14ac:dyDescent="0.15">
      <c r="A1840" s="32">
        <v>35125</v>
      </c>
      <c r="B1840" s="33" t="s">
        <v>21</v>
      </c>
      <c r="C1840" s="33" t="s">
        <v>30</v>
      </c>
      <c r="D1840" s="33">
        <v>9</v>
      </c>
    </row>
    <row r="1841" spans="1:4" x14ac:dyDescent="0.15">
      <c r="A1841" s="32">
        <v>35156</v>
      </c>
      <c r="B1841" s="33" t="s">
        <v>26</v>
      </c>
      <c r="C1841" s="33" t="s">
        <v>22</v>
      </c>
      <c r="D1841" s="33">
        <v>358</v>
      </c>
    </row>
    <row r="1842" spans="1:4" x14ac:dyDescent="0.15">
      <c r="A1842" s="32">
        <v>35156</v>
      </c>
      <c r="B1842" s="33" t="s">
        <v>31</v>
      </c>
      <c r="C1842" s="33" t="s">
        <v>22</v>
      </c>
      <c r="D1842" s="33">
        <v>169</v>
      </c>
    </row>
    <row r="1843" spans="1:4" x14ac:dyDescent="0.15">
      <c r="A1843" s="32">
        <v>35156</v>
      </c>
      <c r="B1843" s="33" t="s">
        <v>29</v>
      </c>
      <c r="C1843" s="33" t="s">
        <v>22</v>
      </c>
      <c r="D1843" s="33">
        <v>180</v>
      </c>
    </row>
    <row r="1844" spans="1:4" x14ac:dyDescent="0.15">
      <c r="A1844" s="32">
        <v>35156</v>
      </c>
      <c r="B1844" s="33" t="s">
        <v>26</v>
      </c>
      <c r="C1844" s="33" t="s">
        <v>22</v>
      </c>
      <c r="D1844" s="33">
        <v>225</v>
      </c>
    </row>
    <row r="1845" spans="1:4" x14ac:dyDescent="0.15">
      <c r="A1845" s="32">
        <v>35156</v>
      </c>
      <c r="B1845" s="33" t="s">
        <v>29</v>
      </c>
      <c r="C1845" s="33" t="s">
        <v>22</v>
      </c>
      <c r="D1845" s="33">
        <v>358</v>
      </c>
    </row>
    <row r="1846" spans="1:4" x14ac:dyDescent="0.15">
      <c r="A1846" s="32">
        <v>35156</v>
      </c>
      <c r="B1846" s="33" t="s">
        <v>29</v>
      </c>
      <c r="C1846" s="33" t="s">
        <v>22</v>
      </c>
      <c r="D1846" s="33">
        <v>66</v>
      </c>
    </row>
    <row r="1847" spans="1:4" x14ac:dyDescent="0.15">
      <c r="A1847" s="32">
        <v>35156</v>
      </c>
      <c r="B1847" s="33" t="s">
        <v>28</v>
      </c>
      <c r="C1847" s="33" t="s">
        <v>22</v>
      </c>
      <c r="D1847" s="33">
        <v>371</v>
      </c>
    </row>
    <row r="1848" spans="1:4" x14ac:dyDescent="0.15">
      <c r="A1848" s="32">
        <v>35156</v>
      </c>
      <c r="B1848" s="33" t="s">
        <v>29</v>
      </c>
      <c r="C1848" s="33" t="s">
        <v>22</v>
      </c>
      <c r="D1848" s="33">
        <v>378</v>
      </c>
    </row>
    <row r="1849" spans="1:4" x14ac:dyDescent="0.15">
      <c r="A1849" s="32">
        <v>35156</v>
      </c>
      <c r="B1849" s="33" t="s">
        <v>28</v>
      </c>
      <c r="C1849" s="33" t="s">
        <v>22</v>
      </c>
      <c r="D1849" s="33">
        <v>470</v>
      </c>
    </row>
    <row r="1850" spans="1:4" x14ac:dyDescent="0.15">
      <c r="A1850" s="32">
        <v>35156</v>
      </c>
      <c r="B1850" s="33" t="s">
        <v>21</v>
      </c>
      <c r="C1850" s="33" t="s">
        <v>22</v>
      </c>
      <c r="D1850" s="33">
        <v>671</v>
      </c>
    </row>
    <row r="1851" spans="1:4" x14ac:dyDescent="0.15">
      <c r="A1851" s="32">
        <v>35156</v>
      </c>
      <c r="B1851" s="33" t="s">
        <v>31</v>
      </c>
      <c r="C1851" s="33" t="s">
        <v>22</v>
      </c>
      <c r="D1851" s="33">
        <v>786</v>
      </c>
    </row>
    <row r="1852" spans="1:4" x14ac:dyDescent="0.15">
      <c r="A1852" s="32">
        <v>35156</v>
      </c>
      <c r="B1852" s="33" t="s">
        <v>21</v>
      </c>
      <c r="C1852" s="33" t="s">
        <v>22</v>
      </c>
      <c r="D1852" s="33">
        <v>885</v>
      </c>
    </row>
    <row r="1853" spans="1:4" x14ac:dyDescent="0.15">
      <c r="A1853" s="32">
        <v>35156</v>
      </c>
      <c r="B1853" s="33" t="s">
        <v>28</v>
      </c>
      <c r="C1853" s="33" t="s">
        <v>22</v>
      </c>
      <c r="D1853" s="33">
        <v>892</v>
      </c>
    </row>
    <row r="1854" spans="1:4" x14ac:dyDescent="0.15">
      <c r="A1854" s="32">
        <v>35156</v>
      </c>
      <c r="B1854" s="33" t="s">
        <v>31</v>
      </c>
      <c r="C1854" s="33" t="s">
        <v>22</v>
      </c>
      <c r="D1854" s="33">
        <v>944</v>
      </c>
    </row>
    <row r="1855" spans="1:4" x14ac:dyDescent="0.15">
      <c r="A1855" s="32">
        <v>35156</v>
      </c>
      <c r="B1855" s="33" t="s">
        <v>31</v>
      </c>
      <c r="C1855" s="33" t="s">
        <v>22</v>
      </c>
      <c r="D1855" s="33">
        <v>1106</v>
      </c>
    </row>
    <row r="1856" spans="1:4" x14ac:dyDescent="0.15">
      <c r="A1856" s="32">
        <v>35156</v>
      </c>
      <c r="B1856" s="33" t="s">
        <v>28</v>
      </c>
      <c r="C1856" s="33" t="s">
        <v>22</v>
      </c>
      <c r="D1856" s="33">
        <v>1318</v>
      </c>
    </row>
    <row r="1857" spans="1:4" x14ac:dyDescent="0.15">
      <c r="A1857" s="32">
        <v>35156</v>
      </c>
      <c r="B1857" s="33" t="s">
        <v>26</v>
      </c>
      <c r="C1857" s="33" t="s">
        <v>22</v>
      </c>
      <c r="D1857" s="33">
        <v>248</v>
      </c>
    </row>
    <row r="1858" spans="1:4" x14ac:dyDescent="0.15">
      <c r="A1858" s="32">
        <v>35156</v>
      </c>
      <c r="B1858" s="33" t="s">
        <v>26</v>
      </c>
      <c r="C1858" s="33" t="s">
        <v>22</v>
      </c>
      <c r="D1858" s="33">
        <v>56</v>
      </c>
    </row>
    <row r="1859" spans="1:4" x14ac:dyDescent="0.15">
      <c r="A1859" s="32">
        <v>35156</v>
      </c>
      <c r="B1859" s="33" t="s">
        <v>21</v>
      </c>
      <c r="C1859" s="33" t="s">
        <v>22</v>
      </c>
      <c r="D1859" s="33">
        <v>1543</v>
      </c>
    </row>
    <row r="1860" spans="1:4" x14ac:dyDescent="0.15">
      <c r="A1860" s="32">
        <v>35156</v>
      </c>
      <c r="B1860" s="33" t="s">
        <v>21</v>
      </c>
      <c r="C1860" s="33" t="s">
        <v>22</v>
      </c>
      <c r="D1860" s="33">
        <v>774</v>
      </c>
    </row>
    <row r="1861" spans="1:4" x14ac:dyDescent="0.15">
      <c r="A1861" s="32">
        <v>35156</v>
      </c>
      <c r="B1861" s="33" t="s">
        <v>21</v>
      </c>
      <c r="C1861" s="33" t="s">
        <v>23</v>
      </c>
      <c r="D1861" s="33">
        <v>697</v>
      </c>
    </row>
    <row r="1862" spans="1:4" x14ac:dyDescent="0.15">
      <c r="A1862" s="32">
        <v>35156</v>
      </c>
      <c r="B1862" s="33" t="s">
        <v>31</v>
      </c>
      <c r="C1862" s="33" t="s">
        <v>23</v>
      </c>
      <c r="D1862" s="33">
        <v>698</v>
      </c>
    </row>
    <row r="1863" spans="1:4" x14ac:dyDescent="0.15">
      <c r="A1863" s="32">
        <v>35156</v>
      </c>
      <c r="B1863" s="33" t="s">
        <v>31</v>
      </c>
      <c r="C1863" s="33" t="s">
        <v>23</v>
      </c>
      <c r="D1863" s="33">
        <v>79</v>
      </c>
    </row>
    <row r="1864" spans="1:4" x14ac:dyDescent="0.15">
      <c r="A1864" s="32">
        <v>35156</v>
      </c>
      <c r="B1864" s="33" t="s">
        <v>21</v>
      </c>
      <c r="C1864" s="33" t="s">
        <v>23</v>
      </c>
      <c r="D1864" s="33">
        <v>1242</v>
      </c>
    </row>
    <row r="1865" spans="1:4" x14ac:dyDescent="0.15">
      <c r="A1865" s="32">
        <v>35156</v>
      </c>
      <c r="B1865" s="33" t="s">
        <v>26</v>
      </c>
      <c r="C1865" s="33" t="s">
        <v>23</v>
      </c>
      <c r="D1865" s="33">
        <v>68</v>
      </c>
    </row>
    <row r="1866" spans="1:4" x14ac:dyDescent="0.15">
      <c r="A1866" s="32">
        <v>35156</v>
      </c>
      <c r="B1866" s="33" t="s">
        <v>29</v>
      </c>
      <c r="C1866" s="33" t="s">
        <v>23</v>
      </c>
      <c r="D1866" s="33">
        <v>513</v>
      </c>
    </row>
    <row r="1867" spans="1:4" x14ac:dyDescent="0.15">
      <c r="A1867" s="32">
        <v>35156</v>
      </c>
      <c r="B1867" s="33" t="s">
        <v>26</v>
      </c>
      <c r="C1867" s="33" t="s">
        <v>23</v>
      </c>
      <c r="D1867" s="33">
        <v>495</v>
      </c>
    </row>
    <row r="1868" spans="1:4" x14ac:dyDescent="0.15">
      <c r="A1868" s="32">
        <v>35156</v>
      </c>
      <c r="B1868" s="33" t="s">
        <v>29</v>
      </c>
      <c r="C1868" s="33" t="s">
        <v>23</v>
      </c>
      <c r="D1868" s="33">
        <v>236</v>
      </c>
    </row>
    <row r="1869" spans="1:4" x14ac:dyDescent="0.15">
      <c r="A1869" s="32">
        <v>35156</v>
      </c>
      <c r="B1869" s="33" t="s">
        <v>26</v>
      </c>
      <c r="C1869" s="33" t="s">
        <v>23</v>
      </c>
      <c r="D1869" s="33">
        <v>245</v>
      </c>
    </row>
    <row r="1870" spans="1:4" x14ac:dyDescent="0.15">
      <c r="A1870" s="32">
        <v>35156</v>
      </c>
      <c r="B1870" s="33" t="s">
        <v>31</v>
      </c>
      <c r="C1870" s="33" t="s">
        <v>23</v>
      </c>
      <c r="D1870" s="33">
        <v>149</v>
      </c>
    </row>
    <row r="1871" spans="1:4" x14ac:dyDescent="0.15">
      <c r="A1871" s="32">
        <v>35156</v>
      </c>
      <c r="B1871" s="33" t="s">
        <v>28</v>
      </c>
      <c r="C1871" s="33" t="s">
        <v>23</v>
      </c>
      <c r="D1871" s="33">
        <v>270</v>
      </c>
    </row>
    <row r="1872" spans="1:4" x14ac:dyDescent="0.15">
      <c r="A1872" s="32">
        <v>35156</v>
      </c>
      <c r="B1872" s="33" t="s">
        <v>21</v>
      </c>
      <c r="C1872" s="33" t="s">
        <v>23</v>
      </c>
      <c r="D1872" s="33">
        <v>279</v>
      </c>
    </row>
    <row r="1873" spans="1:4" x14ac:dyDescent="0.15">
      <c r="A1873" s="32">
        <v>35156</v>
      </c>
      <c r="B1873" s="33" t="s">
        <v>28</v>
      </c>
      <c r="C1873" s="33" t="s">
        <v>23</v>
      </c>
      <c r="D1873" s="33">
        <v>315</v>
      </c>
    </row>
    <row r="1874" spans="1:4" x14ac:dyDescent="0.15">
      <c r="A1874" s="32">
        <v>35156</v>
      </c>
      <c r="B1874" s="33" t="s">
        <v>28</v>
      </c>
      <c r="C1874" s="33" t="s">
        <v>23</v>
      </c>
      <c r="D1874" s="33">
        <v>612</v>
      </c>
    </row>
    <row r="1875" spans="1:4" x14ac:dyDescent="0.15">
      <c r="A1875" s="32">
        <v>35156</v>
      </c>
      <c r="B1875" s="33" t="s">
        <v>29</v>
      </c>
      <c r="C1875" s="33" t="s">
        <v>23</v>
      </c>
      <c r="D1875" s="33">
        <v>365</v>
      </c>
    </row>
    <row r="1876" spans="1:4" x14ac:dyDescent="0.15">
      <c r="A1876" s="32">
        <v>35156</v>
      </c>
      <c r="B1876" s="33" t="s">
        <v>29</v>
      </c>
      <c r="C1876" s="33" t="s">
        <v>23</v>
      </c>
      <c r="D1876" s="33">
        <v>375</v>
      </c>
    </row>
    <row r="1877" spans="1:4" x14ac:dyDescent="0.15">
      <c r="A1877" s="32">
        <v>35156</v>
      </c>
      <c r="B1877" s="33" t="s">
        <v>21</v>
      </c>
      <c r="C1877" s="33" t="s">
        <v>23</v>
      </c>
      <c r="D1877" s="33">
        <v>410</v>
      </c>
    </row>
    <row r="1878" spans="1:4" x14ac:dyDescent="0.15">
      <c r="A1878" s="32">
        <v>35156</v>
      </c>
      <c r="B1878" s="33" t="s">
        <v>26</v>
      </c>
      <c r="C1878" s="33" t="s">
        <v>23</v>
      </c>
      <c r="D1878" s="33">
        <v>79</v>
      </c>
    </row>
    <row r="1879" spans="1:4" x14ac:dyDescent="0.15">
      <c r="A1879" s="32">
        <v>35156</v>
      </c>
      <c r="B1879" s="33" t="s">
        <v>28</v>
      </c>
      <c r="C1879" s="33" t="s">
        <v>23</v>
      </c>
      <c r="D1879" s="33">
        <v>426</v>
      </c>
    </row>
    <row r="1880" spans="1:4" x14ac:dyDescent="0.15">
      <c r="A1880" s="32">
        <v>35156</v>
      </c>
      <c r="B1880" s="33" t="s">
        <v>31</v>
      </c>
      <c r="C1880" s="33" t="s">
        <v>23</v>
      </c>
      <c r="D1880" s="33">
        <v>473</v>
      </c>
    </row>
    <row r="1881" spans="1:4" x14ac:dyDescent="0.15">
      <c r="A1881" s="32">
        <v>35156</v>
      </c>
      <c r="B1881" s="33" t="s">
        <v>28</v>
      </c>
      <c r="C1881" s="33" t="s">
        <v>32</v>
      </c>
      <c r="D1881" s="33">
        <v>450</v>
      </c>
    </row>
    <row r="1882" spans="1:4" x14ac:dyDescent="0.15">
      <c r="A1882" s="32">
        <v>35156</v>
      </c>
      <c r="B1882" s="33" t="s">
        <v>26</v>
      </c>
      <c r="C1882" s="33" t="s">
        <v>32</v>
      </c>
      <c r="D1882" s="33">
        <v>605</v>
      </c>
    </row>
    <row r="1883" spans="1:4" x14ac:dyDescent="0.15">
      <c r="A1883" s="32">
        <v>35156</v>
      </c>
      <c r="B1883" s="33" t="s">
        <v>21</v>
      </c>
      <c r="C1883" s="33" t="s">
        <v>32</v>
      </c>
      <c r="D1883" s="33">
        <v>11</v>
      </c>
    </row>
    <row r="1884" spans="1:4" x14ac:dyDescent="0.15">
      <c r="A1884" s="32">
        <v>35156</v>
      </c>
      <c r="B1884" s="33" t="s">
        <v>29</v>
      </c>
      <c r="C1884" s="33" t="s">
        <v>32</v>
      </c>
      <c r="D1884" s="33">
        <v>23</v>
      </c>
    </row>
    <row r="1885" spans="1:4" x14ac:dyDescent="0.15">
      <c r="A1885" s="32">
        <v>35156</v>
      </c>
      <c r="B1885" s="33" t="s">
        <v>21</v>
      </c>
      <c r="C1885" s="33" t="s">
        <v>32</v>
      </c>
      <c r="D1885" s="33">
        <v>26</v>
      </c>
    </row>
    <row r="1886" spans="1:4" x14ac:dyDescent="0.15">
      <c r="A1886" s="32">
        <v>35156</v>
      </c>
      <c r="B1886" s="33" t="s">
        <v>21</v>
      </c>
      <c r="C1886" s="33" t="s">
        <v>32</v>
      </c>
      <c r="D1886" s="33">
        <v>32</v>
      </c>
    </row>
    <row r="1887" spans="1:4" x14ac:dyDescent="0.15">
      <c r="A1887" s="32">
        <v>35156</v>
      </c>
      <c r="B1887" s="33" t="s">
        <v>29</v>
      </c>
      <c r="C1887" s="33" t="s">
        <v>32</v>
      </c>
      <c r="D1887" s="33">
        <v>34</v>
      </c>
    </row>
    <row r="1888" spans="1:4" x14ac:dyDescent="0.15">
      <c r="A1888" s="32">
        <v>35156</v>
      </c>
      <c r="B1888" s="33" t="s">
        <v>21</v>
      </c>
      <c r="C1888" s="33" t="s">
        <v>32</v>
      </c>
      <c r="D1888" s="33">
        <v>34</v>
      </c>
    </row>
    <row r="1889" spans="1:4" x14ac:dyDescent="0.15">
      <c r="A1889" s="32">
        <v>35156</v>
      </c>
      <c r="B1889" s="33" t="s">
        <v>29</v>
      </c>
      <c r="C1889" s="33" t="s">
        <v>32</v>
      </c>
      <c r="D1889" s="33">
        <v>49</v>
      </c>
    </row>
    <row r="1890" spans="1:4" x14ac:dyDescent="0.15">
      <c r="A1890" s="32">
        <v>35156</v>
      </c>
      <c r="B1890" s="33" t="s">
        <v>31</v>
      </c>
      <c r="C1890" s="33" t="s">
        <v>32</v>
      </c>
      <c r="D1890" s="33">
        <v>56</v>
      </c>
    </row>
    <row r="1891" spans="1:4" x14ac:dyDescent="0.15">
      <c r="A1891" s="32">
        <v>35156</v>
      </c>
      <c r="B1891" s="33" t="s">
        <v>31</v>
      </c>
      <c r="C1891" s="33" t="s">
        <v>32</v>
      </c>
      <c r="D1891" s="33">
        <v>26</v>
      </c>
    </row>
    <row r="1892" spans="1:4" x14ac:dyDescent="0.15">
      <c r="A1892" s="32">
        <v>35156</v>
      </c>
      <c r="B1892" s="33" t="s">
        <v>28</v>
      </c>
      <c r="C1892" s="33" t="s">
        <v>32</v>
      </c>
      <c r="D1892" s="33">
        <v>88</v>
      </c>
    </row>
    <row r="1893" spans="1:4" x14ac:dyDescent="0.15">
      <c r="A1893" s="32">
        <v>35156</v>
      </c>
      <c r="B1893" s="33" t="s">
        <v>31</v>
      </c>
      <c r="C1893" s="33" t="s">
        <v>32</v>
      </c>
      <c r="D1893" s="33">
        <v>123</v>
      </c>
    </row>
    <row r="1894" spans="1:4" x14ac:dyDescent="0.15">
      <c r="A1894" s="32">
        <v>35156</v>
      </c>
      <c r="B1894" s="33" t="s">
        <v>28</v>
      </c>
      <c r="C1894" s="33" t="s">
        <v>32</v>
      </c>
      <c r="D1894" s="33">
        <v>149</v>
      </c>
    </row>
    <row r="1895" spans="1:4" x14ac:dyDescent="0.15">
      <c r="A1895" s="32">
        <v>35156</v>
      </c>
      <c r="B1895" s="33" t="s">
        <v>31</v>
      </c>
      <c r="C1895" s="33" t="s">
        <v>32</v>
      </c>
      <c r="D1895" s="33">
        <v>122</v>
      </c>
    </row>
    <row r="1896" spans="1:4" x14ac:dyDescent="0.15">
      <c r="A1896" s="32">
        <v>35156</v>
      </c>
      <c r="B1896" s="33" t="s">
        <v>29</v>
      </c>
      <c r="C1896" s="33" t="s">
        <v>32</v>
      </c>
      <c r="D1896" s="33">
        <v>70</v>
      </c>
    </row>
    <row r="1897" spans="1:4" x14ac:dyDescent="0.15">
      <c r="A1897" s="32">
        <v>35156</v>
      </c>
      <c r="B1897" s="33" t="s">
        <v>28</v>
      </c>
      <c r="C1897" s="33" t="s">
        <v>32</v>
      </c>
      <c r="D1897" s="33">
        <v>113</v>
      </c>
    </row>
    <row r="1898" spans="1:4" x14ac:dyDescent="0.15">
      <c r="A1898" s="32">
        <v>35156</v>
      </c>
      <c r="B1898" s="33" t="s">
        <v>26</v>
      </c>
      <c r="C1898" s="33" t="s">
        <v>32</v>
      </c>
      <c r="D1898" s="33">
        <v>322</v>
      </c>
    </row>
    <row r="1899" spans="1:4" x14ac:dyDescent="0.15">
      <c r="A1899" s="32">
        <v>35156</v>
      </c>
      <c r="B1899" s="33" t="s">
        <v>26</v>
      </c>
      <c r="C1899" s="33" t="s">
        <v>32</v>
      </c>
      <c r="D1899" s="33">
        <v>79</v>
      </c>
    </row>
    <row r="1900" spans="1:4" x14ac:dyDescent="0.15">
      <c r="A1900" s="32">
        <v>35156</v>
      </c>
      <c r="B1900" s="33" t="s">
        <v>26</v>
      </c>
      <c r="C1900" s="33" t="s">
        <v>32</v>
      </c>
      <c r="D1900" s="33">
        <v>79</v>
      </c>
    </row>
    <row r="1901" spans="1:4" x14ac:dyDescent="0.15">
      <c r="A1901" s="32">
        <v>35156</v>
      </c>
      <c r="B1901" s="33" t="s">
        <v>21</v>
      </c>
      <c r="C1901" s="33" t="s">
        <v>24</v>
      </c>
      <c r="D1901" s="33">
        <v>2812</v>
      </c>
    </row>
    <row r="1902" spans="1:4" x14ac:dyDescent="0.15">
      <c r="A1902" s="32">
        <v>35156</v>
      </c>
      <c r="B1902" s="33" t="s">
        <v>26</v>
      </c>
      <c r="C1902" s="33" t="s">
        <v>24</v>
      </c>
      <c r="D1902" s="33">
        <v>248</v>
      </c>
    </row>
    <row r="1903" spans="1:4" x14ac:dyDescent="0.15">
      <c r="A1903" s="32">
        <v>35156</v>
      </c>
      <c r="B1903" s="33" t="s">
        <v>21</v>
      </c>
      <c r="C1903" s="33" t="s">
        <v>24</v>
      </c>
      <c r="D1903" s="33">
        <v>3135</v>
      </c>
    </row>
    <row r="1904" spans="1:4" x14ac:dyDescent="0.15">
      <c r="A1904" s="32">
        <v>35156</v>
      </c>
      <c r="B1904" s="33" t="s">
        <v>21</v>
      </c>
      <c r="C1904" s="33" t="s">
        <v>24</v>
      </c>
      <c r="D1904" s="33">
        <v>126</v>
      </c>
    </row>
    <row r="1905" spans="1:4" x14ac:dyDescent="0.15">
      <c r="A1905" s="32">
        <v>35156</v>
      </c>
      <c r="B1905" s="33" t="s">
        <v>26</v>
      </c>
      <c r="C1905" s="33" t="s">
        <v>24</v>
      </c>
      <c r="D1905" s="33">
        <v>88</v>
      </c>
    </row>
    <row r="1906" spans="1:4" x14ac:dyDescent="0.15">
      <c r="A1906" s="32">
        <v>35156</v>
      </c>
      <c r="B1906" s="33" t="s">
        <v>26</v>
      </c>
      <c r="C1906" s="33" t="s">
        <v>24</v>
      </c>
      <c r="D1906" s="33">
        <v>90</v>
      </c>
    </row>
    <row r="1907" spans="1:4" x14ac:dyDescent="0.15">
      <c r="A1907" s="32">
        <v>35156</v>
      </c>
      <c r="B1907" s="33" t="s">
        <v>21</v>
      </c>
      <c r="C1907" s="33" t="s">
        <v>24</v>
      </c>
      <c r="D1907" s="33">
        <v>70</v>
      </c>
    </row>
    <row r="1908" spans="1:4" x14ac:dyDescent="0.15">
      <c r="A1908" s="32">
        <v>35156</v>
      </c>
      <c r="B1908" s="33" t="s">
        <v>26</v>
      </c>
      <c r="C1908" s="33" t="s">
        <v>24</v>
      </c>
      <c r="D1908" s="33">
        <v>135</v>
      </c>
    </row>
    <row r="1909" spans="1:4" x14ac:dyDescent="0.15">
      <c r="A1909" s="32">
        <v>35156</v>
      </c>
      <c r="B1909" s="33" t="s">
        <v>26</v>
      </c>
      <c r="C1909" s="33" t="s">
        <v>24</v>
      </c>
      <c r="D1909" s="33">
        <v>166</v>
      </c>
    </row>
    <row r="1910" spans="1:4" x14ac:dyDescent="0.15">
      <c r="A1910" s="32">
        <v>35156</v>
      </c>
      <c r="B1910" s="33" t="s">
        <v>21</v>
      </c>
      <c r="C1910" s="33" t="s">
        <v>24</v>
      </c>
      <c r="D1910" s="33">
        <v>124</v>
      </c>
    </row>
    <row r="1911" spans="1:4" x14ac:dyDescent="0.15">
      <c r="A1911" s="32">
        <v>35156</v>
      </c>
      <c r="B1911" s="33" t="s">
        <v>26</v>
      </c>
      <c r="C1911" s="33" t="s">
        <v>24</v>
      </c>
      <c r="D1911" s="33">
        <v>220</v>
      </c>
    </row>
    <row r="1912" spans="1:4" x14ac:dyDescent="0.15">
      <c r="A1912" s="32">
        <v>35156</v>
      </c>
      <c r="B1912" s="33" t="s">
        <v>21</v>
      </c>
      <c r="C1912" s="33" t="s">
        <v>24</v>
      </c>
      <c r="D1912" s="33">
        <v>83</v>
      </c>
    </row>
    <row r="1913" spans="1:4" x14ac:dyDescent="0.15">
      <c r="A1913" s="32">
        <v>35156</v>
      </c>
      <c r="B1913" s="33" t="s">
        <v>29</v>
      </c>
      <c r="C1913" s="33" t="s">
        <v>25</v>
      </c>
      <c r="D1913" s="33">
        <v>49</v>
      </c>
    </row>
    <row r="1914" spans="1:4" x14ac:dyDescent="0.15">
      <c r="A1914" s="32">
        <v>35156</v>
      </c>
      <c r="B1914" s="33" t="s">
        <v>29</v>
      </c>
      <c r="C1914" s="33" t="s">
        <v>25</v>
      </c>
      <c r="D1914" s="33">
        <v>90</v>
      </c>
    </row>
    <row r="1915" spans="1:4" x14ac:dyDescent="0.15">
      <c r="A1915" s="32">
        <v>35156</v>
      </c>
      <c r="B1915" s="33" t="s">
        <v>26</v>
      </c>
      <c r="C1915" s="33" t="s">
        <v>25</v>
      </c>
      <c r="D1915" s="33">
        <v>657</v>
      </c>
    </row>
    <row r="1916" spans="1:4" x14ac:dyDescent="0.15">
      <c r="A1916" s="32">
        <v>35156</v>
      </c>
      <c r="B1916" s="33" t="s">
        <v>31</v>
      </c>
      <c r="C1916" s="33" t="s">
        <v>25</v>
      </c>
      <c r="D1916" s="33">
        <v>664</v>
      </c>
    </row>
    <row r="1917" spans="1:4" x14ac:dyDescent="0.15">
      <c r="A1917" s="32">
        <v>35156</v>
      </c>
      <c r="B1917" s="33" t="s">
        <v>21</v>
      </c>
      <c r="C1917" s="33" t="s">
        <v>25</v>
      </c>
      <c r="D1917" s="33">
        <v>890</v>
      </c>
    </row>
    <row r="1918" spans="1:4" x14ac:dyDescent="0.15">
      <c r="A1918" s="32">
        <v>35156</v>
      </c>
      <c r="B1918" s="33" t="s">
        <v>26</v>
      </c>
      <c r="C1918" s="33" t="s">
        <v>25</v>
      </c>
      <c r="D1918" s="33">
        <v>1089</v>
      </c>
    </row>
    <row r="1919" spans="1:4" x14ac:dyDescent="0.15">
      <c r="A1919" s="32">
        <v>35156</v>
      </c>
      <c r="B1919" s="33" t="s">
        <v>28</v>
      </c>
      <c r="C1919" s="33" t="s">
        <v>25</v>
      </c>
      <c r="D1919" s="33">
        <v>1208</v>
      </c>
    </row>
    <row r="1920" spans="1:4" x14ac:dyDescent="0.15">
      <c r="A1920" s="32">
        <v>35156</v>
      </c>
      <c r="B1920" s="33" t="s">
        <v>21</v>
      </c>
      <c r="C1920" s="33" t="s">
        <v>25</v>
      </c>
      <c r="D1920" s="33">
        <v>458</v>
      </c>
    </row>
    <row r="1921" spans="1:4" x14ac:dyDescent="0.15">
      <c r="A1921" s="32">
        <v>35156</v>
      </c>
      <c r="B1921" s="33" t="s">
        <v>31</v>
      </c>
      <c r="C1921" s="33" t="s">
        <v>25</v>
      </c>
      <c r="D1921" s="33">
        <v>430</v>
      </c>
    </row>
    <row r="1922" spans="1:4" x14ac:dyDescent="0.15">
      <c r="A1922" s="32">
        <v>35156</v>
      </c>
      <c r="B1922" s="33" t="s">
        <v>31</v>
      </c>
      <c r="C1922" s="33" t="s">
        <v>25</v>
      </c>
      <c r="D1922" s="33">
        <v>158</v>
      </c>
    </row>
    <row r="1923" spans="1:4" x14ac:dyDescent="0.15">
      <c r="A1923" s="32">
        <v>35156</v>
      </c>
      <c r="B1923" s="33" t="s">
        <v>21</v>
      </c>
      <c r="C1923" s="33" t="s">
        <v>25</v>
      </c>
      <c r="D1923" s="33">
        <v>123</v>
      </c>
    </row>
    <row r="1924" spans="1:4" x14ac:dyDescent="0.15">
      <c r="A1924" s="32">
        <v>35156</v>
      </c>
      <c r="B1924" s="33" t="s">
        <v>31</v>
      </c>
      <c r="C1924" s="33" t="s">
        <v>25</v>
      </c>
      <c r="D1924" s="33">
        <v>123</v>
      </c>
    </row>
    <row r="1925" spans="1:4" x14ac:dyDescent="0.15">
      <c r="A1925" s="32">
        <v>35156</v>
      </c>
      <c r="B1925" s="33" t="s">
        <v>21</v>
      </c>
      <c r="C1925" s="33" t="s">
        <v>25</v>
      </c>
      <c r="D1925" s="33">
        <v>135</v>
      </c>
    </row>
    <row r="1926" spans="1:4" x14ac:dyDescent="0.15">
      <c r="A1926" s="32">
        <v>35156</v>
      </c>
      <c r="B1926" s="33" t="s">
        <v>26</v>
      </c>
      <c r="C1926" s="33" t="s">
        <v>25</v>
      </c>
      <c r="D1926" s="33">
        <v>546</v>
      </c>
    </row>
    <row r="1927" spans="1:4" x14ac:dyDescent="0.15">
      <c r="A1927" s="32">
        <v>35156</v>
      </c>
      <c r="B1927" s="33" t="s">
        <v>29</v>
      </c>
      <c r="C1927" s="33" t="s">
        <v>25</v>
      </c>
      <c r="D1927" s="33">
        <v>158</v>
      </c>
    </row>
    <row r="1928" spans="1:4" x14ac:dyDescent="0.15">
      <c r="A1928" s="32">
        <v>35156</v>
      </c>
      <c r="B1928" s="33" t="s">
        <v>28</v>
      </c>
      <c r="C1928" s="33" t="s">
        <v>25</v>
      </c>
      <c r="D1928" s="33">
        <v>158</v>
      </c>
    </row>
    <row r="1929" spans="1:4" x14ac:dyDescent="0.15">
      <c r="A1929" s="32">
        <v>35156</v>
      </c>
      <c r="B1929" s="33" t="s">
        <v>28</v>
      </c>
      <c r="C1929" s="33" t="s">
        <v>25</v>
      </c>
      <c r="D1929" s="33">
        <v>263</v>
      </c>
    </row>
    <row r="1930" spans="1:4" x14ac:dyDescent="0.15">
      <c r="A1930" s="32">
        <v>35156</v>
      </c>
      <c r="B1930" s="33" t="s">
        <v>26</v>
      </c>
      <c r="C1930" s="33" t="s">
        <v>25</v>
      </c>
      <c r="D1930" s="33">
        <v>270</v>
      </c>
    </row>
    <row r="1931" spans="1:4" x14ac:dyDescent="0.15">
      <c r="A1931" s="32">
        <v>35156</v>
      </c>
      <c r="B1931" s="33" t="s">
        <v>28</v>
      </c>
      <c r="C1931" s="33" t="s">
        <v>25</v>
      </c>
      <c r="D1931" s="33">
        <v>405</v>
      </c>
    </row>
    <row r="1932" spans="1:4" x14ac:dyDescent="0.15">
      <c r="A1932" s="32">
        <v>35156</v>
      </c>
      <c r="B1932" s="33" t="s">
        <v>29</v>
      </c>
      <c r="C1932" s="33" t="s">
        <v>25</v>
      </c>
      <c r="D1932" s="33">
        <v>135</v>
      </c>
    </row>
    <row r="1933" spans="1:4" x14ac:dyDescent="0.15">
      <c r="A1933" s="32">
        <v>35156</v>
      </c>
      <c r="B1933" s="33" t="s">
        <v>26</v>
      </c>
      <c r="C1933" s="33" t="s">
        <v>27</v>
      </c>
      <c r="D1933" s="33">
        <v>1072</v>
      </c>
    </row>
    <row r="1934" spans="1:4" x14ac:dyDescent="0.15">
      <c r="A1934" s="32">
        <v>35156</v>
      </c>
      <c r="B1934" s="33" t="s">
        <v>31</v>
      </c>
      <c r="C1934" s="33" t="s">
        <v>27</v>
      </c>
      <c r="D1934" s="33">
        <v>1325</v>
      </c>
    </row>
    <row r="1935" spans="1:4" x14ac:dyDescent="0.15">
      <c r="A1935" s="32">
        <v>35156</v>
      </c>
      <c r="B1935" s="33" t="s">
        <v>21</v>
      </c>
      <c r="C1935" s="33" t="s">
        <v>27</v>
      </c>
      <c r="D1935" s="33">
        <v>1850</v>
      </c>
    </row>
    <row r="1936" spans="1:4" x14ac:dyDescent="0.15">
      <c r="A1936" s="32">
        <v>35156</v>
      </c>
      <c r="B1936" s="33" t="s">
        <v>26</v>
      </c>
      <c r="C1936" s="33" t="s">
        <v>27</v>
      </c>
      <c r="D1936" s="33">
        <v>2406</v>
      </c>
    </row>
    <row r="1937" spans="1:4" x14ac:dyDescent="0.15">
      <c r="A1937" s="32">
        <v>35156</v>
      </c>
      <c r="B1937" s="33" t="s">
        <v>28</v>
      </c>
      <c r="C1937" s="33" t="s">
        <v>27</v>
      </c>
      <c r="D1937" s="33">
        <v>2829</v>
      </c>
    </row>
    <row r="1938" spans="1:4" x14ac:dyDescent="0.15">
      <c r="A1938" s="32">
        <v>35156</v>
      </c>
      <c r="B1938" s="33" t="s">
        <v>26</v>
      </c>
      <c r="C1938" s="33" t="s">
        <v>27</v>
      </c>
      <c r="D1938" s="33">
        <v>491</v>
      </c>
    </row>
    <row r="1939" spans="1:4" x14ac:dyDescent="0.15">
      <c r="A1939" s="32">
        <v>35156</v>
      </c>
      <c r="B1939" s="33" t="s">
        <v>21</v>
      </c>
      <c r="C1939" s="33" t="s">
        <v>27</v>
      </c>
      <c r="D1939" s="33">
        <v>700</v>
      </c>
    </row>
    <row r="1940" spans="1:4" x14ac:dyDescent="0.15">
      <c r="A1940" s="32">
        <v>35156</v>
      </c>
      <c r="B1940" s="33" t="s">
        <v>26</v>
      </c>
      <c r="C1940" s="33" t="s">
        <v>27</v>
      </c>
      <c r="D1940" s="33">
        <v>503</v>
      </c>
    </row>
    <row r="1941" spans="1:4" x14ac:dyDescent="0.15">
      <c r="A1941" s="32">
        <v>35156</v>
      </c>
      <c r="B1941" s="33" t="s">
        <v>28</v>
      </c>
      <c r="C1941" s="33" t="s">
        <v>27</v>
      </c>
      <c r="D1941" s="33">
        <v>39</v>
      </c>
    </row>
    <row r="1942" spans="1:4" x14ac:dyDescent="0.15">
      <c r="A1942" s="32">
        <v>35156</v>
      </c>
      <c r="B1942" s="33" t="s">
        <v>21</v>
      </c>
      <c r="C1942" s="33" t="s">
        <v>27</v>
      </c>
      <c r="D1942" s="33">
        <v>44</v>
      </c>
    </row>
    <row r="1943" spans="1:4" x14ac:dyDescent="0.15">
      <c r="A1943" s="32">
        <v>35156</v>
      </c>
      <c r="B1943" s="33" t="s">
        <v>29</v>
      </c>
      <c r="C1943" s="33" t="s">
        <v>27</v>
      </c>
      <c r="D1943" s="33">
        <v>50</v>
      </c>
    </row>
    <row r="1944" spans="1:4" x14ac:dyDescent="0.15">
      <c r="A1944" s="32">
        <v>35156</v>
      </c>
      <c r="B1944" s="33" t="s">
        <v>28</v>
      </c>
      <c r="C1944" s="33" t="s">
        <v>27</v>
      </c>
      <c r="D1944" s="33">
        <v>61</v>
      </c>
    </row>
    <row r="1945" spans="1:4" x14ac:dyDescent="0.15">
      <c r="A1945" s="32">
        <v>35156</v>
      </c>
      <c r="B1945" s="33" t="s">
        <v>21</v>
      </c>
      <c r="C1945" s="33" t="s">
        <v>27</v>
      </c>
      <c r="D1945" s="33">
        <v>68</v>
      </c>
    </row>
    <row r="1946" spans="1:4" x14ac:dyDescent="0.15">
      <c r="A1946" s="32">
        <v>35156</v>
      </c>
      <c r="B1946" s="33" t="s">
        <v>28</v>
      </c>
      <c r="C1946" s="33" t="s">
        <v>27</v>
      </c>
      <c r="D1946" s="33">
        <v>72</v>
      </c>
    </row>
    <row r="1947" spans="1:4" x14ac:dyDescent="0.15">
      <c r="A1947" s="32">
        <v>35156</v>
      </c>
      <c r="B1947" s="33" t="s">
        <v>29</v>
      </c>
      <c r="C1947" s="33" t="s">
        <v>27</v>
      </c>
      <c r="D1947" s="33">
        <v>88</v>
      </c>
    </row>
    <row r="1948" spans="1:4" x14ac:dyDescent="0.15">
      <c r="A1948" s="32">
        <v>35156</v>
      </c>
      <c r="B1948" s="33" t="s">
        <v>29</v>
      </c>
      <c r="C1948" s="33" t="s">
        <v>27</v>
      </c>
      <c r="D1948" s="33">
        <v>119</v>
      </c>
    </row>
    <row r="1949" spans="1:4" x14ac:dyDescent="0.15">
      <c r="A1949" s="32">
        <v>35156</v>
      </c>
      <c r="B1949" s="33" t="s">
        <v>31</v>
      </c>
      <c r="C1949" s="33" t="s">
        <v>27</v>
      </c>
      <c r="D1949" s="33">
        <v>123</v>
      </c>
    </row>
    <row r="1950" spans="1:4" x14ac:dyDescent="0.15">
      <c r="A1950" s="32">
        <v>35156</v>
      </c>
      <c r="B1950" s="33" t="s">
        <v>29</v>
      </c>
      <c r="C1950" s="33" t="s">
        <v>27</v>
      </c>
      <c r="D1950" s="33">
        <v>135</v>
      </c>
    </row>
    <row r="1951" spans="1:4" x14ac:dyDescent="0.15">
      <c r="A1951" s="32">
        <v>35156</v>
      </c>
      <c r="B1951" s="33" t="s">
        <v>31</v>
      </c>
      <c r="C1951" s="33" t="s">
        <v>27</v>
      </c>
      <c r="D1951" s="33">
        <v>158</v>
      </c>
    </row>
    <row r="1952" spans="1:4" x14ac:dyDescent="0.15">
      <c r="A1952" s="32">
        <v>35156</v>
      </c>
      <c r="B1952" s="33" t="s">
        <v>31</v>
      </c>
      <c r="C1952" s="33" t="s">
        <v>27</v>
      </c>
      <c r="D1952" s="33">
        <v>263</v>
      </c>
    </row>
    <row r="1953" spans="1:4" x14ac:dyDescent="0.15">
      <c r="A1953" s="32">
        <v>35156</v>
      </c>
      <c r="B1953" s="33" t="s">
        <v>21</v>
      </c>
      <c r="C1953" s="33" t="s">
        <v>30</v>
      </c>
      <c r="D1953" s="33">
        <v>11</v>
      </c>
    </row>
    <row r="1954" spans="1:4" x14ac:dyDescent="0.15">
      <c r="A1954" s="32">
        <v>35156</v>
      </c>
      <c r="B1954" s="33" t="s">
        <v>28</v>
      </c>
      <c r="C1954" s="33" t="s">
        <v>30</v>
      </c>
      <c r="D1954" s="33">
        <v>18</v>
      </c>
    </row>
    <row r="1955" spans="1:4" x14ac:dyDescent="0.15">
      <c r="A1955" s="32">
        <v>35156</v>
      </c>
      <c r="B1955" s="33" t="s">
        <v>21</v>
      </c>
      <c r="C1955" s="33" t="s">
        <v>30</v>
      </c>
      <c r="D1955" s="33">
        <v>28</v>
      </c>
    </row>
    <row r="1956" spans="1:4" x14ac:dyDescent="0.15">
      <c r="A1956" s="32">
        <v>35156</v>
      </c>
      <c r="B1956" s="33" t="s">
        <v>21</v>
      </c>
      <c r="C1956" s="33" t="s">
        <v>30</v>
      </c>
      <c r="D1956" s="33">
        <v>44</v>
      </c>
    </row>
    <row r="1957" spans="1:4" x14ac:dyDescent="0.15">
      <c r="A1957" s="32">
        <v>35156</v>
      </c>
      <c r="B1957" s="33" t="s">
        <v>26</v>
      </c>
      <c r="C1957" s="33" t="s">
        <v>30</v>
      </c>
      <c r="D1957" s="33">
        <v>66</v>
      </c>
    </row>
    <row r="1958" spans="1:4" x14ac:dyDescent="0.15">
      <c r="A1958" s="32">
        <v>35156</v>
      </c>
      <c r="B1958" s="33" t="s">
        <v>21</v>
      </c>
      <c r="C1958" s="33" t="s">
        <v>30</v>
      </c>
      <c r="D1958" s="33">
        <v>55</v>
      </c>
    </row>
    <row r="1959" spans="1:4" x14ac:dyDescent="0.15">
      <c r="A1959" s="32">
        <v>35156</v>
      </c>
      <c r="B1959" s="33" t="s">
        <v>28</v>
      </c>
      <c r="C1959" s="33" t="s">
        <v>30</v>
      </c>
      <c r="D1959" s="33">
        <v>55</v>
      </c>
    </row>
    <row r="1960" spans="1:4" x14ac:dyDescent="0.15">
      <c r="A1960" s="32">
        <v>35156</v>
      </c>
      <c r="B1960" s="33" t="s">
        <v>26</v>
      </c>
      <c r="C1960" s="33" t="s">
        <v>30</v>
      </c>
      <c r="D1960" s="33">
        <v>53</v>
      </c>
    </row>
    <row r="1961" spans="1:4" x14ac:dyDescent="0.15">
      <c r="A1961" s="32">
        <v>35156</v>
      </c>
      <c r="B1961" s="33" t="s">
        <v>21</v>
      </c>
      <c r="C1961" s="33" t="s">
        <v>30</v>
      </c>
      <c r="D1961" s="33">
        <v>14</v>
      </c>
    </row>
    <row r="1962" spans="1:4" x14ac:dyDescent="0.15">
      <c r="A1962" s="32">
        <v>35156</v>
      </c>
      <c r="B1962" s="33" t="s">
        <v>21</v>
      </c>
      <c r="C1962" s="33" t="s">
        <v>30</v>
      </c>
      <c r="D1962" s="33">
        <v>45</v>
      </c>
    </row>
    <row r="1963" spans="1:4" x14ac:dyDescent="0.15">
      <c r="A1963" s="32">
        <v>35156</v>
      </c>
      <c r="B1963" s="33" t="s">
        <v>29</v>
      </c>
      <c r="C1963" s="33" t="s">
        <v>30</v>
      </c>
      <c r="D1963" s="33">
        <v>44</v>
      </c>
    </row>
    <row r="1964" spans="1:4" x14ac:dyDescent="0.15">
      <c r="A1964" s="32">
        <v>35156</v>
      </c>
      <c r="B1964" s="33" t="s">
        <v>29</v>
      </c>
      <c r="C1964" s="33" t="s">
        <v>30</v>
      </c>
      <c r="D1964" s="33">
        <v>41</v>
      </c>
    </row>
    <row r="1965" spans="1:4" x14ac:dyDescent="0.15">
      <c r="A1965" s="32">
        <v>35156</v>
      </c>
      <c r="B1965" s="33" t="s">
        <v>29</v>
      </c>
      <c r="C1965" s="33" t="s">
        <v>30</v>
      </c>
      <c r="D1965" s="33">
        <v>39</v>
      </c>
    </row>
    <row r="1966" spans="1:4" x14ac:dyDescent="0.15">
      <c r="A1966" s="32">
        <v>35156</v>
      </c>
      <c r="B1966" s="33" t="s">
        <v>31</v>
      </c>
      <c r="C1966" s="33" t="s">
        <v>30</v>
      </c>
      <c r="D1966" s="33">
        <v>34</v>
      </c>
    </row>
    <row r="1967" spans="1:4" x14ac:dyDescent="0.15">
      <c r="A1967" s="32">
        <v>35156</v>
      </c>
      <c r="B1967" s="33" t="s">
        <v>26</v>
      </c>
      <c r="C1967" s="33" t="s">
        <v>30</v>
      </c>
      <c r="D1967" s="33">
        <v>46</v>
      </c>
    </row>
    <row r="1968" spans="1:4" x14ac:dyDescent="0.15">
      <c r="A1968" s="32">
        <v>35156</v>
      </c>
      <c r="B1968" s="33" t="s">
        <v>28</v>
      </c>
      <c r="C1968" s="33" t="s">
        <v>30</v>
      </c>
      <c r="D1968" s="33">
        <v>70</v>
      </c>
    </row>
    <row r="1969" spans="1:4" x14ac:dyDescent="0.15">
      <c r="A1969" s="32">
        <v>35156</v>
      </c>
      <c r="B1969" s="33" t="s">
        <v>26</v>
      </c>
      <c r="C1969" s="33" t="s">
        <v>30</v>
      </c>
      <c r="D1969" s="33">
        <v>101</v>
      </c>
    </row>
    <row r="1970" spans="1:4" x14ac:dyDescent="0.15">
      <c r="A1970" s="32">
        <v>35156</v>
      </c>
      <c r="B1970" s="33" t="s">
        <v>26</v>
      </c>
      <c r="C1970" s="33" t="s">
        <v>30</v>
      </c>
      <c r="D1970" s="33">
        <v>124</v>
      </c>
    </row>
    <row r="1971" spans="1:4" x14ac:dyDescent="0.15">
      <c r="A1971" s="32">
        <v>35156</v>
      </c>
      <c r="B1971" s="33" t="s">
        <v>28</v>
      </c>
      <c r="C1971" s="33" t="s">
        <v>30</v>
      </c>
      <c r="D1971" s="33">
        <v>113</v>
      </c>
    </row>
    <row r="1972" spans="1:4" x14ac:dyDescent="0.15">
      <c r="A1972" s="32">
        <v>35156</v>
      </c>
      <c r="B1972" s="33" t="s">
        <v>29</v>
      </c>
      <c r="C1972" s="33" t="s">
        <v>30</v>
      </c>
      <c r="D1972" s="33">
        <v>101</v>
      </c>
    </row>
    <row r="1973" spans="1:4" x14ac:dyDescent="0.15">
      <c r="A1973" s="32">
        <v>35156</v>
      </c>
      <c r="B1973" s="33" t="s">
        <v>28</v>
      </c>
      <c r="C1973" s="33" t="s">
        <v>30</v>
      </c>
      <c r="D1973" s="33">
        <v>96</v>
      </c>
    </row>
    <row r="1974" spans="1:4" x14ac:dyDescent="0.15">
      <c r="A1974" s="32">
        <v>35156</v>
      </c>
      <c r="B1974" s="33" t="s">
        <v>31</v>
      </c>
      <c r="C1974" s="33" t="s">
        <v>30</v>
      </c>
      <c r="D1974" s="33">
        <v>83</v>
      </c>
    </row>
    <row r="1975" spans="1:4" x14ac:dyDescent="0.15">
      <c r="A1975" s="32">
        <v>35156</v>
      </c>
      <c r="B1975" s="33" t="s">
        <v>31</v>
      </c>
      <c r="C1975" s="33" t="s">
        <v>30</v>
      </c>
      <c r="D1975" s="33">
        <v>70</v>
      </c>
    </row>
    <row r="1976" spans="1:4" x14ac:dyDescent="0.15">
      <c r="A1976" s="32">
        <v>35156</v>
      </c>
      <c r="B1976" s="33" t="s">
        <v>29</v>
      </c>
      <c r="C1976" s="33" t="s">
        <v>30</v>
      </c>
      <c r="D1976" s="33">
        <v>116</v>
      </c>
    </row>
    <row r="1977" spans="1:4" x14ac:dyDescent="0.15">
      <c r="A1977" s="32">
        <v>35156</v>
      </c>
      <c r="B1977" s="33" t="s">
        <v>28</v>
      </c>
      <c r="C1977" s="33" t="s">
        <v>30</v>
      </c>
      <c r="D1977" s="33">
        <v>180</v>
      </c>
    </row>
    <row r="1978" spans="1:4" x14ac:dyDescent="0.15">
      <c r="A1978" s="32">
        <v>35156</v>
      </c>
      <c r="B1978" s="33" t="s">
        <v>31</v>
      </c>
      <c r="C1978" s="33" t="s">
        <v>30</v>
      </c>
      <c r="D1978" s="33">
        <v>1238</v>
      </c>
    </row>
    <row r="1979" spans="1:4" x14ac:dyDescent="0.15">
      <c r="A1979" s="32">
        <v>35156</v>
      </c>
      <c r="B1979" s="33" t="s">
        <v>31</v>
      </c>
      <c r="C1979" s="33" t="s">
        <v>30</v>
      </c>
      <c r="D1979" s="33">
        <v>261</v>
      </c>
    </row>
    <row r="1980" spans="1:4" x14ac:dyDescent="0.15">
      <c r="A1980" s="32">
        <v>35156</v>
      </c>
      <c r="B1980" s="33" t="s">
        <v>31</v>
      </c>
      <c r="C1980" s="33" t="s">
        <v>30</v>
      </c>
      <c r="D1980" s="33">
        <v>1048</v>
      </c>
    </row>
    <row r="1981" spans="1:4" x14ac:dyDescent="0.15">
      <c r="A1981" s="32">
        <v>35156</v>
      </c>
      <c r="B1981" s="33" t="s">
        <v>26</v>
      </c>
      <c r="C1981" s="33" t="s">
        <v>30</v>
      </c>
      <c r="D1981" s="33">
        <v>560</v>
      </c>
    </row>
    <row r="1982" spans="1:4" x14ac:dyDescent="0.15">
      <c r="A1982" s="32">
        <v>35156</v>
      </c>
      <c r="B1982" s="33" t="s">
        <v>29</v>
      </c>
      <c r="C1982" s="33" t="s">
        <v>30</v>
      </c>
      <c r="D1982" s="33">
        <v>69</v>
      </c>
    </row>
    <row r="1983" spans="1:4" x14ac:dyDescent="0.15">
      <c r="A1983" s="32">
        <v>35186</v>
      </c>
      <c r="B1983" s="33" t="s">
        <v>31</v>
      </c>
      <c r="C1983" s="33" t="s">
        <v>22</v>
      </c>
      <c r="D1983" s="33">
        <v>774</v>
      </c>
    </row>
    <row r="1984" spans="1:4" x14ac:dyDescent="0.15">
      <c r="A1984" s="32">
        <v>35186</v>
      </c>
      <c r="B1984" s="33" t="s">
        <v>26</v>
      </c>
      <c r="C1984" s="33" t="s">
        <v>22</v>
      </c>
      <c r="D1984" s="33">
        <v>270</v>
      </c>
    </row>
    <row r="1985" spans="1:4" x14ac:dyDescent="0.15">
      <c r="A1985" s="32">
        <v>35186</v>
      </c>
      <c r="B1985" s="33" t="s">
        <v>29</v>
      </c>
      <c r="C1985" s="33" t="s">
        <v>22</v>
      </c>
      <c r="D1985" s="33">
        <v>315</v>
      </c>
    </row>
    <row r="1986" spans="1:4" x14ac:dyDescent="0.15">
      <c r="A1986" s="32">
        <v>35186</v>
      </c>
      <c r="B1986" s="33" t="s">
        <v>28</v>
      </c>
      <c r="C1986" s="33" t="s">
        <v>22</v>
      </c>
      <c r="D1986" s="33">
        <v>371</v>
      </c>
    </row>
    <row r="1987" spans="1:4" x14ac:dyDescent="0.15">
      <c r="A1987" s="32">
        <v>35186</v>
      </c>
      <c r="B1987" s="33" t="s">
        <v>29</v>
      </c>
      <c r="C1987" s="33" t="s">
        <v>22</v>
      </c>
      <c r="D1987" s="33">
        <v>399</v>
      </c>
    </row>
    <row r="1988" spans="1:4" x14ac:dyDescent="0.15">
      <c r="A1988" s="32">
        <v>35186</v>
      </c>
      <c r="B1988" s="33" t="s">
        <v>28</v>
      </c>
      <c r="C1988" s="33" t="s">
        <v>22</v>
      </c>
      <c r="D1988" s="33">
        <v>611</v>
      </c>
    </row>
    <row r="1989" spans="1:4" x14ac:dyDescent="0.15">
      <c r="A1989" s="32">
        <v>35186</v>
      </c>
      <c r="B1989" s="33" t="s">
        <v>21</v>
      </c>
      <c r="C1989" s="33" t="s">
        <v>22</v>
      </c>
      <c r="D1989" s="33">
        <v>614</v>
      </c>
    </row>
    <row r="1990" spans="1:4" x14ac:dyDescent="0.15">
      <c r="A1990" s="32">
        <v>35186</v>
      </c>
      <c r="B1990" s="33" t="s">
        <v>33</v>
      </c>
      <c r="C1990" s="33" t="s">
        <v>22</v>
      </c>
      <c r="D1990" s="33">
        <v>681</v>
      </c>
    </row>
    <row r="1991" spans="1:4" x14ac:dyDescent="0.15">
      <c r="A1991" s="32">
        <v>35186</v>
      </c>
      <c r="B1991" s="33" t="s">
        <v>31</v>
      </c>
      <c r="C1991" s="33" t="s">
        <v>22</v>
      </c>
      <c r="D1991" s="33">
        <v>770</v>
      </c>
    </row>
    <row r="1992" spans="1:4" x14ac:dyDescent="0.15">
      <c r="A1992" s="32">
        <v>35186</v>
      </c>
      <c r="B1992" s="33" t="s">
        <v>26</v>
      </c>
      <c r="C1992" s="33" t="s">
        <v>22</v>
      </c>
      <c r="D1992" s="33">
        <v>868</v>
      </c>
    </row>
    <row r="1993" spans="1:4" x14ac:dyDescent="0.15">
      <c r="A1993" s="32">
        <v>35186</v>
      </c>
      <c r="B1993" s="33" t="s">
        <v>21</v>
      </c>
      <c r="C1993" s="33" t="s">
        <v>22</v>
      </c>
      <c r="D1993" s="33">
        <v>1069</v>
      </c>
    </row>
    <row r="1994" spans="1:4" x14ac:dyDescent="0.15">
      <c r="A1994" s="32">
        <v>35186</v>
      </c>
      <c r="B1994" s="33" t="s">
        <v>28</v>
      </c>
      <c r="C1994" s="33" t="s">
        <v>22</v>
      </c>
      <c r="D1994" s="33">
        <v>1257</v>
      </c>
    </row>
    <row r="1995" spans="1:4" x14ac:dyDescent="0.15">
      <c r="A1995" s="32">
        <v>35186</v>
      </c>
      <c r="B1995" s="33" t="s">
        <v>33</v>
      </c>
      <c r="C1995" s="33" t="s">
        <v>22</v>
      </c>
      <c r="D1995" s="33">
        <v>1430</v>
      </c>
    </row>
    <row r="1996" spans="1:4" x14ac:dyDescent="0.15">
      <c r="A1996" s="32">
        <v>35186</v>
      </c>
      <c r="B1996" s="33" t="s">
        <v>31</v>
      </c>
      <c r="C1996" s="33" t="s">
        <v>22</v>
      </c>
      <c r="D1996" s="33">
        <v>1560</v>
      </c>
    </row>
    <row r="1997" spans="1:4" x14ac:dyDescent="0.15">
      <c r="A1997" s="32">
        <v>35186</v>
      </c>
      <c r="B1997" s="33" t="s">
        <v>21</v>
      </c>
      <c r="C1997" s="33" t="s">
        <v>22</v>
      </c>
      <c r="D1997" s="33">
        <v>1862</v>
      </c>
    </row>
    <row r="1998" spans="1:4" x14ac:dyDescent="0.15">
      <c r="A1998" s="32">
        <v>35186</v>
      </c>
      <c r="B1998" s="33" t="s">
        <v>21</v>
      </c>
      <c r="C1998" s="33" t="s">
        <v>22</v>
      </c>
      <c r="D1998" s="33">
        <v>684</v>
      </c>
    </row>
    <row r="1999" spans="1:4" x14ac:dyDescent="0.15">
      <c r="A1999" s="32">
        <v>35186</v>
      </c>
      <c r="B1999" s="33" t="s">
        <v>29</v>
      </c>
      <c r="C1999" s="33" t="s">
        <v>22</v>
      </c>
      <c r="D1999" s="33">
        <v>158</v>
      </c>
    </row>
    <row r="2000" spans="1:4" x14ac:dyDescent="0.15">
      <c r="A2000" s="32">
        <v>35186</v>
      </c>
      <c r="B2000" s="33" t="s">
        <v>26</v>
      </c>
      <c r="C2000" s="33" t="s">
        <v>22</v>
      </c>
      <c r="D2000" s="33">
        <v>220</v>
      </c>
    </row>
    <row r="2001" spans="1:4" x14ac:dyDescent="0.15">
      <c r="A2001" s="32">
        <v>35186</v>
      </c>
      <c r="B2001" s="33" t="s">
        <v>26</v>
      </c>
      <c r="C2001" s="33" t="s">
        <v>22</v>
      </c>
      <c r="D2001" s="33">
        <v>34</v>
      </c>
    </row>
    <row r="2002" spans="1:4" x14ac:dyDescent="0.15">
      <c r="A2002" s="32">
        <v>35186</v>
      </c>
      <c r="B2002" s="33" t="s">
        <v>29</v>
      </c>
      <c r="C2002" s="33" t="s">
        <v>22</v>
      </c>
      <c r="D2002" s="33">
        <v>77</v>
      </c>
    </row>
    <row r="2003" spans="1:4" x14ac:dyDescent="0.15">
      <c r="A2003" s="32">
        <v>35186</v>
      </c>
      <c r="B2003" s="33" t="s">
        <v>31</v>
      </c>
      <c r="C2003" s="33" t="s">
        <v>22</v>
      </c>
      <c r="D2003" s="33">
        <v>101</v>
      </c>
    </row>
    <row r="2004" spans="1:4" x14ac:dyDescent="0.15">
      <c r="A2004" s="32">
        <v>35186</v>
      </c>
      <c r="B2004" s="33" t="s">
        <v>28</v>
      </c>
      <c r="C2004" s="33" t="s">
        <v>22</v>
      </c>
      <c r="D2004" s="33">
        <v>206</v>
      </c>
    </row>
    <row r="2005" spans="1:4" x14ac:dyDescent="0.15">
      <c r="A2005" s="32">
        <v>35186</v>
      </c>
      <c r="B2005" s="33" t="s">
        <v>33</v>
      </c>
      <c r="C2005" s="33" t="s">
        <v>23</v>
      </c>
      <c r="D2005" s="33">
        <v>459</v>
      </c>
    </row>
    <row r="2006" spans="1:4" x14ac:dyDescent="0.15">
      <c r="A2006" s="32">
        <v>35186</v>
      </c>
      <c r="B2006" s="33" t="s">
        <v>28</v>
      </c>
      <c r="C2006" s="33" t="s">
        <v>23</v>
      </c>
      <c r="D2006" s="33">
        <v>663</v>
      </c>
    </row>
    <row r="2007" spans="1:4" x14ac:dyDescent="0.15">
      <c r="A2007" s="32">
        <v>35186</v>
      </c>
      <c r="B2007" s="33" t="s">
        <v>26</v>
      </c>
      <c r="C2007" s="33" t="s">
        <v>23</v>
      </c>
      <c r="D2007" s="33">
        <v>540</v>
      </c>
    </row>
    <row r="2008" spans="1:4" x14ac:dyDescent="0.15">
      <c r="A2008" s="32">
        <v>35186</v>
      </c>
      <c r="B2008" s="33" t="s">
        <v>31</v>
      </c>
      <c r="C2008" s="33" t="s">
        <v>23</v>
      </c>
      <c r="D2008" s="33">
        <v>578</v>
      </c>
    </row>
    <row r="2009" spans="1:4" x14ac:dyDescent="0.15">
      <c r="A2009" s="32">
        <v>35186</v>
      </c>
      <c r="B2009" s="33" t="s">
        <v>29</v>
      </c>
      <c r="C2009" s="33" t="s">
        <v>23</v>
      </c>
      <c r="D2009" s="33">
        <v>557</v>
      </c>
    </row>
    <row r="2010" spans="1:4" x14ac:dyDescent="0.15">
      <c r="A2010" s="32">
        <v>35186</v>
      </c>
      <c r="B2010" s="33" t="s">
        <v>29</v>
      </c>
      <c r="C2010" s="33" t="s">
        <v>23</v>
      </c>
      <c r="D2010" s="33">
        <v>428</v>
      </c>
    </row>
    <row r="2011" spans="1:4" x14ac:dyDescent="0.15">
      <c r="A2011" s="32">
        <v>35186</v>
      </c>
      <c r="B2011" s="33" t="s">
        <v>21</v>
      </c>
      <c r="C2011" s="33" t="s">
        <v>23</v>
      </c>
      <c r="D2011" s="33">
        <v>284</v>
      </c>
    </row>
    <row r="2012" spans="1:4" x14ac:dyDescent="0.15">
      <c r="A2012" s="32">
        <v>35186</v>
      </c>
      <c r="B2012" s="33" t="s">
        <v>28</v>
      </c>
      <c r="C2012" s="33" t="s">
        <v>23</v>
      </c>
      <c r="D2012" s="33">
        <v>270</v>
      </c>
    </row>
    <row r="2013" spans="1:4" x14ac:dyDescent="0.15">
      <c r="A2013" s="32">
        <v>35186</v>
      </c>
      <c r="B2013" s="33" t="s">
        <v>28</v>
      </c>
      <c r="C2013" s="33" t="s">
        <v>23</v>
      </c>
      <c r="D2013" s="33">
        <v>236</v>
      </c>
    </row>
    <row r="2014" spans="1:4" x14ac:dyDescent="0.15">
      <c r="A2014" s="32">
        <v>35186</v>
      </c>
      <c r="B2014" s="33" t="s">
        <v>29</v>
      </c>
      <c r="C2014" s="33" t="s">
        <v>23</v>
      </c>
      <c r="D2014" s="33">
        <v>228</v>
      </c>
    </row>
    <row r="2015" spans="1:4" x14ac:dyDescent="0.15">
      <c r="A2015" s="32">
        <v>35186</v>
      </c>
      <c r="B2015" s="33" t="s">
        <v>31</v>
      </c>
      <c r="C2015" s="33" t="s">
        <v>23</v>
      </c>
      <c r="D2015" s="33">
        <v>158</v>
      </c>
    </row>
    <row r="2016" spans="1:4" x14ac:dyDescent="0.15">
      <c r="A2016" s="32">
        <v>35186</v>
      </c>
      <c r="B2016" s="33" t="s">
        <v>29</v>
      </c>
      <c r="C2016" s="33" t="s">
        <v>23</v>
      </c>
      <c r="D2016" s="33">
        <v>371</v>
      </c>
    </row>
    <row r="2017" spans="1:4" x14ac:dyDescent="0.15">
      <c r="A2017" s="32">
        <v>35186</v>
      </c>
      <c r="B2017" s="33" t="s">
        <v>21</v>
      </c>
      <c r="C2017" s="33" t="s">
        <v>23</v>
      </c>
      <c r="D2017" s="33">
        <v>343</v>
      </c>
    </row>
    <row r="2018" spans="1:4" x14ac:dyDescent="0.15">
      <c r="A2018" s="32">
        <v>35186</v>
      </c>
      <c r="B2018" s="33" t="s">
        <v>26</v>
      </c>
      <c r="C2018" s="33" t="s">
        <v>23</v>
      </c>
      <c r="D2018" s="33">
        <v>298</v>
      </c>
    </row>
    <row r="2019" spans="1:4" x14ac:dyDescent="0.15">
      <c r="A2019" s="32">
        <v>35186</v>
      </c>
      <c r="B2019" s="33" t="s">
        <v>28</v>
      </c>
      <c r="C2019" s="33" t="s">
        <v>23</v>
      </c>
      <c r="D2019" s="33">
        <v>315</v>
      </c>
    </row>
    <row r="2020" spans="1:4" x14ac:dyDescent="0.15">
      <c r="A2020" s="32">
        <v>35186</v>
      </c>
      <c r="B2020" s="33" t="s">
        <v>33</v>
      </c>
      <c r="C2020" s="33" t="s">
        <v>23</v>
      </c>
      <c r="D2020" s="33">
        <v>1012</v>
      </c>
    </row>
    <row r="2021" spans="1:4" x14ac:dyDescent="0.15">
      <c r="A2021" s="32">
        <v>35186</v>
      </c>
      <c r="B2021" s="33" t="s">
        <v>21</v>
      </c>
      <c r="C2021" s="33" t="s">
        <v>23</v>
      </c>
      <c r="D2021" s="33">
        <v>766</v>
      </c>
    </row>
    <row r="2022" spans="1:4" x14ac:dyDescent="0.15">
      <c r="A2022" s="32">
        <v>35186</v>
      </c>
      <c r="B2022" s="33" t="s">
        <v>31</v>
      </c>
      <c r="C2022" s="33" t="s">
        <v>23</v>
      </c>
      <c r="D2022" s="33">
        <v>673</v>
      </c>
    </row>
    <row r="2023" spans="1:4" x14ac:dyDescent="0.15">
      <c r="A2023" s="32">
        <v>35186</v>
      </c>
      <c r="B2023" s="33" t="s">
        <v>21</v>
      </c>
      <c r="C2023" s="33" t="s">
        <v>23</v>
      </c>
      <c r="D2023" s="33">
        <v>1412</v>
      </c>
    </row>
    <row r="2024" spans="1:4" x14ac:dyDescent="0.15">
      <c r="A2024" s="32">
        <v>35186</v>
      </c>
      <c r="B2024" s="33" t="s">
        <v>31</v>
      </c>
      <c r="C2024" s="33" t="s">
        <v>23</v>
      </c>
      <c r="D2024" s="33">
        <v>68</v>
      </c>
    </row>
    <row r="2025" spans="1:4" x14ac:dyDescent="0.15">
      <c r="A2025" s="32">
        <v>35186</v>
      </c>
      <c r="B2025" s="33" t="s">
        <v>26</v>
      </c>
      <c r="C2025" s="33" t="s">
        <v>23</v>
      </c>
      <c r="D2025" s="33">
        <v>45</v>
      </c>
    </row>
    <row r="2026" spans="1:4" x14ac:dyDescent="0.15">
      <c r="A2026" s="32">
        <v>35186</v>
      </c>
      <c r="B2026" s="33" t="s">
        <v>26</v>
      </c>
      <c r="C2026" s="33" t="s">
        <v>23</v>
      </c>
      <c r="D2026" s="33">
        <v>96</v>
      </c>
    </row>
    <row r="2027" spans="1:4" x14ac:dyDescent="0.15">
      <c r="A2027" s="32">
        <v>35186</v>
      </c>
      <c r="B2027" s="33" t="s">
        <v>21</v>
      </c>
      <c r="C2027" s="33" t="s">
        <v>32</v>
      </c>
      <c r="D2027" s="33">
        <v>14</v>
      </c>
    </row>
    <row r="2028" spans="1:4" x14ac:dyDescent="0.15">
      <c r="A2028" s="32">
        <v>35186</v>
      </c>
      <c r="B2028" s="33" t="s">
        <v>26</v>
      </c>
      <c r="C2028" s="33" t="s">
        <v>32</v>
      </c>
      <c r="D2028" s="33">
        <v>853</v>
      </c>
    </row>
    <row r="2029" spans="1:4" x14ac:dyDescent="0.15">
      <c r="A2029" s="32">
        <v>35186</v>
      </c>
      <c r="B2029" s="33" t="s">
        <v>29</v>
      </c>
      <c r="C2029" s="33" t="s">
        <v>32</v>
      </c>
      <c r="D2029" s="33">
        <v>61</v>
      </c>
    </row>
    <row r="2030" spans="1:4" x14ac:dyDescent="0.15">
      <c r="A2030" s="32">
        <v>35186</v>
      </c>
      <c r="B2030" s="33" t="s">
        <v>31</v>
      </c>
      <c r="C2030" s="33" t="s">
        <v>32</v>
      </c>
      <c r="D2030" s="33">
        <v>56</v>
      </c>
    </row>
    <row r="2031" spans="1:4" x14ac:dyDescent="0.15">
      <c r="A2031" s="32">
        <v>35186</v>
      </c>
      <c r="B2031" s="33" t="s">
        <v>28</v>
      </c>
      <c r="C2031" s="33" t="s">
        <v>32</v>
      </c>
      <c r="D2031" s="33">
        <v>105</v>
      </c>
    </row>
    <row r="2032" spans="1:4" x14ac:dyDescent="0.15">
      <c r="A2032" s="32">
        <v>35186</v>
      </c>
      <c r="B2032" s="33" t="s">
        <v>28</v>
      </c>
      <c r="C2032" s="33" t="s">
        <v>32</v>
      </c>
      <c r="D2032" s="33">
        <v>158</v>
      </c>
    </row>
    <row r="2033" spans="1:4" x14ac:dyDescent="0.15">
      <c r="A2033" s="32">
        <v>35186</v>
      </c>
      <c r="B2033" s="33" t="s">
        <v>33</v>
      </c>
      <c r="C2033" s="33" t="s">
        <v>32</v>
      </c>
      <c r="D2033" s="33">
        <v>210</v>
      </c>
    </row>
    <row r="2034" spans="1:4" x14ac:dyDescent="0.15">
      <c r="A2034" s="32">
        <v>35186</v>
      </c>
      <c r="B2034" s="33" t="s">
        <v>31</v>
      </c>
      <c r="C2034" s="33" t="s">
        <v>32</v>
      </c>
      <c r="D2034" s="33">
        <v>112</v>
      </c>
    </row>
    <row r="2035" spans="1:4" x14ac:dyDescent="0.15">
      <c r="A2035" s="32">
        <v>35186</v>
      </c>
      <c r="B2035" s="33" t="s">
        <v>26</v>
      </c>
      <c r="C2035" s="33" t="s">
        <v>32</v>
      </c>
      <c r="D2035" s="33">
        <v>70</v>
      </c>
    </row>
    <row r="2036" spans="1:4" x14ac:dyDescent="0.15">
      <c r="A2036" s="32">
        <v>35186</v>
      </c>
      <c r="B2036" s="33" t="s">
        <v>28</v>
      </c>
      <c r="C2036" s="33" t="s">
        <v>32</v>
      </c>
      <c r="D2036" s="33">
        <v>90</v>
      </c>
    </row>
    <row r="2037" spans="1:4" x14ac:dyDescent="0.15">
      <c r="A2037" s="32">
        <v>35186</v>
      </c>
      <c r="B2037" s="33" t="s">
        <v>26</v>
      </c>
      <c r="C2037" s="33" t="s">
        <v>32</v>
      </c>
      <c r="D2037" s="33">
        <v>508</v>
      </c>
    </row>
    <row r="2038" spans="1:4" x14ac:dyDescent="0.15">
      <c r="A2038" s="32">
        <v>35186</v>
      </c>
      <c r="B2038" s="33" t="s">
        <v>31</v>
      </c>
      <c r="C2038" s="33" t="s">
        <v>32</v>
      </c>
      <c r="D2038" s="33">
        <v>90</v>
      </c>
    </row>
    <row r="2039" spans="1:4" x14ac:dyDescent="0.15">
      <c r="A2039" s="32">
        <v>35186</v>
      </c>
      <c r="B2039" s="33" t="s">
        <v>28</v>
      </c>
      <c r="C2039" s="33" t="s">
        <v>32</v>
      </c>
      <c r="D2039" s="33">
        <v>530</v>
      </c>
    </row>
    <row r="2040" spans="1:4" x14ac:dyDescent="0.15">
      <c r="A2040" s="32">
        <v>35186</v>
      </c>
      <c r="B2040" s="33" t="s">
        <v>33</v>
      </c>
      <c r="C2040" s="33" t="s">
        <v>32</v>
      </c>
      <c r="D2040" s="33">
        <v>557</v>
      </c>
    </row>
    <row r="2041" spans="1:4" x14ac:dyDescent="0.15">
      <c r="A2041" s="32">
        <v>35186</v>
      </c>
      <c r="B2041" s="33" t="s">
        <v>26</v>
      </c>
      <c r="C2041" s="33" t="s">
        <v>32</v>
      </c>
      <c r="D2041" s="33">
        <v>79</v>
      </c>
    </row>
    <row r="2042" spans="1:4" x14ac:dyDescent="0.15">
      <c r="A2042" s="32">
        <v>35186</v>
      </c>
      <c r="B2042" s="33" t="s">
        <v>21</v>
      </c>
      <c r="C2042" s="33" t="s">
        <v>32</v>
      </c>
      <c r="D2042" s="33">
        <v>34</v>
      </c>
    </row>
    <row r="2043" spans="1:4" x14ac:dyDescent="0.15">
      <c r="A2043" s="32">
        <v>35186</v>
      </c>
      <c r="B2043" s="33" t="s">
        <v>21</v>
      </c>
      <c r="C2043" s="33" t="s">
        <v>32</v>
      </c>
      <c r="D2043" s="33">
        <v>35</v>
      </c>
    </row>
    <row r="2044" spans="1:4" x14ac:dyDescent="0.15">
      <c r="A2044" s="32">
        <v>35186</v>
      </c>
      <c r="B2044" s="33" t="s">
        <v>21</v>
      </c>
      <c r="C2044" s="33" t="s">
        <v>32</v>
      </c>
      <c r="D2044" s="33">
        <v>36</v>
      </c>
    </row>
    <row r="2045" spans="1:4" x14ac:dyDescent="0.15">
      <c r="A2045" s="32">
        <v>35186</v>
      </c>
      <c r="B2045" s="33" t="s">
        <v>29</v>
      </c>
      <c r="C2045" s="33" t="s">
        <v>32</v>
      </c>
      <c r="D2045" s="33">
        <v>23</v>
      </c>
    </row>
    <row r="2046" spans="1:4" x14ac:dyDescent="0.15">
      <c r="A2046" s="32">
        <v>35186</v>
      </c>
      <c r="B2046" s="33" t="s">
        <v>29</v>
      </c>
      <c r="C2046" s="33" t="s">
        <v>32</v>
      </c>
      <c r="D2046" s="33">
        <v>23</v>
      </c>
    </row>
    <row r="2047" spans="1:4" x14ac:dyDescent="0.15">
      <c r="A2047" s="32">
        <v>35186</v>
      </c>
      <c r="B2047" s="33" t="s">
        <v>31</v>
      </c>
      <c r="C2047" s="33" t="s">
        <v>32</v>
      </c>
      <c r="D2047" s="33">
        <v>26</v>
      </c>
    </row>
    <row r="2048" spans="1:4" x14ac:dyDescent="0.15">
      <c r="A2048" s="32">
        <v>35186</v>
      </c>
      <c r="B2048" s="33" t="s">
        <v>29</v>
      </c>
      <c r="C2048" s="33" t="s">
        <v>32</v>
      </c>
      <c r="D2048" s="33">
        <v>42</v>
      </c>
    </row>
    <row r="2049" spans="1:4" x14ac:dyDescent="0.15">
      <c r="A2049" s="32">
        <v>35186</v>
      </c>
      <c r="B2049" s="33" t="s">
        <v>21</v>
      </c>
      <c r="C2049" s="33" t="s">
        <v>24</v>
      </c>
      <c r="D2049" s="33">
        <v>27</v>
      </c>
    </row>
    <row r="2050" spans="1:4" x14ac:dyDescent="0.15">
      <c r="A2050" s="32">
        <v>35186</v>
      </c>
      <c r="B2050" s="33" t="s">
        <v>21</v>
      </c>
      <c r="C2050" s="33" t="s">
        <v>24</v>
      </c>
      <c r="D2050" s="33">
        <v>70</v>
      </c>
    </row>
    <row r="2051" spans="1:4" x14ac:dyDescent="0.15">
      <c r="A2051" s="32">
        <v>35186</v>
      </c>
      <c r="B2051" s="33" t="s">
        <v>26</v>
      </c>
      <c r="C2051" s="33" t="s">
        <v>24</v>
      </c>
      <c r="D2051" s="33">
        <v>79</v>
      </c>
    </row>
    <row r="2052" spans="1:4" x14ac:dyDescent="0.15">
      <c r="A2052" s="32">
        <v>35186</v>
      </c>
      <c r="B2052" s="33" t="s">
        <v>21</v>
      </c>
      <c r="C2052" s="33" t="s">
        <v>24</v>
      </c>
      <c r="D2052" s="33">
        <v>83</v>
      </c>
    </row>
    <row r="2053" spans="1:4" x14ac:dyDescent="0.15">
      <c r="A2053" s="32">
        <v>35186</v>
      </c>
      <c r="B2053" s="33" t="s">
        <v>26</v>
      </c>
      <c r="C2053" s="33" t="s">
        <v>24</v>
      </c>
      <c r="D2053" s="33">
        <v>88</v>
      </c>
    </row>
    <row r="2054" spans="1:4" x14ac:dyDescent="0.15">
      <c r="A2054" s="32">
        <v>35186</v>
      </c>
      <c r="B2054" s="33" t="s">
        <v>26</v>
      </c>
      <c r="C2054" s="33" t="s">
        <v>24</v>
      </c>
      <c r="D2054" s="33">
        <v>206</v>
      </c>
    </row>
    <row r="2055" spans="1:4" x14ac:dyDescent="0.15">
      <c r="A2055" s="32">
        <v>35186</v>
      </c>
      <c r="B2055" s="33" t="s">
        <v>21</v>
      </c>
      <c r="C2055" s="33" t="s">
        <v>24</v>
      </c>
      <c r="D2055" s="33">
        <v>135</v>
      </c>
    </row>
    <row r="2056" spans="1:4" x14ac:dyDescent="0.15">
      <c r="A2056" s="32">
        <v>35186</v>
      </c>
      <c r="B2056" s="33" t="s">
        <v>26</v>
      </c>
      <c r="C2056" s="33" t="s">
        <v>24</v>
      </c>
      <c r="D2056" s="33">
        <v>149</v>
      </c>
    </row>
    <row r="2057" spans="1:4" x14ac:dyDescent="0.15">
      <c r="A2057" s="32">
        <v>35186</v>
      </c>
      <c r="B2057" s="33" t="s">
        <v>26</v>
      </c>
      <c r="C2057" s="33" t="s">
        <v>24</v>
      </c>
      <c r="D2057" s="33">
        <v>135</v>
      </c>
    </row>
    <row r="2058" spans="1:4" x14ac:dyDescent="0.15">
      <c r="A2058" s="32">
        <v>35186</v>
      </c>
      <c r="B2058" s="33" t="s">
        <v>26</v>
      </c>
      <c r="C2058" s="33" t="s">
        <v>24</v>
      </c>
      <c r="D2058" s="33">
        <v>248</v>
      </c>
    </row>
    <row r="2059" spans="1:4" x14ac:dyDescent="0.15">
      <c r="A2059" s="32">
        <v>35186</v>
      </c>
      <c r="B2059" s="33" t="s">
        <v>21</v>
      </c>
      <c r="C2059" s="33" t="s">
        <v>24</v>
      </c>
      <c r="D2059" s="33">
        <v>2265</v>
      </c>
    </row>
    <row r="2060" spans="1:4" x14ac:dyDescent="0.15">
      <c r="A2060" s="32">
        <v>35186</v>
      </c>
      <c r="B2060" s="33" t="s">
        <v>21</v>
      </c>
      <c r="C2060" s="33" t="s">
        <v>24</v>
      </c>
      <c r="D2060" s="33">
        <v>3296</v>
      </c>
    </row>
    <row r="2061" spans="1:4" x14ac:dyDescent="0.15">
      <c r="A2061" s="32">
        <v>35186</v>
      </c>
      <c r="B2061" s="33" t="s">
        <v>29</v>
      </c>
      <c r="C2061" s="33" t="s">
        <v>25</v>
      </c>
      <c r="D2061" s="33">
        <v>42</v>
      </c>
    </row>
    <row r="2062" spans="1:4" x14ac:dyDescent="0.15">
      <c r="A2062" s="32">
        <v>35186</v>
      </c>
      <c r="B2062" s="33" t="s">
        <v>26</v>
      </c>
      <c r="C2062" s="33" t="s">
        <v>25</v>
      </c>
      <c r="D2062" s="33">
        <v>590</v>
      </c>
    </row>
    <row r="2063" spans="1:4" x14ac:dyDescent="0.15">
      <c r="A2063" s="32">
        <v>35186</v>
      </c>
      <c r="B2063" s="33" t="s">
        <v>28</v>
      </c>
      <c r="C2063" s="33" t="s">
        <v>25</v>
      </c>
      <c r="D2063" s="33">
        <v>590</v>
      </c>
    </row>
    <row r="2064" spans="1:4" x14ac:dyDescent="0.15">
      <c r="A2064" s="32">
        <v>35186</v>
      </c>
      <c r="B2064" s="33" t="s">
        <v>29</v>
      </c>
      <c r="C2064" s="33" t="s">
        <v>25</v>
      </c>
      <c r="D2064" s="33">
        <v>81</v>
      </c>
    </row>
    <row r="2065" spans="1:4" x14ac:dyDescent="0.15">
      <c r="A2065" s="32">
        <v>35186</v>
      </c>
      <c r="B2065" s="33" t="s">
        <v>31</v>
      </c>
      <c r="C2065" s="33" t="s">
        <v>25</v>
      </c>
      <c r="D2065" s="33">
        <v>751</v>
      </c>
    </row>
    <row r="2066" spans="1:4" x14ac:dyDescent="0.15">
      <c r="A2066" s="32">
        <v>35186</v>
      </c>
      <c r="B2066" s="33" t="s">
        <v>21</v>
      </c>
      <c r="C2066" s="33" t="s">
        <v>25</v>
      </c>
      <c r="D2066" s="33">
        <v>856</v>
      </c>
    </row>
    <row r="2067" spans="1:4" x14ac:dyDescent="0.15">
      <c r="A2067" s="32">
        <v>35186</v>
      </c>
      <c r="B2067" s="33" t="s">
        <v>33</v>
      </c>
      <c r="C2067" s="33" t="s">
        <v>25</v>
      </c>
      <c r="D2067" s="33">
        <v>491</v>
      </c>
    </row>
    <row r="2068" spans="1:4" x14ac:dyDescent="0.15">
      <c r="A2068" s="32">
        <v>35186</v>
      </c>
      <c r="B2068" s="33" t="s">
        <v>26</v>
      </c>
      <c r="C2068" s="33" t="s">
        <v>25</v>
      </c>
      <c r="D2068" s="33">
        <v>922</v>
      </c>
    </row>
    <row r="2069" spans="1:4" x14ac:dyDescent="0.15">
      <c r="A2069" s="32">
        <v>35186</v>
      </c>
      <c r="B2069" s="33" t="s">
        <v>21</v>
      </c>
      <c r="C2069" s="33" t="s">
        <v>25</v>
      </c>
      <c r="D2069" s="33">
        <v>105</v>
      </c>
    </row>
    <row r="2070" spans="1:4" x14ac:dyDescent="0.15">
      <c r="A2070" s="32">
        <v>35186</v>
      </c>
      <c r="B2070" s="33" t="s">
        <v>31</v>
      </c>
      <c r="C2070" s="33" t="s">
        <v>25</v>
      </c>
      <c r="D2070" s="33">
        <v>149</v>
      </c>
    </row>
    <row r="2071" spans="1:4" x14ac:dyDescent="0.15">
      <c r="A2071" s="32">
        <v>35186</v>
      </c>
      <c r="B2071" s="33" t="s">
        <v>29</v>
      </c>
      <c r="C2071" s="33" t="s">
        <v>25</v>
      </c>
      <c r="D2071" s="33">
        <v>131</v>
      </c>
    </row>
    <row r="2072" spans="1:4" x14ac:dyDescent="0.15">
      <c r="A2072" s="32">
        <v>35186</v>
      </c>
      <c r="B2072" s="33" t="s">
        <v>28</v>
      </c>
      <c r="C2072" s="33" t="s">
        <v>25</v>
      </c>
      <c r="D2072" s="33">
        <v>184</v>
      </c>
    </row>
    <row r="2073" spans="1:4" x14ac:dyDescent="0.15">
      <c r="A2073" s="32">
        <v>35186</v>
      </c>
      <c r="B2073" s="33" t="s">
        <v>31</v>
      </c>
      <c r="C2073" s="33" t="s">
        <v>25</v>
      </c>
      <c r="D2073" s="33">
        <v>191</v>
      </c>
    </row>
    <row r="2074" spans="1:4" x14ac:dyDescent="0.15">
      <c r="A2074" s="32">
        <v>35186</v>
      </c>
      <c r="B2074" s="33" t="s">
        <v>29</v>
      </c>
      <c r="C2074" s="33" t="s">
        <v>25</v>
      </c>
      <c r="D2074" s="33">
        <v>124</v>
      </c>
    </row>
    <row r="2075" spans="1:4" x14ac:dyDescent="0.15">
      <c r="A2075" s="32">
        <v>35186</v>
      </c>
      <c r="B2075" s="33" t="s">
        <v>28</v>
      </c>
      <c r="C2075" s="33" t="s">
        <v>25</v>
      </c>
      <c r="D2075" s="33">
        <v>315</v>
      </c>
    </row>
    <row r="2076" spans="1:4" x14ac:dyDescent="0.15">
      <c r="A2076" s="32">
        <v>35186</v>
      </c>
      <c r="B2076" s="33" t="s">
        <v>26</v>
      </c>
      <c r="C2076" s="33" t="s">
        <v>25</v>
      </c>
      <c r="D2076" s="33">
        <v>383</v>
      </c>
    </row>
    <row r="2077" spans="1:4" x14ac:dyDescent="0.15">
      <c r="A2077" s="32">
        <v>35186</v>
      </c>
      <c r="B2077" s="33" t="s">
        <v>33</v>
      </c>
      <c r="C2077" s="33" t="s">
        <v>25</v>
      </c>
      <c r="D2077" s="33">
        <v>394</v>
      </c>
    </row>
    <row r="2078" spans="1:4" x14ac:dyDescent="0.15">
      <c r="A2078" s="32">
        <v>35186</v>
      </c>
      <c r="B2078" s="33" t="s">
        <v>28</v>
      </c>
      <c r="C2078" s="33" t="s">
        <v>25</v>
      </c>
      <c r="D2078" s="33">
        <v>405</v>
      </c>
    </row>
    <row r="2079" spans="1:4" x14ac:dyDescent="0.15">
      <c r="A2079" s="32">
        <v>35186</v>
      </c>
      <c r="B2079" s="33" t="s">
        <v>21</v>
      </c>
      <c r="C2079" s="33" t="s">
        <v>25</v>
      </c>
      <c r="D2079" s="33">
        <v>459</v>
      </c>
    </row>
    <row r="2080" spans="1:4" x14ac:dyDescent="0.15">
      <c r="A2080" s="32">
        <v>35186</v>
      </c>
      <c r="B2080" s="33" t="s">
        <v>31</v>
      </c>
      <c r="C2080" s="33" t="s">
        <v>25</v>
      </c>
      <c r="D2080" s="33">
        <v>473</v>
      </c>
    </row>
    <row r="2081" spans="1:4" x14ac:dyDescent="0.15">
      <c r="A2081" s="32">
        <v>35186</v>
      </c>
      <c r="B2081" s="33" t="s">
        <v>26</v>
      </c>
      <c r="C2081" s="33" t="s">
        <v>25</v>
      </c>
      <c r="D2081" s="33">
        <v>491</v>
      </c>
    </row>
    <row r="2082" spans="1:4" x14ac:dyDescent="0.15">
      <c r="A2082" s="32">
        <v>35186</v>
      </c>
      <c r="B2082" s="33" t="s">
        <v>21</v>
      </c>
      <c r="C2082" s="33" t="s">
        <v>25</v>
      </c>
      <c r="D2082" s="33">
        <v>135</v>
      </c>
    </row>
    <row r="2083" spans="1:4" x14ac:dyDescent="0.15">
      <c r="A2083" s="32">
        <v>35186</v>
      </c>
      <c r="B2083" s="33" t="s">
        <v>29</v>
      </c>
      <c r="C2083" s="33" t="s">
        <v>27</v>
      </c>
      <c r="D2083" s="33">
        <v>105</v>
      </c>
    </row>
    <row r="2084" spans="1:4" x14ac:dyDescent="0.15">
      <c r="A2084" s="32">
        <v>35186</v>
      </c>
      <c r="B2084" s="33" t="s">
        <v>28</v>
      </c>
      <c r="C2084" s="33" t="s">
        <v>27</v>
      </c>
      <c r="D2084" s="33">
        <v>2460</v>
      </c>
    </row>
    <row r="2085" spans="1:4" x14ac:dyDescent="0.15">
      <c r="A2085" s="32">
        <v>35186</v>
      </c>
      <c r="B2085" s="33" t="s">
        <v>29</v>
      </c>
      <c r="C2085" s="33" t="s">
        <v>27</v>
      </c>
      <c r="D2085" s="33">
        <v>146</v>
      </c>
    </row>
    <row r="2086" spans="1:4" x14ac:dyDescent="0.15">
      <c r="A2086" s="32">
        <v>35186</v>
      </c>
      <c r="B2086" s="33" t="s">
        <v>28</v>
      </c>
      <c r="C2086" s="33" t="s">
        <v>27</v>
      </c>
      <c r="D2086" s="33">
        <v>158</v>
      </c>
    </row>
    <row r="2087" spans="1:4" x14ac:dyDescent="0.15">
      <c r="A2087" s="32">
        <v>35186</v>
      </c>
      <c r="B2087" s="33" t="s">
        <v>31</v>
      </c>
      <c r="C2087" s="33" t="s">
        <v>27</v>
      </c>
      <c r="D2087" s="33">
        <v>175</v>
      </c>
    </row>
    <row r="2088" spans="1:4" x14ac:dyDescent="0.15">
      <c r="A2088" s="32">
        <v>35186</v>
      </c>
      <c r="B2088" s="33" t="s">
        <v>31</v>
      </c>
      <c r="C2088" s="33" t="s">
        <v>27</v>
      </c>
      <c r="D2088" s="33">
        <v>224</v>
      </c>
    </row>
    <row r="2089" spans="1:4" x14ac:dyDescent="0.15">
      <c r="A2089" s="32">
        <v>35186</v>
      </c>
      <c r="B2089" s="33" t="s">
        <v>33</v>
      </c>
      <c r="C2089" s="33" t="s">
        <v>27</v>
      </c>
      <c r="D2089" s="33">
        <v>254</v>
      </c>
    </row>
    <row r="2090" spans="1:4" x14ac:dyDescent="0.15">
      <c r="A2090" s="32">
        <v>35186</v>
      </c>
      <c r="B2090" s="33" t="s">
        <v>33</v>
      </c>
      <c r="C2090" s="33" t="s">
        <v>27</v>
      </c>
      <c r="D2090" s="33">
        <v>259</v>
      </c>
    </row>
    <row r="2091" spans="1:4" x14ac:dyDescent="0.15">
      <c r="A2091" s="32">
        <v>35186</v>
      </c>
      <c r="B2091" s="33" t="s">
        <v>26</v>
      </c>
      <c r="C2091" s="33" t="s">
        <v>27</v>
      </c>
      <c r="D2091" s="33">
        <v>524</v>
      </c>
    </row>
    <row r="2092" spans="1:4" x14ac:dyDescent="0.15">
      <c r="A2092" s="32">
        <v>35186</v>
      </c>
      <c r="B2092" s="33" t="s">
        <v>26</v>
      </c>
      <c r="C2092" s="33" t="s">
        <v>27</v>
      </c>
      <c r="D2092" s="33">
        <v>565</v>
      </c>
    </row>
    <row r="2093" spans="1:4" x14ac:dyDescent="0.15">
      <c r="A2093" s="32">
        <v>35186</v>
      </c>
      <c r="B2093" s="33" t="s">
        <v>21</v>
      </c>
      <c r="C2093" s="33" t="s">
        <v>27</v>
      </c>
      <c r="D2093" s="33">
        <v>715</v>
      </c>
    </row>
    <row r="2094" spans="1:4" x14ac:dyDescent="0.15">
      <c r="A2094" s="32">
        <v>35186</v>
      </c>
      <c r="B2094" s="33" t="s">
        <v>21</v>
      </c>
      <c r="C2094" s="33" t="s">
        <v>27</v>
      </c>
      <c r="D2094" s="33">
        <v>1137</v>
      </c>
    </row>
    <row r="2095" spans="1:4" x14ac:dyDescent="0.15">
      <c r="A2095" s="32">
        <v>35186</v>
      </c>
      <c r="B2095" s="33" t="s">
        <v>26</v>
      </c>
      <c r="C2095" s="33" t="s">
        <v>27</v>
      </c>
      <c r="D2095" s="33">
        <v>1236</v>
      </c>
    </row>
    <row r="2096" spans="1:4" x14ac:dyDescent="0.15">
      <c r="A2096" s="32">
        <v>35186</v>
      </c>
      <c r="B2096" s="33" t="s">
        <v>26</v>
      </c>
      <c r="C2096" s="33" t="s">
        <v>27</v>
      </c>
      <c r="D2096" s="33">
        <v>2182</v>
      </c>
    </row>
    <row r="2097" spans="1:4" x14ac:dyDescent="0.15">
      <c r="A2097" s="32">
        <v>35186</v>
      </c>
      <c r="B2097" s="33" t="s">
        <v>31</v>
      </c>
      <c r="C2097" s="33" t="s">
        <v>27</v>
      </c>
      <c r="D2097" s="33">
        <v>1285</v>
      </c>
    </row>
    <row r="2098" spans="1:4" x14ac:dyDescent="0.15">
      <c r="A2098" s="32">
        <v>35186</v>
      </c>
      <c r="B2098" s="33" t="s">
        <v>29</v>
      </c>
      <c r="C2098" s="33" t="s">
        <v>27</v>
      </c>
      <c r="D2098" s="33">
        <v>79</v>
      </c>
    </row>
    <row r="2099" spans="1:4" x14ac:dyDescent="0.15">
      <c r="A2099" s="32">
        <v>35186</v>
      </c>
      <c r="B2099" s="33" t="s">
        <v>31</v>
      </c>
      <c r="C2099" s="33" t="s">
        <v>27</v>
      </c>
      <c r="D2099" s="33">
        <v>124</v>
      </c>
    </row>
    <row r="2100" spans="1:4" x14ac:dyDescent="0.15">
      <c r="A2100" s="32">
        <v>35186</v>
      </c>
      <c r="B2100" s="33" t="s">
        <v>28</v>
      </c>
      <c r="C2100" s="33" t="s">
        <v>27</v>
      </c>
      <c r="D2100" s="33">
        <v>39</v>
      </c>
    </row>
    <row r="2101" spans="1:4" x14ac:dyDescent="0.15">
      <c r="A2101" s="32">
        <v>35186</v>
      </c>
      <c r="B2101" s="33" t="s">
        <v>28</v>
      </c>
      <c r="C2101" s="33" t="s">
        <v>27</v>
      </c>
      <c r="D2101" s="33">
        <v>50</v>
      </c>
    </row>
    <row r="2102" spans="1:4" x14ac:dyDescent="0.15">
      <c r="A2102" s="32">
        <v>35186</v>
      </c>
      <c r="B2102" s="33" t="s">
        <v>21</v>
      </c>
      <c r="C2102" s="33" t="s">
        <v>27</v>
      </c>
      <c r="D2102" s="33">
        <v>53</v>
      </c>
    </row>
    <row r="2103" spans="1:4" x14ac:dyDescent="0.15">
      <c r="A2103" s="32">
        <v>35186</v>
      </c>
      <c r="B2103" s="33" t="s">
        <v>29</v>
      </c>
      <c r="C2103" s="33" t="s">
        <v>27</v>
      </c>
      <c r="D2103" s="33">
        <v>63</v>
      </c>
    </row>
    <row r="2104" spans="1:4" x14ac:dyDescent="0.15">
      <c r="A2104" s="32">
        <v>35186</v>
      </c>
      <c r="B2104" s="33" t="s">
        <v>21</v>
      </c>
      <c r="C2104" s="33" t="s">
        <v>27</v>
      </c>
      <c r="D2104" s="33">
        <v>68</v>
      </c>
    </row>
    <row r="2105" spans="1:4" x14ac:dyDescent="0.15">
      <c r="A2105" s="32">
        <v>35186</v>
      </c>
      <c r="B2105" s="33" t="s">
        <v>29</v>
      </c>
      <c r="C2105" s="33" t="s">
        <v>30</v>
      </c>
      <c r="D2105" s="33">
        <v>69</v>
      </c>
    </row>
    <row r="2106" spans="1:4" x14ac:dyDescent="0.15">
      <c r="A2106" s="32">
        <v>35186</v>
      </c>
      <c r="B2106" s="33" t="s">
        <v>33</v>
      </c>
      <c r="C2106" s="33" t="s">
        <v>30</v>
      </c>
      <c r="D2106" s="33">
        <v>2214</v>
      </c>
    </row>
    <row r="2107" spans="1:4" x14ac:dyDescent="0.15">
      <c r="A2107" s="32">
        <v>35186</v>
      </c>
      <c r="B2107" s="33" t="s">
        <v>31</v>
      </c>
      <c r="C2107" s="33" t="s">
        <v>30</v>
      </c>
      <c r="D2107" s="33">
        <v>1370</v>
      </c>
    </row>
    <row r="2108" spans="1:4" x14ac:dyDescent="0.15">
      <c r="A2108" s="32">
        <v>35186</v>
      </c>
      <c r="B2108" s="33" t="s">
        <v>31</v>
      </c>
      <c r="C2108" s="33" t="s">
        <v>30</v>
      </c>
      <c r="D2108" s="33">
        <v>1256</v>
      </c>
    </row>
    <row r="2109" spans="1:4" x14ac:dyDescent="0.15">
      <c r="A2109" s="32">
        <v>35186</v>
      </c>
      <c r="B2109" s="33" t="s">
        <v>26</v>
      </c>
      <c r="C2109" s="33" t="s">
        <v>30</v>
      </c>
      <c r="D2109" s="33">
        <v>624</v>
      </c>
    </row>
    <row r="2110" spans="1:4" x14ac:dyDescent="0.15">
      <c r="A2110" s="32">
        <v>35186</v>
      </c>
      <c r="B2110" s="33" t="s">
        <v>33</v>
      </c>
      <c r="C2110" s="33" t="s">
        <v>30</v>
      </c>
      <c r="D2110" s="33">
        <v>508</v>
      </c>
    </row>
    <row r="2111" spans="1:4" x14ac:dyDescent="0.15">
      <c r="A2111" s="32">
        <v>35186</v>
      </c>
      <c r="B2111" s="33" t="s">
        <v>31</v>
      </c>
      <c r="C2111" s="33" t="s">
        <v>30</v>
      </c>
      <c r="D2111" s="33">
        <v>315</v>
      </c>
    </row>
    <row r="2112" spans="1:4" x14ac:dyDescent="0.15">
      <c r="A2112" s="32">
        <v>35186</v>
      </c>
      <c r="B2112" s="33" t="s">
        <v>28</v>
      </c>
      <c r="C2112" s="33" t="s">
        <v>30</v>
      </c>
      <c r="D2112" s="33">
        <v>225</v>
      </c>
    </row>
    <row r="2113" spans="1:4" x14ac:dyDescent="0.15">
      <c r="A2113" s="32">
        <v>35186</v>
      </c>
      <c r="B2113" s="33" t="s">
        <v>33</v>
      </c>
      <c r="C2113" s="33" t="s">
        <v>30</v>
      </c>
      <c r="D2113" s="33">
        <v>671</v>
      </c>
    </row>
    <row r="2114" spans="1:4" x14ac:dyDescent="0.15">
      <c r="A2114" s="32">
        <v>35186</v>
      </c>
      <c r="B2114" s="33" t="s">
        <v>29</v>
      </c>
      <c r="C2114" s="33" t="s">
        <v>30</v>
      </c>
      <c r="D2114" s="33">
        <v>113</v>
      </c>
    </row>
    <row r="2115" spans="1:4" x14ac:dyDescent="0.15">
      <c r="A2115" s="32">
        <v>35186</v>
      </c>
      <c r="B2115" s="33" t="s">
        <v>28</v>
      </c>
      <c r="C2115" s="33" t="s">
        <v>30</v>
      </c>
      <c r="D2115" s="33">
        <v>18</v>
      </c>
    </row>
    <row r="2116" spans="1:4" x14ac:dyDescent="0.15">
      <c r="A2116" s="32">
        <v>35186</v>
      </c>
      <c r="B2116" s="33" t="s">
        <v>26</v>
      </c>
      <c r="C2116" s="33" t="s">
        <v>30</v>
      </c>
      <c r="D2116" s="33">
        <v>44</v>
      </c>
    </row>
    <row r="2117" spans="1:4" x14ac:dyDescent="0.15">
      <c r="A2117" s="32">
        <v>35186</v>
      </c>
      <c r="B2117" s="33" t="s">
        <v>21</v>
      </c>
      <c r="C2117" s="33" t="s">
        <v>30</v>
      </c>
      <c r="D2117" s="33">
        <v>41</v>
      </c>
    </row>
    <row r="2118" spans="1:4" x14ac:dyDescent="0.15">
      <c r="A2118" s="32">
        <v>35186</v>
      </c>
      <c r="B2118" s="33" t="s">
        <v>29</v>
      </c>
      <c r="C2118" s="33" t="s">
        <v>30</v>
      </c>
      <c r="D2118" s="33">
        <v>41</v>
      </c>
    </row>
    <row r="2119" spans="1:4" x14ac:dyDescent="0.15">
      <c r="A2119" s="32">
        <v>35186</v>
      </c>
      <c r="B2119" s="33" t="s">
        <v>21</v>
      </c>
      <c r="C2119" s="33" t="s">
        <v>30</v>
      </c>
      <c r="D2119" s="33">
        <v>39</v>
      </c>
    </row>
    <row r="2120" spans="1:4" x14ac:dyDescent="0.15">
      <c r="A2120" s="32">
        <v>35186</v>
      </c>
      <c r="B2120" s="33" t="s">
        <v>28</v>
      </c>
      <c r="C2120" s="33" t="s">
        <v>30</v>
      </c>
      <c r="D2120" s="33">
        <v>135</v>
      </c>
    </row>
    <row r="2121" spans="1:4" x14ac:dyDescent="0.15">
      <c r="A2121" s="32">
        <v>35186</v>
      </c>
      <c r="B2121" s="33" t="s">
        <v>29</v>
      </c>
      <c r="C2121" s="33" t="s">
        <v>30</v>
      </c>
      <c r="D2121" s="33">
        <v>35</v>
      </c>
    </row>
    <row r="2122" spans="1:4" x14ac:dyDescent="0.15">
      <c r="A2122" s="32">
        <v>35186</v>
      </c>
      <c r="B2122" s="33" t="s">
        <v>26</v>
      </c>
      <c r="C2122" s="33" t="s">
        <v>30</v>
      </c>
      <c r="D2122" s="33">
        <v>53</v>
      </c>
    </row>
    <row r="2123" spans="1:4" x14ac:dyDescent="0.15">
      <c r="A2123" s="32">
        <v>35186</v>
      </c>
      <c r="B2123" s="33" t="s">
        <v>21</v>
      </c>
      <c r="C2123" s="33" t="s">
        <v>30</v>
      </c>
      <c r="D2123" s="33">
        <v>11</v>
      </c>
    </row>
    <row r="2124" spans="1:4" x14ac:dyDescent="0.15">
      <c r="A2124" s="32">
        <v>35186</v>
      </c>
      <c r="B2124" s="33" t="s">
        <v>21</v>
      </c>
      <c r="C2124" s="33" t="s">
        <v>30</v>
      </c>
      <c r="D2124" s="33">
        <v>9</v>
      </c>
    </row>
    <row r="2125" spans="1:4" x14ac:dyDescent="0.15">
      <c r="A2125" s="32">
        <v>35186</v>
      </c>
      <c r="B2125" s="33" t="s">
        <v>29</v>
      </c>
      <c r="C2125" s="33" t="s">
        <v>30</v>
      </c>
      <c r="D2125" s="33">
        <v>35</v>
      </c>
    </row>
    <row r="2126" spans="1:4" x14ac:dyDescent="0.15">
      <c r="A2126" s="32">
        <v>35186</v>
      </c>
      <c r="B2126" s="33" t="s">
        <v>28</v>
      </c>
      <c r="C2126" s="33" t="s">
        <v>30</v>
      </c>
      <c r="D2126" s="33">
        <v>83</v>
      </c>
    </row>
    <row r="2127" spans="1:4" x14ac:dyDescent="0.15">
      <c r="A2127" s="32">
        <v>35186</v>
      </c>
      <c r="B2127" s="33" t="s">
        <v>28</v>
      </c>
      <c r="C2127" s="33" t="s">
        <v>30</v>
      </c>
      <c r="D2127" s="33">
        <v>110</v>
      </c>
    </row>
    <row r="2128" spans="1:4" x14ac:dyDescent="0.15">
      <c r="A2128" s="32">
        <v>35186</v>
      </c>
      <c r="B2128" s="33" t="s">
        <v>26</v>
      </c>
      <c r="C2128" s="33" t="s">
        <v>30</v>
      </c>
      <c r="D2128" s="33">
        <v>96</v>
      </c>
    </row>
    <row r="2129" spans="1:4" x14ac:dyDescent="0.15">
      <c r="A2129" s="32">
        <v>35186</v>
      </c>
      <c r="B2129" s="33" t="s">
        <v>28</v>
      </c>
      <c r="C2129" s="33" t="s">
        <v>30</v>
      </c>
      <c r="D2129" s="33">
        <v>96</v>
      </c>
    </row>
    <row r="2130" spans="1:4" x14ac:dyDescent="0.15">
      <c r="A2130" s="32">
        <v>35186</v>
      </c>
      <c r="B2130" s="33" t="s">
        <v>29</v>
      </c>
      <c r="C2130" s="33" t="s">
        <v>30</v>
      </c>
      <c r="D2130" s="33">
        <v>94</v>
      </c>
    </row>
    <row r="2131" spans="1:4" x14ac:dyDescent="0.15">
      <c r="A2131" s="32">
        <v>35186</v>
      </c>
      <c r="B2131" s="33" t="s">
        <v>31</v>
      </c>
      <c r="C2131" s="33" t="s">
        <v>30</v>
      </c>
      <c r="D2131" s="33">
        <v>88</v>
      </c>
    </row>
    <row r="2132" spans="1:4" x14ac:dyDescent="0.15">
      <c r="A2132" s="32">
        <v>35186</v>
      </c>
      <c r="B2132" s="33" t="s">
        <v>26</v>
      </c>
      <c r="C2132" s="33" t="s">
        <v>30</v>
      </c>
      <c r="D2132" s="33">
        <v>46</v>
      </c>
    </row>
    <row r="2133" spans="1:4" x14ac:dyDescent="0.15">
      <c r="A2133" s="32">
        <v>35186</v>
      </c>
      <c r="B2133" s="33" t="s">
        <v>21</v>
      </c>
      <c r="C2133" s="33" t="s">
        <v>30</v>
      </c>
      <c r="D2133" s="33">
        <v>68</v>
      </c>
    </row>
    <row r="2134" spans="1:4" x14ac:dyDescent="0.15">
      <c r="A2134" s="32">
        <v>35186</v>
      </c>
      <c r="B2134" s="33" t="s">
        <v>31</v>
      </c>
      <c r="C2134" s="33" t="s">
        <v>30</v>
      </c>
      <c r="D2134" s="33">
        <v>68</v>
      </c>
    </row>
    <row r="2135" spans="1:4" x14ac:dyDescent="0.15">
      <c r="A2135" s="32">
        <v>35186</v>
      </c>
      <c r="B2135" s="33" t="s">
        <v>21</v>
      </c>
      <c r="C2135" s="33" t="s">
        <v>30</v>
      </c>
      <c r="D2135" s="33">
        <v>53</v>
      </c>
    </row>
    <row r="2136" spans="1:4" x14ac:dyDescent="0.15">
      <c r="A2136" s="32">
        <v>35186</v>
      </c>
      <c r="B2136" s="33" t="s">
        <v>26</v>
      </c>
      <c r="C2136" s="33" t="s">
        <v>30</v>
      </c>
      <c r="D2136" s="33">
        <v>113</v>
      </c>
    </row>
    <row r="2137" spans="1:4" x14ac:dyDescent="0.15">
      <c r="A2137" s="32">
        <v>35186</v>
      </c>
      <c r="B2137" s="33" t="s">
        <v>31</v>
      </c>
      <c r="C2137" s="33" t="s">
        <v>30</v>
      </c>
      <c r="D2137" s="33">
        <v>83</v>
      </c>
    </row>
    <row r="2138" spans="1:4" x14ac:dyDescent="0.15">
      <c r="A2138" s="32">
        <v>35217</v>
      </c>
      <c r="B2138" s="33" t="s">
        <v>33</v>
      </c>
      <c r="C2138" s="33" t="s">
        <v>22</v>
      </c>
      <c r="D2138" s="33">
        <v>760</v>
      </c>
    </row>
    <row r="2139" spans="1:4" x14ac:dyDescent="0.15">
      <c r="A2139" s="32">
        <v>35217</v>
      </c>
      <c r="B2139" s="33" t="s">
        <v>21</v>
      </c>
      <c r="C2139" s="33" t="s">
        <v>22</v>
      </c>
      <c r="D2139" s="33">
        <v>789</v>
      </c>
    </row>
    <row r="2140" spans="1:4" x14ac:dyDescent="0.15">
      <c r="A2140" s="32">
        <v>35217</v>
      </c>
      <c r="B2140" s="33" t="s">
        <v>31</v>
      </c>
      <c r="C2140" s="33" t="s">
        <v>22</v>
      </c>
      <c r="D2140" s="33">
        <v>790</v>
      </c>
    </row>
    <row r="2141" spans="1:4" x14ac:dyDescent="0.15">
      <c r="A2141" s="32">
        <v>35217</v>
      </c>
      <c r="B2141" s="33" t="s">
        <v>31</v>
      </c>
      <c r="C2141" s="33" t="s">
        <v>22</v>
      </c>
      <c r="D2141" s="33">
        <v>834</v>
      </c>
    </row>
    <row r="2142" spans="1:4" x14ac:dyDescent="0.15">
      <c r="A2142" s="32">
        <v>35217</v>
      </c>
      <c r="B2142" s="33" t="s">
        <v>28</v>
      </c>
      <c r="C2142" s="33" t="s">
        <v>22</v>
      </c>
      <c r="D2142" s="33">
        <v>1055</v>
      </c>
    </row>
    <row r="2143" spans="1:4" x14ac:dyDescent="0.15">
      <c r="A2143" s="32">
        <v>35217</v>
      </c>
      <c r="B2143" s="33" t="s">
        <v>31</v>
      </c>
      <c r="C2143" s="33" t="s">
        <v>22</v>
      </c>
      <c r="D2143" s="33">
        <v>1210</v>
      </c>
    </row>
    <row r="2144" spans="1:4" x14ac:dyDescent="0.15">
      <c r="A2144" s="32">
        <v>35217</v>
      </c>
      <c r="B2144" s="33" t="s">
        <v>26</v>
      </c>
      <c r="C2144" s="33" t="s">
        <v>22</v>
      </c>
      <c r="D2144" s="33">
        <v>1596</v>
      </c>
    </row>
    <row r="2145" spans="1:4" x14ac:dyDescent="0.15">
      <c r="A2145" s="32">
        <v>35217</v>
      </c>
      <c r="B2145" s="33" t="s">
        <v>21</v>
      </c>
      <c r="C2145" s="33" t="s">
        <v>22</v>
      </c>
      <c r="D2145" s="33">
        <v>1655</v>
      </c>
    </row>
    <row r="2146" spans="1:4" x14ac:dyDescent="0.15">
      <c r="A2146" s="32">
        <v>35217</v>
      </c>
      <c r="B2146" s="33" t="s">
        <v>21</v>
      </c>
      <c r="C2146" s="33" t="s">
        <v>22</v>
      </c>
      <c r="D2146" s="33">
        <v>520</v>
      </c>
    </row>
    <row r="2147" spans="1:4" x14ac:dyDescent="0.15">
      <c r="A2147" s="32">
        <v>35217</v>
      </c>
      <c r="B2147" s="33" t="s">
        <v>33</v>
      </c>
      <c r="C2147" s="33" t="s">
        <v>22</v>
      </c>
      <c r="D2147" s="33">
        <v>1812</v>
      </c>
    </row>
    <row r="2148" spans="1:4" x14ac:dyDescent="0.15">
      <c r="A2148" s="32">
        <v>35217</v>
      </c>
      <c r="B2148" s="33" t="s">
        <v>29</v>
      </c>
      <c r="C2148" s="33" t="s">
        <v>22</v>
      </c>
      <c r="D2148" s="33">
        <v>135</v>
      </c>
    </row>
    <row r="2149" spans="1:4" x14ac:dyDescent="0.15">
      <c r="A2149" s="32">
        <v>35217</v>
      </c>
      <c r="B2149" s="33" t="s">
        <v>26</v>
      </c>
      <c r="C2149" s="33" t="s">
        <v>22</v>
      </c>
      <c r="D2149" s="33">
        <v>34</v>
      </c>
    </row>
    <row r="2150" spans="1:4" x14ac:dyDescent="0.15">
      <c r="A2150" s="32">
        <v>35217</v>
      </c>
      <c r="B2150" s="33" t="s">
        <v>29</v>
      </c>
      <c r="C2150" s="33" t="s">
        <v>22</v>
      </c>
      <c r="D2150" s="33">
        <v>50</v>
      </c>
    </row>
    <row r="2151" spans="1:4" x14ac:dyDescent="0.15">
      <c r="A2151" s="32">
        <v>35217</v>
      </c>
      <c r="B2151" s="33" t="s">
        <v>28</v>
      </c>
      <c r="C2151" s="33" t="s">
        <v>22</v>
      </c>
      <c r="D2151" s="33">
        <v>83</v>
      </c>
    </row>
    <row r="2152" spans="1:4" x14ac:dyDescent="0.15">
      <c r="A2152" s="32">
        <v>35217</v>
      </c>
      <c r="B2152" s="33" t="s">
        <v>31</v>
      </c>
      <c r="C2152" s="33" t="s">
        <v>22</v>
      </c>
      <c r="D2152" s="33">
        <v>124</v>
      </c>
    </row>
    <row r="2153" spans="1:4" x14ac:dyDescent="0.15">
      <c r="A2153" s="32">
        <v>35217</v>
      </c>
      <c r="B2153" s="33" t="s">
        <v>28</v>
      </c>
      <c r="C2153" s="33" t="s">
        <v>22</v>
      </c>
      <c r="D2153" s="33">
        <v>678</v>
      </c>
    </row>
    <row r="2154" spans="1:4" x14ac:dyDescent="0.15">
      <c r="A2154" s="32">
        <v>35217</v>
      </c>
      <c r="B2154" s="33" t="s">
        <v>26</v>
      </c>
      <c r="C2154" s="33" t="s">
        <v>22</v>
      </c>
      <c r="D2154" s="33">
        <v>248</v>
      </c>
    </row>
    <row r="2155" spans="1:4" x14ac:dyDescent="0.15">
      <c r="A2155" s="32">
        <v>35217</v>
      </c>
      <c r="B2155" s="33" t="s">
        <v>29</v>
      </c>
      <c r="C2155" s="33" t="s">
        <v>22</v>
      </c>
      <c r="D2155" s="33">
        <v>344</v>
      </c>
    </row>
    <row r="2156" spans="1:4" x14ac:dyDescent="0.15">
      <c r="A2156" s="32">
        <v>35217</v>
      </c>
      <c r="B2156" s="33" t="s">
        <v>29</v>
      </c>
      <c r="C2156" s="33" t="s">
        <v>22</v>
      </c>
      <c r="D2156" s="33">
        <v>369</v>
      </c>
    </row>
    <row r="2157" spans="1:4" x14ac:dyDescent="0.15">
      <c r="A2157" s="32">
        <v>35217</v>
      </c>
      <c r="B2157" s="33" t="s">
        <v>26</v>
      </c>
      <c r="C2157" s="33" t="s">
        <v>22</v>
      </c>
      <c r="D2157" s="33">
        <v>383</v>
      </c>
    </row>
    <row r="2158" spans="1:4" x14ac:dyDescent="0.15">
      <c r="A2158" s="32">
        <v>35217</v>
      </c>
      <c r="B2158" s="33" t="s">
        <v>21</v>
      </c>
      <c r="C2158" s="33" t="s">
        <v>22</v>
      </c>
      <c r="D2158" s="33">
        <v>451</v>
      </c>
    </row>
    <row r="2159" spans="1:4" x14ac:dyDescent="0.15">
      <c r="A2159" s="32">
        <v>35217</v>
      </c>
      <c r="B2159" s="33" t="s">
        <v>28</v>
      </c>
      <c r="C2159" s="33" t="s">
        <v>22</v>
      </c>
      <c r="D2159" s="33">
        <v>492</v>
      </c>
    </row>
    <row r="2160" spans="1:4" x14ac:dyDescent="0.15">
      <c r="A2160" s="32">
        <v>35217</v>
      </c>
      <c r="B2160" s="33" t="s">
        <v>21</v>
      </c>
      <c r="C2160" s="33" t="s">
        <v>23</v>
      </c>
      <c r="D2160" s="33">
        <v>203</v>
      </c>
    </row>
    <row r="2161" spans="1:4" x14ac:dyDescent="0.15">
      <c r="A2161" s="32">
        <v>35217</v>
      </c>
      <c r="B2161" s="33" t="s">
        <v>28</v>
      </c>
      <c r="C2161" s="33" t="s">
        <v>23</v>
      </c>
      <c r="D2161" s="33">
        <v>338</v>
      </c>
    </row>
    <row r="2162" spans="1:4" x14ac:dyDescent="0.15">
      <c r="A2162" s="32">
        <v>35217</v>
      </c>
      <c r="B2162" s="33" t="s">
        <v>21</v>
      </c>
      <c r="C2162" s="33" t="s">
        <v>23</v>
      </c>
      <c r="D2162" s="33">
        <v>171</v>
      </c>
    </row>
    <row r="2163" spans="1:4" x14ac:dyDescent="0.15">
      <c r="A2163" s="32">
        <v>35217</v>
      </c>
      <c r="B2163" s="33" t="s">
        <v>29</v>
      </c>
      <c r="C2163" s="33" t="s">
        <v>23</v>
      </c>
      <c r="D2163" s="33">
        <v>210</v>
      </c>
    </row>
    <row r="2164" spans="1:4" x14ac:dyDescent="0.15">
      <c r="A2164" s="32">
        <v>35217</v>
      </c>
      <c r="B2164" s="33" t="s">
        <v>21</v>
      </c>
      <c r="C2164" s="33" t="s">
        <v>23</v>
      </c>
      <c r="D2164" s="33">
        <v>1207</v>
      </c>
    </row>
    <row r="2165" spans="1:4" x14ac:dyDescent="0.15">
      <c r="A2165" s="32">
        <v>35217</v>
      </c>
      <c r="B2165" s="33" t="s">
        <v>28</v>
      </c>
      <c r="C2165" s="33" t="s">
        <v>23</v>
      </c>
      <c r="D2165" s="33">
        <v>315</v>
      </c>
    </row>
    <row r="2166" spans="1:4" x14ac:dyDescent="0.15">
      <c r="A2166" s="32">
        <v>35217</v>
      </c>
      <c r="B2166" s="33" t="s">
        <v>33</v>
      </c>
      <c r="C2166" s="33" t="s">
        <v>23</v>
      </c>
      <c r="D2166" s="33">
        <v>1337</v>
      </c>
    </row>
    <row r="2167" spans="1:4" x14ac:dyDescent="0.15">
      <c r="A2167" s="32">
        <v>35217</v>
      </c>
      <c r="B2167" s="33" t="s">
        <v>31</v>
      </c>
      <c r="C2167" s="33" t="s">
        <v>23</v>
      </c>
      <c r="D2167" s="33">
        <v>848</v>
      </c>
    </row>
    <row r="2168" spans="1:4" x14ac:dyDescent="0.15">
      <c r="A2168" s="32">
        <v>35217</v>
      </c>
      <c r="B2168" s="33" t="s">
        <v>28</v>
      </c>
      <c r="C2168" s="33" t="s">
        <v>23</v>
      </c>
      <c r="D2168" s="33">
        <v>341</v>
      </c>
    </row>
    <row r="2169" spans="1:4" x14ac:dyDescent="0.15">
      <c r="A2169" s="32">
        <v>35217</v>
      </c>
      <c r="B2169" s="33" t="s">
        <v>26</v>
      </c>
      <c r="C2169" s="33" t="s">
        <v>23</v>
      </c>
      <c r="D2169" s="33">
        <v>509</v>
      </c>
    </row>
    <row r="2170" spans="1:4" x14ac:dyDescent="0.15">
      <c r="A2170" s="32">
        <v>35217</v>
      </c>
      <c r="B2170" s="33" t="s">
        <v>31</v>
      </c>
      <c r="C2170" s="33" t="s">
        <v>23</v>
      </c>
      <c r="D2170" s="33">
        <v>489</v>
      </c>
    </row>
    <row r="2171" spans="1:4" x14ac:dyDescent="0.15">
      <c r="A2171" s="32">
        <v>35217</v>
      </c>
      <c r="B2171" s="33" t="s">
        <v>28</v>
      </c>
      <c r="C2171" s="33" t="s">
        <v>23</v>
      </c>
      <c r="D2171" s="33">
        <v>270</v>
      </c>
    </row>
    <row r="2172" spans="1:4" x14ac:dyDescent="0.15">
      <c r="A2172" s="32">
        <v>35217</v>
      </c>
      <c r="B2172" s="33" t="s">
        <v>31</v>
      </c>
      <c r="C2172" s="33" t="s">
        <v>23</v>
      </c>
      <c r="D2172" s="33">
        <v>140</v>
      </c>
    </row>
    <row r="2173" spans="1:4" x14ac:dyDescent="0.15">
      <c r="A2173" s="32">
        <v>35217</v>
      </c>
      <c r="B2173" s="33" t="s">
        <v>31</v>
      </c>
      <c r="C2173" s="33" t="s">
        <v>23</v>
      </c>
      <c r="D2173" s="33">
        <v>135</v>
      </c>
    </row>
    <row r="2174" spans="1:4" x14ac:dyDescent="0.15">
      <c r="A2174" s="32">
        <v>35217</v>
      </c>
      <c r="B2174" s="33" t="s">
        <v>29</v>
      </c>
      <c r="C2174" s="33" t="s">
        <v>23</v>
      </c>
      <c r="D2174" s="33">
        <v>426</v>
      </c>
    </row>
    <row r="2175" spans="1:4" x14ac:dyDescent="0.15">
      <c r="A2175" s="32">
        <v>35217</v>
      </c>
      <c r="B2175" s="33" t="s">
        <v>26</v>
      </c>
      <c r="C2175" s="33" t="s">
        <v>23</v>
      </c>
      <c r="D2175" s="33">
        <v>124</v>
      </c>
    </row>
    <row r="2176" spans="1:4" x14ac:dyDescent="0.15">
      <c r="A2176" s="32">
        <v>35217</v>
      </c>
      <c r="B2176" s="33" t="s">
        <v>26</v>
      </c>
      <c r="C2176" s="33" t="s">
        <v>23</v>
      </c>
      <c r="D2176" s="33">
        <v>79</v>
      </c>
    </row>
    <row r="2177" spans="1:4" x14ac:dyDescent="0.15">
      <c r="A2177" s="32">
        <v>35217</v>
      </c>
      <c r="B2177" s="33" t="s">
        <v>26</v>
      </c>
      <c r="C2177" s="33" t="s">
        <v>23</v>
      </c>
      <c r="D2177" s="33">
        <v>350</v>
      </c>
    </row>
    <row r="2178" spans="1:4" x14ac:dyDescent="0.15">
      <c r="A2178" s="32">
        <v>35217</v>
      </c>
      <c r="B2178" s="33" t="s">
        <v>29</v>
      </c>
      <c r="C2178" s="33" t="s">
        <v>23</v>
      </c>
      <c r="D2178" s="33">
        <v>277</v>
      </c>
    </row>
    <row r="2179" spans="1:4" x14ac:dyDescent="0.15">
      <c r="A2179" s="32">
        <v>35217</v>
      </c>
      <c r="B2179" s="33" t="s">
        <v>21</v>
      </c>
      <c r="C2179" s="33" t="s">
        <v>23</v>
      </c>
      <c r="D2179" s="33">
        <v>645</v>
      </c>
    </row>
    <row r="2180" spans="1:4" x14ac:dyDescent="0.15">
      <c r="A2180" s="32">
        <v>35217</v>
      </c>
      <c r="B2180" s="33" t="s">
        <v>33</v>
      </c>
      <c r="C2180" s="33" t="s">
        <v>23</v>
      </c>
      <c r="D2180" s="33">
        <v>557</v>
      </c>
    </row>
    <row r="2181" spans="1:4" x14ac:dyDescent="0.15">
      <c r="A2181" s="32">
        <v>35217</v>
      </c>
      <c r="B2181" s="33" t="s">
        <v>29</v>
      </c>
      <c r="C2181" s="33" t="s">
        <v>23</v>
      </c>
      <c r="D2181" s="33">
        <v>369</v>
      </c>
    </row>
    <row r="2182" spans="1:4" x14ac:dyDescent="0.15">
      <c r="A2182" s="32">
        <v>35217</v>
      </c>
      <c r="B2182" s="33" t="s">
        <v>33</v>
      </c>
      <c r="C2182" s="33" t="s">
        <v>32</v>
      </c>
      <c r="D2182" s="33">
        <v>1461</v>
      </c>
    </row>
    <row r="2183" spans="1:4" x14ac:dyDescent="0.15">
      <c r="A2183" s="32">
        <v>35217</v>
      </c>
      <c r="B2183" s="33" t="s">
        <v>28</v>
      </c>
      <c r="C2183" s="33" t="s">
        <v>32</v>
      </c>
      <c r="D2183" s="33">
        <v>1521</v>
      </c>
    </row>
    <row r="2184" spans="1:4" x14ac:dyDescent="0.15">
      <c r="A2184" s="32">
        <v>35217</v>
      </c>
      <c r="B2184" s="33" t="s">
        <v>28</v>
      </c>
      <c r="C2184" s="33" t="s">
        <v>32</v>
      </c>
      <c r="D2184" s="33">
        <v>557</v>
      </c>
    </row>
    <row r="2185" spans="1:4" x14ac:dyDescent="0.15">
      <c r="A2185" s="32">
        <v>35217</v>
      </c>
      <c r="B2185" s="33" t="s">
        <v>33</v>
      </c>
      <c r="C2185" s="33" t="s">
        <v>32</v>
      </c>
      <c r="D2185" s="33">
        <v>714</v>
      </c>
    </row>
    <row r="2186" spans="1:4" x14ac:dyDescent="0.15">
      <c r="A2186" s="32">
        <v>35217</v>
      </c>
      <c r="B2186" s="33" t="s">
        <v>21</v>
      </c>
      <c r="C2186" s="33" t="s">
        <v>32</v>
      </c>
      <c r="D2186" s="33">
        <v>35</v>
      </c>
    </row>
    <row r="2187" spans="1:4" x14ac:dyDescent="0.15">
      <c r="A2187" s="32">
        <v>35217</v>
      </c>
      <c r="B2187" s="33" t="s">
        <v>29</v>
      </c>
      <c r="C2187" s="33" t="s">
        <v>32</v>
      </c>
      <c r="D2187" s="33">
        <v>63</v>
      </c>
    </row>
    <row r="2188" spans="1:4" x14ac:dyDescent="0.15">
      <c r="A2188" s="32">
        <v>35217</v>
      </c>
      <c r="B2188" s="33" t="s">
        <v>29</v>
      </c>
      <c r="C2188" s="33" t="s">
        <v>32</v>
      </c>
      <c r="D2188" s="33">
        <v>68</v>
      </c>
    </row>
    <row r="2189" spans="1:4" x14ac:dyDescent="0.15">
      <c r="A2189" s="32">
        <v>35217</v>
      </c>
      <c r="B2189" s="33" t="s">
        <v>28</v>
      </c>
      <c r="C2189" s="33" t="s">
        <v>32</v>
      </c>
      <c r="D2189" s="33">
        <v>420</v>
      </c>
    </row>
    <row r="2190" spans="1:4" x14ac:dyDescent="0.15">
      <c r="A2190" s="32">
        <v>35217</v>
      </c>
      <c r="B2190" s="33" t="s">
        <v>28</v>
      </c>
      <c r="C2190" s="33" t="s">
        <v>32</v>
      </c>
      <c r="D2190" s="33">
        <v>315</v>
      </c>
    </row>
    <row r="2191" spans="1:4" x14ac:dyDescent="0.15">
      <c r="A2191" s="32">
        <v>35217</v>
      </c>
      <c r="B2191" s="33" t="s">
        <v>26</v>
      </c>
      <c r="C2191" s="33" t="s">
        <v>32</v>
      </c>
      <c r="D2191" s="33">
        <v>1193</v>
      </c>
    </row>
    <row r="2192" spans="1:4" x14ac:dyDescent="0.15">
      <c r="A2192" s="32">
        <v>35217</v>
      </c>
      <c r="B2192" s="33" t="s">
        <v>26</v>
      </c>
      <c r="C2192" s="33" t="s">
        <v>32</v>
      </c>
      <c r="D2192" s="33">
        <v>934</v>
      </c>
    </row>
    <row r="2193" spans="1:4" x14ac:dyDescent="0.15">
      <c r="A2193" s="32">
        <v>35217</v>
      </c>
      <c r="B2193" s="33" t="s">
        <v>26</v>
      </c>
      <c r="C2193" s="33" t="s">
        <v>32</v>
      </c>
      <c r="D2193" s="33">
        <v>191</v>
      </c>
    </row>
    <row r="2194" spans="1:4" x14ac:dyDescent="0.15">
      <c r="A2194" s="32">
        <v>35217</v>
      </c>
      <c r="B2194" s="33" t="s">
        <v>31</v>
      </c>
      <c r="C2194" s="33" t="s">
        <v>32</v>
      </c>
      <c r="D2194" s="33">
        <v>175</v>
      </c>
    </row>
    <row r="2195" spans="1:4" x14ac:dyDescent="0.15">
      <c r="A2195" s="32">
        <v>35217</v>
      </c>
      <c r="B2195" s="33" t="s">
        <v>29</v>
      </c>
      <c r="C2195" s="33" t="s">
        <v>32</v>
      </c>
      <c r="D2195" s="33">
        <v>166</v>
      </c>
    </row>
    <row r="2196" spans="1:4" x14ac:dyDescent="0.15">
      <c r="A2196" s="32">
        <v>35217</v>
      </c>
      <c r="B2196" s="33" t="s">
        <v>31</v>
      </c>
      <c r="C2196" s="33" t="s">
        <v>32</v>
      </c>
      <c r="D2196" s="33">
        <v>146</v>
      </c>
    </row>
    <row r="2197" spans="1:4" x14ac:dyDescent="0.15">
      <c r="A2197" s="32">
        <v>35217</v>
      </c>
      <c r="B2197" s="33" t="s">
        <v>29</v>
      </c>
      <c r="C2197" s="33" t="s">
        <v>32</v>
      </c>
      <c r="D2197" s="33">
        <v>112</v>
      </c>
    </row>
    <row r="2198" spans="1:4" x14ac:dyDescent="0.15">
      <c r="A2198" s="32">
        <v>35217</v>
      </c>
      <c r="B2198" s="33" t="s">
        <v>26</v>
      </c>
      <c r="C2198" s="33" t="s">
        <v>32</v>
      </c>
      <c r="D2198" s="33">
        <v>158</v>
      </c>
    </row>
    <row r="2199" spans="1:4" x14ac:dyDescent="0.15">
      <c r="A2199" s="32">
        <v>35217</v>
      </c>
      <c r="B2199" s="33" t="s">
        <v>21</v>
      </c>
      <c r="C2199" s="33" t="s">
        <v>32</v>
      </c>
      <c r="D2199" s="33">
        <v>105</v>
      </c>
    </row>
    <row r="2200" spans="1:4" x14ac:dyDescent="0.15">
      <c r="A2200" s="32">
        <v>35217</v>
      </c>
      <c r="B2200" s="33" t="s">
        <v>31</v>
      </c>
      <c r="C2200" s="33" t="s">
        <v>32</v>
      </c>
      <c r="D2200" s="33">
        <v>70</v>
      </c>
    </row>
    <row r="2201" spans="1:4" x14ac:dyDescent="0.15">
      <c r="A2201" s="32">
        <v>35217</v>
      </c>
      <c r="B2201" s="33" t="s">
        <v>21</v>
      </c>
      <c r="C2201" s="33" t="s">
        <v>32</v>
      </c>
      <c r="D2201" s="33">
        <v>203</v>
      </c>
    </row>
    <row r="2202" spans="1:4" x14ac:dyDescent="0.15">
      <c r="A2202" s="32">
        <v>35217</v>
      </c>
      <c r="B2202" s="33" t="s">
        <v>21</v>
      </c>
      <c r="C2202" s="33" t="s">
        <v>32</v>
      </c>
      <c r="D2202" s="33">
        <v>101</v>
      </c>
    </row>
    <row r="2203" spans="1:4" x14ac:dyDescent="0.15">
      <c r="A2203" s="32">
        <v>35217</v>
      </c>
      <c r="B2203" s="33" t="s">
        <v>31</v>
      </c>
      <c r="C2203" s="33" t="s">
        <v>32</v>
      </c>
      <c r="D2203" s="33">
        <v>225</v>
      </c>
    </row>
    <row r="2204" spans="1:4" x14ac:dyDescent="0.15">
      <c r="A2204" s="32">
        <v>35217</v>
      </c>
      <c r="B2204" s="33" t="s">
        <v>21</v>
      </c>
      <c r="C2204" s="33" t="s">
        <v>24</v>
      </c>
      <c r="D2204" s="33">
        <v>77</v>
      </c>
    </row>
    <row r="2205" spans="1:4" x14ac:dyDescent="0.15">
      <c r="A2205" s="32">
        <v>35217</v>
      </c>
      <c r="B2205" s="33" t="s">
        <v>21</v>
      </c>
      <c r="C2205" s="33" t="s">
        <v>24</v>
      </c>
      <c r="D2205" s="33">
        <v>99</v>
      </c>
    </row>
    <row r="2206" spans="1:4" x14ac:dyDescent="0.15">
      <c r="A2206" s="32">
        <v>35217</v>
      </c>
      <c r="B2206" s="33" t="s">
        <v>21</v>
      </c>
      <c r="C2206" s="33" t="s">
        <v>24</v>
      </c>
      <c r="D2206" s="33">
        <v>113</v>
      </c>
    </row>
    <row r="2207" spans="1:4" x14ac:dyDescent="0.15">
      <c r="A2207" s="32">
        <v>35217</v>
      </c>
      <c r="B2207" s="33" t="s">
        <v>26</v>
      </c>
      <c r="C2207" s="33" t="s">
        <v>24</v>
      </c>
      <c r="D2207" s="33">
        <v>105</v>
      </c>
    </row>
    <row r="2208" spans="1:4" x14ac:dyDescent="0.15">
      <c r="A2208" s="32">
        <v>35217</v>
      </c>
      <c r="B2208" s="33" t="s">
        <v>21</v>
      </c>
      <c r="C2208" s="33" t="s">
        <v>24</v>
      </c>
      <c r="D2208" s="33">
        <v>23</v>
      </c>
    </row>
    <row r="2209" spans="1:4" x14ac:dyDescent="0.15">
      <c r="A2209" s="32">
        <v>35217</v>
      </c>
      <c r="B2209" s="33" t="s">
        <v>26</v>
      </c>
      <c r="C2209" s="33" t="s">
        <v>24</v>
      </c>
      <c r="D2209" s="33">
        <v>68</v>
      </c>
    </row>
    <row r="2210" spans="1:4" x14ac:dyDescent="0.15">
      <c r="A2210" s="32">
        <v>35217</v>
      </c>
      <c r="B2210" s="33" t="s">
        <v>21</v>
      </c>
      <c r="C2210" s="33" t="s">
        <v>24</v>
      </c>
      <c r="D2210" s="33">
        <v>2914</v>
      </c>
    </row>
    <row r="2211" spans="1:4" x14ac:dyDescent="0.15">
      <c r="A2211" s="32">
        <v>35217</v>
      </c>
      <c r="B2211" s="33" t="s">
        <v>21</v>
      </c>
      <c r="C2211" s="33" t="s">
        <v>24</v>
      </c>
      <c r="D2211" s="33">
        <v>2110</v>
      </c>
    </row>
    <row r="2212" spans="1:4" x14ac:dyDescent="0.15">
      <c r="A2212" s="32">
        <v>35217</v>
      </c>
      <c r="B2212" s="33" t="s">
        <v>26</v>
      </c>
      <c r="C2212" s="33" t="s">
        <v>24</v>
      </c>
      <c r="D2212" s="33">
        <v>179</v>
      </c>
    </row>
    <row r="2213" spans="1:4" x14ac:dyDescent="0.15">
      <c r="A2213" s="32">
        <v>35217</v>
      </c>
      <c r="B2213" s="33" t="s">
        <v>26</v>
      </c>
      <c r="C2213" s="33" t="s">
        <v>24</v>
      </c>
      <c r="D2213" s="33">
        <v>248</v>
      </c>
    </row>
    <row r="2214" spans="1:4" x14ac:dyDescent="0.15">
      <c r="A2214" s="32">
        <v>35217</v>
      </c>
      <c r="B2214" s="33" t="s">
        <v>26</v>
      </c>
      <c r="C2214" s="33" t="s">
        <v>24</v>
      </c>
      <c r="D2214" s="33">
        <v>149</v>
      </c>
    </row>
    <row r="2215" spans="1:4" x14ac:dyDescent="0.15">
      <c r="A2215" s="32">
        <v>35217</v>
      </c>
      <c r="B2215" s="33" t="s">
        <v>26</v>
      </c>
      <c r="C2215" s="33" t="s">
        <v>24</v>
      </c>
      <c r="D2215" s="33">
        <v>135</v>
      </c>
    </row>
    <row r="2216" spans="1:4" x14ac:dyDescent="0.15">
      <c r="A2216" s="32">
        <v>35217</v>
      </c>
      <c r="B2216" s="33" t="s">
        <v>28</v>
      </c>
      <c r="C2216" s="33" t="s">
        <v>25</v>
      </c>
      <c r="D2216" s="33">
        <v>405</v>
      </c>
    </row>
    <row r="2217" spans="1:4" x14ac:dyDescent="0.15">
      <c r="A2217" s="32">
        <v>35217</v>
      </c>
      <c r="B2217" s="33" t="s">
        <v>21</v>
      </c>
      <c r="C2217" s="33" t="s">
        <v>25</v>
      </c>
      <c r="D2217" s="33">
        <v>394</v>
      </c>
    </row>
    <row r="2218" spans="1:4" x14ac:dyDescent="0.15">
      <c r="A2218" s="32">
        <v>35217</v>
      </c>
      <c r="B2218" s="33" t="s">
        <v>28</v>
      </c>
      <c r="C2218" s="33" t="s">
        <v>25</v>
      </c>
      <c r="D2218" s="33">
        <v>368</v>
      </c>
    </row>
    <row r="2219" spans="1:4" x14ac:dyDescent="0.15">
      <c r="A2219" s="32">
        <v>35217</v>
      </c>
      <c r="B2219" s="33" t="s">
        <v>26</v>
      </c>
      <c r="C2219" s="33" t="s">
        <v>25</v>
      </c>
      <c r="D2219" s="33">
        <v>360</v>
      </c>
    </row>
    <row r="2220" spans="1:4" x14ac:dyDescent="0.15">
      <c r="A2220" s="32">
        <v>35217</v>
      </c>
      <c r="B2220" s="33" t="s">
        <v>26</v>
      </c>
      <c r="C2220" s="33" t="s">
        <v>25</v>
      </c>
      <c r="D2220" s="33">
        <v>724</v>
      </c>
    </row>
    <row r="2221" spans="1:4" x14ac:dyDescent="0.15">
      <c r="A2221" s="32">
        <v>35217</v>
      </c>
      <c r="B2221" s="33" t="s">
        <v>21</v>
      </c>
      <c r="C2221" s="33" t="s">
        <v>25</v>
      </c>
      <c r="D2221" s="33">
        <v>655</v>
      </c>
    </row>
    <row r="2222" spans="1:4" x14ac:dyDescent="0.15">
      <c r="A2222" s="32">
        <v>35217</v>
      </c>
      <c r="B2222" s="33" t="s">
        <v>28</v>
      </c>
      <c r="C2222" s="33" t="s">
        <v>25</v>
      </c>
      <c r="D2222" s="33">
        <v>557</v>
      </c>
    </row>
    <row r="2223" spans="1:4" x14ac:dyDescent="0.15">
      <c r="A2223" s="32">
        <v>35217</v>
      </c>
      <c r="B2223" s="33" t="s">
        <v>33</v>
      </c>
      <c r="C2223" s="33" t="s">
        <v>25</v>
      </c>
      <c r="D2223" s="33">
        <v>535</v>
      </c>
    </row>
    <row r="2224" spans="1:4" x14ac:dyDescent="0.15">
      <c r="A2224" s="32">
        <v>35217</v>
      </c>
      <c r="B2224" s="33" t="s">
        <v>31</v>
      </c>
      <c r="C2224" s="33" t="s">
        <v>25</v>
      </c>
      <c r="D2224" s="33">
        <v>473</v>
      </c>
    </row>
    <row r="2225" spans="1:4" x14ac:dyDescent="0.15">
      <c r="A2225" s="32">
        <v>35217</v>
      </c>
      <c r="B2225" s="33" t="s">
        <v>33</v>
      </c>
      <c r="C2225" s="33" t="s">
        <v>25</v>
      </c>
      <c r="D2225" s="33">
        <v>459</v>
      </c>
    </row>
    <row r="2226" spans="1:4" x14ac:dyDescent="0.15">
      <c r="A2226" s="32">
        <v>35217</v>
      </c>
      <c r="B2226" s="33" t="s">
        <v>26</v>
      </c>
      <c r="C2226" s="33" t="s">
        <v>25</v>
      </c>
      <c r="D2226" s="33">
        <v>448</v>
      </c>
    </row>
    <row r="2227" spans="1:4" x14ac:dyDescent="0.15">
      <c r="A2227" s="32">
        <v>35217</v>
      </c>
      <c r="B2227" s="33" t="s">
        <v>29</v>
      </c>
      <c r="C2227" s="33" t="s">
        <v>25</v>
      </c>
      <c r="D2227" s="33">
        <v>113</v>
      </c>
    </row>
    <row r="2228" spans="1:4" x14ac:dyDescent="0.15">
      <c r="A2228" s="32">
        <v>35217</v>
      </c>
      <c r="B2228" s="33" t="s">
        <v>29</v>
      </c>
      <c r="C2228" s="33" t="s">
        <v>25</v>
      </c>
      <c r="D2228" s="33">
        <v>105</v>
      </c>
    </row>
    <row r="2229" spans="1:4" x14ac:dyDescent="0.15">
      <c r="A2229" s="32">
        <v>35217</v>
      </c>
      <c r="B2229" s="33" t="s">
        <v>31</v>
      </c>
      <c r="C2229" s="33" t="s">
        <v>25</v>
      </c>
      <c r="D2229" s="33">
        <v>101</v>
      </c>
    </row>
    <row r="2230" spans="1:4" x14ac:dyDescent="0.15">
      <c r="A2230" s="32">
        <v>35217</v>
      </c>
      <c r="B2230" s="33" t="s">
        <v>28</v>
      </c>
      <c r="C2230" s="33" t="s">
        <v>25</v>
      </c>
      <c r="D2230" s="33">
        <v>158</v>
      </c>
    </row>
    <row r="2231" spans="1:4" x14ac:dyDescent="0.15">
      <c r="A2231" s="32">
        <v>35217</v>
      </c>
      <c r="B2231" s="33" t="s">
        <v>31</v>
      </c>
      <c r="C2231" s="33" t="s">
        <v>25</v>
      </c>
      <c r="D2231" s="33">
        <v>175</v>
      </c>
    </row>
    <row r="2232" spans="1:4" x14ac:dyDescent="0.15">
      <c r="A2232" s="32">
        <v>35217</v>
      </c>
      <c r="B2232" s="33" t="s">
        <v>21</v>
      </c>
      <c r="C2232" s="33" t="s">
        <v>25</v>
      </c>
      <c r="D2232" s="33">
        <v>135</v>
      </c>
    </row>
    <row r="2233" spans="1:4" x14ac:dyDescent="0.15">
      <c r="A2233" s="32">
        <v>35217</v>
      </c>
      <c r="B2233" s="33" t="s">
        <v>31</v>
      </c>
      <c r="C2233" s="33" t="s">
        <v>25</v>
      </c>
      <c r="D2233" s="33">
        <v>1036</v>
      </c>
    </row>
    <row r="2234" spans="1:4" x14ac:dyDescent="0.15">
      <c r="A2234" s="32">
        <v>35217</v>
      </c>
      <c r="B2234" s="33" t="s">
        <v>26</v>
      </c>
      <c r="C2234" s="33" t="s">
        <v>25</v>
      </c>
      <c r="D2234" s="33">
        <v>748</v>
      </c>
    </row>
    <row r="2235" spans="1:4" x14ac:dyDescent="0.15">
      <c r="A2235" s="32">
        <v>35217</v>
      </c>
      <c r="B2235" s="33" t="s">
        <v>29</v>
      </c>
      <c r="C2235" s="33" t="s">
        <v>25</v>
      </c>
      <c r="D2235" s="33">
        <v>77</v>
      </c>
    </row>
    <row r="2236" spans="1:4" x14ac:dyDescent="0.15">
      <c r="A2236" s="32">
        <v>35217</v>
      </c>
      <c r="B2236" s="33" t="s">
        <v>21</v>
      </c>
      <c r="C2236" s="33" t="s">
        <v>25</v>
      </c>
      <c r="D2236" s="33">
        <v>88</v>
      </c>
    </row>
    <row r="2237" spans="1:4" x14ac:dyDescent="0.15">
      <c r="A2237" s="32">
        <v>35217</v>
      </c>
      <c r="B2237" s="33" t="s">
        <v>29</v>
      </c>
      <c r="C2237" s="33" t="s">
        <v>25</v>
      </c>
      <c r="D2237" s="33">
        <v>39</v>
      </c>
    </row>
    <row r="2238" spans="1:4" x14ac:dyDescent="0.15">
      <c r="A2238" s="32">
        <v>35217</v>
      </c>
      <c r="B2238" s="33" t="s">
        <v>33</v>
      </c>
      <c r="C2238" s="33" t="s">
        <v>27</v>
      </c>
      <c r="D2238" s="33">
        <v>376</v>
      </c>
    </row>
    <row r="2239" spans="1:4" x14ac:dyDescent="0.15">
      <c r="A2239" s="32">
        <v>35217</v>
      </c>
      <c r="B2239" s="33" t="s">
        <v>21</v>
      </c>
      <c r="C2239" s="33" t="s">
        <v>27</v>
      </c>
      <c r="D2239" s="33">
        <v>32</v>
      </c>
    </row>
    <row r="2240" spans="1:4" x14ac:dyDescent="0.15">
      <c r="A2240" s="32">
        <v>35217</v>
      </c>
      <c r="B2240" s="33" t="s">
        <v>28</v>
      </c>
      <c r="C2240" s="33" t="s">
        <v>27</v>
      </c>
      <c r="D2240" s="33">
        <v>39</v>
      </c>
    </row>
    <row r="2241" spans="1:4" x14ac:dyDescent="0.15">
      <c r="A2241" s="32">
        <v>35217</v>
      </c>
      <c r="B2241" s="33" t="s">
        <v>21</v>
      </c>
      <c r="C2241" s="33" t="s">
        <v>27</v>
      </c>
      <c r="D2241" s="33">
        <v>44</v>
      </c>
    </row>
    <row r="2242" spans="1:4" x14ac:dyDescent="0.15">
      <c r="A2242" s="32">
        <v>35217</v>
      </c>
      <c r="B2242" s="33" t="s">
        <v>28</v>
      </c>
      <c r="C2242" s="33" t="s">
        <v>27</v>
      </c>
      <c r="D2242" s="33">
        <v>50</v>
      </c>
    </row>
    <row r="2243" spans="1:4" x14ac:dyDescent="0.15">
      <c r="A2243" s="32">
        <v>35217</v>
      </c>
      <c r="B2243" s="33" t="s">
        <v>21</v>
      </c>
      <c r="C2243" s="33" t="s">
        <v>27</v>
      </c>
      <c r="D2243" s="33">
        <v>56</v>
      </c>
    </row>
    <row r="2244" spans="1:4" x14ac:dyDescent="0.15">
      <c r="A2244" s="32">
        <v>35217</v>
      </c>
      <c r="B2244" s="33" t="s">
        <v>29</v>
      </c>
      <c r="C2244" s="33" t="s">
        <v>27</v>
      </c>
      <c r="D2244" s="33">
        <v>68</v>
      </c>
    </row>
    <row r="2245" spans="1:4" x14ac:dyDescent="0.15">
      <c r="A2245" s="32">
        <v>35217</v>
      </c>
      <c r="B2245" s="33" t="s">
        <v>29</v>
      </c>
      <c r="C2245" s="33" t="s">
        <v>27</v>
      </c>
      <c r="D2245" s="33">
        <v>70</v>
      </c>
    </row>
    <row r="2246" spans="1:4" x14ac:dyDescent="0.15">
      <c r="A2246" s="32">
        <v>35217</v>
      </c>
      <c r="B2246" s="33" t="s">
        <v>29</v>
      </c>
      <c r="C2246" s="33" t="s">
        <v>27</v>
      </c>
      <c r="D2246" s="33">
        <v>95</v>
      </c>
    </row>
    <row r="2247" spans="1:4" x14ac:dyDescent="0.15">
      <c r="A2247" s="32">
        <v>35217</v>
      </c>
      <c r="B2247" s="33" t="s">
        <v>29</v>
      </c>
      <c r="C2247" s="33" t="s">
        <v>27</v>
      </c>
      <c r="D2247" s="33">
        <v>124</v>
      </c>
    </row>
    <row r="2248" spans="1:4" x14ac:dyDescent="0.15">
      <c r="A2248" s="32">
        <v>35217</v>
      </c>
      <c r="B2248" s="33" t="s">
        <v>31</v>
      </c>
      <c r="C2248" s="33" t="s">
        <v>27</v>
      </c>
      <c r="D2248" s="33">
        <v>146</v>
      </c>
    </row>
    <row r="2249" spans="1:4" x14ac:dyDescent="0.15">
      <c r="A2249" s="32">
        <v>35217</v>
      </c>
      <c r="B2249" s="33" t="s">
        <v>31</v>
      </c>
      <c r="C2249" s="33" t="s">
        <v>27</v>
      </c>
      <c r="D2249" s="33">
        <v>158</v>
      </c>
    </row>
    <row r="2250" spans="1:4" x14ac:dyDescent="0.15">
      <c r="A2250" s="32">
        <v>35217</v>
      </c>
      <c r="B2250" s="33" t="s">
        <v>33</v>
      </c>
      <c r="C2250" s="33" t="s">
        <v>27</v>
      </c>
      <c r="D2250" s="33">
        <v>203</v>
      </c>
    </row>
    <row r="2251" spans="1:4" x14ac:dyDescent="0.15">
      <c r="A2251" s="32">
        <v>35217</v>
      </c>
      <c r="B2251" s="33" t="s">
        <v>28</v>
      </c>
      <c r="C2251" s="33" t="s">
        <v>27</v>
      </c>
      <c r="D2251" s="33">
        <v>333</v>
      </c>
    </row>
    <row r="2252" spans="1:4" x14ac:dyDescent="0.15">
      <c r="A2252" s="32">
        <v>35217</v>
      </c>
      <c r="B2252" s="33" t="s">
        <v>26</v>
      </c>
      <c r="C2252" s="33" t="s">
        <v>27</v>
      </c>
      <c r="D2252" s="33">
        <v>423</v>
      </c>
    </row>
    <row r="2253" spans="1:4" x14ac:dyDescent="0.15">
      <c r="A2253" s="32">
        <v>35217</v>
      </c>
      <c r="B2253" s="33" t="s">
        <v>26</v>
      </c>
      <c r="C2253" s="33" t="s">
        <v>27</v>
      </c>
      <c r="D2253" s="33">
        <v>470</v>
      </c>
    </row>
    <row r="2254" spans="1:4" x14ac:dyDescent="0.15">
      <c r="A2254" s="32">
        <v>35217</v>
      </c>
      <c r="B2254" s="33" t="s">
        <v>21</v>
      </c>
      <c r="C2254" s="33" t="s">
        <v>27</v>
      </c>
      <c r="D2254" s="33">
        <v>835</v>
      </c>
    </row>
    <row r="2255" spans="1:4" x14ac:dyDescent="0.15">
      <c r="A2255" s="32">
        <v>35217</v>
      </c>
      <c r="B2255" s="33" t="s">
        <v>26</v>
      </c>
      <c r="C2255" s="33" t="s">
        <v>27</v>
      </c>
      <c r="D2255" s="33">
        <v>1483</v>
      </c>
    </row>
    <row r="2256" spans="1:4" x14ac:dyDescent="0.15">
      <c r="A2256" s="32">
        <v>35217</v>
      </c>
      <c r="B2256" s="33" t="s">
        <v>31</v>
      </c>
      <c r="C2256" s="33" t="s">
        <v>27</v>
      </c>
      <c r="D2256" s="33">
        <v>1615</v>
      </c>
    </row>
    <row r="2257" spans="1:4" x14ac:dyDescent="0.15">
      <c r="A2257" s="32">
        <v>35217</v>
      </c>
      <c r="B2257" s="33" t="s">
        <v>26</v>
      </c>
      <c r="C2257" s="33" t="s">
        <v>27</v>
      </c>
      <c r="D2257" s="33">
        <v>2031</v>
      </c>
    </row>
    <row r="2258" spans="1:4" x14ac:dyDescent="0.15">
      <c r="A2258" s="32">
        <v>35217</v>
      </c>
      <c r="B2258" s="33" t="s">
        <v>28</v>
      </c>
      <c r="C2258" s="33" t="s">
        <v>27</v>
      </c>
      <c r="D2258" s="33">
        <v>2981</v>
      </c>
    </row>
    <row r="2259" spans="1:4" x14ac:dyDescent="0.15">
      <c r="A2259" s="32">
        <v>35217</v>
      </c>
      <c r="B2259" s="33" t="s">
        <v>31</v>
      </c>
      <c r="C2259" s="33" t="s">
        <v>27</v>
      </c>
      <c r="D2259" s="33">
        <v>249</v>
      </c>
    </row>
    <row r="2260" spans="1:4" x14ac:dyDescent="0.15">
      <c r="A2260" s="32">
        <v>35217</v>
      </c>
      <c r="B2260" s="33" t="s">
        <v>21</v>
      </c>
      <c r="C2260" s="33" t="s">
        <v>30</v>
      </c>
      <c r="D2260" s="33">
        <v>7</v>
      </c>
    </row>
    <row r="2261" spans="1:4" x14ac:dyDescent="0.15">
      <c r="A2261" s="32">
        <v>35217</v>
      </c>
      <c r="B2261" s="33" t="s">
        <v>21</v>
      </c>
      <c r="C2261" s="33" t="s">
        <v>30</v>
      </c>
      <c r="D2261" s="33">
        <v>9</v>
      </c>
    </row>
    <row r="2262" spans="1:4" x14ac:dyDescent="0.15">
      <c r="A2262" s="32">
        <v>35217</v>
      </c>
      <c r="B2262" s="33" t="s">
        <v>28</v>
      </c>
      <c r="C2262" s="33" t="s">
        <v>30</v>
      </c>
      <c r="D2262" s="33">
        <v>203</v>
      </c>
    </row>
    <row r="2263" spans="1:4" x14ac:dyDescent="0.15">
      <c r="A2263" s="32">
        <v>35217</v>
      </c>
      <c r="B2263" s="33" t="s">
        <v>26</v>
      </c>
      <c r="C2263" s="33" t="s">
        <v>30</v>
      </c>
      <c r="D2263" s="33">
        <v>83</v>
      </c>
    </row>
    <row r="2264" spans="1:4" x14ac:dyDescent="0.15">
      <c r="A2264" s="32">
        <v>35217</v>
      </c>
      <c r="B2264" s="33" t="s">
        <v>29</v>
      </c>
      <c r="C2264" s="33" t="s">
        <v>30</v>
      </c>
      <c r="D2264" s="33">
        <v>88</v>
      </c>
    </row>
    <row r="2265" spans="1:4" x14ac:dyDescent="0.15">
      <c r="A2265" s="32">
        <v>35217</v>
      </c>
      <c r="B2265" s="33" t="s">
        <v>29</v>
      </c>
      <c r="C2265" s="33" t="s">
        <v>30</v>
      </c>
      <c r="D2265" s="33">
        <v>90</v>
      </c>
    </row>
    <row r="2266" spans="1:4" x14ac:dyDescent="0.15">
      <c r="A2266" s="32">
        <v>35217</v>
      </c>
      <c r="B2266" s="33" t="s">
        <v>26</v>
      </c>
      <c r="C2266" s="33" t="s">
        <v>30</v>
      </c>
      <c r="D2266" s="33">
        <v>101</v>
      </c>
    </row>
    <row r="2267" spans="1:4" x14ac:dyDescent="0.15">
      <c r="A2267" s="32">
        <v>35217</v>
      </c>
      <c r="B2267" s="33" t="s">
        <v>31</v>
      </c>
      <c r="C2267" s="33" t="s">
        <v>30</v>
      </c>
      <c r="D2267" s="33">
        <v>105</v>
      </c>
    </row>
    <row r="2268" spans="1:4" x14ac:dyDescent="0.15">
      <c r="A2268" s="32">
        <v>35217</v>
      </c>
      <c r="B2268" s="33" t="s">
        <v>28</v>
      </c>
      <c r="C2268" s="33" t="s">
        <v>30</v>
      </c>
      <c r="D2268" s="33">
        <v>105</v>
      </c>
    </row>
    <row r="2269" spans="1:4" x14ac:dyDescent="0.15">
      <c r="A2269" s="32">
        <v>35217</v>
      </c>
      <c r="B2269" s="33" t="s">
        <v>28</v>
      </c>
      <c r="C2269" s="33" t="s">
        <v>30</v>
      </c>
      <c r="D2269" s="33">
        <v>138</v>
      </c>
    </row>
    <row r="2270" spans="1:4" x14ac:dyDescent="0.15">
      <c r="A2270" s="32">
        <v>35217</v>
      </c>
      <c r="B2270" s="33" t="s">
        <v>29</v>
      </c>
      <c r="C2270" s="33" t="s">
        <v>30</v>
      </c>
      <c r="D2270" s="33">
        <v>69</v>
      </c>
    </row>
    <row r="2271" spans="1:4" x14ac:dyDescent="0.15">
      <c r="A2271" s="32">
        <v>35217</v>
      </c>
      <c r="B2271" s="33" t="s">
        <v>31</v>
      </c>
      <c r="C2271" s="33" t="s">
        <v>30</v>
      </c>
      <c r="D2271" s="33">
        <v>306</v>
      </c>
    </row>
    <row r="2272" spans="1:4" x14ac:dyDescent="0.15">
      <c r="A2272" s="32">
        <v>35217</v>
      </c>
      <c r="B2272" s="33" t="s">
        <v>33</v>
      </c>
      <c r="C2272" s="33" t="s">
        <v>30</v>
      </c>
      <c r="D2272" s="33">
        <v>641</v>
      </c>
    </row>
    <row r="2273" spans="1:4" x14ac:dyDescent="0.15">
      <c r="A2273" s="32">
        <v>35217</v>
      </c>
      <c r="B2273" s="33" t="s">
        <v>33</v>
      </c>
      <c r="C2273" s="33" t="s">
        <v>30</v>
      </c>
      <c r="D2273" s="33">
        <v>679</v>
      </c>
    </row>
    <row r="2274" spans="1:4" x14ac:dyDescent="0.15">
      <c r="A2274" s="32">
        <v>35217</v>
      </c>
      <c r="B2274" s="33" t="s">
        <v>26</v>
      </c>
      <c r="C2274" s="33" t="s">
        <v>30</v>
      </c>
      <c r="D2274" s="33">
        <v>719</v>
      </c>
    </row>
    <row r="2275" spans="1:4" x14ac:dyDescent="0.15">
      <c r="A2275" s="32">
        <v>35217</v>
      </c>
      <c r="B2275" s="33" t="s">
        <v>31</v>
      </c>
      <c r="C2275" s="33" t="s">
        <v>30</v>
      </c>
      <c r="D2275" s="33">
        <v>1020</v>
      </c>
    </row>
    <row r="2276" spans="1:4" x14ac:dyDescent="0.15">
      <c r="A2276" s="32">
        <v>35217</v>
      </c>
      <c r="B2276" s="33" t="s">
        <v>28</v>
      </c>
      <c r="C2276" s="33" t="s">
        <v>30</v>
      </c>
      <c r="D2276" s="33">
        <v>158</v>
      </c>
    </row>
    <row r="2277" spans="1:4" x14ac:dyDescent="0.15">
      <c r="A2277" s="32">
        <v>35217</v>
      </c>
      <c r="B2277" s="33" t="s">
        <v>26</v>
      </c>
      <c r="C2277" s="33" t="s">
        <v>30</v>
      </c>
      <c r="D2277" s="33">
        <v>44</v>
      </c>
    </row>
    <row r="2278" spans="1:4" x14ac:dyDescent="0.15">
      <c r="A2278" s="32">
        <v>35217</v>
      </c>
      <c r="B2278" s="33" t="s">
        <v>21</v>
      </c>
      <c r="C2278" s="33" t="s">
        <v>30</v>
      </c>
      <c r="D2278" s="33">
        <v>33</v>
      </c>
    </row>
    <row r="2279" spans="1:4" x14ac:dyDescent="0.15">
      <c r="A2279" s="32">
        <v>35217</v>
      </c>
      <c r="B2279" s="33" t="s">
        <v>31</v>
      </c>
      <c r="C2279" s="33" t="s">
        <v>30</v>
      </c>
      <c r="D2279" s="33">
        <v>34</v>
      </c>
    </row>
    <row r="2280" spans="1:4" x14ac:dyDescent="0.15">
      <c r="A2280" s="32">
        <v>35217</v>
      </c>
      <c r="B2280" s="33" t="s">
        <v>29</v>
      </c>
      <c r="C2280" s="33" t="s">
        <v>30</v>
      </c>
      <c r="D2280" s="33">
        <v>35</v>
      </c>
    </row>
    <row r="2281" spans="1:4" x14ac:dyDescent="0.15">
      <c r="A2281" s="32">
        <v>35217</v>
      </c>
      <c r="B2281" s="33" t="s">
        <v>29</v>
      </c>
      <c r="C2281" s="33" t="s">
        <v>30</v>
      </c>
      <c r="D2281" s="33">
        <v>35</v>
      </c>
    </row>
    <row r="2282" spans="1:4" x14ac:dyDescent="0.15">
      <c r="A2282" s="32">
        <v>35217</v>
      </c>
      <c r="B2282" s="33" t="s">
        <v>21</v>
      </c>
      <c r="C2282" s="33" t="s">
        <v>30</v>
      </c>
      <c r="D2282" s="33">
        <v>41</v>
      </c>
    </row>
    <row r="2283" spans="1:4" x14ac:dyDescent="0.15">
      <c r="A2283" s="32">
        <v>35217</v>
      </c>
      <c r="B2283" s="33" t="s">
        <v>31</v>
      </c>
      <c r="C2283" s="33" t="s">
        <v>30</v>
      </c>
      <c r="D2283" s="33">
        <v>83</v>
      </c>
    </row>
    <row r="2284" spans="1:4" x14ac:dyDescent="0.15">
      <c r="A2284" s="32">
        <v>35217</v>
      </c>
      <c r="B2284" s="33" t="s">
        <v>26</v>
      </c>
      <c r="C2284" s="33" t="s">
        <v>30</v>
      </c>
      <c r="D2284" s="33">
        <v>42</v>
      </c>
    </row>
    <row r="2285" spans="1:4" x14ac:dyDescent="0.15">
      <c r="A2285" s="32">
        <v>35217</v>
      </c>
      <c r="B2285" s="33" t="s">
        <v>28</v>
      </c>
      <c r="C2285" s="33" t="s">
        <v>30</v>
      </c>
      <c r="D2285" s="33">
        <v>18</v>
      </c>
    </row>
    <row r="2286" spans="1:4" x14ac:dyDescent="0.15">
      <c r="A2286" s="32">
        <v>35217</v>
      </c>
      <c r="B2286" s="33" t="s">
        <v>21</v>
      </c>
      <c r="C2286" s="33" t="s">
        <v>30</v>
      </c>
      <c r="D2286" s="33">
        <v>44</v>
      </c>
    </row>
    <row r="2287" spans="1:4" x14ac:dyDescent="0.15">
      <c r="A2287" s="32">
        <v>35217</v>
      </c>
      <c r="B2287" s="33" t="s">
        <v>26</v>
      </c>
      <c r="C2287" s="33" t="s">
        <v>30</v>
      </c>
      <c r="D2287" s="33">
        <v>44</v>
      </c>
    </row>
    <row r="2288" spans="1:4" x14ac:dyDescent="0.15">
      <c r="A2288" s="32">
        <v>35217</v>
      </c>
      <c r="B2288" s="33" t="s">
        <v>29</v>
      </c>
      <c r="C2288" s="33" t="s">
        <v>30</v>
      </c>
      <c r="D2288" s="33">
        <v>50</v>
      </c>
    </row>
    <row r="2289" spans="1:4" x14ac:dyDescent="0.15">
      <c r="A2289" s="32">
        <v>35217</v>
      </c>
      <c r="B2289" s="33" t="s">
        <v>21</v>
      </c>
      <c r="C2289" s="33" t="s">
        <v>30</v>
      </c>
      <c r="D2289" s="33">
        <v>68</v>
      </c>
    </row>
    <row r="2290" spans="1:4" x14ac:dyDescent="0.15">
      <c r="A2290" s="32">
        <v>35217</v>
      </c>
      <c r="B2290" s="33" t="s">
        <v>31</v>
      </c>
      <c r="C2290" s="33" t="s">
        <v>30</v>
      </c>
      <c r="D2290" s="33">
        <v>1319</v>
      </c>
    </row>
    <row r="2291" spans="1:4" x14ac:dyDescent="0.15">
      <c r="A2291" s="32">
        <v>35217</v>
      </c>
      <c r="B2291" s="33" t="s">
        <v>33</v>
      </c>
      <c r="C2291" s="33" t="s">
        <v>30</v>
      </c>
      <c r="D2291" s="33">
        <v>1565</v>
      </c>
    </row>
    <row r="2292" spans="1:4" x14ac:dyDescent="0.15">
      <c r="A2292" s="32">
        <v>35247</v>
      </c>
      <c r="B2292" s="33" t="s">
        <v>29</v>
      </c>
      <c r="C2292" s="33" t="s">
        <v>22</v>
      </c>
      <c r="D2292" s="33">
        <v>428</v>
      </c>
    </row>
    <row r="2293" spans="1:4" x14ac:dyDescent="0.15">
      <c r="A2293" s="32">
        <v>35247</v>
      </c>
      <c r="B2293" s="33" t="s">
        <v>29</v>
      </c>
      <c r="C2293" s="33" t="s">
        <v>22</v>
      </c>
      <c r="D2293" s="33">
        <v>72</v>
      </c>
    </row>
    <row r="2294" spans="1:4" x14ac:dyDescent="0.15">
      <c r="A2294" s="32">
        <v>35247</v>
      </c>
      <c r="B2294" s="33" t="s">
        <v>28</v>
      </c>
      <c r="C2294" s="33" t="s">
        <v>22</v>
      </c>
      <c r="D2294" s="33">
        <v>83</v>
      </c>
    </row>
    <row r="2295" spans="1:4" x14ac:dyDescent="0.15">
      <c r="A2295" s="32">
        <v>35247</v>
      </c>
      <c r="B2295" s="33" t="s">
        <v>31</v>
      </c>
      <c r="C2295" s="33" t="s">
        <v>22</v>
      </c>
      <c r="D2295" s="33">
        <v>124</v>
      </c>
    </row>
    <row r="2296" spans="1:4" x14ac:dyDescent="0.15">
      <c r="A2296" s="32">
        <v>35247</v>
      </c>
      <c r="B2296" s="33" t="s">
        <v>29</v>
      </c>
      <c r="C2296" s="33" t="s">
        <v>22</v>
      </c>
      <c r="D2296" s="33">
        <v>158</v>
      </c>
    </row>
    <row r="2297" spans="1:4" x14ac:dyDescent="0.15">
      <c r="A2297" s="32">
        <v>35247</v>
      </c>
      <c r="B2297" s="33" t="s">
        <v>28</v>
      </c>
      <c r="C2297" s="33" t="s">
        <v>22</v>
      </c>
      <c r="D2297" s="33">
        <v>203</v>
      </c>
    </row>
    <row r="2298" spans="1:4" x14ac:dyDescent="0.15">
      <c r="A2298" s="32">
        <v>35247</v>
      </c>
      <c r="B2298" s="33" t="s">
        <v>26</v>
      </c>
      <c r="C2298" s="33" t="s">
        <v>22</v>
      </c>
      <c r="D2298" s="33">
        <v>203</v>
      </c>
    </row>
    <row r="2299" spans="1:4" x14ac:dyDescent="0.15">
      <c r="A2299" s="32">
        <v>35247</v>
      </c>
      <c r="B2299" s="33" t="s">
        <v>26</v>
      </c>
      <c r="C2299" s="33" t="s">
        <v>22</v>
      </c>
      <c r="D2299" s="33">
        <v>220</v>
      </c>
    </row>
    <row r="2300" spans="1:4" x14ac:dyDescent="0.15">
      <c r="A2300" s="32">
        <v>35247</v>
      </c>
      <c r="B2300" s="33" t="s">
        <v>31</v>
      </c>
      <c r="C2300" s="33" t="s">
        <v>22</v>
      </c>
      <c r="D2300" s="33">
        <v>1061</v>
      </c>
    </row>
    <row r="2301" spans="1:4" x14ac:dyDescent="0.15">
      <c r="A2301" s="32">
        <v>35247</v>
      </c>
      <c r="B2301" s="33" t="s">
        <v>29</v>
      </c>
      <c r="C2301" s="33" t="s">
        <v>22</v>
      </c>
      <c r="D2301" s="33">
        <v>385</v>
      </c>
    </row>
    <row r="2302" spans="1:4" x14ac:dyDescent="0.15">
      <c r="A2302" s="32">
        <v>35247</v>
      </c>
      <c r="B2302" s="33" t="s">
        <v>21</v>
      </c>
      <c r="C2302" s="33" t="s">
        <v>22</v>
      </c>
      <c r="D2302" s="33">
        <v>494</v>
      </c>
    </row>
    <row r="2303" spans="1:4" x14ac:dyDescent="0.15">
      <c r="A2303" s="32">
        <v>35247</v>
      </c>
      <c r="B2303" s="33" t="s">
        <v>21</v>
      </c>
      <c r="C2303" s="33" t="s">
        <v>22</v>
      </c>
      <c r="D2303" s="33">
        <v>506</v>
      </c>
    </row>
    <row r="2304" spans="1:4" x14ac:dyDescent="0.15">
      <c r="A2304" s="32">
        <v>35247</v>
      </c>
      <c r="B2304" s="33" t="s">
        <v>26</v>
      </c>
      <c r="C2304" s="33" t="s">
        <v>22</v>
      </c>
      <c r="D2304" s="33">
        <v>655</v>
      </c>
    </row>
    <row r="2305" spans="1:4" x14ac:dyDescent="0.15">
      <c r="A2305" s="32">
        <v>35247</v>
      </c>
      <c r="B2305" s="33" t="s">
        <v>21</v>
      </c>
      <c r="C2305" s="33" t="s">
        <v>22</v>
      </c>
      <c r="D2305" s="33">
        <v>678</v>
      </c>
    </row>
    <row r="2306" spans="1:4" x14ac:dyDescent="0.15">
      <c r="A2306" s="32">
        <v>35247</v>
      </c>
      <c r="B2306" s="33" t="s">
        <v>33</v>
      </c>
      <c r="C2306" s="33" t="s">
        <v>22</v>
      </c>
      <c r="D2306" s="33">
        <v>776</v>
      </c>
    </row>
    <row r="2307" spans="1:4" x14ac:dyDescent="0.15">
      <c r="A2307" s="32">
        <v>35247</v>
      </c>
      <c r="B2307" s="33" t="s">
        <v>31</v>
      </c>
      <c r="C2307" s="33" t="s">
        <v>22</v>
      </c>
      <c r="D2307" s="33">
        <v>829</v>
      </c>
    </row>
    <row r="2308" spans="1:4" x14ac:dyDescent="0.15">
      <c r="A2308" s="32">
        <v>35247</v>
      </c>
      <c r="B2308" s="33" t="s">
        <v>28</v>
      </c>
      <c r="C2308" s="33" t="s">
        <v>22</v>
      </c>
      <c r="D2308" s="33">
        <v>304</v>
      </c>
    </row>
    <row r="2309" spans="1:4" x14ac:dyDescent="0.15">
      <c r="A2309" s="32">
        <v>35247</v>
      </c>
      <c r="B2309" s="33" t="s">
        <v>26</v>
      </c>
      <c r="C2309" s="33" t="s">
        <v>22</v>
      </c>
      <c r="D2309" s="33">
        <v>56</v>
      </c>
    </row>
    <row r="2310" spans="1:4" x14ac:dyDescent="0.15">
      <c r="A2310" s="32">
        <v>35247</v>
      </c>
      <c r="B2310" s="33" t="s">
        <v>28</v>
      </c>
      <c r="C2310" s="33" t="s">
        <v>22</v>
      </c>
      <c r="D2310" s="33">
        <v>1529</v>
      </c>
    </row>
    <row r="2311" spans="1:4" x14ac:dyDescent="0.15">
      <c r="A2311" s="32">
        <v>35247</v>
      </c>
      <c r="B2311" s="33" t="s">
        <v>21</v>
      </c>
      <c r="C2311" s="33" t="s">
        <v>22</v>
      </c>
      <c r="D2311" s="33">
        <v>1681</v>
      </c>
    </row>
    <row r="2312" spans="1:4" x14ac:dyDescent="0.15">
      <c r="A2312" s="32">
        <v>35247</v>
      </c>
      <c r="B2312" s="33" t="s">
        <v>33</v>
      </c>
      <c r="C2312" s="33" t="s">
        <v>22</v>
      </c>
      <c r="D2312" s="33">
        <v>1932</v>
      </c>
    </row>
    <row r="2313" spans="1:4" x14ac:dyDescent="0.15">
      <c r="A2313" s="32">
        <v>35247</v>
      </c>
      <c r="B2313" s="33" t="s">
        <v>31</v>
      </c>
      <c r="C2313" s="33" t="s">
        <v>22</v>
      </c>
      <c r="D2313" s="33">
        <v>2414</v>
      </c>
    </row>
    <row r="2314" spans="1:4" x14ac:dyDescent="0.15">
      <c r="A2314" s="32">
        <v>35247</v>
      </c>
      <c r="B2314" s="33" t="s">
        <v>28</v>
      </c>
      <c r="C2314" s="33" t="s">
        <v>23</v>
      </c>
      <c r="D2314" s="33">
        <v>203</v>
      </c>
    </row>
    <row r="2315" spans="1:4" x14ac:dyDescent="0.15">
      <c r="A2315" s="32">
        <v>35247</v>
      </c>
      <c r="B2315" s="33" t="s">
        <v>21</v>
      </c>
      <c r="C2315" s="33" t="s">
        <v>23</v>
      </c>
      <c r="D2315" s="33">
        <v>646</v>
      </c>
    </row>
    <row r="2316" spans="1:4" x14ac:dyDescent="0.15">
      <c r="A2316" s="32">
        <v>35247</v>
      </c>
      <c r="B2316" s="33" t="s">
        <v>28</v>
      </c>
      <c r="C2316" s="33" t="s">
        <v>23</v>
      </c>
      <c r="D2316" s="33">
        <v>459</v>
      </c>
    </row>
    <row r="2317" spans="1:4" x14ac:dyDescent="0.15">
      <c r="A2317" s="32">
        <v>35247</v>
      </c>
      <c r="B2317" s="33" t="s">
        <v>26</v>
      </c>
      <c r="C2317" s="33" t="s">
        <v>23</v>
      </c>
      <c r="D2317" s="33">
        <v>620</v>
      </c>
    </row>
    <row r="2318" spans="1:4" x14ac:dyDescent="0.15">
      <c r="A2318" s="32">
        <v>35247</v>
      </c>
      <c r="B2318" s="33" t="s">
        <v>29</v>
      </c>
      <c r="C2318" s="33" t="s">
        <v>23</v>
      </c>
      <c r="D2318" s="33">
        <v>426</v>
      </c>
    </row>
    <row r="2319" spans="1:4" x14ac:dyDescent="0.15">
      <c r="A2319" s="32">
        <v>35247</v>
      </c>
      <c r="B2319" s="33" t="s">
        <v>31</v>
      </c>
      <c r="C2319" s="33" t="s">
        <v>23</v>
      </c>
      <c r="D2319" s="33">
        <v>648</v>
      </c>
    </row>
    <row r="2320" spans="1:4" x14ac:dyDescent="0.15">
      <c r="A2320" s="32">
        <v>35247</v>
      </c>
      <c r="B2320" s="33" t="s">
        <v>31</v>
      </c>
      <c r="C2320" s="33" t="s">
        <v>23</v>
      </c>
      <c r="D2320" s="33">
        <v>158</v>
      </c>
    </row>
    <row r="2321" spans="1:4" x14ac:dyDescent="0.15">
      <c r="A2321" s="32">
        <v>35247</v>
      </c>
      <c r="B2321" s="33" t="s">
        <v>26</v>
      </c>
      <c r="C2321" s="33" t="s">
        <v>23</v>
      </c>
      <c r="D2321" s="33">
        <v>146</v>
      </c>
    </row>
    <row r="2322" spans="1:4" x14ac:dyDescent="0.15">
      <c r="A2322" s="32">
        <v>35247</v>
      </c>
      <c r="B2322" s="33" t="s">
        <v>31</v>
      </c>
      <c r="C2322" s="33" t="s">
        <v>23</v>
      </c>
      <c r="D2322" s="33">
        <v>158</v>
      </c>
    </row>
    <row r="2323" spans="1:4" x14ac:dyDescent="0.15">
      <c r="A2323" s="32">
        <v>35247</v>
      </c>
      <c r="B2323" s="33" t="s">
        <v>26</v>
      </c>
      <c r="C2323" s="33" t="s">
        <v>23</v>
      </c>
      <c r="D2323" s="33">
        <v>88</v>
      </c>
    </row>
    <row r="2324" spans="1:4" x14ac:dyDescent="0.15">
      <c r="A2324" s="32">
        <v>35247</v>
      </c>
      <c r="B2324" s="33" t="s">
        <v>21</v>
      </c>
      <c r="C2324" s="33" t="s">
        <v>23</v>
      </c>
      <c r="D2324" s="33">
        <v>239</v>
      </c>
    </row>
    <row r="2325" spans="1:4" x14ac:dyDescent="0.15">
      <c r="A2325" s="32">
        <v>35247</v>
      </c>
      <c r="B2325" s="33" t="s">
        <v>33</v>
      </c>
      <c r="C2325" s="33" t="s">
        <v>23</v>
      </c>
      <c r="D2325" s="33">
        <v>655</v>
      </c>
    </row>
    <row r="2326" spans="1:4" x14ac:dyDescent="0.15">
      <c r="A2326" s="32">
        <v>35247</v>
      </c>
      <c r="B2326" s="33" t="s">
        <v>29</v>
      </c>
      <c r="C2326" s="33" t="s">
        <v>23</v>
      </c>
      <c r="D2326" s="33">
        <v>245</v>
      </c>
    </row>
    <row r="2327" spans="1:4" x14ac:dyDescent="0.15">
      <c r="A2327" s="32">
        <v>35247</v>
      </c>
      <c r="B2327" s="33" t="s">
        <v>21</v>
      </c>
      <c r="C2327" s="33" t="s">
        <v>23</v>
      </c>
      <c r="D2327" s="33">
        <v>238</v>
      </c>
    </row>
    <row r="2328" spans="1:4" x14ac:dyDescent="0.15">
      <c r="A2328" s="32">
        <v>35247</v>
      </c>
      <c r="B2328" s="33" t="s">
        <v>28</v>
      </c>
      <c r="C2328" s="33" t="s">
        <v>23</v>
      </c>
      <c r="D2328" s="33">
        <v>236</v>
      </c>
    </row>
    <row r="2329" spans="1:4" x14ac:dyDescent="0.15">
      <c r="A2329" s="32">
        <v>35247</v>
      </c>
      <c r="B2329" s="33" t="s">
        <v>31</v>
      </c>
      <c r="C2329" s="33" t="s">
        <v>23</v>
      </c>
      <c r="D2329" s="33">
        <v>917</v>
      </c>
    </row>
    <row r="2330" spans="1:4" x14ac:dyDescent="0.15">
      <c r="A2330" s="32">
        <v>35247</v>
      </c>
      <c r="B2330" s="33" t="s">
        <v>26</v>
      </c>
      <c r="C2330" s="33" t="s">
        <v>23</v>
      </c>
      <c r="D2330" s="33">
        <v>228</v>
      </c>
    </row>
    <row r="2331" spans="1:4" x14ac:dyDescent="0.15">
      <c r="A2331" s="32">
        <v>35247</v>
      </c>
      <c r="B2331" s="33" t="s">
        <v>33</v>
      </c>
      <c r="C2331" s="33" t="s">
        <v>23</v>
      </c>
      <c r="D2331" s="33">
        <v>1534</v>
      </c>
    </row>
    <row r="2332" spans="1:4" x14ac:dyDescent="0.15">
      <c r="A2332" s="32">
        <v>35247</v>
      </c>
      <c r="B2332" s="33" t="s">
        <v>21</v>
      </c>
      <c r="C2332" s="33" t="s">
        <v>23</v>
      </c>
      <c r="D2332" s="33">
        <v>1292</v>
      </c>
    </row>
    <row r="2333" spans="1:4" x14ac:dyDescent="0.15">
      <c r="A2333" s="32">
        <v>35247</v>
      </c>
      <c r="B2333" s="33" t="s">
        <v>29</v>
      </c>
      <c r="C2333" s="33" t="s">
        <v>23</v>
      </c>
      <c r="D2333" s="33">
        <v>354</v>
      </c>
    </row>
    <row r="2334" spans="1:4" x14ac:dyDescent="0.15">
      <c r="A2334" s="32">
        <v>35247</v>
      </c>
      <c r="B2334" s="33" t="s">
        <v>29</v>
      </c>
      <c r="C2334" s="33" t="s">
        <v>23</v>
      </c>
      <c r="D2334" s="33">
        <v>257</v>
      </c>
    </row>
    <row r="2335" spans="1:4" x14ac:dyDescent="0.15">
      <c r="A2335" s="32">
        <v>35247</v>
      </c>
      <c r="B2335" s="33" t="s">
        <v>28</v>
      </c>
      <c r="C2335" s="33" t="s">
        <v>23</v>
      </c>
      <c r="D2335" s="33">
        <v>315</v>
      </c>
    </row>
    <row r="2336" spans="1:4" x14ac:dyDescent="0.15">
      <c r="A2336" s="32">
        <v>35247</v>
      </c>
      <c r="B2336" s="33" t="s">
        <v>21</v>
      </c>
      <c r="C2336" s="33" t="s">
        <v>32</v>
      </c>
      <c r="D2336" s="33">
        <v>101</v>
      </c>
    </row>
    <row r="2337" spans="1:4" x14ac:dyDescent="0.15">
      <c r="A2337" s="32">
        <v>35247</v>
      </c>
      <c r="B2337" s="33" t="s">
        <v>26</v>
      </c>
      <c r="C2337" s="33" t="s">
        <v>32</v>
      </c>
      <c r="D2337" s="33">
        <v>1845</v>
      </c>
    </row>
    <row r="2338" spans="1:4" x14ac:dyDescent="0.15">
      <c r="A2338" s="32">
        <v>35247</v>
      </c>
      <c r="B2338" s="33" t="s">
        <v>33</v>
      </c>
      <c r="C2338" s="33" t="s">
        <v>32</v>
      </c>
      <c r="D2338" s="33">
        <v>1271</v>
      </c>
    </row>
    <row r="2339" spans="1:4" x14ac:dyDescent="0.15">
      <c r="A2339" s="32">
        <v>35247</v>
      </c>
      <c r="B2339" s="33" t="s">
        <v>29</v>
      </c>
      <c r="C2339" s="33" t="s">
        <v>32</v>
      </c>
      <c r="D2339" s="33">
        <v>45</v>
      </c>
    </row>
    <row r="2340" spans="1:4" x14ac:dyDescent="0.15">
      <c r="A2340" s="32">
        <v>35247</v>
      </c>
      <c r="B2340" s="33" t="s">
        <v>31</v>
      </c>
      <c r="C2340" s="33" t="s">
        <v>32</v>
      </c>
      <c r="D2340" s="33">
        <v>79</v>
      </c>
    </row>
    <row r="2341" spans="1:4" x14ac:dyDescent="0.15">
      <c r="A2341" s="32">
        <v>35247</v>
      </c>
      <c r="B2341" s="33" t="s">
        <v>29</v>
      </c>
      <c r="C2341" s="33" t="s">
        <v>32</v>
      </c>
      <c r="D2341" s="33">
        <v>68</v>
      </c>
    </row>
    <row r="2342" spans="1:4" x14ac:dyDescent="0.15">
      <c r="A2342" s="32">
        <v>35247</v>
      </c>
      <c r="B2342" s="33" t="s">
        <v>31</v>
      </c>
      <c r="C2342" s="33" t="s">
        <v>32</v>
      </c>
      <c r="D2342" s="33">
        <v>225</v>
      </c>
    </row>
    <row r="2343" spans="1:4" x14ac:dyDescent="0.15">
      <c r="A2343" s="32">
        <v>35247</v>
      </c>
      <c r="B2343" s="33" t="s">
        <v>21</v>
      </c>
      <c r="C2343" s="33" t="s">
        <v>32</v>
      </c>
      <c r="D2343" s="33">
        <v>88</v>
      </c>
    </row>
    <row r="2344" spans="1:4" x14ac:dyDescent="0.15">
      <c r="A2344" s="32">
        <v>35247</v>
      </c>
      <c r="B2344" s="33" t="s">
        <v>28</v>
      </c>
      <c r="C2344" s="33" t="s">
        <v>32</v>
      </c>
      <c r="D2344" s="33">
        <v>420</v>
      </c>
    </row>
    <row r="2345" spans="1:4" x14ac:dyDescent="0.15">
      <c r="A2345" s="32">
        <v>35247</v>
      </c>
      <c r="B2345" s="33" t="s">
        <v>28</v>
      </c>
      <c r="C2345" s="33" t="s">
        <v>32</v>
      </c>
      <c r="D2345" s="33">
        <v>434</v>
      </c>
    </row>
    <row r="2346" spans="1:4" x14ac:dyDescent="0.15">
      <c r="A2346" s="32">
        <v>35247</v>
      </c>
      <c r="B2346" s="33" t="s">
        <v>29</v>
      </c>
      <c r="C2346" s="33" t="s">
        <v>32</v>
      </c>
      <c r="D2346" s="33">
        <v>193</v>
      </c>
    </row>
    <row r="2347" spans="1:4" x14ac:dyDescent="0.15">
      <c r="A2347" s="32">
        <v>35247</v>
      </c>
      <c r="B2347" s="33" t="s">
        <v>26</v>
      </c>
      <c r="C2347" s="33" t="s">
        <v>32</v>
      </c>
      <c r="D2347" s="33">
        <v>175</v>
      </c>
    </row>
    <row r="2348" spans="1:4" x14ac:dyDescent="0.15">
      <c r="A2348" s="32">
        <v>35247</v>
      </c>
      <c r="B2348" s="33" t="s">
        <v>29</v>
      </c>
      <c r="C2348" s="33" t="s">
        <v>32</v>
      </c>
      <c r="D2348" s="33">
        <v>172</v>
      </c>
    </row>
    <row r="2349" spans="1:4" x14ac:dyDescent="0.15">
      <c r="A2349" s="32">
        <v>35247</v>
      </c>
      <c r="B2349" s="33" t="s">
        <v>21</v>
      </c>
      <c r="C2349" s="33" t="s">
        <v>32</v>
      </c>
      <c r="D2349" s="33">
        <v>239</v>
      </c>
    </row>
    <row r="2350" spans="1:4" x14ac:dyDescent="0.15">
      <c r="A2350" s="32">
        <v>35247</v>
      </c>
      <c r="B2350" s="33" t="s">
        <v>26</v>
      </c>
      <c r="C2350" s="33" t="s">
        <v>32</v>
      </c>
      <c r="D2350" s="33">
        <v>214</v>
      </c>
    </row>
    <row r="2351" spans="1:4" x14ac:dyDescent="0.15">
      <c r="A2351" s="32">
        <v>35247</v>
      </c>
      <c r="B2351" s="33" t="s">
        <v>28</v>
      </c>
      <c r="C2351" s="33" t="s">
        <v>32</v>
      </c>
      <c r="D2351" s="33">
        <v>270</v>
      </c>
    </row>
    <row r="2352" spans="1:4" x14ac:dyDescent="0.15">
      <c r="A2352" s="32">
        <v>35247</v>
      </c>
      <c r="B2352" s="33" t="s">
        <v>28</v>
      </c>
      <c r="C2352" s="33" t="s">
        <v>32</v>
      </c>
      <c r="D2352" s="33">
        <v>338</v>
      </c>
    </row>
    <row r="2353" spans="1:4" x14ac:dyDescent="0.15">
      <c r="A2353" s="32">
        <v>35247</v>
      </c>
      <c r="B2353" s="33" t="s">
        <v>31</v>
      </c>
      <c r="C2353" s="33" t="s">
        <v>32</v>
      </c>
      <c r="D2353" s="33">
        <v>124</v>
      </c>
    </row>
    <row r="2354" spans="1:4" x14ac:dyDescent="0.15">
      <c r="A2354" s="32">
        <v>35247</v>
      </c>
      <c r="B2354" s="33" t="s">
        <v>21</v>
      </c>
      <c r="C2354" s="33" t="s">
        <v>32</v>
      </c>
      <c r="D2354" s="33">
        <v>42</v>
      </c>
    </row>
    <row r="2355" spans="1:4" x14ac:dyDescent="0.15">
      <c r="A2355" s="32">
        <v>35247</v>
      </c>
      <c r="B2355" s="33" t="s">
        <v>31</v>
      </c>
      <c r="C2355" s="33" t="s">
        <v>32</v>
      </c>
      <c r="D2355" s="33">
        <v>140</v>
      </c>
    </row>
    <row r="2356" spans="1:4" x14ac:dyDescent="0.15">
      <c r="A2356" s="32">
        <v>35247</v>
      </c>
      <c r="B2356" s="33" t="s">
        <v>26</v>
      </c>
      <c r="C2356" s="33" t="s">
        <v>32</v>
      </c>
      <c r="D2356" s="33">
        <v>123</v>
      </c>
    </row>
    <row r="2357" spans="1:4" x14ac:dyDescent="0.15">
      <c r="A2357" s="32">
        <v>35247</v>
      </c>
      <c r="B2357" s="33" t="s">
        <v>33</v>
      </c>
      <c r="C2357" s="33" t="s">
        <v>32</v>
      </c>
      <c r="D2357" s="33">
        <v>792</v>
      </c>
    </row>
    <row r="2358" spans="1:4" x14ac:dyDescent="0.15">
      <c r="A2358" s="32">
        <v>35247</v>
      </c>
      <c r="B2358" s="33" t="s">
        <v>26</v>
      </c>
      <c r="C2358" s="33" t="s">
        <v>24</v>
      </c>
      <c r="D2358" s="33">
        <v>158</v>
      </c>
    </row>
    <row r="2359" spans="1:4" x14ac:dyDescent="0.15">
      <c r="A2359" s="32">
        <v>35247</v>
      </c>
      <c r="B2359" s="33" t="s">
        <v>26</v>
      </c>
      <c r="C2359" s="33" t="s">
        <v>24</v>
      </c>
      <c r="D2359" s="33">
        <v>184</v>
      </c>
    </row>
    <row r="2360" spans="1:4" x14ac:dyDescent="0.15">
      <c r="A2360" s="32">
        <v>35247</v>
      </c>
      <c r="B2360" s="33" t="s">
        <v>21</v>
      </c>
      <c r="C2360" s="33" t="s">
        <v>24</v>
      </c>
      <c r="D2360" s="33">
        <v>113</v>
      </c>
    </row>
    <row r="2361" spans="1:4" x14ac:dyDescent="0.15">
      <c r="A2361" s="32">
        <v>35247</v>
      </c>
      <c r="B2361" s="33" t="s">
        <v>26</v>
      </c>
      <c r="C2361" s="33" t="s">
        <v>24</v>
      </c>
      <c r="D2361" s="33">
        <v>140</v>
      </c>
    </row>
    <row r="2362" spans="1:4" x14ac:dyDescent="0.15">
      <c r="A2362" s="32">
        <v>35247</v>
      </c>
      <c r="B2362" s="33" t="s">
        <v>26</v>
      </c>
      <c r="C2362" s="33" t="s">
        <v>24</v>
      </c>
      <c r="D2362" s="33">
        <v>248</v>
      </c>
    </row>
    <row r="2363" spans="1:4" x14ac:dyDescent="0.15">
      <c r="A2363" s="32">
        <v>35247</v>
      </c>
      <c r="B2363" s="33" t="s">
        <v>26</v>
      </c>
      <c r="C2363" s="33" t="s">
        <v>24</v>
      </c>
      <c r="D2363" s="33">
        <v>206</v>
      </c>
    </row>
    <row r="2364" spans="1:4" x14ac:dyDescent="0.15">
      <c r="A2364" s="32">
        <v>35247</v>
      </c>
      <c r="B2364" s="33" t="s">
        <v>21</v>
      </c>
      <c r="C2364" s="33" t="s">
        <v>24</v>
      </c>
      <c r="D2364" s="33">
        <v>77</v>
      </c>
    </row>
    <row r="2365" spans="1:4" x14ac:dyDescent="0.15">
      <c r="A2365" s="32">
        <v>35247</v>
      </c>
      <c r="B2365" s="33" t="s">
        <v>26</v>
      </c>
      <c r="C2365" s="33" t="s">
        <v>24</v>
      </c>
      <c r="D2365" s="33">
        <v>79</v>
      </c>
    </row>
    <row r="2366" spans="1:4" x14ac:dyDescent="0.15">
      <c r="A2366" s="32">
        <v>35247</v>
      </c>
      <c r="B2366" s="33" t="s">
        <v>21</v>
      </c>
      <c r="C2366" s="33" t="s">
        <v>24</v>
      </c>
      <c r="D2366" s="33">
        <v>2058</v>
      </c>
    </row>
    <row r="2367" spans="1:4" x14ac:dyDescent="0.15">
      <c r="A2367" s="32">
        <v>35247</v>
      </c>
      <c r="B2367" s="33" t="s">
        <v>21</v>
      </c>
      <c r="C2367" s="33" t="s">
        <v>24</v>
      </c>
      <c r="D2367" s="33">
        <v>110</v>
      </c>
    </row>
    <row r="2368" spans="1:4" x14ac:dyDescent="0.15">
      <c r="A2368" s="32">
        <v>35247</v>
      </c>
      <c r="B2368" s="33" t="s">
        <v>21</v>
      </c>
      <c r="C2368" s="33" t="s">
        <v>24</v>
      </c>
      <c r="D2368" s="33">
        <v>2560</v>
      </c>
    </row>
    <row r="2369" spans="1:4" x14ac:dyDescent="0.15">
      <c r="A2369" s="32">
        <v>35247</v>
      </c>
      <c r="B2369" s="33" t="s">
        <v>21</v>
      </c>
      <c r="C2369" s="33" t="s">
        <v>24</v>
      </c>
      <c r="D2369" s="33">
        <v>27</v>
      </c>
    </row>
    <row r="2370" spans="1:4" x14ac:dyDescent="0.15">
      <c r="A2370" s="32">
        <v>35247</v>
      </c>
      <c r="B2370" s="33" t="s">
        <v>21</v>
      </c>
      <c r="C2370" s="33" t="s">
        <v>25</v>
      </c>
      <c r="D2370" s="33">
        <v>158</v>
      </c>
    </row>
    <row r="2371" spans="1:4" x14ac:dyDescent="0.15">
      <c r="A2371" s="32">
        <v>35247</v>
      </c>
      <c r="B2371" s="33" t="s">
        <v>31</v>
      </c>
      <c r="C2371" s="33" t="s">
        <v>25</v>
      </c>
      <c r="D2371" s="33">
        <v>158</v>
      </c>
    </row>
    <row r="2372" spans="1:4" x14ac:dyDescent="0.15">
      <c r="A2372" s="32">
        <v>35247</v>
      </c>
      <c r="B2372" s="33" t="s">
        <v>28</v>
      </c>
      <c r="C2372" s="33" t="s">
        <v>25</v>
      </c>
      <c r="D2372" s="33">
        <v>158</v>
      </c>
    </row>
    <row r="2373" spans="1:4" x14ac:dyDescent="0.15">
      <c r="A2373" s="32">
        <v>35247</v>
      </c>
      <c r="B2373" s="33" t="s">
        <v>31</v>
      </c>
      <c r="C2373" s="33" t="s">
        <v>25</v>
      </c>
      <c r="D2373" s="33">
        <v>210</v>
      </c>
    </row>
    <row r="2374" spans="1:4" x14ac:dyDescent="0.15">
      <c r="A2374" s="32">
        <v>35247</v>
      </c>
      <c r="B2374" s="33" t="s">
        <v>29</v>
      </c>
      <c r="C2374" s="33" t="s">
        <v>25</v>
      </c>
      <c r="D2374" s="33">
        <v>42</v>
      </c>
    </row>
    <row r="2375" spans="1:4" x14ac:dyDescent="0.15">
      <c r="A2375" s="32">
        <v>35247</v>
      </c>
      <c r="B2375" s="33" t="s">
        <v>28</v>
      </c>
      <c r="C2375" s="33" t="s">
        <v>25</v>
      </c>
      <c r="D2375" s="33">
        <v>210</v>
      </c>
    </row>
    <row r="2376" spans="1:4" x14ac:dyDescent="0.15">
      <c r="A2376" s="32">
        <v>35247</v>
      </c>
      <c r="B2376" s="33" t="s">
        <v>21</v>
      </c>
      <c r="C2376" s="33" t="s">
        <v>25</v>
      </c>
      <c r="D2376" s="33">
        <v>140</v>
      </c>
    </row>
    <row r="2377" spans="1:4" x14ac:dyDescent="0.15">
      <c r="A2377" s="32">
        <v>35247</v>
      </c>
      <c r="B2377" s="33" t="s">
        <v>29</v>
      </c>
      <c r="C2377" s="33" t="s">
        <v>25</v>
      </c>
      <c r="D2377" s="33">
        <v>99</v>
      </c>
    </row>
    <row r="2378" spans="1:4" x14ac:dyDescent="0.15">
      <c r="A2378" s="32">
        <v>35247</v>
      </c>
      <c r="B2378" s="33" t="s">
        <v>29</v>
      </c>
      <c r="C2378" s="33" t="s">
        <v>25</v>
      </c>
      <c r="D2378" s="33">
        <v>124</v>
      </c>
    </row>
    <row r="2379" spans="1:4" x14ac:dyDescent="0.15">
      <c r="A2379" s="32">
        <v>35247</v>
      </c>
      <c r="B2379" s="33" t="s">
        <v>29</v>
      </c>
      <c r="C2379" s="33" t="s">
        <v>25</v>
      </c>
      <c r="D2379" s="33">
        <v>123</v>
      </c>
    </row>
    <row r="2380" spans="1:4" x14ac:dyDescent="0.15">
      <c r="A2380" s="32">
        <v>35247</v>
      </c>
      <c r="B2380" s="33" t="s">
        <v>31</v>
      </c>
      <c r="C2380" s="33" t="s">
        <v>25</v>
      </c>
      <c r="D2380" s="33">
        <v>113</v>
      </c>
    </row>
    <row r="2381" spans="1:4" x14ac:dyDescent="0.15">
      <c r="A2381" s="32">
        <v>35247</v>
      </c>
      <c r="B2381" s="33" t="s">
        <v>28</v>
      </c>
      <c r="C2381" s="33" t="s">
        <v>25</v>
      </c>
      <c r="D2381" s="33">
        <v>459</v>
      </c>
    </row>
    <row r="2382" spans="1:4" x14ac:dyDescent="0.15">
      <c r="A2382" s="32">
        <v>35247</v>
      </c>
      <c r="B2382" s="33" t="s">
        <v>21</v>
      </c>
      <c r="C2382" s="33" t="s">
        <v>25</v>
      </c>
      <c r="D2382" s="33">
        <v>637</v>
      </c>
    </row>
    <row r="2383" spans="1:4" x14ac:dyDescent="0.15">
      <c r="A2383" s="32">
        <v>35247</v>
      </c>
      <c r="B2383" s="33" t="s">
        <v>26</v>
      </c>
      <c r="C2383" s="33" t="s">
        <v>25</v>
      </c>
      <c r="D2383" s="33">
        <v>437</v>
      </c>
    </row>
    <row r="2384" spans="1:4" x14ac:dyDescent="0.15">
      <c r="A2384" s="32">
        <v>35247</v>
      </c>
      <c r="B2384" s="33" t="s">
        <v>31</v>
      </c>
      <c r="C2384" s="33" t="s">
        <v>25</v>
      </c>
      <c r="D2384" s="33">
        <v>540</v>
      </c>
    </row>
    <row r="2385" spans="1:4" x14ac:dyDescent="0.15">
      <c r="A2385" s="32">
        <v>35247</v>
      </c>
      <c r="B2385" s="33" t="s">
        <v>28</v>
      </c>
      <c r="C2385" s="33" t="s">
        <v>25</v>
      </c>
      <c r="D2385" s="33">
        <v>464</v>
      </c>
    </row>
    <row r="2386" spans="1:4" x14ac:dyDescent="0.15">
      <c r="A2386" s="32">
        <v>35247</v>
      </c>
      <c r="B2386" s="33" t="s">
        <v>33</v>
      </c>
      <c r="C2386" s="33" t="s">
        <v>25</v>
      </c>
      <c r="D2386" s="33">
        <v>560</v>
      </c>
    </row>
    <row r="2387" spans="1:4" x14ac:dyDescent="0.15">
      <c r="A2387" s="32">
        <v>35247</v>
      </c>
      <c r="B2387" s="33" t="s">
        <v>26</v>
      </c>
      <c r="C2387" s="33" t="s">
        <v>25</v>
      </c>
      <c r="D2387" s="33">
        <v>581</v>
      </c>
    </row>
    <row r="2388" spans="1:4" x14ac:dyDescent="0.15">
      <c r="A2388" s="32">
        <v>35247</v>
      </c>
      <c r="B2388" s="33" t="s">
        <v>26</v>
      </c>
      <c r="C2388" s="33" t="s">
        <v>25</v>
      </c>
      <c r="D2388" s="33">
        <v>697</v>
      </c>
    </row>
    <row r="2389" spans="1:4" x14ac:dyDescent="0.15">
      <c r="A2389" s="32">
        <v>35247</v>
      </c>
      <c r="B2389" s="33" t="s">
        <v>26</v>
      </c>
      <c r="C2389" s="33" t="s">
        <v>25</v>
      </c>
      <c r="D2389" s="33">
        <v>495</v>
      </c>
    </row>
    <row r="2390" spans="1:4" x14ac:dyDescent="0.15">
      <c r="A2390" s="32">
        <v>35247</v>
      </c>
      <c r="B2390" s="33" t="s">
        <v>33</v>
      </c>
      <c r="C2390" s="33" t="s">
        <v>25</v>
      </c>
      <c r="D2390" s="33">
        <v>371</v>
      </c>
    </row>
    <row r="2391" spans="1:4" x14ac:dyDescent="0.15">
      <c r="A2391" s="32">
        <v>35247</v>
      </c>
      <c r="B2391" s="33" t="s">
        <v>21</v>
      </c>
      <c r="C2391" s="33" t="s">
        <v>25</v>
      </c>
      <c r="D2391" s="33">
        <v>383</v>
      </c>
    </row>
    <row r="2392" spans="1:4" x14ac:dyDescent="0.15">
      <c r="A2392" s="32">
        <v>35247</v>
      </c>
      <c r="B2392" s="33" t="s">
        <v>26</v>
      </c>
      <c r="C2392" s="33" t="s">
        <v>27</v>
      </c>
      <c r="D2392" s="33">
        <v>1444</v>
      </c>
    </row>
    <row r="2393" spans="1:4" x14ac:dyDescent="0.15">
      <c r="A2393" s="32">
        <v>35247</v>
      </c>
      <c r="B2393" s="33" t="s">
        <v>29</v>
      </c>
      <c r="C2393" s="33" t="s">
        <v>27</v>
      </c>
      <c r="D2393" s="33">
        <v>102</v>
      </c>
    </row>
    <row r="2394" spans="1:4" x14ac:dyDescent="0.15">
      <c r="A2394" s="32">
        <v>35247</v>
      </c>
      <c r="B2394" s="33" t="s">
        <v>21</v>
      </c>
      <c r="C2394" s="33" t="s">
        <v>27</v>
      </c>
      <c r="D2394" s="33">
        <v>44</v>
      </c>
    </row>
    <row r="2395" spans="1:4" x14ac:dyDescent="0.15">
      <c r="A2395" s="32">
        <v>35247</v>
      </c>
      <c r="B2395" s="33" t="s">
        <v>21</v>
      </c>
      <c r="C2395" s="33" t="s">
        <v>27</v>
      </c>
      <c r="D2395" s="33">
        <v>46</v>
      </c>
    </row>
    <row r="2396" spans="1:4" x14ac:dyDescent="0.15">
      <c r="A2396" s="32">
        <v>35247</v>
      </c>
      <c r="B2396" s="33" t="s">
        <v>21</v>
      </c>
      <c r="C2396" s="33" t="s">
        <v>27</v>
      </c>
      <c r="D2396" s="33">
        <v>56</v>
      </c>
    </row>
    <row r="2397" spans="1:4" x14ac:dyDescent="0.15">
      <c r="A2397" s="32">
        <v>35247</v>
      </c>
      <c r="B2397" s="33" t="s">
        <v>28</v>
      </c>
      <c r="C2397" s="33" t="s">
        <v>27</v>
      </c>
      <c r="D2397" s="33">
        <v>63</v>
      </c>
    </row>
    <row r="2398" spans="1:4" x14ac:dyDescent="0.15">
      <c r="A2398" s="32">
        <v>35247</v>
      </c>
      <c r="B2398" s="33" t="s">
        <v>26</v>
      </c>
      <c r="C2398" s="33" t="s">
        <v>27</v>
      </c>
      <c r="D2398" s="33">
        <v>1928</v>
      </c>
    </row>
    <row r="2399" spans="1:4" x14ac:dyDescent="0.15">
      <c r="A2399" s="32">
        <v>35247</v>
      </c>
      <c r="B2399" s="33" t="s">
        <v>29</v>
      </c>
      <c r="C2399" s="33" t="s">
        <v>27</v>
      </c>
      <c r="D2399" s="33">
        <v>79</v>
      </c>
    </row>
    <row r="2400" spans="1:4" x14ac:dyDescent="0.15">
      <c r="A2400" s="32">
        <v>35247</v>
      </c>
      <c r="B2400" s="33" t="s">
        <v>28</v>
      </c>
      <c r="C2400" s="33" t="s">
        <v>27</v>
      </c>
      <c r="D2400" s="33">
        <v>1716</v>
      </c>
    </row>
    <row r="2401" spans="1:4" x14ac:dyDescent="0.15">
      <c r="A2401" s="32">
        <v>35247</v>
      </c>
      <c r="B2401" s="33" t="s">
        <v>29</v>
      </c>
      <c r="C2401" s="33" t="s">
        <v>27</v>
      </c>
      <c r="D2401" s="33">
        <v>108</v>
      </c>
    </row>
    <row r="2402" spans="1:4" x14ac:dyDescent="0.15">
      <c r="A2402" s="32">
        <v>35247</v>
      </c>
      <c r="B2402" s="33" t="s">
        <v>33</v>
      </c>
      <c r="C2402" s="33" t="s">
        <v>27</v>
      </c>
      <c r="D2402" s="33">
        <v>124</v>
      </c>
    </row>
    <row r="2403" spans="1:4" x14ac:dyDescent="0.15">
      <c r="A2403" s="32">
        <v>35247</v>
      </c>
      <c r="B2403" s="33" t="s">
        <v>29</v>
      </c>
      <c r="C2403" s="33" t="s">
        <v>27</v>
      </c>
      <c r="D2403" s="33">
        <v>135</v>
      </c>
    </row>
    <row r="2404" spans="1:4" x14ac:dyDescent="0.15">
      <c r="A2404" s="32">
        <v>35247</v>
      </c>
      <c r="B2404" s="33" t="s">
        <v>31</v>
      </c>
      <c r="C2404" s="33" t="s">
        <v>27</v>
      </c>
      <c r="D2404" s="33">
        <v>146</v>
      </c>
    </row>
    <row r="2405" spans="1:4" x14ac:dyDescent="0.15">
      <c r="A2405" s="32">
        <v>35247</v>
      </c>
      <c r="B2405" s="33" t="s">
        <v>31</v>
      </c>
      <c r="C2405" s="33" t="s">
        <v>27</v>
      </c>
      <c r="D2405" s="33">
        <v>175</v>
      </c>
    </row>
    <row r="2406" spans="1:4" x14ac:dyDescent="0.15">
      <c r="A2406" s="32">
        <v>35247</v>
      </c>
      <c r="B2406" s="33" t="s">
        <v>31</v>
      </c>
      <c r="C2406" s="33" t="s">
        <v>27</v>
      </c>
      <c r="D2406" s="33">
        <v>249</v>
      </c>
    </row>
    <row r="2407" spans="1:4" x14ac:dyDescent="0.15">
      <c r="A2407" s="32">
        <v>35247</v>
      </c>
      <c r="B2407" s="33" t="s">
        <v>28</v>
      </c>
      <c r="C2407" s="33" t="s">
        <v>27</v>
      </c>
      <c r="D2407" s="33">
        <v>298</v>
      </c>
    </row>
    <row r="2408" spans="1:4" x14ac:dyDescent="0.15">
      <c r="A2408" s="32">
        <v>35247</v>
      </c>
      <c r="B2408" s="33" t="s">
        <v>26</v>
      </c>
      <c r="C2408" s="33" t="s">
        <v>27</v>
      </c>
      <c r="D2408" s="33">
        <v>356</v>
      </c>
    </row>
    <row r="2409" spans="1:4" x14ac:dyDescent="0.15">
      <c r="A2409" s="32">
        <v>35247</v>
      </c>
      <c r="B2409" s="33" t="s">
        <v>33</v>
      </c>
      <c r="C2409" s="33" t="s">
        <v>27</v>
      </c>
      <c r="D2409" s="33">
        <v>476</v>
      </c>
    </row>
    <row r="2410" spans="1:4" x14ac:dyDescent="0.15">
      <c r="A2410" s="32">
        <v>35247</v>
      </c>
      <c r="B2410" s="33" t="s">
        <v>26</v>
      </c>
      <c r="C2410" s="33" t="s">
        <v>27</v>
      </c>
      <c r="D2410" s="33">
        <v>536</v>
      </c>
    </row>
    <row r="2411" spans="1:4" x14ac:dyDescent="0.15">
      <c r="A2411" s="32">
        <v>35247</v>
      </c>
      <c r="B2411" s="33" t="s">
        <v>21</v>
      </c>
      <c r="C2411" s="33" t="s">
        <v>27</v>
      </c>
      <c r="D2411" s="33">
        <v>590</v>
      </c>
    </row>
    <row r="2412" spans="1:4" x14ac:dyDescent="0.15">
      <c r="A2412" s="32">
        <v>35247</v>
      </c>
      <c r="B2412" s="33" t="s">
        <v>31</v>
      </c>
      <c r="C2412" s="33" t="s">
        <v>27</v>
      </c>
      <c r="D2412" s="33">
        <v>1258</v>
      </c>
    </row>
    <row r="2413" spans="1:4" x14ac:dyDescent="0.15">
      <c r="A2413" s="32">
        <v>35247</v>
      </c>
      <c r="B2413" s="33" t="s">
        <v>28</v>
      </c>
      <c r="C2413" s="33" t="s">
        <v>27</v>
      </c>
      <c r="D2413" s="33">
        <v>72</v>
      </c>
    </row>
    <row r="2414" spans="1:4" x14ac:dyDescent="0.15">
      <c r="A2414" s="32">
        <v>35247</v>
      </c>
      <c r="B2414" s="33" t="s">
        <v>33</v>
      </c>
      <c r="C2414" s="33" t="s">
        <v>30</v>
      </c>
      <c r="D2414" s="33">
        <v>1689</v>
      </c>
    </row>
    <row r="2415" spans="1:4" x14ac:dyDescent="0.15">
      <c r="A2415" s="32">
        <v>35247</v>
      </c>
      <c r="B2415" s="33" t="s">
        <v>31</v>
      </c>
      <c r="C2415" s="33" t="s">
        <v>30</v>
      </c>
      <c r="D2415" s="33">
        <v>1532</v>
      </c>
    </row>
    <row r="2416" spans="1:4" x14ac:dyDescent="0.15">
      <c r="A2416" s="32">
        <v>35247</v>
      </c>
      <c r="B2416" s="33" t="s">
        <v>31</v>
      </c>
      <c r="C2416" s="33" t="s">
        <v>30</v>
      </c>
      <c r="D2416" s="33">
        <v>1023</v>
      </c>
    </row>
    <row r="2417" spans="1:4" x14ac:dyDescent="0.15">
      <c r="A2417" s="32">
        <v>35247</v>
      </c>
      <c r="B2417" s="33" t="s">
        <v>31</v>
      </c>
      <c r="C2417" s="33" t="s">
        <v>30</v>
      </c>
      <c r="D2417" s="33">
        <v>351</v>
      </c>
    </row>
    <row r="2418" spans="1:4" x14ac:dyDescent="0.15">
      <c r="A2418" s="32">
        <v>35247</v>
      </c>
      <c r="B2418" s="33" t="s">
        <v>29</v>
      </c>
      <c r="C2418" s="33" t="s">
        <v>30</v>
      </c>
      <c r="D2418" s="33">
        <v>143</v>
      </c>
    </row>
    <row r="2419" spans="1:4" x14ac:dyDescent="0.15">
      <c r="A2419" s="32">
        <v>35247</v>
      </c>
      <c r="B2419" s="33" t="s">
        <v>33</v>
      </c>
      <c r="C2419" s="33" t="s">
        <v>30</v>
      </c>
      <c r="D2419" s="33">
        <v>782</v>
      </c>
    </row>
    <row r="2420" spans="1:4" x14ac:dyDescent="0.15">
      <c r="A2420" s="32">
        <v>35247</v>
      </c>
      <c r="B2420" s="33" t="s">
        <v>28</v>
      </c>
      <c r="C2420" s="33" t="s">
        <v>30</v>
      </c>
      <c r="D2420" s="33">
        <v>110</v>
      </c>
    </row>
    <row r="2421" spans="1:4" x14ac:dyDescent="0.15">
      <c r="A2421" s="32">
        <v>35247</v>
      </c>
      <c r="B2421" s="33" t="s">
        <v>26</v>
      </c>
      <c r="C2421" s="33" t="s">
        <v>30</v>
      </c>
      <c r="D2421" s="33">
        <v>714</v>
      </c>
    </row>
    <row r="2422" spans="1:4" x14ac:dyDescent="0.15">
      <c r="A2422" s="32">
        <v>35247</v>
      </c>
      <c r="B2422" s="33" t="s">
        <v>33</v>
      </c>
      <c r="C2422" s="33" t="s">
        <v>30</v>
      </c>
      <c r="D2422" s="33">
        <v>507</v>
      </c>
    </row>
    <row r="2423" spans="1:4" x14ac:dyDescent="0.15">
      <c r="A2423" s="32">
        <v>35247</v>
      </c>
      <c r="B2423" s="33" t="s">
        <v>28</v>
      </c>
      <c r="C2423" s="33" t="s">
        <v>30</v>
      </c>
      <c r="D2423" s="33">
        <v>248</v>
      </c>
    </row>
    <row r="2424" spans="1:4" x14ac:dyDescent="0.15">
      <c r="A2424" s="32">
        <v>35247</v>
      </c>
      <c r="B2424" s="33" t="s">
        <v>26</v>
      </c>
      <c r="C2424" s="33" t="s">
        <v>30</v>
      </c>
      <c r="D2424" s="33">
        <v>35</v>
      </c>
    </row>
    <row r="2425" spans="1:4" x14ac:dyDescent="0.15">
      <c r="A2425" s="32">
        <v>35247</v>
      </c>
      <c r="B2425" s="33" t="s">
        <v>29</v>
      </c>
      <c r="C2425" s="33" t="s">
        <v>30</v>
      </c>
      <c r="D2425" s="33">
        <v>39</v>
      </c>
    </row>
    <row r="2426" spans="1:4" x14ac:dyDescent="0.15">
      <c r="A2426" s="32">
        <v>35247</v>
      </c>
      <c r="B2426" s="33" t="s">
        <v>26</v>
      </c>
      <c r="C2426" s="33" t="s">
        <v>30</v>
      </c>
      <c r="D2426" s="33">
        <v>39</v>
      </c>
    </row>
    <row r="2427" spans="1:4" x14ac:dyDescent="0.15">
      <c r="A2427" s="32">
        <v>35247</v>
      </c>
      <c r="B2427" s="33" t="s">
        <v>21</v>
      </c>
      <c r="C2427" s="33" t="s">
        <v>30</v>
      </c>
      <c r="D2427" s="33">
        <v>39</v>
      </c>
    </row>
    <row r="2428" spans="1:4" x14ac:dyDescent="0.15">
      <c r="A2428" s="32">
        <v>35247</v>
      </c>
      <c r="B2428" s="33" t="s">
        <v>21</v>
      </c>
      <c r="C2428" s="33" t="s">
        <v>30</v>
      </c>
      <c r="D2428" s="33">
        <v>41</v>
      </c>
    </row>
    <row r="2429" spans="1:4" x14ac:dyDescent="0.15">
      <c r="A2429" s="32">
        <v>35247</v>
      </c>
      <c r="B2429" s="33" t="s">
        <v>26</v>
      </c>
      <c r="C2429" s="33" t="s">
        <v>30</v>
      </c>
      <c r="D2429" s="33">
        <v>42</v>
      </c>
    </row>
    <row r="2430" spans="1:4" x14ac:dyDescent="0.15">
      <c r="A2430" s="32">
        <v>35247</v>
      </c>
      <c r="B2430" s="33" t="s">
        <v>21</v>
      </c>
      <c r="C2430" s="33" t="s">
        <v>30</v>
      </c>
      <c r="D2430" s="33">
        <v>44</v>
      </c>
    </row>
    <row r="2431" spans="1:4" x14ac:dyDescent="0.15">
      <c r="A2431" s="32">
        <v>35247</v>
      </c>
      <c r="B2431" s="33" t="s">
        <v>21</v>
      </c>
      <c r="C2431" s="33" t="s">
        <v>30</v>
      </c>
      <c r="D2431" s="33">
        <v>56</v>
      </c>
    </row>
    <row r="2432" spans="1:4" x14ac:dyDescent="0.15">
      <c r="A2432" s="32">
        <v>35247</v>
      </c>
      <c r="B2432" s="33" t="s">
        <v>29</v>
      </c>
      <c r="C2432" s="33" t="s">
        <v>30</v>
      </c>
      <c r="D2432" s="33">
        <v>59</v>
      </c>
    </row>
    <row r="2433" spans="1:4" x14ac:dyDescent="0.15">
      <c r="A2433" s="32">
        <v>35247</v>
      </c>
      <c r="B2433" s="33" t="s">
        <v>28</v>
      </c>
      <c r="C2433" s="33" t="s">
        <v>30</v>
      </c>
      <c r="D2433" s="33">
        <v>114</v>
      </c>
    </row>
    <row r="2434" spans="1:4" x14ac:dyDescent="0.15">
      <c r="A2434" s="32">
        <v>35247</v>
      </c>
      <c r="B2434" s="33" t="s">
        <v>29</v>
      </c>
      <c r="C2434" s="33" t="s">
        <v>30</v>
      </c>
      <c r="D2434" s="33">
        <v>69</v>
      </c>
    </row>
    <row r="2435" spans="1:4" x14ac:dyDescent="0.15">
      <c r="A2435" s="32">
        <v>35247</v>
      </c>
      <c r="B2435" s="33" t="s">
        <v>31</v>
      </c>
      <c r="C2435" s="33" t="s">
        <v>30</v>
      </c>
      <c r="D2435" s="33">
        <v>79</v>
      </c>
    </row>
    <row r="2436" spans="1:4" x14ac:dyDescent="0.15">
      <c r="A2436" s="32">
        <v>35247</v>
      </c>
      <c r="B2436" s="33" t="s">
        <v>31</v>
      </c>
      <c r="C2436" s="33" t="s">
        <v>30</v>
      </c>
      <c r="D2436" s="33">
        <v>83</v>
      </c>
    </row>
    <row r="2437" spans="1:4" x14ac:dyDescent="0.15">
      <c r="A2437" s="32">
        <v>35247</v>
      </c>
      <c r="B2437" s="33" t="s">
        <v>26</v>
      </c>
      <c r="C2437" s="33" t="s">
        <v>30</v>
      </c>
      <c r="D2437" s="33">
        <v>96</v>
      </c>
    </row>
    <row r="2438" spans="1:4" x14ac:dyDescent="0.15">
      <c r="A2438" s="32">
        <v>35247</v>
      </c>
      <c r="B2438" s="33" t="s">
        <v>29</v>
      </c>
      <c r="C2438" s="33" t="s">
        <v>30</v>
      </c>
      <c r="D2438" s="33">
        <v>101</v>
      </c>
    </row>
    <row r="2439" spans="1:4" x14ac:dyDescent="0.15">
      <c r="A2439" s="32">
        <v>35247</v>
      </c>
      <c r="B2439" s="33" t="s">
        <v>26</v>
      </c>
      <c r="C2439" s="33" t="s">
        <v>30</v>
      </c>
      <c r="D2439" s="33">
        <v>113</v>
      </c>
    </row>
    <row r="2440" spans="1:4" x14ac:dyDescent="0.15">
      <c r="A2440" s="32">
        <v>35247</v>
      </c>
      <c r="B2440" s="33" t="s">
        <v>28</v>
      </c>
      <c r="C2440" s="33" t="s">
        <v>30</v>
      </c>
      <c r="D2440" s="33">
        <v>135</v>
      </c>
    </row>
    <row r="2441" spans="1:4" x14ac:dyDescent="0.15">
      <c r="A2441" s="32">
        <v>35247</v>
      </c>
      <c r="B2441" s="33" t="s">
        <v>29</v>
      </c>
      <c r="C2441" s="33" t="s">
        <v>30</v>
      </c>
      <c r="D2441" s="33">
        <v>35</v>
      </c>
    </row>
    <row r="2442" spans="1:4" x14ac:dyDescent="0.15">
      <c r="A2442" s="32">
        <v>35247</v>
      </c>
      <c r="B2442" s="33" t="s">
        <v>21</v>
      </c>
      <c r="C2442" s="33" t="s">
        <v>30</v>
      </c>
      <c r="D2442" s="33">
        <v>11</v>
      </c>
    </row>
    <row r="2443" spans="1:4" x14ac:dyDescent="0.15">
      <c r="A2443" s="32">
        <v>35247</v>
      </c>
      <c r="B2443" s="33" t="s">
        <v>21</v>
      </c>
      <c r="C2443" s="33" t="s">
        <v>30</v>
      </c>
      <c r="D2443" s="33">
        <v>14</v>
      </c>
    </row>
    <row r="2444" spans="1:4" x14ac:dyDescent="0.15">
      <c r="A2444" s="32">
        <v>35247</v>
      </c>
      <c r="B2444" s="33" t="s">
        <v>28</v>
      </c>
      <c r="C2444" s="33" t="s">
        <v>30</v>
      </c>
      <c r="D2444" s="33">
        <v>18</v>
      </c>
    </row>
    <row r="2445" spans="1:4" x14ac:dyDescent="0.15">
      <c r="A2445" s="32">
        <v>35247</v>
      </c>
      <c r="B2445" s="33" t="s">
        <v>31</v>
      </c>
      <c r="C2445" s="33" t="s">
        <v>30</v>
      </c>
      <c r="D2445" s="33">
        <v>26</v>
      </c>
    </row>
    <row r="2446" spans="1:4" x14ac:dyDescent="0.15">
      <c r="A2446" s="32">
        <v>35247</v>
      </c>
      <c r="B2446" s="33" t="s">
        <v>28</v>
      </c>
      <c r="C2446" s="33" t="s">
        <v>30</v>
      </c>
      <c r="D2446" s="33">
        <v>28</v>
      </c>
    </row>
    <row r="2447" spans="1:4" x14ac:dyDescent="0.15">
      <c r="A2447" s="32">
        <v>35278</v>
      </c>
      <c r="B2447" s="33" t="s">
        <v>21</v>
      </c>
      <c r="C2447" s="33" t="s">
        <v>22</v>
      </c>
      <c r="D2447" s="33">
        <v>694</v>
      </c>
    </row>
    <row r="2448" spans="1:4" x14ac:dyDescent="0.15">
      <c r="A2448" s="32">
        <v>35278</v>
      </c>
      <c r="B2448" s="33" t="s">
        <v>33</v>
      </c>
      <c r="C2448" s="33" t="s">
        <v>22</v>
      </c>
      <c r="D2448" s="33">
        <v>248</v>
      </c>
    </row>
    <row r="2449" spans="1:4" x14ac:dyDescent="0.15">
      <c r="A2449" s="32">
        <v>35278</v>
      </c>
      <c r="B2449" s="33" t="s">
        <v>33</v>
      </c>
      <c r="C2449" s="33" t="s">
        <v>22</v>
      </c>
      <c r="D2449" s="33">
        <v>248</v>
      </c>
    </row>
    <row r="2450" spans="1:4" x14ac:dyDescent="0.15">
      <c r="A2450" s="32">
        <v>35278</v>
      </c>
      <c r="B2450" s="33" t="s">
        <v>26</v>
      </c>
      <c r="C2450" s="33" t="s">
        <v>22</v>
      </c>
      <c r="D2450" s="33">
        <v>248</v>
      </c>
    </row>
    <row r="2451" spans="1:4" x14ac:dyDescent="0.15">
      <c r="A2451" s="32">
        <v>35278</v>
      </c>
      <c r="B2451" s="33" t="s">
        <v>33</v>
      </c>
      <c r="C2451" s="33" t="s">
        <v>22</v>
      </c>
      <c r="D2451" s="33">
        <v>304</v>
      </c>
    </row>
    <row r="2452" spans="1:4" x14ac:dyDescent="0.15">
      <c r="A2452" s="32">
        <v>35278</v>
      </c>
      <c r="B2452" s="33" t="s">
        <v>28</v>
      </c>
      <c r="C2452" s="33" t="s">
        <v>22</v>
      </c>
      <c r="D2452" s="33">
        <v>371</v>
      </c>
    </row>
    <row r="2453" spans="1:4" x14ac:dyDescent="0.15">
      <c r="A2453" s="32">
        <v>35278</v>
      </c>
      <c r="B2453" s="33" t="s">
        <v>26</v>
      </c>
      <c r="C2453" s="33" t="s">
        <v>22</v>
      </c>
      <c r="D2453" s="33">
        <v>383</v>
      </c>
    </row>
    <row r="2454" spans="1:4" x14ac:dyDescent="0.15">
      <c r="A2454" s="32">
        <v>35278</v>
      </c>
      <c r="B2454" s="33" t="s">
        <v>29</v>
      </c>
      <c r="C2454" s="33" t="s">
        <v>22</v>
      </c>
      <c r="D2454" s="33">
        <v>385</v>
      </c>
    </row>
    <row r="2455" spans="1:4" x14ac:dyDescent="0.15">
      <c r="A2455" s="32">
        <v>35278</v>
      </c>
      <c r="B2455" s="33" t="s">
        <v>29</v>
      </c>
      <c r="C2455" s="33" t="s">
        <v>22</v>
      </c>
      <c r="D2455" s="33">
        <v>414</v>
      </c>
    </row>
    <row r="2456" spans="1:4" x14ac:dyDescent="0.15">
      <c r="A2456" s="32">
        <v>35278</v>
      </c>
      <c r="B2456" s="33" t="s">
        <v>33</v>
      </c>
      <c r="C2456" s="33" t="s">
        <v>22</v>
      </c>
      <c r="D2456" s="33">
        <v>441</v>
      </c>
    </row>
    <row r="2457" spans="1:4" x14ac:dyDescent="0.15">
      <c r="A2457" s="32">
        <v>35278</v>
      </c>
      <c r="B2457" s="33" t="s">
        <v>31</v>
      </c>
      <c r="C2457" s="33" t="s">
        <v>22</v>
      </c>
      <c r="D2457" s="33">
        <v>761</v>
      </c>
    </row>
    <row r="2458" spans="1:4" x14ac:dyDescent="0.15">
      <c r="A2458" s="32">
        <v>35278</v>
      </c>
      <c r="B2458" s="33" t="s">
        <v>21</v>
      </c>
      <c r="C2458" s="33" t="s">
        <v>22</v>
      </c>
      <c r="D2458" s="33">
        <v>912</v>
      </c>
    </row>
    <row r="2459" spans="1:4" x14ac:dyDescent="0.15">
      <c r="A2459" s="32">
        <v>35278</v>
      </c>
      <c r="B2459" s="33" t="s">
        <v>28</v>
      </c>
      <c r="C2459" s="33" t="s">
        <v>22</v>
      </c>
      <c r="D2459" s="33">
        <v>980</v>
      </c>
    </row>
    <row r="2460" spans="1:4" x14ac:dyDescent="0.15">
      <c r="A2460" s="32">
        <v>35278</v>
      </c>
      <c r="B2460" s="33" t="s">
        <v>31</v>
      </c>
      <c r="C2460" s="33" t="s">
        <v>22</v>
      </c>
      <c r="D2460" s="33">
        <v>1351</v>
      </c>
    </row>
    <row r="2461" spans="1:4" x14ac:dyDescent="0.15">
      <c r="A2461" s="32">
        <v>35278</v>
      </c>
      <c r="B2461" s="33" t="s">
        <v>21</v>
      </c>
      <c r="C2461" s="33" t="s">
        <v>22</v>
      </c>
      <c r="D2461" s="33">
        <v>1906</v>
      </c>
    </row>
    <row r="2462" spans="1:4" x14ac:dyDescent="0.15">
      <c r="A2462" s="32">
        <v>35278</v>
      </c>
      <c r="B2462" s="33" t="s">
        <v>26</v>
      </c>
      <c r="C2462" s="33" t="s">
        <v>22</v>
      </c>
      <c r="D2462" s="33">
        <v>2003</v>
      </c>
    </row>
    <row r="2463" spans="1:4" x14ac:dyDescent="0.15">
      <c r="A2463" s="32">
        <v>35278</v>
      </c>
      <c r="B2463" s="33" t="s">
        <v>21</v>
      </c>
      <c r="C2463" s="33" t="s">
        <v>22</v>
      </c>
      <c r="D2463" s="33">
        <v>494</v>
      </c>
    </row>
    <row r="2464" spans="1:4" x14ac:dyDescent="0.15">
      <c r="A2464" s="32">
        <v>35278</v>
      </c>
      <c r="B2464" s="33" t="s">
        <v>29</v>
      </c>
      <c r="C2464" s="33" t="s">
        <v>22</v>
      </c>
      <c r="D2464" s="33">
        <v>146</v>
      </c>
    </row>
    <row r="2465" spans="1:4" x14ac:dyDescent="0.15">
      <c r="A2465" s="32">
        <v>35278</v>
      </c>
      <c r="B2465" s="33" t="s">
        <v>31</v>
      </c>
      <c r="C2465" s="33" t="s">
        <v>22</v>
      </c>
      <c r="D2465" s="33">
        <v>146</v>
      </c>
    </row>
    <row r="2466" spans="1:4" x14ac:dyDescent="0.15">
      <c r="A2466" s="32">
        <v>35278</v>
      </c>
      <c r="B2466" s="33" t="s">
        <v>28</v>
      </c>
      <c r="C2466" s="33" t="s">
        <v>22</v>
      </c>
      <c r="D2466" s="33">
        <v>83</v>
      </c>
    </row>
    <row r="2467" spans="1:4" x14ac:dyDescent="0.15">
      <c r="A2467" s="32">
        <v>35278</v>
      </c>
      <c r="B2467" s="33" t="s">
        <v>29</v>
      </c>
      <c r="C2467" s="33" t="s">
        <v>22</v>
      </c>
      <c r="D2467" s="33">
        <v>83</v>
      </c>
    </row>
    <row r="2468" spans="1:4" x14ac:dyDescent="0.15">
      <c r="A2468" s="32">
        <v>35278</v>
      </c>
      <c r="B2468" s="33" t="s">
        <v>26</v>
      </c>
      <c r="C2468" s="33" t="s">
        <v>22</v>
      </c>
      <c r="D2468" s="33">
        <v>68</v>
      </c>
    </row>
    <row r="2469" spans="1:4" x14ac:dyDescent="0.15">
      <c r="A2469" s="32">
        <v>35278</v>
      </c>
      <c r="B2469" s="33" t="s">
        <v>31</v>
      </c>
      <c r="C2469" s="33" t="s">
        <v>22</v>
      </c>
      <c r="D2469" s="33">
        <v>225</v>
      </c>
    </row>
    <row r="2470" spans="1:4" x14ac:dyDescent="0.15">
      <c r="A2470" s="32">
        <v>35278</v>
      </c>
      <c r="B2470" s="33" t="s">
        <v>28</v>
      </c>
      <c r="C2470" s="33" t="s">
        <v>22</v>
      </c>
      <c r="D2470" s="33">
        <v>203</v>
      </c>
    </row>
    <row r="2471" spans="1:4" x14ac:dyDescent="0.15">
      <c r="A2471" s="32">
        <v>35278</v>
      </c>
      <c r="B2471" s="33" t="s">
        <v>29</v>
      </c>
      <c r="C2471" s="33" t="s">
        <v>23</v>
      </c>
      <c r="D2471" s="33">
        <v>448</v>
      </c>
    </row>
    <row r="2472" spans="1:4" x14ac:dyDescent="0.15">
      <c r="A2472" s="32">
        <v>35278</v>
      </c>
      <c r="B2472" s="33" t="s">
        <v>31</v>
      </c>
      <c r="C2472" s="33" t="s">
        <v>23</v>
      </c>
      <c r="D2472" s="33">
        <v>146</v>
      </c>
    </row>
    <row r="2473" spans="1:4" x14ac:dyDescent="0.15">
      <c r="A2473" s="32">
        <v>35278</v>
      </c>
      <c r="B2473" s="33" t="s">
        <v>29</v>
      </c>
      <c r="C2473" s="33" t="s">
        <v>23</v>
      </c>
      <c r="D2473" s="33">
        <v>322</v>
      </c>
    </row>
    <row r="2474" spans="1:4" x14ac:dyDescent="0.15">
      <c r="A2474" s="32">
        <v>35278</v>
      </c>
      <c r="B2474" s="33" t="s">
        <v>31</v>
      </c>
      <c r="C2474" s="33" t="s">
        <v>23</v>
      </c>
      <c r="D2474" s="33">
        <v>560</v>
      </c>
    </row>
    <row r="2475" spans="1:4" x14ac:dyDescent="0.15">
      <c r="A2475" s="32">
        <v>35278</v>
      </c>
      <c r="B2475" s="33" t="s">
        <v>31</v>
      </c>
      <c r="C2475" s="33" t="s">
        <v>23</v>
      </c>
      <c r="D2475" s="33">
        <v>131</v>
      </c>
    </row>
    <row r="2476" spans="1:4" x14ac:dyDescent="0.15">
      <c r="A2476" s="32">
        <v>35278</v>
      </c>
      <c r="B2476" s="33" t="s">
        <v>21</v>
      </c>
      <c r="C2476" s="33" t="s">
        <v>23</v>
      </c>
      <c r="D2476" s="33">
        <v>293</v>
      </c>
    </row>
    <row r="2477" spans="1:4" x14ac:dyDescent="0.15">
      <c r="A2477" s="32">
        <v>35278</v>
      </c>
      <c r="B2477" s="33" t="s">
        <v>26</v>
      </c>
      <c r="C2477" s="33" t="s">
        <v>23</v>
      </c>
      <c r="D2477" s="33">
        <v>114</v>
      </c>
    </row>
    <row r="2478" spans="1:4" x14ac:dyDescent="0.15">
      <c r="A2478" s="32">
        <v>35278</v>
      </c>
      <c r="B2478" s="33" t="s">
        <v>33</v>
      </c>
      <c r="C2478" s="33" t="s">
        <v>23</v>
      </c>
      <c r="D2478" s="33">
        <v>263</v>
      </c>
    </row>
    <row r="2479" spans="1:4" x14ac:dyDescent="0.15">
      <c r="A2479" s="32">
        <v>35278</v>
      </c>
      <c r="B2479" s="33" t="s">
        <v>26</v>
      </c>
      <c r="C2479" s="33" t="s">
        <v>23</v>
      </c>
      <c r="D2479" s="33">
        <v>263</v>
      </c>
    </row>
    <row r="2480" spans="1:4" x14ac:dyDescent="0.15">
      <c r="A2480" s="32">
        <v>35278</v>
      </c>
      <c r="B2480" s="33" t="s">
        <v>28</v>
      </c>
      <c r="C2480" s="33" t="s">
        <v>23</v>
      </c>
      <c r="D2480" s="33">
        <v>203</v>
      </c>
    </row>
    <row r="2481" spans="1:4" x14ac:dyDescent="0.15">
      <c r="A2481" s="32">
        <v>35278</v>
      </c>
      <c r="B2481" s="33" t="s">
        <v>21</v>
      </c>
      <c r="C2481" s="33" t="s">
        <v>23</v>
      </c>
      <c r="D2481" s="33">
        <v>1366</v>
      </c>
    </row>
    <row r="2482" spans="1:4" x14ac:dyDescent="0.15">
      <c r="A2482" s="32">
        <v>35278</v>
      </c>
      <c r="B2482" s="33" t="s">
        <v>21</v>
      </c>
      <c r="C2482" s="33" t="s">
        <v>23</v>
      </c>
      <c r="D2482" s="33">
        <v>200</v>
      </c>
    </row>
    <row r="2483" spans="1:4" x14ac:dyDescent="0.15">
      <c r="A2483" s="32">
        <v>35278</v>
      </c>
      <c r="B2483" s="33" t="s">
        <v>28</v>
      </c>
      <c r="C2483" s="33" t="s">
        <v>23</v>
      </c>
      <c r="D2483" s="33">
        <v>371</v>
      </c>
    </row>
    <row r="2484" spans="1:4" x14ac:dyDescent="0.15">
      <c r="A2484" s="32">
        <v>35278</v>
      </c>
      <c r="B2484" s="33" t="s">
        <v>26</v>
      </c>
      <c r="C2484" s="33" t="s">
        <v>23</v>
      </c>
      <c r="D2484" s="33">
        <v>124</v>
      </c>
    </row>
    <row r="2485" spans="1:4" x14ac:dyDescent="0.15">
      <c r="A2485" s="32">
        <v>35278</v>
      </c>
      <c r="B2485" s="33" t="s">
        <v>28</v>
      </c>
      <c r="C2485" s="33" t="s">
        <v>23</v>
      </c>
      <c r="D2485" s="33">
        <v>184</v>
      </c>
    </row>
    <row r="2486" spans="1:4" x14ac:dyDescent="0.15">
      <c r="A2486" s="32">
        <v>35278</v>
      </c>
      <c r="B2486" s="33" t="s">
        <v>29</v>
      </c>
      <c r="C2486" s="33" t="s">
        <v>23</v>
      </c>
      <c r="D2486" s="33">
        <v>342</v>
      </c>
    </row>
    <row r="2487" spans="1:4" x14ac:dyDescent="0.15">
      <c r="A2487" s="32">
        <v>35278</v>
      </c>
      <c r="B2487" s="33" t="s">
        <v>33</v>
      </c>
      <c r="C2487" s="33" t="s">
        <v>23</v>
      </c>
      <c r="D2487" s="33">
        <v>426</v>
      </c>
    </row>
    <row r="2488" spans="1:4" x14ac:dyDescent="0.15">
      <c r="A2488" s="32">
        <v>35278</v>
      </c>
      <c r="B2488" s="33" t="s">
        <v>33</v>
      </c>
      <c r="C2488" s="33" t="s">
        <v>23</v>
      </c>
      <c r="D2488" s="33">
        <v>248</v>
      </c>
    </row>
    <row r="2489" spans="1:4" x14ac:dyDescent="0.15">
      <c r="A2489" s="32">
        <v>35278</v>
      </c>
      <c r="B2489" s="33" t="s">
        <v>29</v>
      </c>
      <c r="C2489" s="33" t="s">
        <v>23</v>
      </c>
      <c r="D2489" s="33">
        <v>228</v>
      </c>
    </row>
    <row r="2490" spans="1:4" x14ac:dyDescent="0.15">
      <c r="A2490" s="32">
        <v>35278</v>
      </c>
      <c r="B2490" s="33" t="s">
        <v>33</v>
      </c>
      <c r="C2490" s="33" t="s">
        <v>23</v>
      </c>
      <c r="D2490" s="33">
        <v>140</v>
      </c>
    </row>
    <row r="2491" spans="1:4" x14ac:dyDescent="0.15">
      <c r="A2491" s="32">
        <v>35278</v>
      </c>
      <c r="B2491" s="33" t="s">
        <v>26</v>
      </c>
      <c r="C2491" s="33" t="s">
        <v>23</v>
      </c>
      <c r="D2491" s="33">
        <v>770</v>
      </c>
    </row>
    <row r="2492" spans="1:4" x14ac:dyDescent="0.15">
      <c r="A2492" s="32">
        <v>35278</v>
      </c>
      <c r="B2492" s="33" t="s">
        <v>31</v>
      </c>
      <c r="C2492" s="33" t="s">
        <v>23</v>
      </c>
      <c r="D2492" s="33">
        <v>836</v>
      </c>
    </row>
    <row r="2493" spans="1:4" x14ac:dyDescent="0.15">
      <c r="A2493" s="32">
        <v>35278</v>
      </c>
      <c r="B2493" s="33" t="s">
        <v>28</v>
      </c>
      <c r="C2493" s="33" t="s">
        <v>23</v>
      </c>
      <c r="D2493" s="33">
        <v>210</v>
      </c>
    </row>
    <row r="2494" spans="1:4" x14ac:dyDescent="0.15">
      <c r="A2494" s="32">
        <v>35278</v>
      </c>
      <c r="B2494" s="33" t="s">
        <v>21</v>
      </c>
      <c r="C2494" s="33" t="s">
        <v>23</v>
      </c>
      <c r="D2494" s="33">
        <v>680</v>
      </c>
    </row>
    <row r="2495" spans="1:4" x14ac:dyDescent="0.15">
      <c r="A2495" s="32">
        <v>35278</v>
      </c>
      <c r="B2495" s="33" t="s">
        <v>28</v>
      </c>
      <c r="C2495" s="33" t="s">
        <v>32</v>
      </c>
      <c r="D2495" s="33">
        <v>473</v>
      </c>
    </row>
    <row r="2496" spans="1:4" x14ac:dyDescent="0.15">
      <c r="A2496" s="32">
        <v>35278</v>
      </c>
      <c r="B2496" s="33" t="s">
        <v>33</v>
      </c>
      <c r="C2496" s="33" t="s">
        <v>32</v>
      </c>
      <c r="D2496" s="33">
        <v>1785</v>
      </c>
    </row>
    <row r="2497" spans="1:4" x14ac:dyDescent="0.15">
      <c r="A2497" s="32">
        <v>35278</v>
      </c>
      <c r="B2497" s="33" t="s">
        <v>21</v>
      </c>
      <c r="C2497" s="33" t="s">
        <v>32</v>
      </c>
      <c r="D2497" s="33">
        <v>46</v>
      </c>
    </row>
    <row r="2498" spans="1:4" x14ac:dyDescent="0.15">
      <c r="A2498" s="32">
        <v>35278</v>
      </c>
      <c r="B2498" s="33" t="s">
        <v>26</v>
      </c>
      <c r="C2498" s="33" t="s">
        <v>32</v>
      </c>
      <c r="D2498" s="33">
        <v>184</v>
      </c>
    </row>
    <row r="2499" spans="1:4" x14ac:dyDescent="0.15">
      <c r="A2499" s="32">
        <v>35278</v>
      </c>
      <c r="B2499" s="33" t="s">
        <v>33</v>
      </c>
      <c r="C2499" s="33" t="s">
        <v>32</v>
      </c>
      <c r="D2499" s="33">
        <v>561</v>
      </c>
    </row>
    <row r="2500" spans="1:4" x14ac:dyDescent="0.15">
      <c r="A2500" s="32">
        <v>35278</v>
      </c>
      <c r="B2500" s="33" t="s">
        <v>31</v>
      </c>
      <c r="C2500" s="33" t="s">
        <v>32</v>
      </c>
      <c r="D2500" s="33">
        <v>61</v>
      </c>
    </row>
    <row r="2501" spans="1:4" x14ac:dyDescent="0.15">
      <c r="A2501" s="32">
        <v>35278</v>
      </c>
      <c r="B2501" s="33" t="s">
        <v>29</v>
      </c>
      <c r="C2501" s="33" t="s">
        <v>32</v>
      </c>
      <c r="D2501" s="33">
        <v>54</v>
      </c>
    </row>
    <row r="2502" spans="1:4" x14ac:dyDescent="0.15">
      <c r="A2502" s="32">
        <v>35278</v>
      </c>
      <c r="B2502" s="33" t="s">
        <v>28</v>
      </c>
      <c r="C2502" s="33" t="s">
        <v>32</v>
      </c>
      <c r="D2502" s="33">
        <v>722</v>
      </c>
    </row>
    <row r="2503" spans="1:4" x14ac:dyDescent="0.15">
      <c r="A2503" s="32">
        <v>35278</v>
      </c>
      <c r="B2503" s="33" t="s">
        <v>29</v>
      </c>
      <c r="C2503" s="33" t="s">
        <v>32</v>
      </c>
      <c r="D2503" s="33">
        <v>175</v>
      </c>
    </row>
    <row r="2504" spans="1:4" x14ac:dyDescent="0.15">
      <c r="A2504" s="32">
        <v>35278</v>
      </c>
      <c r="B2504" s="33" t="s">
        <v>29</v>
      </c>
      <c r="C2504" s="33" t="s">
        <v>32</v>
      </c>
      <c r="D2504" s="33">
        <v>56</v>
      </c>
    </row>
    <row r="2505" spans="1:4" x14ac:dyDescent="0.15">
      <c r="A2505" s="32">
        <v>35278</v>
      </c>
      <c r="B2505" s="33" t="s">
        <v>28</v>
      </c>
      <c r="C2505" s="33" t="s">
        <v>32</v>
      </c>
      <c r="D2505" s="33">
        <v>535</v>
      </c>
    </row>
    <row r="2506" spans="1:4" x14ac:dyDescent="0.15">
      <c r="A2506" s="32">
        <v>35278</v>
      </c>
      <c r="B2506" s="33" t="s">
        <v>26</v>
      </c>
      <c r="C2506" s="33" t="s">
        <v>32</v>
      </c>
      <c r="D2506" s="33">
        <v>175</v>
      </c>
    </row>
    <row r="2507" spans="1:4" x14ac:dyDescent="0.15">
      <c r="A2507" s="32">
        <v>35278</v>
      </c>
      <c r="B2507" s="33" t="s">
        <v>28</v>
      </c>
      <c r="C2507" s="33" t="s">
        <v>32</v>
      </c>
      <c r="D2507" s="33">
        <v>270</v>
      </c>
    </row>
    <row r="2508" spans="1:4" x14ac:dyDescent="0.15">
      <c r="A2508" s="32">
        <v>35278</v>
      </c>
      <c r="B2508" s="33" t="s">
        <v>21</v>
      </c>
      <c r="C2508" s="33" t="s">
        <v>32</v>
      </c>
      <c r="D2508" s="33">
        <v>101</v>
      </c>
    </row>
    <row r="2509" spans="1:4" x14ac:dyDescent="0.15">
      <c r="A2509" s="32">
        <v>35278</v>
      </c>
      <c r="B2509" s="33" t="s">
        <v>31</v>
      </c>
      <c r="C2509" s="33" t="s">
        <v>32</v>
      </c>
      <c r="D2509" s="33">
        <v>228</v>
      </c>
    </row>
    <row r="2510" spans="1:4" x14ac:dyDescent="0.15">
      <c r="A2510" s="32">
        <v>35278</v>
      </c>
      <c r="B2510" s="33" t="s">
        <v>21</v>
      </c>
      <c r="C2510" s="33" t="s">
        <v>32</v>
      </c>
      <c r="D2510" s="33">
        <v>70</v>
      </c>
    </row>
    <row r="2511" spans="1:4" x14ac:dyDescent="0.15">
      <c r="A2511" s="32">
        <v>35278</v>
      </c>
      <c r="B2511" s="33" t="s">
        <v>26</v>
      </c>
      <c r="C2511" s="33" t="s">
        <v>32</v>
      </c>
      <c r="D2511" s="33">
        <v>214</v>
      </c>
    </row>
    <row r="2512" spans="1:4" x14ac:dyDescent="0.15">
      <c r="A2512" s="32">
        <v>35278</v>
      </c>
      <c r="B2512" s="33" t="s">
        <v>21</v>
      </c>
      <c r="C2512" s="33" t="s">
        <v>32</v>
      </c>
      <c r="D2512" s="33">
        <v>392</v>
      </c>
    </row>
    <row r="2513" spans="1:4" x14ac:dyDescent="0.15">
      <c r="A2513" s="32">
        <v>35278</v>
      </c>
      <c r="B2513" s="33" t="s">
        <v>29</v>
      </c>
      <c r="C2513" s="33" t="s">
        <v>32</v>
      </c>
      <c r="D2513" s="33">
        <v>196</v>
      </c>
    </row>
    <row r="2514" spans="1:4" x14ac:dyDescent="0.15">
      <c r="A2514" s="32">
        <v>35278</v>
      </c>
      <c r="B2514" s="33" t="s">
        <v>33</v>
      </c>
      <c r="C2514" s="33" t="s">
        <v>32</v>
      </c>
      <c r="D2514" s="33">
        <v>158</v>
      </c>
    </row>
    <row r="2515" spans="1:4" x14ac:dyDescent="0.15">
      <c r="A2515" s="32">
        <v>35278</v>
      </c>
      <c r="B2515" s="33" t="s">
        <v>31</v>
      </c>
      <c r="C2515" s="33" t="s">
        <v>32</v>
      </c>
      <c r="D2515" s="33">
        <v>113</v>
      </c>
    </row>
    <row r="2516" spans="1:4" x14ac:dyDescent="0.15">
      <c r="A2516" s="32">
        <v>35278</v>
      </c>
      <c r="B2516" s="33" t="s">
        <v>31</v>
      </c>
      <c r="C2516" s="33" t="s">
        <v>32</v>
      </c>
      <c r="D2516" s="33">
        <v>203</v>
      </c>
    </row>
    <row r="2517" spans="1:4" x14ac:dyDescent="0.15">
      <c r="A2517" s="32">
        <v>35278</v>
      </c>
      <c r="B2517" s="33" t="s">
        <v>26</v>
      </c>
      <c r="C2517" s="33" t="s">
        <v>32</v>
      </c>
      <c r="D2517" s="33">
        <v>2210</v>
      </c>
    </row>
    <row r="2518" spans="1:4" x14ac:dyDescent="0.15">
      <c r="A2518" s="32">
        <v>35278</v>
      </c>
      <c r="B2518" s="33" t="s">
        <v>33</v>
      </c>
      <c r="C2518" s="33" t="s">
        <v>32</v>
      </c>
      <c r="D2518" s="33">
        <v>203</v>
      </c>
    </row>
    <row r="2519" spans="1:4" x14ac:dyDescent="0.15">
      <c r="A2519" s="32">
        <v>35278</v>
      </c>
      <c r="B2519" s="33" t="s">
        <v>26</v>
      </c>
      <c r="C2519" s="33" t="s">
        <v>24</v>
      </c>
      <c r="D2519" s="33">
        <v>131</v>
      </c>
    </row>
    <row r="2520" spans="1:4" x14ac:dyDescent="0.15">
      <c r="A2520" s="32">
        <v>35278</v>
      </c>
      <c r="B2520" s="33" t="s">
        <v>26</v>
      </c>
      <c r="C2520" s="33" t="s">
        <v>24</v>
      </c>
      <c r="D2520" s="33">
        <v>123</v>
      </c>
    </row>
    <row r="2521" spans="1:4" x14ac:dyDescent="0.15">
      <c r="A2521" s="32">
        <v>35278</v>
      </c>
      <c r="B2521" s="33" t="s">
        <v>21</v>
      </c>
      <c r="C2521" s="33" t="s">
        <v>24</v>
      </c>
      <c r="D2521" s="33">
        <v>124</v>
      </c>
    </row>
    <row r="2522" spans="1:4" x14ac:dyDescent="0.15">
      <c r="A2522" s="32">
        <v>35278</v>
      </c>
      <c r="B2522" s="33" t="s">
        <v>21</v>
      </c>
      <c r="C2522" s="33" t="s">
        <v>24</v>
      </c>
      <c r="D2522" s="33">
        <v>88</v>
      </c>
    </row>
    <row r="2523" spans="1:4" x14ac:dyDescent="0.15">
      <c r="A2523" s="32">
        <v>35278</v>
      </c>
      <c r="B2523" s="33" t="s">
        <v>21</v>
      </c>
      <c r="C2523" s="33" t="s">
        <v>24</v>
      </c>
      <c r="D2523" s="33">
        <v>94</v>
      </c>
    </row>
    <row r="2524" spans="1:4" x14ac:dyDescent="0.15">
      <c r="A2524" s="32">
        <v>35278</v>
      </c>
      <c r="B2524" s="33" t="s">
        <v>26</v>
      </c>
      <c r="C2524" s="33" t="s">
        <v>24</v>
      </c>
      <c r="D2524" s="33">
        <v>275</v>
      </c>
    </row>
    <row r="2525" spans="1:4" x14ac:dyDescent="0.15">
      <c r="A2525" s="32">
        <v>35278</v>
      </c>
      <c r="B2525" s="33" t="s">
        <v>26</v>
      </c>
      <c r="C2525" s="33" t="s">
        <v>24</v>
      </c>
      <c r="D2525" s="33">
        <v>193</v>
      </c>
    </row>
    <row r="2526" spans="1:4" x14ac:dyDescent="0.15">
      <c r="A2526" s="32">
        <v>35278</v>
      </c>
      <c r="B2526" s="33" t="s">
        <v>21</v>
      </c>
      <c r="C2526" s="33" t="s">
        <v>24</v>
      </c>
      <c r="D2526" s="33">
        <v>23</v>
      </c>
    </row>
    <row r="2527" spans="1:4" x14ac:dyDescent="0.15">
      <c r="A2527" s="32">
        <v>35278</v>
      </c>
      <c r="B2527" s="33" t="s">
        <v>26</v>
      </c>
      <c r="C2527" s="33" t="s">
        <v>24</v>
      </c>
      <c r="D2527" s="33">
        <v>68</v>
      </c>
    </row>
    <row r="2528" spans="1:4" x14ac:dyDescent="0.15">
      <c r="A2528" s="32">
        <v>35278</v>
      </c>
      <c r="B2528" s="33" t="s">
        <v>26</v>
      </c>
      <c r="C2528" s="33" t="s">
        <v>24</v>
      </c>
      <c r="D2528" s="33">
        <v>180</v>
      </c>
    </row>
    <row r="2529" spans="1:4" x14ac:dyDescent="0.15">
      <c r="A2529" s="32">
        <v>35278</v>
      </c>
      <c r="B2529" s="33" t="s">
        <v>21</v>
      </c>
      <c r="C2529" s="33" t="s">
        <v>24</v>
      </c>
      <c r="D2529" s="33">
        <v>2170</v>
      </c>
    </row>
    <row r="2530" spans="1:4" x14ac:dyDescent="0.15">
      <c r="A2530" s="32">
        <v>35278</v>
      </c>
      <c r="B2530" s="33" t="s">
        <v>21</v>
      </c>
      <c r="C2530" s="33" t="s">
        <v>24</v>
      </c>
      <c r="D2530" s="33">
        <v>3105</v>
      </c>
    </row>
    <row r="2531" spans="1:4" x14ac:dyDescent="0.15">
      <c r="A2531" s="32">
        <v>35278</v>
      </c>
      <c r="B2531" s="33" t="s">
        <v>28</v>
      </c>
      <c r="C2531" s="33" t="s">
        <v>25</v>
      </c>
      <c r="D2531" s="33">
        <v>338</v>
      </c>
    </row>
    <row r="2532" spans="1:4" x14ac:dyDescent="0.15">
      <c r="A2532" s="32">
        <v>35278</v>
      </c>
      <c r="B2532" s="33" t="s">
        <v>33</v>
      </c>
      <c r="C2532" s="33" t="s">
        <v>25</v>
      </c>
      <c r="D2532" s="33">
        <v>360</v>
      </c>
    </row>
    <row r="2533" spans="1:4" x14ac:dyDescent="0.15">
      <c r="A2533" s="32">
        <v>35278</v>
      </c>
      <c r="B2533" s="33" t="s">
        <v>21</v>
      </c>
      <c r="C2533" s="33" t="s">
        <v>25</v>
      </c>
      <c r="D2533" s="33">
        <v>416</v>
      </c>
    </row>
    <row r="2534" spans="1:4" x14ac:dyDescent="0.15">
      <c r="A2534" s="32">
        <v>35278</v>
      </c>
      <c r="B2534" s="33" t="s">
        <v>33</v>
      </c>
      <c r="C2534" s="33" t="s">
        <v>25</v>
      </c>
      <c r="D2534" s="33">
        <v>426</v>
      </c>
    </row>
    <row r="2535" spans="1:4" x14ac:dyDescent="0.15">
      <c r="A2535" s="32">
        <v>35278</v>
      </c>
      <c r="B2535" s="33" t="s">
        <v>26</v>
      </c>
      <c r="C2535" s="33" t="s">
        <v>25</v>
      </c>
      <c r="D2535" s="33">
        <v>404</v>
      </c>
    </row>
    <row r="2536" spans="1:4" x14ac:dyDescent="0.15">
      <c r="A2536" s="32">
        <v>35278</v>
      </c>
      <c r="B2536" s="33" t="s">
        <v>33</v>
      </c>
      <c r="C2536" s="33" t="s">
        <v>25</v>
      </c>
      <c r="D2536" s="33">
        <v>245</v>
      </c>
    </row>
    <row r="2537" spans="1:4" x14ac:dyDescent="0.15">
      <c r="A2537" s="32">
        <v>35278</v>
      </c>
      <c r="B2537" s="33" t="s">
        <v>28</v>
      </c>
      <c r="C2537" s="33" t="s">
        <v>25</v>
      </c>
      <c r="D2537" s="33">
        <v>158</v>
      </c>
    </row>
    <row r="2538" spans="1:4" x14ac:dyDescent="0.15">
      <c r="A2538" s="32">
        <v>35278</v>
      </c>
      <c r="B2538" s="33" t="s">
        <v>31</v>
      </c>
      <c r="C2538" s="33" t="s">
        <v>25</v>
      </c>
      <c r="D2538" s="33">
        <v>263</v>
      </c>
    </row>
    <row r="2539" spans="1:4" x14ac:dyDescent="0.15">
      <c r="A2539" s="32">
        <v>35278</v>
      </c>
      <c r="B2539" s="33" t="s">
        <v>28</v>
      </c>
      <c r="C2539" s="33" t="s">
        <v>25</v>
      </c>
      <c r="D2539" s="33">
        <v>131</v>
      </c>
    </row>
    <row r="2540" spans="1:4" x14ac:dyDescent="0.15">
      <c r="A2540" s="32">
        <v>35278</v>
      </c>
      <c r="B2540" s="33" t="s">
        <v>26</v>
      </c>
      <c r="C2540" s="33" t="s">
        <v>25</v>
      </c>
      <c r="D2540" s="33">
        <v>626</v>
      </c>
    </row>
    <row r="2541" spans="1:4" x14ac:dyDescent="0.15">
      <c r="A2541" s="32">
        <v>35278</v>
      </c>
      <c r="B2541" s="33" t="s">
        <v>21</v>
      </c>
      <c r="C2541" s="33" t="s">
        <v>25</v>
      </c>
      <c r="D2541" s="33">
        <v>595</v>
      </c>
    </row>
    <row r="2542" spans="1:4" x14ac:dyDescent="0.15">
      <c r="A2542" s="32">
        <v>35278</v>
      </c>
      <c r="B2542" s="33" t="s">
        <v>21</v>
      </c>
      <c r="C2542" s="33" t="s">
        <v>25</v>
      </c>
      <c r="D2542" s="33">
        <v>180</v>
      </c>
    </row>
    <row r="2543" spans="1:4" x14ac:dyDescent="0.15">
      <c r="A2543" s="32">
        <v>35278</v>
      </c>
      <c r="B2543" s="33" t="s">
        <v>31</v>
      </c>
      <c r="C2543" s="33" t="s">
        <v>25</v>
      </c>
      <c r="D2543" s="33">
        <v>135</v>
      </c>
    </row>
    <row r="2544" spans="1:4" x14ac:dyDescent="0.15">
      <c r="A2544" s="32">
        <v>35278</v>
      </c>
      <c r="B2544" s="33" t="s">
        <v>26</v>
      </c>
      <c r="C2544" s="33" t="s">
        <v>25</v>
      </c>
      <c r="D2544" s="33">
        <v>708</v>
      </c>
    </row>
    <row r="2545" spans="1:4" x14ac:dyDescent="0.15">
      <c r="A2545" s="32">
        <v>35278</v>
      </c>
      <c r="B2545" s="33" t="s">
        <v>26</v>
      </c>
      <c r="C2545" s="33" t="s">
        <v>25</v>
      </c>
      <c r="D2545" s="33">
        <v>527</v>
      </c>
    </row>
    <row r="2546" spans="1:4" x14ac:dyDescent="0.15">
      <c r="A2546" s="32">
        <v>35278</v>
      </c>
      <c r="B2546" s="33" t="s">
        <v>31</v>
      </c>
      <c r="C2546" s="33" t="s">
        <v>25</v>
      </c>
      <c r="D2546" s="33">
        <v>166</v>
      </c>
    </row>
    <row r="2547" spans="1:4" x14ac:dyDescent="0.15">
      <c r="A2547" s="32">
        <v>35278</v>
      </c>
      <c r="B2547" s="33" t="s">
        <v>31</v>
      </c>
      <c r="C2547" s="33" t="s">
        <v>25</v>
      </c>
      <c r="D2547" s="33">
        <v>470</v>
      </c>
    </row>
    <row r="2548" spans="1:4" x14ac:dyDescent="0.15">
      <c r="A2548" s="32">
        <v>35278</v>
      </c>
      <c r="B2548" s="33" t="s">
        <v>33</v>
      </c>
      <c r="C2548" s="33" t="s">
        <v>25</v>
      </c>
      <c r="D2548" s="33">
        <v>131</v>
      </c>
    </row>
    <row r="2549" spans="1:4" x14ac:dyDescent="0.15">
      <c r="A2549" s="32">
        <v>35278</v>
      </c>
      <c r="B2549" s="33" t="s">
        <v>28</v>
      </c>
      <c r="C2549" s="33" t="s">
        <v>25</v>
      </c>
      <c r="D2549" s="33">
        <v>459</v>
      </c>
    </row>
    <row r="2550" spans="1:4" x14ac:dyDescent="0.15">
      <c r="A2550" s="32">
        <v>35278</v>
      </c>
      <c r="B2550" s="33" t="s">
        <v>29</v>
      </c>
      <c r="C2550" s="33" t="s">
        <v>25</v>
      </c>
      <c r="D2550" s="33">
        <v>42</v>
      </c>
    </row>
    <row r="2551" spans="1:4" x14ac:dyDescent="0.15">
      <c r="A2551" s="32">
        <v>35278</v>
      </c>
      <c r="B2551" s="33" t="s">
        <v>21</v>
      </c>
      <c r="C2551" s="33" t="s">
        <v>25</v>
      </c>
      <c r="D2551" s="33">
        <v>88</v>
      </c>
    </row>
    <row r="2552" spans="1:4" x14ac:dyDescent="0.15">
      <c r="A2552" s="32">
        <v>35278</v>
      </c>
      <c r="B2552" s="33" t="s">
        <v>29</v>
      </c>
      <c r="C2552" s="33" t="s">
        <v>25</v>
      </c>
      <c r="D2552" s="33">
        <v>108</v>
      </c>
    </row>
    <row r="2553" spans="1:4" x14ac:dyDescent="0.15">
      <c r="A2553" s="32">
        <v>35278</v>
      </c>
      <c r="B2553" s="33" t="s">
        <v>29</v>
      </c>
      <c r="C2553" s="33" t="s">
        <v>25</v>
      </c>
      <c r="D2553" s="33">
        <v>113</v>
      </c>
    </row>
    <row r="2554" spans="1:4" x14ac:dyDescent="0.15">
      <c r="A2554" s="32">
        <v>35278</v>
      </c>
      <c r="B2554" s="33" t="s">
        <v>29</v>
      </c>
      <c r="C2554" s="33" t="s">
        <v>25</v>
      </c>
      <c r="D2554" s="33">
        <v>114</v>
      </c>
    </row>
    <row r="2555" spans="1:4" x14ac:dyDescent="0.15">
      <c r="A2555" s="32">
        <v>35278</v>
      </c>
      <c r="B2555" s="33" t="s">
        <v>28</v>
      </c>
      <c r="C2555" s="33" t="s">
        <v>27</v>
      </c>
      <c r="D2555" s="33">
        <v>56</v>
      </c>
    </row>
    <row r="2556" spans="1:4" x14ac:dyDescent="0.15">
      <c r="A2556" s="32">
        <v>35278</v>
      </c>
      <c r="B2556" s="33" t="s">
        <v>31</v>
      </c>
      <c r="C2556" s="33" t="s">
        <v>27</v>
      </c>
      <c r="D2556" s="33">
        <v>238</v>
      </c>
    </row>
    <row r="2557" spans="1:4" x14ac:dyDescent="0.15">
      <c r="A2557" s="32">
        <v>35278</v>
      </c>
      <c r="B2557" s="33" t="s">
        <v>21</v>
      </c>
      <c r="C2557" s="33" t="s">
        <v>27</v>
      </c>
      <c r="D2557" s="33">
        <v>44</v>
      </c>
    </row>
    <row r="2558" spans="1:4" x14ac:dyDescent="0.15">
      <c r="A2558" s="32">
        <v>35278</v>
      </c>
      <c r="B2558" s="33" t="s">
        <v>21</v>
      </c>
      <c r="C2558" s="33" t="s">
        <v>27</v>
      </c>
      <c r="D2558" s="33">
        <v>68</v>
      </c>
    </row>
    <row r="2559" spans="1:4" x14ac:dyDescent="0.15">
      <c r="A2559" s="32">
        <v>35278</v>
      </c>
      <c r="B2559" s="33" t="s">
        <v>29</v>
      </c>
      <c r="C2559" s="33" t="s">
        <v>27</v>
      </c>
      <c r="D2559" s="33">
        <v>70</v>
      </c>
    </row>
    <row r="2560" spans="1:4" x14ac:dyDescent="0.15">
      <c r="A2560" s="32">
        <v>35278</v>
      </c>
      <c r="B2560" s="33" t="s">
        <v>28</v>
      </c>
      <c r="C2560" s="33" t="s">
        <v>27</v>
      </c>
      <c r="D2560" s="33">
        <v>72</v>
      </c>
    </row>
    <row r="2561" spans="1:4" x14ac:dyDescent="0.15">
      <c r="A2561" s="32">
        <v>35278</v>
      </c>
      <c r="B2561" s="33" t="s">
        <v>33</v>
      </c>
      <c r="C2561" s="33" t="s">
        <v>27</v>
      </c>
      <c r="D2561" s="33">
        <v>90</v>
      </c>
    </row>
    <row r="2562" spans="1:4" x14ac:dyDescent="0.15">
      <c r="A2562" s="32">
        <v>35278</v>
      </c>
      <c r="B2562" s="33" t="s">
        <v>29</v>
      </c>
      <c r="C2562" s="33" t="s">
        <v>27</v>
      </c>
      <c r="D2562" s="33">
        <v>104</v>
      </c>
    </row>
    <row r="2563" spans="1:4" x14ac:dyDescent="0.15">
      <c r="A2563" s="32">
        <v>35278</v>
      </c>
      <c r="B2563" s="33" t="s">
        <v>33</v>
      </c>
      <c r="C2563" s="33" t="s">
        <v>27</v>
      </c>
      <c r="D2563" s="33">
        <v>105</v>
      </c>
    </row>
    <row r="2564" spans="1:4" x14ac:dyDescent="0.15">
      <c r="A2564" s="32">
        <v>35278</v>
      </c>
      <c r="B2564" s="33" t="s">
        <v>21</v>
      </c>
      <c r="C2564" s="33" t="s">
        <v>27</v>
      </c>
      <c r="D2564" s="33">
        <v>105</v>
      </c>
    </row>
    <row r="2565" spans="1:4" x14ac:dyDescent="0.15">
      <c r="A2565" s="32">
        <v>35278</v>
      </c>
      <c r="B2565" s="33" t="s">
        <v>29</v>
      </c>
      <c r="C2565" s="33" t="s">
        <v>27</v>
      </c>
      <c r="D2565" s="33">
        <v>112</v>
      </c>
    </row>
    <row r="2566" spans="1:4" x14ac:dyDescent="0.15">
      <c r="A2566" s="32">
        <v>35278</v>
      </c>
      <c r="B2566" s="33" t="s">
        <v>31</v>
      </c>
      <c r="C2566" s="33" t="s">
        <v>27</v>
      </c>
      <c r="D2566" s="33">
        <v>124</v>
      </c>
    </row>
    <row r="2567" spans="1:4" x14ac:dyDescent="0.15">
      <c r="A2567" s="32">
        <v>35278</v>
      </c>
      <c r="B2567" s="33" t="s">
        <v>29</v>
      </c>
      <c r="C2567" s="33" t="s">
        <v>27</v>
      </c>
      <c r="D2567" s="33">
        <v>146</v>
      </c>
    </row>
    <row r="2568" spans="1:4" x14ac:dyDescent="0.15">
      <c r="A2568" s="32">
        <v>35278</v>
      </c>
      <c r="B2568" s="33" t="s">
        <v>33</v>
      </c>
      <c r="C2568" s="33" t="s">
        <v>27</v>
      </c>
      <c r="D2568" s="33">
        <v>221</v>
      </c>
    </row>
    <row r="2569" spans="1:4" x14ac:dyDescent="0.15">
      <c r="A2569" s="32">
        <v>35278</v>
      </c>
      <c r="B2569" s="33" t="s">
        <v>26</v>
      </c>
      <c r="C2569" s="33" t="s">
        <v>27</v>
      </c>
      <c r="D2569" s="33">
        <v>387</v>
      </c>
    </row>
    <row r="2570" spans="1:4" x14ac:dyDescent="0.15">
      <c r="A2570" s="32">
        <v>35278</v>
      </c>
      <c r="B2570" s="33" t="s">
        <v>31</v>
      </c>
      <c r="C2570" s="33" t="s">
        <v>27</v>
      </c>
      <c r="D2570" s="33">
        <v>228</v>
      </c>
    </row>
    <row r="2571" spans="1:4" x14ac:dyDescent="0.15">
      <c r="A2571" s="32">
        <v>35278</v>
      </c>
      <c r="B2571" s="33" t="s">
        <v>28</v>
      </c>
      <c r="C2571" s="33" t="s">
        <v>27</v>
      </c>
      <c r="D2571" s="33">
        <v>459</v>
      </c>
    </row>
    <row r="2572" spans="1:4" x14ac:dyDescent="0.15">
      <c r="A2572" s="32">
        <v>35278</v>
      </c>
      <c r="B2572" s="33" t="s">
        <v>26</v>
      </c>
      <c r="C2572" s="33" t="s">
        <v>27</v>
      </c>
      <c r="D2572" s="33">
        <v>480</v>
      </c>
    </row>
    <row r="2573" spans="1:4" x14ac:dyDescent="0.15">
      <c r="A2573" s="32">
        <v>35278</v>
      </c>
      <c r="B2573" s="33" t="s">
        <v>33</v>
      </c>
      <c r="C2573" s="33" t="s">
        <v>27</v>
      </c>
      <c r="D2573" s="33">
        <v>526</v>
      </c>
    </row>
    <row r="2574" spans="1:4" x14ac:dyDescent="0.15">
      <c r="A2574" s="32">
        <v>35278</v>
      </c>
      <c r="B2574" s="33" t="s">
        <v>21</v>
      </c>
      <c r="C2574" s="33" t="s">
        <v>27</v>
      </c>
      <c r="D2574" s="33">
        <v>531</v>
      </c>
    </row>
    <row r="2575" spans="1:4" x14ac:dyDescent="0.15">
      <c r="A2575" s="32">
        <v>35278</v>
      </c>
      <c r="B2575" s="33" t="s">
        <v>28</v>
      </c>
      <c r="C2575" s="33" t="s">
        <v>27</v>
      </c>
      <c r="D2575" s="33">
        <v>1291</v>
      </c>
    </row>
    <row r="2576" spans="1:4" x14ac:dyDescent="0.15">
      <c r="A2576" s="32">
        <v>35278</v>
      </c>
      <c r="B2576" s="33" t="s">
        <v>26</v>
      </c>
      <c r="C2576" s="33" t="s">
        <v>27</v>
      </c>
      <c r="D2576" s="33">
        <v>1476</v>
      </c>
    </row>
    <row r="2577" spans="1:4" x14ac:dyDescent="0.15">
      <c r="A2577" s="32">
        <v>35278</v>
      </c>
      <c r="B2577" s="33" t="s">
        <v>26</v>
      </c>
      <c r="C2577" s="33" t="s">
        <v>27</v>
      </c>
      <c r="D2577" s="33">
        <v>1658</v>
      </c>
    </row>
    <row r="2578" spans="1:4" x14ac:dyDescent="0.15">
      <c r="A2578" s="32">
        <v>35278</v>
      </c>
      <c r="B2578" s="33" t="s">
        <v>31</v>
      </c>
      <c r="C2578" s="33" t="s">
        <v>27</v>
      </c>
      <c r="D2578" s="33">
        <v>1873</v>
      </c>
    </row>
    <row r="2579" spans="1:4" x14ac:dyDescent="0.15">
      <c r="A2579" s="32">
        <v>35278</v>
      </c>
      <c r="B2579" s="33" t="s">
        <v>33</v>
      </c>
      <c r="C2579" s="33" t="s">
        <v>30</v>
      </c>
      <c r="D2579" s="33">
        <v>1863</v>
      </c>
    </row>
    <row r="2580" spans="1:4" x14ac:dyDescent="0.15">
      <c r="A2580" s="32">
        <v>35278</v>
      </c>
      <c r="B2580" s="33" t="s">
        <v>26</v>
      </c>
      <c r="C2580" s="33" t="s">
        <v>30</v>
      </c>
      <c r="D2580" s="33">
        <v>26</v>
      </c>
    </row>
    <row r="2581" spans="1:4" x14ac:dyDescent="0.15">
      <c r="A2581" s="32">
        <v>35278</v>
      </c>
      <c r="B2581" s="33" t="s">
        <v>21</v>
      </c>
      <c r="C2581" s="33" t="s">
        <v>30</v>
      </c>
      <c r="D2581" s="33">
        <v>7</v>
      </c>
    </row>
    <row r="2582" spans="1:4" x14ac:dyDescent="0.15">
      <c r="A2582" s="32">
        <v>35278</v>
      </c>
      <c r="B2582" s="33" t="s">
        <v>21</v>
      </c>
      <c r="C2582" s="33" t="s">
        <v>30</v>
      </c>
      <c r="D2582" s="33">
        <v>9</v>
      </c>
    </row>
    <row r="2583" spans="1:4" x14ac:dyDescent="0.15">
      <c r="A2583" s="32">
        <v>35278</v>
      </c>
      <c r="B2583" s="33" t="s">
        <v>31</v>
      </c>
      <c r="C2583" s="33" t="s">
        <v>30</v>
      </c>
      <c r="D2583" s="33">
        <v>26</v>
      </c>
    </row>
    <row r="2584" spans="1:4" x14ac:dyDescent="0.15">
      <c r="A2584" s="32">
        <v>35278</v>
      </c>
      <c r="B2584" s="33" t="s">
        <v>29</v>
      </c>
      <c r="C2584" s="33" t="s">
        <v>30</v>
      </c>
      <c r="D2584" s="33">
        <v>35</v>
      </c>
    </row>
    <row r="2585" spans="1:4" x14ac:dyDescent="0.15">
      <c r="A2585" s="32">
        <v>35278</v>
      </c>
      <c r="B2585" s="33" t="s">
        <v>21</v>
      </c>
      <c r="C2585" s="33" t="s">
        <v>30</v>
      </c>
      <c r="D2585" s="33">
        <v>35</v>
      </c>
    </row>
    <row r="2586" spans="1:4" x14ac:dyDescent="0.15">
      <c r="A2586" s="32">
        <v>35278</v>
      </c>
      <c r="B2586" s="33" t="s">
        <v>29</v>
      </c>
      <c r="C2586" s="33" t="s">
        <v>30</v>
      </c>
      <c r="D2586" s="33">
        <v>39</v>
      </c>
    </row>
    <row r="2587" spans="1:4" x14ac:dyDescent="0.15">
      <c r="A2587" s="32">
        <v>35278</v>
      </c>
      <c r="B2587" s="33" t="s">
        <v>26</v>
      </c>
      <c r="C2587" s="33" t="s">
        <v>30</v>
      </c>
      <c r="D2587" s="33">
        <v>39</v>
      </c>
    </row>
    <row r="2588" spans="1:4" x14ac:dyDescent="0.15">
      <c r="A2588" s="32">
        <v>35278</v>
      </c>
      <c r="B2588" s="33" t="s">
        <v>29</v>
      </c>
      <c r="C2588" s="33" t="s">
        <v>30</v>
      </c>
      <c r="D2588" s="33">
        <v>41</v>
      </c>
    </row>
    <row r="2589" spans="1:4" x14ac:dyDescent="0.15">
      <c r="A2589" s="32">
        <v>35278</v>
      </c>
      <c r="B2589" s="33" t="s">
        <v>21</v>
      </c>
      <c r="C2589" s="33" t="s">
        <v>30</v>
      </c>
      <c r="D2589" s="33">
        <v>41</v>
      </c>
    </row>
    <row r="2590" spans="1:4" x14ac:dyDescent="0.15">
      <c r="A2590" s="32">
        <v>35278</v>
      </c>
      <c r="B2590" s="33" t="s">
        <v>21</v>
      </c>
      <c r="C2590" s="33" t="s">
        <v>30</v>
      </c>
      <c r="D2590" s="33">
        <v>44</v>
      </c>
    </row>
    <row r="2591" spans="1:4" x14ac:dyDescent="0.15">
      <c r="A2591" s="32">
        <v>35278</v>
      </c>
      <c r="B2591" s="33" t="s">
        <v>26</v>
      </c>
      <c r="C2591" s="33" t="s">
        <v>30</v>
      </c>
      <c r="D2591" s="33">
        <v>46</v>
      </c>
    </row>
    <row r="2592" spans="1:4" x14ac:dyDescent="0.15">
      <c r="A2592" s="32">
        <v>35278</v>
      </c>
      <c r="B2592" s="33" t="s">
        <v>28</v>
      </c>
      <c r="C2592" s="33" t="s">
        <v>30</v>
      </c>
      <c r="D2592" s="33">
        <v>18</v>
      </c>
    </row>
    <row r="2593" spans="1:4" x14ac:dyDescent="0.15">
      <c r="A2593" s="32">
        <v>35278</v>
      </c>
      <c r="B2593" s="33" t="s">
        <v>29</v>
      </c>
      <c r="C2593" s="33" t="s">
        <v>30</v>
      </c>
      <c r="D2593" s="33">
        <v>69</v>
      </c>
    </row>
    <row r="2594" spans="1:4" x14ac:dyDescent="0.15">
      <c r="A2594" s="32">
        <v>35278</v>
      </c>
      <c r="B2594" s="33" t="s">
        <v>21</v>
      </c>
      <c r="C2594" s="33" t="s">
        <v>30</v>
      </c>
      <c r="D2594" s="33">
        <v>56</v>
      </c>
    </row>
    <row r="2595" spans="1:4" x14ac:dyDescent="0.15">
      <c r="A2595" s="32">
        <v>35278</v>
      </c>
      <c r="B2595" s="33" t="s">
        <v>28</v>
      </c>
      <c r="C2595" s="33" t="s">
        <v>30</v>
      </c>
      <c r="D2595" s="33">
        <v>248</v>
      </c>
    </row>
    <row r="2596" spans="1:4" x14ac:dyDescent="0.15">
      <c r="A2596" s="32">
        <v>35278</v>
      </c>
      <c r="B2596" s="33" t="s">
        <v>31</v>
      </c>
      <c r="C2596" s="33" t="s">
        <v>30</v>
      </c>
      <c r="D2596" s="33">
        <v>347</v>
      </c>
    </row>
    <row r="2597" spans="1:4" x14ac:dyDescent="0.15">
      <c r="A2597" s="32">
        <v>35278</v>
      </c>
      <c r="B2597" s="33" t="s">
        <v>33</v>
      </c>
      <c r="C2597" s="33" t="s">
        <v>30</v>
      </c>
      <c r="D2597" s="33">
        <v>627</v>
      </c>
    </row>
    <row r="2598" spans="1:4" x14ac:dyDescent="0.15">
      <c r="A2598" s="32">
        <v>35278</v>
      </c>
      <c r="B2598" s="33" t="s">
        <v>26</v>
      </c>
      <c r="C2598" s="33" t="s">
        <v>30</v>
      </c>
      <c r="D2598" s="33">
        <v>810</v>
      </c>
    </row>
    <row r="2599" spans="1:4" x14ac:dyDescent="0.15">
      <c r="A2599" s="32">
        <v>35278</v>
      </c>
      <c r="B2599" s="33" t="s">
        <v>31</v>
      </c>
      <c r="C2599" s="33" t="s">
        <v>30</v>
      </c>
      <c r="D2599" s="33">
        <v>954</v>
      </c>
    </row>
    <row r="2600" spans="1:4" x14ac:dyDescent="0.15">
      <c r="A2600" s="32">
        <v>35278</v>
      </c>
      <c r="B2600" s="33" t="s">
        <v>31</v>
      </c>
      <c r="C2600" s="33" t="s">
        <v>30</v>
      </c>
      <c r="D2600" s="33">
        <v>1560</v>
      </c>
    </row>
    <row r="2601" spans="1:4" x14ac:dyDescent="0.15">
      <c r="A2601" s="32">
        <v>35278</v>
      </c>
      <c r="B2601" s="33" t="s">
        <v>28</v>
      </c>
      <c r="C2601" s="33" t="s">
        <v>30</v>
      </c>
      <c r="D2601" s="33">
        <v>124</v>
      </c>
    </row>
    <row r="2602" spans="1:4" x14ac:dyDescent="0.15">
      <c r="A2602" s="32">
        <v>35278</v>
      </c>
      <c r="B2602" s="33" t="s">
        <v>33</v>
      </c>
      <c r="C2602" s="33" t="s">
        <v>30</v>
      </c>
      <c r="D2602" s="33">
        <v>898</v>
      </c>
    </row>
    <row r="2603" spans="1:4" x14ac:dyDescent="0.15">
      <c r="A2603" s="32">
        <v>35278</v>
      </c>
      <c r="B2603" s="33" t="s">
        <v>31</v>
      </c>
      <c r="C2603" s="33" t="s">
        <v>30</v>
      </c>
      <c r="D2603" s="33">
        <v>69</v>
      </c>
    </row>
    <row r="2604" spans="1:4" x14ac:dyDescent="0.15">
      <c r="A2604" s="32">
        <v>35278</v>
      </c>
      <c r="B2604" s="33" t="s">
        <v>33</v>
      </c>
      <c r="C2604" s="33" t="s">
        <v>30</v>
      </c>
      <c r="D2604" s="33">
        <v>77</v>
      </c>
    </row>
    <row r="2605" spans="1:4" x14ac:dyDescent="0.15">
      <c r="A2605" s="32">
        <v>35278</v>
      </c>
      <c r="B2605" s="33" t="s">
        <v>33</v>
      </c>
      <c r="C2605" s="33" t="s">
        <v>30</v>
      </c>
      <c r="D2605" s="33">
        <v>77</v>
      </c>
    </row>
    <row r="2606" spans="1:4" x14ac:dyDescent="0.15">
      <c r="A2606" s="32">
        <v>35278</v>
      </c>
      <c r="B2606" s="33" t="s">
        <v>26</v>
      </c>
      <c r="C2606" s="33" t="s">
        <v>30</v>
      </c>
      <c r="D2606" s="33">
        <v>83</v>
      </c>
    </row>
    <row r="2607" spans="1:4" x14ac:dyDescent="0.15">
      <c r="A2607" s="32">
        <v>35278</v>
      </c>
      <c r="B2607" s="33" t="s">
        <v>29</v>
      </c>
      <c r="C2607" s="33" t="s">
        <v>30</v>
      </c>
      <c r="D2607" s="33">
        <v>90</v>
      </c>
    </row>
    <row r="2608" spans="1:4" x14ac:dyDescent="0.15">
      <c r="A2608" s="32">
        <v>35278</v>
      </c>
      <c r="B2608" s="33" t="s">
        <v>28</v>
      </c>
      <c r="C2608" s="33" t="s">
        <v>30</v>
      </c>
      <c r="D2608" s="33">
        <v>96</v>
      </c>
    </row>
    <row r="2609" spans="1:4" x14ac:dyDescent="0.15">
      <c r="A2609" s="32">
        <v>35278</v>
      </c>
      <c r="B2609" s="33" t="s">
        <v>26</v>
      </c>
      <c r="C2609" s="33" t="s">
        <v>30</v>
      </c>
      <c r="D2609" s="33">
        <v>101</v>
      </c>
    </row>
    <row r="2610" spans="1:4" x14ac:dyDescent="0.15">
      <c r="A2610" s="32">
        <v>35278</v>
      </c>
      <c r="B2610" s="33" t="s">
        <v>28</v>
      </c>
      <c r="C2610" s="33" t="s">
        <v>30</v>
      </c>
      <c r="D2610" s="33">
        <v>105</v>
      </c>
    </row>
    <row r="2611" spans="1:4" x14ac:dyDescent="0.15">
      <c r="A2611" s="32">
        <v>35278</v>
      </c>
      <c r="B2611" s="33" t="s">
        <v>31</v>
      </c>
      <c r="C2611" s="33" t="s">
        <v>30</v>
      </c>
      <c r="D2611" s="33">
        <v>113</v>
      </c>
    </row>
    <row r="2612" spans="1:4" x14ac:dyDescent="0.15">
      <c r="A2612" s="32">
        <v>35278</v>
      </c>
      <c r="B2612" s="33" t="s">
        <v>29</v>
      </c>
      <c r="C2612" s="33" t="s">
        <v>30</v>
      </c>
      <c r="D2612" s="33">
        <v>138</v>
      </c>
    </row>
    <row r="2613" spans="1:4" x14ac:dyDescent="0.15">
      <c r="A2613" s="32">
        <v>35278</v>
      </c>
      <c r="B2613" s="33" t="s">
        <v>33</v>
      </c>
      <c r="C2613" s="33" t="s">
        <v>30</v>
      </c>
      <c r="D2613" s="33">
        <v>204</v>
      </c>
    </row>
    <row r="2614" spans="1:4" x14ac:dyDescent="0.15">
      <c r="A2614" s="32">
        <v>35309</v>
      </c>
      <c r="B2614" s="33" t="s">
        <v>31</v>
      </c>
      <c r="C2614" s="33" t="s">
        <v>22</v>
      </c>
      <c r="D2614" s="33">
        <v>293</v>
      </c>
    </row>
    <row r="2615" spans="1:4" x14ac:dyDescent="0.15">
      <c r="A2615" s="32">
        <v>35309</v>
      </c>
      <c r="B2615" s="33" t="s">
        <v>33</v>
      </c>
      <c r="C2615" s="33" t="s">
        <v>22</v>
      </c>
      <c r="D2615" s="33">
        <v>220</v>
      </c>
    </row>
    <row r="2616" spans="1:4" x14ac:dyDescent="0.15">
      <c r="A2616" s="32">
        <v>35309</v>
      </c>
      <c r="B2616" s="33" t="s">
        <v>26</v>
      </c>
      <c r="C2616" s="33" t="s">
        <v>22</v>
      </c>
      <c r="D2616" s="33">
        <v>220</v>
      </c>
    </row>
    <row r="2617" spans="1:4" x14ac:dyDescent="0.15">
      <c r="A2617" s="32">
        <v>35309</v>
      </c>
      <c r="B2617" s="33" t="s">
        <v>33</v>
      </c>
      <c r="C2617" s="33" t="s">
        <v>22</v>
      </c>
      <c r="D2617" s="33">
        <v>236</v>
      </c>
    </row>
    <row r="2618" spans="1:4" x14ac:dyDescent="0.15">
      <c r="A2618" s="32">
        <v>35309</v>
      </c>
      <c r="B2618" s="33" t="s">
        <v>33</v>
      </c>
      <c r="C2618" s="33" t="s">
        <v>22</v>
      </c>
      <c r="D2618" s="33">
        <v>360</v>
      </c>
    </row>
    <row r="2619" spans="1:4" x14ac:dyDescent="0.15">
      <c r="A2619" s="32">
        <v>35309</v>
      </c>
      <c r="B2619" s="33" t="s">
        <v>26</v>
      </c>
      <c r="C2619" s="33" t="s">
        <v>22</v>
      </c>
      <c r="D2619" s="33">
        <v>428</v>
      </c>
    </row>
    <row r="2620" spans="1:4" x14ac:dyDescent="0.15">
      <c r="A2620" s="32">
        <v>35309</v>
      </c>
      <c r="B2620" s="33" t="s">
        <v>33</v>
      </c>
      <c r="C2620" s="33" t="s">
        <v>22</v>
      </c>
      <c r="D2620" s="33">
        <v>400</v>
      </c>
    </row>
    <row r="2621" spans="1:4" x14ac:dyDescent="0.15">
      <c r="A2621" s="32">
        <v>35309</v>
      </c>
      <c r="B2621" s="33" t="s">
        <v>28</v>
      </c>
      <c r="C2621" s="33" t="s">
        <v>22</v>
      </c>
      <c r="D2621" s="33">
        <v>371</v>
      </c>
    </row>
    <row r="2622" spans="1:4" x14ac:dyDescent="0.15">
      <c r="A2622" s="32">
        <v>35309</v>
      </c>
      <c r="B2622" s="33" t="s">
        <v>29</v>
      </c>
      <c r="C2622" s="33" t="s">
        <v>22</v>
      </c>
      <c r="D2622" s="33">
        <v>344</v>
      </c>
    </row>
    <row r="2623" spans="1:4" x14ac:dyDescent="0.15">
      <c r="A2623" s="32">
        <v>35309</v>
      </c>
      <c r="B2623" s="33" t="s">
        <v>28</v>
      </c>
      <c r="C2623" s="33" t="s">
        <v>22</v>
      </c>
      <c r="D2623" s="33">
        <v>338</v>
      </c>
    </row>
    <row r="2624" spans="1:4" x14ac:dyDescent="0.15">
      <c r="A2624" s="32">
        <v>35309</v>
      </c>
      <c r="B2624" s="33" t="s">
        <v>29</v>
      </c>
      <c r="C2624" s="33" t="s">
        <v>22</v>
      </c>
      <c r="D2624" s="33">
        <v>160</v>
      </c>
    </row>
    <row r="2625" spans="1:4" x14ac:dyDescent="0.15">
      <c r="A2625" s="32">
        <v>35309</v>
      </c>
      <c r="B2625" s="33" t="s">
        <v>29</v>
      </c>
      <c r="C2625" s="33" t="s">
        <v>22</v>
      </c>
      <c r="D2625" s="33">
        <v>387</v>
      </c>
    </row>
    <row r="2626" spans="1:4" x14ac:dyDescent="0.15">
      <c r="A2626" s="32">
        <v>35309</v>
      </c>
      <c r="B2626" s="33" t="s">
        <v>26</v>
      </c>
      <c r="C2626" s="33" t="s">
        <v>22</v>
      </c>
      <c r="D2626" s="33">
        <v>68</v>
      </c>
    </row>
    <row r="2627" spans="1:4" x14ac:dyDescent="0.15">
      <c r="A2627" s="32">
        <v>35309</v>
      </c>
      <c r="B2627" s="33" t="s">
        <v>28</v>
      </c>
      <c r="C2627" s="33" t="s">
        <v>22</v>
      </c>
      <c r="D2627" s="33">
        <v>83</v>
      </c>
    </row>
    <row r="2628" spans="1:4" x14ac:dyDescent="0.15">
      <c r="A2628" s="32">
        <v>35309</v>
      </c>
      <c r="B2628" s="33" t="s">
        <v>31</v>
      </c>
      <c r="C2628" s="33" t="s">
        <v>22</v>
      </c>
      <c r="D2628" s="33">
        <v>124</v>
      </c>
    </row>
    <row r="2629" spans="1:4" x14ac:dyDescent="0.15">
      <c r="A2629" s="32">
        <v>35309</v>
      </c>
      <c r="B2629" s="33" t="s">
        <v>29</v>
      </c>
      <c r="C2629" s="33" t="s">
        <v>22</v>
      </c>
      <c r="D2629" s="33">
        <v>124</v>
      </c>
    </row>
    <row r="2630" spans="1:4" x14ac:dyDescent="0.15">
      <c r="A2630" s="32">
        <v>35309</v>
      </c>
      <c r="B2630" s="33" t="s">
        <v>21</v>
      </c>
      <c r="C2630" s="33" t="s">
        <v>22</v>
      </c>
      <c r="D2630" s="33">
        <v>2211</v>
      </c>
    </row>
    <row r="2631" spans="1:4" x14ac:dyDescent="0.15">
      <c r="A2631" s="32">
        <v>35309</v>
      </c>
      <c r="B2631" s="33" t="s">
        <v>31</v>
      </c>
      <c r="C2631" s="33" t="s">
        <v>22</v>
      </c>
      <c r="D2631" s="33">
        <v>843</v>
      </c>
    </row>
    <row r="2632" spans="1:4" x14ac:dyDescent="0.15">
      <c r="A2632" s="32">
        <v>35309</v>
      </c>
      <c r="B2632" s="33" t="s">
        <v>21</v>
      </c>
      <c r="C2632" s="33" t="s">
        <v>22</v>
      </c>
      <c r="D2632" s="33">
        <v>587</v>
      </c>
    </row>
    <row r="2633" spans="1:4" x14ac:dyDescent="0.15">
      <c r="A2633" s="32">
        <v>35309</v>
      </c>
      <c r="B2633" s="33" t="s">
        <v>31</v>
      </c>
      <c r="C2633" s="33" t="s">
        <v>22</v>
      </c>
      <c r="D2633" s="33">
        <v>2096</v>
      </c>
    </row>
    <row r="2634" spans="1:4" x14ac:dyDescent="0.15">
      <c r="A2634" s="32">
        <v>35309</v>
      </c>
      <c r="B2634" s="33" t="s">
        <v>21</v>
      </c>
      <c r="C2634" s="33" t="s">
        <v>22</v>
      </c>
      <c r="D2634" s="33">
        <v>633</v>
      </c>
    </row>
    <row r="2635" spans="1:4" x14ac:dyDescent="0.15">
      <c r="A2635" s="32">
        <v>35309</v>
      </c>
      <c r="B2635" s="33" t="s">
        <v>28</v>
      </c>
      <c r="C2635" s="33" t="s">
        <v>22</v>
      </c>
      <c r="D2635" s="33">
        <v>948</v>
      </c>
    </row>
    <row r="2636" spans="1:4" x14ac:dyDescent="0.15">
      <c r="A2636" s="32">
        <v>35309</v>
      </c>
      <c r="B2636" s="33" t="s">
        <v>26</v>
      </c>
      <c r="C2636" s="33" t="s">
        <v>22</v>
      </c>
      <c r="D2636" s="33">
        <v>3148</v>
      </c>
    </row>
    <row r="2637" spans="1:4" x14ac:dyDescent="0.15">
      <c r="A2637" s="32">
        <v>35309</v>
      </c>
      <c r="B2637" s="33" t="s">
        <v>21</v>
      </c>
      <c r="C2637" s="33" t="s">
        <v>22</v>
      </c>
      <c r="D2637" s="33">
        <v>743</v>
      </c>
    </row>
    <row r="2638" spans="1:4" x14ac:dyDescent="0.15">
      <c r="A2638" s="32">
        <v>35309</v>
      </c>
      <c r="B2638" s="33" t="s">
        <v>26</v>
      </c>
      <c r="C2638" s="33" t="s">
        <v>23</v>
      </c>
      <c r="D2638" s="33">
        <v>135</v>
      </c>
    </row>
    <row r="2639" spans="1:4" x14ac:dyDescent="0.15">
      <c r="A2639" s="32">
        <v>35309</v>
      </c>
      <c r="B2639" s="33" t="s">
        <v>28</v>
      </c>
      <c r="C2639" s="33" t="s">
        <v>23</v>
      </c>
      <c r="D2639" s="33">
        <v>158</v>
      </c>
    </row>
    <row r="2640" spans="1:4" x14ac:dyDescent="0.15">
      <c r="A2640" s="32">
        <v>35309</v>
      </c>
      <c r="B2640" s="33" t="s">
        <v>26</v>
      </c>
      <c r="C2640" s="33" t="s">
        <v>23</v>
      </c>
      <c r="D2640" s="33">
        <v>88</v>
      </c>
    </row>
    <row r="2641" spans="1:4" x14ac:dyDescent="0.15">
      <c r="A2641" s="32">
        <v>35309</v>
      </c>
      <c r="B2641" s="33" t="s">
        <v>21</v>
      </c>
      <c r="C2641" s="33" t="s">
        <v>23</v>
      </c>
      <c r="D2641" s="33">
        <v>1842</v>
      </c>
    </row>
    <row r="2642" spans="1:4" x14ac:dyDescent="0.15">
      <c r="A2642" s="32">
        <v>35309</v>
      </c>
      <c r="B2642" s="33" t="s">
        <v>31</v>
      </c>
      <c r="C2642" s="33" t="s">
        <v>23</v>
      </c>
      <c r="D2642" s="33">
        <v>114</v>
      </c>
    </row>
    <row r="2643" spans="1:4" x14ac:dyDescent="0.15">
      <c r="A2643" s="32">
        <v>35309</v>
      </c>
      <c r="B2643" s="33" t="s">
        <v>31</v>
      </c>
      <c r="C2643" s="33" t="s">
        <v>23</v>
      </c>
      <c r="D2643" s="33">
        <v>631</v>
      </c>
    </row>
    <row r="2644" spans="1:4" x14ac:dyDescent="0.15">
      <c r="A2644" s="32">
        <v>35309</v>
      </c>
      <c r="B2644" s="33" t="s">
        <v>26</v>
      </c>
      <c r="C2644" s="33" t="s">
        <v>23</v>
      </c>
      <c r="D2644" s="33">
        <v>368</v>
      </c>
    </row>
    <row r="2645" spans="1:4" x14ac:dyDescent="0.15">
      <c r="A2645" s="32">
        <v>35309</v>
      </c>
      <c r="B2645" s="33" t="s">
        <v>29</v>
      </c>
      <c r="C2645" s="33" t="s">
        <v>23</v>
      </c>
      <c r="D2645" s="33">
        <v>343</v>
      </c>
    </row>
    <row r="2646" spans="1:4" x14ac:dyDescent="0.15">
      <c r="A2646" s="32">
        <v>35309</v>
      </c>
      <c r="B2646" s="33" t="s">
        <v>29</v>
      </c>
      <c r="C2646" s="33" t="s">
        <v>23</v>
      </c>
      <c r="D2646" s="33">
        <v>524</v>
      </c>
    </row>
    <row r="2647" spans="1:4" x14ac:dyDescent="0.15">
      <c r="A2647" s="32">
        <v>35309</v>
      </c>
      <c r="B2647" s="33" t="s">
        <v>33</v>
      </c>
      <c r="C2647" s="33" t="s">
        <v>23</v>
      </c>
      <c r="D2647" s="33">
        <v>492</v>
      </c>
    </row>
    <row r="2648" spans="1:4" x14ac:dyDescent="0.15">
      <c r="A2648" s="32">
        <v>35309</v>
      </c>
      <c r="B2648" s="33" t="s">
        <v>29</v>
      </c>
      <c r="C2648" s="33" t="s">
        <v>23</v>
      </c>
      <c r="D2648" s="33">
        <v>428</v>
      </c>
    </row>
    <row r="2649" spans="1:4" x14ac:dyDescent="0.15">
      <c r="A2649" s="32">
        <v>35309</v>
      </c>
      <c r="B2649" s="33" t="s">
        <v>28</v>
      </c>
      <c r="C2649" s="33" t="s">
        <v>23</v>
      </c>
      <c r="D2649" s="33">
        <v>426</v>
      </c>
    </row>
    <row r="2650" spans="1:4" x14ac:dyDescent="0.15">
      <c r="A2650" s="32">
        <v>35309</v>
      </c>
      <c r="B2650" s="33" t="s">
        <v>28</v>
      </c>
      <c r="C2650" s="33" t="s">
        <v>23</v>
      </c>
      <c r="D2650" s="33">
        <v>315</v>
      </c>
    </row>
    <row r="2651" spans="1:4" x14ac:dyDescent="0.15">
      <c r="A2651" s="32">
        <v>35309</v>
      </c>
      <c r="B2651" s="33" t="s">
        <v>31</v>
      </c>
      <c r="C2651" s="33" t="s">
        <v>23</v>
      </c>
      <c r="D2651" s="33">
        <v>844</v>
      </c>
    </row>
    <row r="2652" spans="1:4" x14ac:dyDescent="0.15">
      <c r="A2652" s="32">
        <v>35309</v>
      </c>
      <c r="B2652" s="33" t="s">
        <v>26</v>
      </c>
      <c r="C2652" s="33" t="s">
        <v>23</v>
      </c>
      <c r="D2652" s="33">
        <v>858</v>
      </c>
    </row>
    <row r="2653" spans="1:4" x14ac:dyDescent="0.15">
      <c r="A2653" s="32">
        <v>35309</v>
      </c>
      <c r="B2653" s="33" t="s">
        <v>33</v>
      </c>
      <c r="C2653" s="33" t="s">
        <v>23</v>
      </c>
      <c r="D2653" s="33">
        <v>210</v>
      </c>
    </row>
    <row r="2654" spans="1:4" x14ac:dyDescent="0.15">
      <c r="A2654" s="32">
        <v>35309</v>
      </c>
      <c r="B2654" s="33" t="s">
        <v>28</v>
      </c>
      <c r="C2654" s="33" t="s">
        <v>23</v>
      </c>
      <c r="D2654" s="33">
        <v>203</v>
      </c>
    </row>
    <row r="2655" spans="1:4" x14ac:dyDescent="0.15">
      <c r="A2655" s="32">
        <v>35309</v>
      </c>
      <c r="B2655" s="33" t="s">
        <v>21</v>
      </c>
      <c r="C2655" s="33" t="s">
        <v>23</v>
      </c>
      <c r="D2655" s="33">
        <v>315</v>
      </c>
    </row>
    <row r="2656" spans="1:4" x14ac:dyDescent="0.15">
      <c r="A2656" s="32">
        <v>35309</v>
      </c>
      <c r="B2656" s="33" t="s">
        <v>33</v>
      </c>
      <c r="C2656" s="33" t="s">
        <v>23</v>
      </c>
      <c r="D2656" s="33">
        <v>315</v>
      </c>
    </row>
    <row r="2657" spans="1:4" x14ac:dyDescent="0.15">
      <c r="A2657" s="32">
        <v>35309</v>
      </c>
      <c r="B2657" s="33" t="s">
        <v>33</v>
      </c>
      <c r="C2657" s="33" t="s">
        <v>23</v>
      </c>
      <c r="D2657" s="33">
        <v>298</v>
      </c>
    </row>
    <row r="2658" spans="1:4" x14ac:dyDescent="0.15">
      <c r="A2658" s="32">
        <v>35309</v>
      </c>
      <c r="B2658" s="33" t="s">
        <v>21</v>
      </c>
      <c r="C2658" s="33" t="s">
        <v>23</v>
      </c>
      <c r="D2658" s="33">
        <v>228</v>
      </c>
    </row>
    <row r="2659" spans="1:4" x14ac:dyDescent="0.15">
      <c r="A2659" s="32">
        <v>35309</v>
      </c>
      <c r="B2659" s="33" t="s">
        <v>31</v>
      </c>
      <c r="C2659" s="33" t="s">
        <v>23</v>
      </c>
      <c r="D2659" s="33">
        <v>180</v>
      </c>
    </row>
    <row r="2660" spans="1:4" x14ac:dyDescent="0.15">
      <c r="A2660" s="32">
        <v>35309</v>
      </c>
      <c r="B2660" s="33" t="s">
        <v>21</v>
      </c>
      <c r="C2660" s="33" t="s">
        <v>23</v>
      </c>
      <c r="D2660" s="33">
        <v>723</v>
      </c>
    </row>
    <row r="2661" spans="1:4" x14ac:dyDescent="0.15">
      <c r="A2661" s="32">
        <v>35309</v>
      </c>
      <c r="B2661" s="33" t="s">
        <v>29</v>
      </c>
      <c r="C2661" s="33" t="s">
        <v>23</v>
      </c>
      <c r="D2661" s="33">
        <v>254</v>
      </c>
    </row>
    <row r="2662" spans="1:4" x14ac:dyDescent="0.15">
      <c r="A2662" s="32">
        <v>35309</v>
      </c>
      <c r="B2662" s="33" t="s">
        <v>21</v>
      </c>
      <c r="C2662" s="33" t="s">
        <v>32</v>
      </c>
      <c r="D2662" s="33">
        <v>428</v>
      </c>
    </row>
    <row r="2663" spans="1:4" x14ac:dyDescent="0.15">
      <c r="A2663" s="32">
        <v>35309</v>
      </c>
      <c r="B2663" s="33" t="s">
        <v>33</v>
      </c>
      <c r="C2663" s="33" t="s">
        <v>32</v>
      </c>
      <c r="D2663" s="33">
        <v>203</v>
      </c>
    </row>
    <row r="2664" spans="1:4" x14ac:dyDescent="0.15">
      <c r="A2664" s="32">
        <v>35309</v>
      </c>
      <c r="B2664" s="33" t="s">
        <v>31</v>
      </c>
      <c r="C2664" s="33" t="s">
        <v>32</v>
      </c>
      <c r="D2664" s="33">
        <v>203</v>
      </c>
    </row>
    <row r="2665" spans="1:4" x14ac:dyDescent="0.15">
      <c r="A2665" s="32">
        <v>35309</v>
      </c>
      <c r="B2665" s="33" t="s">
        <v>28</v>
      </c>
      <c r="C2665" s="33" t="s">
        <v>32</v>
      </c>
      <c r="D2665" s="33">
        <v>420</v>
      </c>
    </row>
    <row r="2666" spans="1:4" x14ac:dyDescent="0.15">
      <c r="A2666" s="32">
        <v>35309</v>
      </c>
      <c r="B2666" s="33" t="s">
        <v>29</v>
      </c>
      <c r="C2666" s="33" t="s">
        <v>32</v>
      </c>
      <c r="D2666" s="33">
        <v>201</v>
      </c>
    </row>
    <row r="2667" spans="1:4" x14ac:dyDescent="0.15">
      <c r="A2667" s="32">
        <v>35309</v>
      </c>
      <c r="B2667" s="33" t="s">
        <v>21</v>
      </c>
      <c r="C2667" s="33" t="s">
        <v>32</v>
      </c>
      <c r="D2667" s="33">
        <v>46</v>
      </c>
    </row>
    <row r="2668" spans="1:4" x14ac:dyDescent="0.15">
      <c r="A2668" s="32">
        <v>35309</v>
      </c>
      <c r="B2668" s="33" t="s">
        <v>26</v>
      </c>
      <c r="C2668" s="33" t="s">
        <v>32</v>
      </c>
      <c r="D2668" s="33">
        <v>166</v>
      </c>
    </row>
    <row r="2669" spans="1:4" x14ac:dyDescent="0.15">
      <c r="A2669" s="32">
        <v>35309</v>
      </c>
      <c r="B2669" s="33" t="s">
        <v>31</v>
      </c>
      <c r="C2669" s="33" t="s">
        <v>32</v>
      </c>
      <c r="D2669" s="33">
        <v>70</v>
      </c>
    </row>
    <row r="2670" spans="1:4" x14ac:dyDescent="0.15">
      <c r="A2670" s="32">
        <v>35309</v>
      </c>
      <c r="B2670" s="33" t="s">
        <v>21</v>
      </c>
      <c r="C2670" s="33" t="s">
        <v>32</v>
      </c>
      <c r="D2670" s="33">
        <v>70</v>
      </c>
    </row>
    <row r="2671" spans="1:4" x14ac:dyDescent="0.15">
      <c r="A2671" s="32">
        <v>35309</v>
      </c>
      <c r="B2671" s="33" t="s">
        <v>29</v>
      </c>
      <c r="C2671" s="33" t="s">
        <v>32</v>
      </c>
      <c r="D2671" s="33">
        <v>79</v>
      </c>
    </row>
    <row r="2672" spans="1:4" x14ac:dyDescent="0.15">
      <c r="A2672" s="32">
        <v>35309</v>
      </c>
      <c r="B2672" s="33" t="s">
        <v>31</v>
      </c>
      <c r="C2672" s="33" t="s">
        <v>32</v>
      </c>
      <c r="D2672" s="33">
        <v>333</v>
      </c>
    </row>
    <row r="2673" spans="1:4" x14ac:dyDescent="0.15">
      <c r="A2673" s="32">
        <v>35309</v>
      </c>
      <c r="B2673" s="33" t="s">
        <v>21</v>
      </c>
      <c r="C2673" s="33" t="s">
        <v>32</v>
      </c>
      <c r="D2673" s="33">
        <v>90</v>
      </c>
    </row>
    <row r="2674" spans="1:4" x14ac:dyDescent="0.15">
      <c r="A2674" s="32">
        <v>35309</v>
      </c>
      <c r="B2674" s="33" t="s">
        <v>29</v>
      </c>
      <c r="C2674" s="33" t="s">
        <v>32</v>
      </c>
      <c r="D2674" s="33">
        <v>81</v>
      </c>
    </row>
    <row r="2675" spans="1:4" x14ac:dyDescent="0.15">
      <c r="A2675" s="32">
        <v>35309</v>
      </c>
      <c r="B2675" s="33" t="s">
        <v>31</v>
      </c>
      <c r="C2675" s="33" t="s">
        <v>32</v>
      </c>
      <c r="D2675" s="33">
        <v>113</v>
      </c>
    </row>
    <row r="2676" spans="1:4" x14ac:dyDescent="0.15">
      <c r="A2676" s="32">
        <v>35309</v>
      </c>
      <c r="B2676" s="33" t="s">
        <v>26</v>
      </c>
      <c r="C2676" s="33" t="s">
        <v>32</v>
      </c>
      <c r="D2676" s="33">
        <v>203</v>
      </c>
    </row>
    <row r="2677" spans="1:4" x14ac:dyDescent="0.15">
      <c r="A2677" s="32">
        <v>35309</v>
      </c>
      <c r="B2677" s="33" t="s">
        <v>28</v>
      </c>
      <c r="C2677" s="33" t="s">
        <v>32</v>
      </c>
      <c r="D2677" s="33">
        <v>338</v>
      </c>
    </row>
    <row r="2678" spans="1:4" x14ac:dyDescent="0.15">
      <c r="A2678" s="32">
        <v>35309</v>
      </c>
      <c r="B2678" s="33" t="s">
        <v>29</v>
      </c>
      <c r="C2678" s="33" t="s">
        <v>32</v>
      </c>
      <c r="D2678" s="33">
        <v>210</v>
      </c>
    </row>
    <row r="2679" spans="1:4" x14ac:dyDescent="0.15">
      <c r="A2679" s="32">
        <v>35309</v>
      </c>
      <c r="B2679" s="33" t="s">
        <v>28</v>
      </c>
      <c r="C2679" s="33" t="s">
        <v>32</v>
      </c>
      <c r="D2679" s="33">
        <v>921</v>
      </c>
    </row>
    <row r="2680" spans="1:4" x14ac:dyDescent="0.15">
      <c r="A2680" s="32">
        <v>35309</v>
      </c>
      <c r="B2680" s="33" t="s">
        <v>33</v>
      </c>
      <c r="C2680" s="33" t="s">
        <v>32</v>
      </c>
      <c r="D2680" s="33">
        <v>561</v>
      </c>
    </row>
    <row r="2681" spans="1:4" x14ac:dyDescent="0.15">
      <c r="A2681" s="32">
        <v>35309</v>
      </c>
      <c r="B2681" s="33" t="s">
        <v>26</v>
      </c>
      <c r="C2681" s="33" t="s">
        <v>32</v>
      </c>
      <c r="D2681" s="33">
        <v>1730</v>
      </c>
    </row>
    <row r="2682" spans="1:4" x14ac:dyDescent="0.15">
      <c r="A2682" s="32">
        <v>35309</v>
      </c>
      <c r="B2682" s="33" t="s">
        <v>33</v>
      </c>
      <c r="C2682" s="33" t="s">
        <v>32</v>
      </c>
      <c r="D2682" s="33">
        <v>140</v>
      </c>
    </row>
    <row r="2683" spans="1:4" x14ac:dyDescent="0.15">
      <c r="A2683" s="32">
        <v>35309</v>
      </c>
      <c r="B2683" s="33" t="s">
        <v>33</v>
      </c>
      <c r="C2683" s="33" t="s">
        <v>32</v>
      </c>
      <c r="D2683" s="33">
        <v>1463</v>
      </c>
    </row>
    <row r="2684" spans="1:4" x14ac:dyDescent="0.15">
      <c r="A2684" s="32">
        <v>35309</v>
      </c>
      <c r="B2684" s="33" t="s">
        <v>26</v>
      </c>
      <c r="C2684" s="33" t="s">
        <v>32</v>
      </c>
      <c r="D2684" s="33">
        <v>158</v>
      </c>
    </row>
    <row r="2685" spans="1:4" x14ac:dyDescent="0.15">
      <c r="A2685" s="32">
        <v>35309</v>
      </c>
      <c r="B2685" s="33" t="s">
        <v>28</v>
      </c>
      <c r="C2685" s="33" t="s">
        <v>32</v>
      </c>
      <c r="D2685" s="33">
        <v>560</v>
      </c>
    </row>
    <row r="2686" spans="1:4" x14ac:dyDescent="0.15">
      <c r="A2686" s="32">
        <v>35309</v>
      </c>
      <c r="B2686" s="33" t="s">
        <v>21</v>
      </c>
      <c r="C2686" s="33" t="s">
        <v>24</v>
      </c>
      <c r="D2686" s="33">
        <v>94</v>
      </c>
    </row>
    <row r="2687" spans="1:4" x14ac:dyDescent="0.15">
      <c r="A2687" s="32">
        <v>35309</v>
      </c>
      <c r="B2687" s="33" t="s">
        <v>26</v>
      </c>
      <c r="C2687" s="33" t="s">
        <v>24</v>
      </c>
      <c r="D2687" s="33">
        <v>114</v>
      </c>
    </row>
    <row r="2688" spans="1:4" x14ac:dyDescent="0.15">
      <c r="A2688" s="32">
        <v>35309</v>
      </c>
      <c r="B2688" s="33" t="s">
        <v>26</v>
      </c>
      <c r="C2688" s="33" t="s">
        <v>24</v>
      </c>
      <c r="D2688" s="33">
        <v>123</v>
      </c>
    </row>
    <row r="2689" spans="1:4" x14ac:dyDescent="0.15">
      <c r="A2689" s="32">
        <v>35309</v>
      </c>
      <c r="B2689" s="33" t="s">
        <v>21</v>
      </c>
      <c r="C2689" s="33" t="s">
        <v>24</v>
      </c>
      <c r="D2689" s="33">
        <v>124</v>
      </c>
    </row>
    <row r="2690" spans="1:4" x14ac:dyDescent="0.15">
      <c r="A2690" s="32">
        <v>35309</v>
      </c>
      <c r="B2690" s="33" t="s">
        <v>21</v>
      </c>
      <c r="C2690" s="33" t="s">
        <v>24</v>
      </c>
      <c r="D2690" s="33">
        <v>23</v>
      </c>
    </row>
    <row r="2691" spans="1:4" x14ac:dyDescent="0.15">
      <c r="A2691" s="32">
        <v>35309</v>
      </c>
      <c r="B2691" s="33" t="s">
        <v>26</v>
      </c>
      <c r="C2691" s="33" t="s">
        <v>24</v>
      </c>
      <c r="D2691" s="33">
        <v>68</v>
      </c>
    </row>
    <row r="2692" spans="1:4" x14ac:dyDescent="0.15">
      <c r="A2692" s="32">
        <v>35309</v>
      </c>
      <c r="B2692" s="33" t="s">
        <v>21</v>
      </c>
      <c r="C2692" s="33" t="s">
        <v>24</v>
      </c>
      <c r="D2692" s="33">
        <v>88</v>
      </c>
    </row>
    <row r="2693" spans="1:4" x14ac:dyDescent="0.15">
      <c r="A2693" s="32">
        <v>35309</v>
      </c>
      <c r="B2693" s="33" t="s">
        <v>26</v>
      </c>
      <c r="C2693" s="33" t="s">
        <v>24</v>
      </c>
      <c r="D2693" s="33">
        <v>303</v>
      </c>
    </row>
    <row r="2694" spans="1:4" x14ac:dyDescent="0.15">
      <c r="A2694" s="32">
        <v>35309</v>
      </c>
      <c r="B2694" s="33" t="s">
        <v>21</v>
      </c>
      <c r="C2694" s="33" t="s">
        <v>24</v>
      </c>
      <c r="D2694" s="33">
        <v>1786</v>
      </c>
    </row>
    <row r="2695" spans="1:4" x14ac:dyDescent="0.15">
      <c r="A2695" s="32">
        <v>35309</v>
      </c>
      <c r="B2695" s="33" t="s">
        <v>21</v>
      </c>
      <c r="C2695" s="33" t="s">
        <v>24</v>
      </c>
      <c r="D2695" s="33">
        <v>1849</v>
      </c>
    </row>
    <row r="2696" spans="1:4" x14ac:dyDescent="0.15">
      <c r="A2696" s="32">
        <v>35309</v>
      </c>
      <c r="B2696" s="33" t="s">
        <v>26</v>
      </c>
      <c r="C2696" s="33" t="s">
        <v>24</v>
      </c>
      <c r="D2696" s="33">
        <v>206</v>
      </c>
    </row>
    <row r="2697" spans="1:4" x14ac:dyDescent="0.15">
      <c r="A2697" s="32">
        <v>35309</v>
      </c>
      <c r="B2697" s="33" t="s">
        <v>26</v>
      </c>
      <c r="C2697" s="33" t="s">
        <v>24</v>
      </c>
      <c r="D2697" s="33">
        <v>158</v>
      </c>
    </row>
    <row r="2698" spans="1:4" x14ac:dyDescent="0.15">
      <c r="A2698" s="32">
        <v>35309</v>
      </c>
      <c r="B2698" s="33" t="s">
        <v>28</v>
      </c>
      <c r="C2698" s="33" t="s">
        <v>25</v>
      </c>
      <c r="D2698" s="33">
        <v>158</v>
      </c>
    </row>
    <row r="2699" spans="1:4" x14ac:dyDescent="0.15">
      <c r="A2699" s="32">
        <v>35309</v>
      </c>
      <c r="B2699" s="33" t="s">
        <v>28</v>
      </c>
      <c r="C2699" s="33" t="s">
        <v>25</v>
      </c>
      <c r="D2699" s="33">
        <v>210</v>
      </c>
    </row>
    <row r="2700" spans="1:4" x14ac:dyDescent="0.15">
      <c r="A2700" s="32">
        <v>35309</v>
      </c>
      <c r="B2700" s="33" t="s">
        <v>33</v>
      </c>
      <c r="C2700" s="33" t="s">
        <v>25</v>
      </c>
      <c r="D2700" s="33">
        <v>158</v>
      </c>
    </row>
    <row r="2701" spans="1:4" x14ac:dyDescent="0.15">
      <c r="A2701" s="32">
        <v>35309</v>
      </c>
      <c r="B2701" s="33" t="s">
        <v>31</v>
      </c>
      <c r="C2701" s="33" t="s">
        <v>25</v>
      </c>
      <c r="D2701" s="33">
        <v>280</v>
      </c>
    </row>
    <row r="2702" spans="1:4" x14ac:dyDescent="0.15">
      <c r="A2702" s="32">
        <v>35309</v>
      </c>
      <c r="B2702" s="33" t="s">
        <v>31</v>
      </c>
      <c r="C2702" s="33" t="s">
        <v>25</v>
      </c>
      <c r="D2702" s="33">
        <v>124</v>
      </c>
    </row>
    <row r="2703" spans="1:4" x14ac:dyDescent="0.15">
      <c r="A2703" s="32">
        <v>35309</v>
      </c>
      <c r="B2703" s="33" t="s">
        <v>21</v>
      </c>
      <c r="C2703" s="33" t="s">
        <v>25</v>
      </c>
      <c r="D2703" s="33">
        <v>158</v>
      </c>
    </row>
    <row r="2704" spans="1:4" x14ac:dyDescent="0.15">
      <c r="A2704" s="32">
        <v>35309</v>
      </c>
      <c r="B2704" s="33" t="s">
        <v>29</v>
      </c>
      <c r="C2704" s="33" t="s">
        <v>25</v>
      </c>
      <c r="D2704" s="33">
        <v>144</v>
      </c>
    </row>
    <row r="2705" spans="1:4" x14ac:dyDescent="0.15">
      <c r="A2705" s="32">
        <v>35309</v>
      </c>
      <c r="B2705" s="33" t="s">
        <v>29</v>
      </c>
      <c r="C2705" s="33" t="s">
        <v>25</v>
      </c>
      <c r="D2705" s="33">
        <v>135</v>
      </c>
    </row>
    <row r="2706" spans="1:4" x14ac:dyDescent="0.15">
      <c r="A2706" s="32">
        <v>35309</v>
      </c>
      <c r="B2706" s="33" t="s">
        <v>31</v>
      </c>
      <c r="C2706" s="33" t="s">
        <v>25</v>
      </c>
      <c r="D2706" s="33">
        <v>149</v>
      </c>
    </row>
    <row r="2707" spans="1:4" x14ac:dyDescent="0.15">
      <c r="A2707" s="32">
        <v>35309</v>
      </c>
      <c r="B2707" s="33" t="s">
        <v>26</v>
      </c>
      <c r="C2707" s="33" t="s">
        <v>25</v>
      </c>
      <c r="D2707" s="33">
        <v>767</v>
      </c>
    </row>
    <row r="2708" spans="1:4" x14ac:dyDescent="0.15">
      <c r="A2708" s="32">
        <v>35309</v>
      </c>
      <c r="B2708" s="33" t="s">
        <v>33</v>
      </c>
      <c r="C2708" s="33" t="s">
        <v>25</v>
      </c>
      <c r="D2708" s="33">
        <v>761</v>
      </c>
    </row>
    <row r="2709" spans="1:4" x14ac:dyDescent="0.15">
      <c r="A2709" s="32">
        <v>35309</v>
      </c>
      <c r="B2709" s="33" t="s">
        <v>26</v>
      </c>
      <c r="C2709" s="33" t="s">
        <v>25</v>
      </c>
      <c r="D2709" s="33">
        <v>657</v>
      </c>
    </row>
    <row r="2710" spans="1:4" x14ac:dyDescent="0.15">
      <c r="A2710" s="32">
        <v>35309</v>
      </c>
      <c r="B2710" s="33" t="s">
        <v>26</v>
      </c>
      <c r="C2710" s="33" t="s">
        <v>25</v>
      </c>
      <c r="D2710" s="33">
        <v>561</v>
      </c>
    </row>
    <row r="2711" spans="1:4" x14ac:dyDescent="0.15">
      <c r="A2711" s="32">
        <v>35309</v>
      </c>
      <c r="B2711" s="33" t="s">
        <v>28</v>
      </c>
      <c r="C2711" s="33" t="s">
        <v>25</v>
      </c>
      <c r="D2711" s="33">
        <v>426</v>
      </c>
    </row>
    <row r="2712" spans="1:4" x14ac:dyDescent="0.15">
      <c r="A2712" s="32">
        <v>35309</v>
      </c>
      <c r="B2712" s="33" t="s">
        <v>21</v>
      </c>
      <c r="C2712" s="33" t="s">
        <v>25</v>
      </c>
      <c r="D2712" s="33">
        <v>415</v>
      </c>
    </row>
    <row r="2713" spans="1:4" x14ac:dyDescent="0.15">
      <c r="A2713" s="32">
        <v>35309</v>
      </c>
      <c r="B2713" s="33" t="s">
        <v>33</v>
      </c>
      <c r="C2713" s="33" t="s">
        <v>25</v>
      </c>
      <c r="D2713" s="33">
        <v>368</v>
      </c>
    </row>
    <row r="2714" spans="1:4" x14ac:dyDescent="0.15">
      <c r="A2714" s="32">
        <v>35309</v>
      </c>
      <c r="B2714" s="33" t="s">
        <v>28</v>
      </c>
      <c r="C2714" s="33" t="s">
        <v>25</v>
      </c>
      <c r="D2714" s="33">
        <v>529</v>
      </c>
    </row>
    <row r="2715" spans="1:4" x14ac:dyDescent="0.15">
      <c r="A2715" s="32">
        <v>35309</v>
      </c>
      <c r="B2715" s="33" t="s">
        <v>31</v>
      </c>
      <c r="C2715" s="33" t="s">
        <v>25</v>
      </c>
      <c r="D2715" s="33">
        <v>506</v>
      </c>
    </row>
    <row r="2716" spans="1:4" x14ac:dyDescent="0.15">
      <c r="A2716" s="32">
        <v>35309</v>
      </c>
      <c r="B2716" s="33" t="s">
        <v>21</v>
      </c>
      <c r="C2716" s="33" t="s">
        <v>25</v>
      </c>
      <c r="D2716" s="33">
        <v>502</v>
      </c>
    </row>
    <row r="2717" spans="1:4" x14ac:dyDescent="0.15">
      <c r="A2717" s="32">
        <v>35309</v>
      </c>
      <c r="B2717" s="33" t="s">
        <v>26</v>
      </c>
      <c r="C2717" s="33" t="s">
        <v>25</v>
      </c>
      <c r="D2717" s="33">
        <v>469</v>
      </c>
    </row>
    <row r="2718" spans="1:4" x14ac:dyDescent="0.15">
      <c r="A2718" s="32">
        <v>35309</v>
      </c>
      <c r="B2718" s="33" t="s">
        <v>33</v>
      </c>
      <c r="C2718" s="33" t="s">
        <v>25</v>
      </c>
      <c r="D2718" s="33">
        <v>428</v>
      </c>
    </row>
    <row r="2719" spans="1:4" x14ac:dyDescent="0.15">
      <c r="A2719" s="32">
        <v>35309</v>
      </c>
      <c r="B2719" s="33" t="s">
        <v>29</v>
      </c>
      <c r="C2719" s="33" t="s">
        <v>25</v>
      </c>
      <c r="D2719" s="33">
        <v>46</v>
      </c>
    </row>
    <row r="2720" spans="1:4" x14ac:dyDescent="0.15">
      <c r="A2720" s="32">
        <v>35309</v>
      </c>
      <c r="B2720" s="33" t="s">
        <v>29</v>
      </c>
      <c r="C2720" s="33" t="s">
        <v>25</v>
      </c>
      <c r="D2720" s="33">
        <v>105</v>
      </c>
    </row>
    <row r="2721" spans="1:4" x14ac:dyDescent="0.15">
      <c r="A2721" s="32">
        <v>35309</v>
      </c>
      <c r="B2721" s="33" t="s">
        <v>21</v>
      </c>
      <c r="C2721" s="33" t="s">
        <v>25</v>
      </c>
      <c r="D2721" s="33">
        <v>88</v>
      </c>
    </row>
    <row r="2722" spans="1:4" x14ac:dyDescent="0.15">
      <c r="A2722" s="32">
        <v>35309</v>
      </c>
      <c r="B2722" s="33" t="s">
        <v>33</v>
      </c>
      <c r="C2722" s="33" t="s">
        <v>27</v>
      </c>
      <c r="D2722" s="33">
        <v>186</v>
      </c>
    </row>
    <row r="2723" spans="1:4" x14ac:dyDescent="0.15">
      <c r="A2723" s="32">
        <v>35309</v>
      </c>
      <c r="B2723" s="33" t="s">
        <v>31</v>
      </c>
      <c r="C2723" s="33" t="s">
        <v>27</v>
      </c>
      <c r="D2723" s="33">
        <v>224</v>
      </c>
    </row>
    <row r="2724" spans="1:4" x14ac:dyDescent="0.15">
      <c r="A2724" s="32">
        <v>35309</v>
      </c>
      <c r="B2724" s="33" t="s">
        <v>29</v>
      </c>
      <c r="C2724" s="33" t="s">
        <v>27</v>
      </c>
      <c r="D2724" s="33">
        <v>225</v>
      </c>
    </row>
    <row r="2725" spans="1:4" x14ac:dyDescent="0.15">
      <c r="A2725" s="32">
        <v>35309</v>
      </c>
      <c r="B2725" s="33" t="s">
        <v>21</v>
      </c>
      <c r="C2725" s="33" t="s">
        <v>27</v>
      </c>
      <c r="D2725" s="33">
        <v>228</v>
      </c>
    </row>
    <row r="2726" spans="1:4" x14ac:dyDescent="0.15">
      <c r="A2726" s="32">
        <v>35309</v>
      </c>
      <c r="B2726" s="33" t="s">
        <v>31</v>
      </c>
      <c r="C2726" s="33" t="s">
        <v>27</v>
      </c>
      <c r="D2726" s="33">
        <v>254</v>
      </c>
    </row>
    <row r="2727" spans="1:4" x14ac:dyDescent="0.15">
      <c r="A2727" s="32">
        <v>35309</v>
      </c>
      <c r="B2727" s="33" t="s">
        <v>26</v>
      </c>
      <c r="C2727" s="33" t="s">
        <v>27</v>
      </c>
      <c r="D2727" s="33">
        <v>405</v>
      </c>
    </row>
    <row r="2728" spans="1:4" x14ac:dyDescent="0.15">
      <c r="A2728" s="32">
        <v>35309</v>
      </c>
      <c r="B2728" s="33" t="s">
        <v>21</v>
      </c>
      <c r="C2728" s="33" t="s">
        <v>27</v>
      </c>
      <c r="D2728" s="33">
        <v>455</v>
      </c>
    </row>
    <row r="2729" spans="1:4" x14ac:dyDescent="0.15">
      <c r="A2729" s="32">
        <v>35309</v>
      </c>
      <c r="B2729" s="33" t="s">
        <v>28</v>
      </c>
      <c r="C2729" s="33" t="s">
        <v>27</v>
      </c>
      <c r="D2729" s="33">
        <v>536</v>
      </c>
    </row>
    <row r="2730" spans="1:4" x14ac:dyDescent="0.15">
      <c r="A2730" s="32">
        <v>35309</v>
      </c>
      <c r="B2730" s="33" t="s">
        <v>26</v>
      </c>
      <c r="C2730" s="33" t="s">
        <v>27</v>
      </c>
      <c r="D2730" s="33">
        <v>644</v>
      </c>
    </row>
    <row r="2731" spans="1:4" x14ac:dyDescent="0.15">
      <c r="A2731" s="32">
        <v>35309</v>
      </c>
      <c r="B2731" s="33" t="s">
        <v>28</v>
      </c>
      <c r="C2731" s="33" t="s">
        <v>27</v>
      </c>
      <c r="D2731" s="33">
        <v>955</v>
      </c>
    </row>
    <row r="2732" spans="1:4" x14ac:dyDescent="0.15">
      <c r="A2732" s="32">
        <v>35309</v>
      </c>
      <c r="B2732" s="33" t="s">
        <v>26</v>
      </c>
      <c r="C2732" s="33" t="s">
        <v>27</v>
      </c>
      <c r="D2732" s="33">
        <v>1664</v>
      </c>
    </row>
    <row r="2733" spans="1:4" x14ac:dyDescent="0.15">
      <c r="A2733" s="32">
        <v>35309</v>
      </c>
      <c r="B2733" s="33" t="s">
        <v>26</v>
      </c>
      <c r="C2733" s="33" t="s">
        <v>27</v>
      </c>
      <c r="D2733" s="33">
        <v>1727</v>
      </c>
    </row>
    <row r="2734" spans="1:4" x14ac:dyDescent="0.15">
      <c r="A2734" s="32">
        <v>35309</v>
      </c>
      <c r="B2734" s="33" t="s">
        <v>33</v>
      </c>
      <c r="C2734" s="33" t="s">
        <v>27</v>
      </c>
      <c r="D2734" s="33">
        <v>124</v>
      </c>
    </row>
    <row r="2735" spans="1:4" x14ac:dyDescent="0.15">
      <c r="A2735" s="32">
        <v>35309</v>
      </c>
      <c r="B2735" s="33" t="s">
        <v>31</v>
      </c>
      <c r="C2735" s="33" t="s">
        <v>27</v>
      </c>
      <c r="D2735" s="33">
        <v>2687</v>
      </c>
    </row>
    <row r="2736" spans="1:4" x14ac:dyDescent="0.15">
      <c r="A2736" s="32">
        <v>35309</v>
      </c>
      <c r="B2736" s="33" t="s">
        <v>33</v>
      </c>
      <c r="C2736" s="33" t="s">
        <v>27</v>
      </c>
      <c r="D2736" s="33">
        <v>153</v>
      </c>
    </row>
    <row r="2737" spans="1:4" x14ac:dyDescent="0.15">
      <c r="A2737" s="32">
        <v>35309</v>
      </c>
      <c r="B2737" s="33" t="s">
        <v>29</v>
      </c>
      <c r="C2737" s="33" t="s">
        <v>27</v>
      </c>
      <c r="D2737" s="33">
        <v>140</v>
      </c>
    </row>
    <row r="2738" spans="1:4" x14ac:dyDescent="0.15">
      <c r="A2738" s="32">
        <v>35309</v>
      </c>
      <c r="B2738" s="33" t="s">
        <v>33</v>
      </c>
      <c r="C2738" s="33" t="s">
        <v>27</v>
      </c>
      <c r="D2738" s="33">
        <v>44</v>
      </c>
    </row>
    <row r="2739" spans="1:4" x14ac:dyDescent="0.15">
      <c r="A2739" s="32">
        <v>35309</v>
      </c>
      <c r="B2739" s="33" t="s">
        <v>21</v>
      </c>
      <c r="C2739" s="33" t="s">
        <v>27</v>
      </c>
      <c r="D2739" s="33">
        <v>44</v>
      </c>
    </row>
    <row r="2740" spans="1:4" x14ac:dyDescent="0.15">
      <c r="A2740" s="32">
        <v>35309</v>
      </c>
      <c r="B2740" s="33" t="s">
        <v>28</v>
      </c>
      <c r="C2740" s="33" t="s">
        <v>27</v>
      </c>
      <c r="D2740" s="33">
        <v>56</v>
      </c>
    </row>
    <row r="2741" spans="1:4" x14ac:dyDescent="0.15">
      <c r="A2741" s="32">
        <v>35309</v>
      </c>
      <c r="B2741" s="33" t="s">
        <v>21</v>
      </c>
      <c r="C2741" s="33" t="s">
        <v>27</v>
      </c>
      <c r="D2741" s="33">
        <v>68</v>
      </c>
    </row>
    <row r="2742" spans="1:4" x14ac:dyDescent="0.15">
      <c r="A2742" s="32">
        <v>35309</v>
      </c>
      <c r="B2742" s="33" t="s">
        <v>28</v>
      </c>
      <c r="C2742" s="33" t="s">
        <v>27</v>
      </c>
      <c r="D2742" s="33">
        <v>72</v>
      </c>
    </row>
    <row r="2743" spans="1:4" x14ac:dyDescent="0.15">
      <c r="A2743" s="32">
        <v>35309</v>
      </c>
      <c r="B2743" s="33" t="s">
        <v>29</v>
      </c>
      <c r="C2743" s="33" t="s">
        <v>27</v>
      </c>
      <c r="D2743" s="33">
        <v>79</v>
      </c>
    </row>
    <row r="2744" spans="1:4" x14ac:dyDescent="0.15">
      <c r="A2744" s="32">
        <v>35309</v>
      </c>
      <c r="B2744" s="33" t="s">
        <v>31</v>
      </c>
      <c r="C2744" s="33" t="s">
        <v>27</v>
      </c>
      <c r="D2744" s="33">
        <v>101</v>
      </c>
    </row>
    <row r="2745" spans="1:4" x14ac:dyDescent="0.15">
      <c r="A2745" s="32">
        <v>35309</v>
      </c>
      <c r="B2745" s="33" t="s">
        <v>29</v>
      </c>
      <c r="C2745" s="33" t="s">
        <v>27</v>
      </c>
      <c r="D2745" s="33">
        <v>123</v>
      </c>
    </row>
    <row r="2746" spans="1:4" x14ac:dyDescent="0.15">
      <c r="A2746" s="32">
        <v>35309</v>
      </c>
      <c r="B2746" s="33" t="s">
        <v>33</v>
      </c>
      <c r="C2746" s="33" t="s">
        <v>30</v>
      </c>
      <c r="D2746" s="33">
        <v>668</v>
      </c>
    </row>
    <row r="2747" spans="1:4" x14ac:dyDescent="0.15">
      <c r="A2747" s="32">
        <v>35309</v>
      </c>
      <c r="B2747" s="33" t="s">
        <v>26</v>
      </c>
      <c r="C2747" s="33" t="s">
        <v>30</v>
      </c>
      <c r="D2747" s="33">
        <v>716</v>
      </c>
    </row>
    <row r="2748" spans="1:4" x14ac:dyDescent="0.15">
      <c r="A2748" s="32">
        <v>35309</v>
      </c>
      <c r="B2748" s="33" t="s">
        <v>31</v>
      </c>
      <c r="C2748" s="33" t="s">
        <v>30</v>
      </c>
      <c r="D2748" s="33">
        <v>1185</v>
      </c>
    </row>
    <row r="2749" spans="1:4" x14ac:dyDescent="0.15">
      <c r="A2749" s="32">
        <v>35309</v>
      </c>
      <c r="B2749" s="33" t="s">
        <v>33</v>
      </c>
      <c r="C2749" s="33" t="s">
        <v>30</v>
      </c>
      <c r="D2749" s="33">
        <v>1237</v>
      </c>
    </row>
    <row r="2750" spans="1:4" x14ac:dyDescent="0.15">
      <c r="A2750" s="32">
        <v>35309</v>
      </c>
      <c r="B2750" s="33" t="s">
        <v>31</v>
      </c>
      <c r="C2750" s="33" t="s">
        <v>30</v>
      </c>
      <c r="D2750" s="33">
        <v>1496</v>
      </c>
    </row>
    <row r="2751" spans="1:4" x14ac:dyDescent="0.15">
      <c r="A2751" s="32">
        <v>35309</v>
      </c>
      <c r="B2751" s="33" t="s">
        <v>33</v>
      </c>
      <c r="C2751" s="33" t="s">
        <v>30</v>
      </c>
      <c r="D2751" s="33">
        <v>1849</v>
      </c>
    </row>
    <row r="2752" spans="1:4" x14ac:dyDescent="0.15">
      <c r="A2752" s="32">
        <v>35309</v>
      </c>
      <c r="B2752" s="33" t="s">
        <v>29</v>
      </c>
      <c r="C2752" s="33" t="s">
        <v>30</v>
      </c>
      <c r="D2752" s="33">
        <v>42</v>
      </c>
    </row>
    <row r="2753" spans="1:4" x14ac:dyDescent="0.15">
      <c r="A2753" s="32">
        <v>35309</v>
      </c>
      <c r="B2753" s="33" t="s">
        <v>21</v>
      </c>
      <c r="C2753" s="33" t="s">
        <v>30</v>
      </c>
      <c r="D2753" s="33">
        <v>41</v>
      </c>
    </row>
    <row r="2754" spans="1:4" x14ac:dyDescent="0.15">
      <c r="A2754" s="32">
        <v>35309</v>
      </c>
      <c r="B2754" s="33" t="s">
        <v>26</v>
      </c>
      <c r="C2754" s="33" t="s">
        <v>30</v>
      </c>
      <c r="D2754" s="33">
        <v>124</v>
      </c>
    </row>
    <row r="2755" spans="1:4" x14ac:dyDescent="0.15">
      <c r="A2755" s="32">
        <v>35309</v>
      </c>
      <c r="B2755" s="33" t="s">
        <v>28</v>
      </c>
      <c r="C2755" s="33" t="s">
        <v>30</v>
      </c>
      <c r="D2755" s="33">
        <v>69</v>
      </c>
    </row>
    <row r="2756" spans="1:4" x14ac:dyDescent="0.15">
      <c r="A2756" s="32">
        <v>35309</v>
      </c>
      <c r="B2756" s="33" t="s">
        <v>33</v>
      </c>
      <c r="C2756" s="33" t="s">
        <v>30</v>
      </c>
      <c r="D2756" s="33">
        <v>77</v>
      </c>
    </row>
    <row r="2757" spans="1:4" x14ac:dyDescent="0.15">
      <c r="A2757" s="32">
        <v>35309</v>
      </c>
      <c r="B2757" s="33" t="s">
        <v>21</v>
      </c>
      <c r="C2757" s="33" t="s">
        <v>30</v>
      </c>
      <c r="D2757" s="33">
        <v>68</v>
      </c>
    </row>
    <row r="2758" spans="1:4" x14ac:dyDescent="0.15">
      <c r="A2758" s="32">
        <v>35309</v>
      </c>
      <c r="B2758" s="33" t="s">
        <v>28</v>
      </c>
      <c r="C2758" s="33" t="s">
        <v>30</v>
      </c>
      <c r="D2758" s="33">
        <v>79</v>
      </c>
    </row>
    <row r="2759" spans="1:4" x14ac:dyDescent="0.15">
      <c r="A2759" s="32">
        <v>35309</v>
      </c>
      <c r="B2759" s="33" t="s">
        <v>31</v>
      </c>
      <c r="C2759" s="33" t="s">
        <v>30</v>
      </c>
      <c r="D2759" s="33">
        <v>83</v>
      </c>
    </row>
    <row r="2760" spans="1:4" x14ac:dyDescent="0.15">
      <c r="A2760" s="32">
        <v>35309</v>
      </c>
      <c r="B2760" s="33" t="s">
        <v>29</v>
      </c>
      <c r="C2760" s="33" t="s">
        <v>30</v>
      </c>
      <c r="D2760" s="33">
        <v>96</v>
      </c>
    </row>
    <row r="2761" spans="1:4" x14ac:dyDescent="0.15">
      <c r="A2761" s="32">
        <v>35309</v>
      </c>
      <c r="B2761" s="33" t="s">
        <v>26</v>
      </c>
      <c r="C2761" s="33" t="s">
        <v>30</v>
      </c>
      <c r="D2761" s="33">
        <v>101</v>
      </c>
    </row>
    <row r="2762" spans="1:4" x14ac:dyDescent="0.15">
      <c r="A2762" s="32">
        <v>35309</v>
      </c>
      <c r="B2762" s="33" t="s">
        <v>28</v>
      </c>
      <c r="C2762" s="33" t="s">
        <v>30</v>
      </c>
      <c r="D2762" s="33">
        <v>113</v>
      </c>
    </row>
    <row r="2763" spans="1:4" x14ac:dyDescent="0.15">
      <c r="A2763" s="32">
        <v>35309</v>
      </c>
      <c r="B2763" s="33" t="s">
        <v>29</v>
      </c>
      <c r="C2763" s="33" t="s">
        <v>30</v>
      </c>
      <c r="D2763" s="33">
        <v>116</v>
      </c>
    </row>
    <row r="2764" spans="1:4" x14ac:dyDescent="0.15">
      <c r="A2764" s="32">
        <v>35309</v>
      </c>
      <c r="B2764" s="33" t="s">
        <v>29</v>
      </c>
      <c r="C2764" s="33" t="s">
        <v>30</v>
      </c>
      <c r="D2764" s="33">
        <v>63</v>
      </c>
    </row>
    <row r="2765" spans="1:4" x14ac:dyDescent="0.15">
      <c r="A2765" s="32">
        <v>35309</v>
      </c>
      <c r="B2765" s="33" t="s">
        <v>33</v>
      </c>
      <c r="C2765" s="33" t="s">
        <v>30</v>
      </c>
      <c r="D2765" s="33">
        <v>138</v>
      </c>
    </row>
    <row r="2766" spans="1:4" x14ac:dyDescent="0.15">
      <c r="A2766" s="32">
        <v>35309</v>
      </c>
      <c r="B2766" s="33" t="s">
        <v>29</v>
      </c>
      <c r="C2766" s="33" t="s">
        <v>30</v>
      </c>
      <c r="D2766" s="33">
        <v>146</v>
      </c>
    </row>
    <row r="2767" spans="1:4" x14ac:dyDescent="0.15">
      <c r="A2767" s="32">
        <v>35309</v>
      </c>
      <c r="B2767" s="33" t="s">
        <v>26</v>
      </c>
      <c r="C2767" s="33" t="s">
        <v>30</v>
      </c>
      <c r="D2767" s="33">
        <v>55</v>
      </c>
    </row>
    <row r="2768" spans="1:4" x14ac:dyDescent="0.15">
      <c r="A2768" s="32">
        <v>35309</v>
      </c>
      <c r="B2768" s="33" t="s">
        <v>21</v>
      </c>
      <c r="C2768" s="33" t="s">
        <v>30</v>
      </c>
      <c r="D2768" s="33">
        <v>50</v>
      </c>
    </row>
    <row r="2769" spans="1:4" x14ac:dyDescent="0.15">
      <c r="A2769" s="32">
        <v>35309</v>
      </c>
      <c r="B2769" s="33" t="s">
        <v>26</v>
      </c>
      <c r="C2769" s="33" t="s">
        <v>30</v>
      </c>
      <c r="D2769" s="33">
        <v>46</v>
      </c>
    </row>
    <row r="2770" spans="1:4" x14ac:dyDescent="0.15">
      <c r="A2770" s="32">
        <v>35309</v>
      </c>
      <c r="B2770" s="33" t="s">
        <v>31</v>
      </c>
      <c r="C2770" s="33" t="s">
        <v>30</v>
      </c>
      <c r="D2770" s="33">
        <v>44</v>
      </c>
    </row>
    <row r="2771" spans="1:4" x14ac:dyDescent="0.15">
      <c r="A2771" s="32">
        <v>35309</v>
      </c>
      <c r="B2771" s="33" t="s">
        <v>28</v>
      </c>
      <c r="C2771" s="33" t="s">
        <v>30</v>
      </c>
      <c r="D2771" s="33">
        <v>270</v>
      </c>
    </row>
    <row r="2772" spans="1:4" x14ac:dyDescent="0.15">
      <c r="A2772" s="32">
        <v>35309</v>
      </c>
      <c r="B2772" s="33" t="s">
        <v>31</v>
      </c>
      <c r="C2772" s="33" t="s">
        <v>30</v>
      </c>
      <c r="D2772" s="33">
        <v>396</v>
      </c>
    </row>
    <row r="2773" spans="1:4" x14ac:dyDescent="0.15">
      <c r="A2773" s="32">
        <v>35309</v>
      </c>
      <c r="B2773" s="33" t="s">
        <v>31</v>
      </c>
      <c r="C2773" s="33" t="s">
        <v>30</v>
      </c>
      <c r="D2773" s="33">
        <v>124</v>
      </c>
    </row>
    <row r="2774" spans="1:4" x14ac:dyDescent="0.15">
      <c r="A2774" s="32">
        <v>35309</v>
      </c>
      <c r="B2774" s="33" t="s">
        <v>21</v>
      </c>
      <c r="C2774" s="33" t="s">
        <v>30</v>
      </c>
      <c r="D2774" s="33">
        <v>35</v>
      </c>
    </row>
    <row r="2775" spans="1:4" x14ac:dyDescent="0.15">
      <c r="A2775" s="32">
        <v>35309</v>
      </c>
      <c r="B2775" s="33" t="s">
        <v>26</v>
      </c>
      <c r="C2775" s="33" t="s">
        <v>30</v>
      </c>
      <c r="D2775" s="33">
        <v>35</v>
      </c>
    </row>
    <row r="2776" spans="1:4" x14ac:dyDescent="0.15">
      <c r="A2776" s="32">
        <v>35309</v>
      </c>
      <c r="B2776" s="33" t="s">
        <v>29</v>
      </c>
      <c r="C2776" s="33" t="s">
        <v>30</v>
      </c>
      <c r="D2776" s="33">
        <v>35</v>
      </c>
    </row>
    <row r="2777" spans="1:4" x14ac:dyDescent="0.15">
      <c r="A2777" s="32">
        <v>35309</v>
      </c>
      <c r="B2777" s="33" t="s">
        <v>33</v>
      </c>
      <c r="C2777" s="33" t="s">
        <v>30</v>
      </c>
      <c r="D2777" s="33">
        <v>18</v>
      </c>
    </row>
    <row r="2778" spans="1:4" x14ac:dyDescent="0.15">
      <c r="A2778" s="32">
        <v>35309</v>
      </c>
      <c r="B2778" s="33" t="s">
        <v>21</v>
      </c>
      <c r="C2778" s="33" t="s">
        <v>30</v>
      </c>
      <c r="D2778" s="33">
        <v>14</v>
      </c>
    </row>
    <row r="2779" spans="1:4" x14ac:dyDescent="0.15">
      <c r="A2779" s="32">
        <v>35309</v>
      </c>
      <c r="B2779" s="33" t="s">
        <v>21</v>
      </c>
      <c r="C2779" s="33" t="s">
        <v>30</v>
      </c>
      <c r="D2779" s="33">
        <v>11</v>
      </c>
    </row>
    <row r="2780" spans="1:4" x14ac:dyDescent="0.15">
      <c r="A2780" s="32">
        <v>35339</v>
      </c>
      <c r="B2780" s="33" t="s">
        <v>21</v>
      </c>
      <c r="C2780" s="33" t="s">
        <v>22</v>
      </c>
      <c r="D2780" s="33">
        <v>66</v>
      </c>
    </row>
    <row r="2781" spans="1:4" x14ac:dyDescent="0.15">
      <c r="A2781" s="32">
        <v>35339</v>
      </c>
      <c r="B2781" s="33" t="s">
        <v>29</v>
      </c>
      <c r="C2781" s="33" t="s">
        <v>22</v>
      </c>
      <c r="D2781" s="33">
        <v>165</v>
      </c>
    </row>
    <row r="2782" spans="1:4" x14ac:dyDescent="0.15">
      <c r="A2782" s="32">
        <v>35339</v>
      </c>
      <c r="B2782" s="33" t="s">
        <v>21</v>
      </c>
      <c r="C2782" s="33" t="s">
        <v>22</v>
      </c>
      <c r="D2782" s="33">
        <v>508</v>
      </c>
    </row>
    <row r="2783" spans="1:4" x14ac:dyDescent="0.15">
      <c r="A2783" s="32">
        <v>35339</v>
      </c>
      <c r="B2783" s="33" t="s">
        <v>29</v>
      </c>
      <c r="C2783" s="33" t="s">
        <v>22</v>
      </c>
      <c r="D2783" s="33">
        <v>464</v>
      </c>
    </row>
    <row r="2784" spans="1:4" x14ac:dyDescent="0.15">
      <c r="A2784" s="32">
        <v>35339</v>
      </c>
      <c r="B2784" s="33" t="s">
        <v>26</v>
      </c>
      <c r="C2784" s="33" t="s">
        <v>22</v>
      </c>
      <c r="D2784" s="33">
        <v>450</v>
      </c>
    </row>
    <row r="2785" spans="1:4" x14ac:dyDescent="0.15">
      <c r="A2785" s="32">
        <v>35339</v>
      </c>
      <c r="B2785" s="33" t="s">
        <v>33</v>
      </c>
      <c r="C2785" s="33" t="s">
        <v>22</v>
      </c>
      <c r="D2785" s="33">
        <v>450</v>
      </c>
    </row>
    <row r="2786" spans="1:4" x14ac:dyDescent="0.15">
      <c r="A2786" s="32">
        <v>35339</v>
      </c>
      <c r="B2786" s="33" t="s">
        <v>28</v>
      </c>
      <c r="C2786" s="33" t="s">
        <v>22</v>
      </c>
      <c r="D2786" s="33">
        <v>426</v>
      </c>
    </row>
    <row r="2787" spans="1:4" x14ac:dyDescent="0.15">
      <c r="A2787" s="32">
        <v>35339</v>
      </c>
      <c r="B2787" s="33" t="s">
        <v>28</v>
      </c>
      <c r="C2787" s="33" t="s">
        <v>22</v>
      </c>
      <c r="D2787" s="33">
        <v>405</v>
      </c>
    </row>
    <row r="2788" spans="1:4" x14ac:dyDescent="0.15">
      <c r="A2788" s="32">
        <v>35339</v>
      </c>
      <c r="B2788" s="33" t="s">
        <v>29</v>
      </c>
      <c r="C2788" s="33" t="s">
        <v>22</v>
      </c>
      <c r="D2788" s="33">
        <v>176</v>
      </c>
    </row>
    <row r="2789" spans="1:4" x14ac:dyDescent="0.15">
      <c r="A2789" s="32">
        <v>35339</v>
      </c>
      <c r="B2789" s="33" t="s">
        <v>26</v>
      </c>
      <c r="C2789" s="33" t="s">
        <v>22</v>
      </c>
      <c r="D2789" s="33">
        <v>385</v>
      </c>
    </row>
    <row r="2790" spans="1:4" x14ac:dyDescent="0.15">
      <c r="A2790" s="32">
        <v>35339</v>
      </c>
      <c r="B2790" s="33" t="s">
        <v>33</v>
      </c>
      <c r="C2790" s="33" t="s">
        <v>22</v>
      </c>
      <c r="D2790" s="33">
        <v>371</v>
      </c>
    </row>
    <row r="2791" spans="1:4" x14ac:dyDescent="0.15">
      <c r="A2791" s="32">
        <v>35339</v>
      </c>
      <c r="B2791" s="33" t="s">
        <v>31</v>
      </c>
      <c r="C2791" s="33" t="s">
        <v>22</v>
      </c>
      <c r="D2791" s="33">
        <v>338</v>
      </c>
    </row>
    <row r="2792" spans="1:4" x14ac:dyDescent="0.15">
      <c r="A2792" s="32">
        <v>35339</v>
      </c>
      <c r="B2792" s="33" t="s">
        <v>26</v>
      </c>
      <c r="C2792" s="33" t="s">
        <v>22</v>
      </c>
      <c r="D2792" s="33">
        <v>2914</v>
      </c>
    </row>
    <row r="2793" spans="1:4" x14ac:dyDescent="0.15">
      <c r="A2793" s="32">
        <v>35339</v>
      </c>
      <c r="B2793" s="33" t="s">
        <v>33</v>
      </c>
      <c r="C2793" s="33" t="s">
        <v>22</v>
      </c>
      <c r="D2793" s="33">
        <v>521</v>
      </c>
    </row>
    <row r="2794" spans="1:4" x14ac:dyDescent="0.15">
      <c r="A2794" s="32">
        <v>35339</v>
      </c>
      <c r="B2794" s="33" t="s">
        <v>31</v>
      </c>
      <c r="C2794" s="33" t="s">
        <v>22</v>
      </c>
      <c r="D2794" s="33">
        <v>788</v>
      </c>
    </row>
    <row r="2795" spans="1:4" x14ac:dyDescent="0.15">
      <c r="A2795" s="32">
        <v>35339</v>
      </c>
      <c r="B2795" s="33" t="s">
        <v>28</v>
      </c>
      <c r="C2795" s="33" t="s">
        <v>22</v>
      </c>
      <c r="D2795" s="33">
        <v>989</v>
      </c>
    </row>
    <row r="2796" spans="1:4" x14ac:dyDescent="0.15">
      <c r="A2796" s="32">
        <v>35339</v>
      </c>
      <c r="B2796" s="33" t="s">
        <v>21</v>
      </c>
      <c r="C2796" s="33" t="s">
        <v>22</v>
      </c>
      <c r="D2796" s="33">
        <v>1566</v>
      </c>
    </row>
    <row r="2797" spans="1:4" x14ac:dyDescent="0.15">
      <c r="A2797" s="32">
        <v>35339</v>
      </c>
      <c r="B2797" s="33" t="s">
        <v>31</v>
      </c>
      <c r="C2797" s="33" t="s">
        <v>22</v>
      </c>
      <c r="D2797" s="33">
        <v>1826</v>
      </c>
    </row>
    <row r="2798" spans="1:4" x14ac:dyDescent="0.15">
      <c r="A2798" s="32">
        <v>35339</v>
      </c>
      <c r="B2798" s="33" t="s">
        <v>33</v>
      </c>
      <c r="C2798" s="33" t="s">
        <v>22</v>
      </c>
      <c r="D2798" s="33">
        <v>385</v>
      </c>
    </row>
    <row r="2799" spans="1:4" x14ac:dyDescent="0.15">
      <c r="A2799" s="32">
        <v>35339</v>
      </c>
      <c r="B2799" s="33" t="s">
        <v>29</v>
      </c>
      <c r="C2799" s="33" t="s">
        <v>22</v>
      </c>
      <c r="D2799" s="33">
        <v>124</v>
      </c>
    </row>
    <row r="2800" spans="1:4" x14ac:dyDescent="0.15">
      <c r="A2800" s="32">
        <v>35339</v>
      </c>
      <c r="B2800" s="33" t="s">
        <v>26</v>
      </c>
      <c r="C2800" s="33" t="s">
        <v>22</v>
      </c>
      <c r="D2800" s="33">
        <v>79</v>
      </c>
    </row>
    <row r="2801" spans="1:4" x14ac:dyDescent="0.15">
      <c r="A2801" s="32">
        <v>35339</v>
      </c>
      <c r="B2801" s="33" t="s">
        <v>28</v>
      </c>
      <c r="C2801" s="33" t="s">
        <v>22</v>
      </c>
      <c r="D2801" s="33">
        <v>83</v>
      </c>
    </row>
    <row r="2802" spans="1:4" x14ac:dyDescent="0.15">
      <c r="A2802" s="32">
        <v>35339</v>
      </c>
      <c r="B2802" s="33" t="s">
        <v>31</v>
      </c>
      <c r="C2802" s="33" t="s">
        <v>22</v>
      </c>
      <c r="D2802" s="33">
        <v>135</v>
      </c>
    </row>
    <row r="2803" spans="1:4" x14ac:dyDescent="0.15">
      <c r="A2803" s="32">
        <v>35339</v>
      </c>
      <c r="B2803" s="33" t="s">
        <v>21</v>
      </c>
      <c r="C2803" s="33" t="s">
        <v>22</v>
      </c>
      <c r="D2803" s="33">
        <v>45</v>
      </c>
    </row>
    <row r="2804" spans="1:4" x14ac:dyDescent="0.15">
      <c r="A2804" s="32">
        <v>35339</v>
      </c>
      <c r="B2804" s="33" t="s">
        <v>28</v>
      </c>
      <c r="C2804" s="33" t="s">
        <v>23</v>
      </c>
      <c r="D2804" s="33">
        <v>203</v>
      </c>
    </row>
    <row r="2805" spans="1:4" x14ac:dyDescent="0.15">
      <c r="A2805" s="32">
        <v>35339</v>
      </c>
      <c r="B2805" s="33" t="s">
        <v>29</v>
      </c>
      <c r="C2805" s="33" t="s">
        <v>23</v>
      </c>
      <c r="D2805" s="33">
        <v>184</v>
      </c>
    </row>
    <row r="2806" spans="1:4" x14ac:dyDescent="0.15">
      <c r="A2806" s="32">
        <v>35339</v>
      </c>
      <c r="B2806" s="33" t="s">
        <v>33</v>
      </c>
      <c r="C2806" s="33" t="s">
        <v>23</v>
      </c>
      <c r="D2806" s="33">
        <v>175</v>
      </c>
    </row>
    <row r="2807" spans="1:4" x14ac:dyDescent="0.15">
      <c r="A2807" s="32">
        <v>35339</v>
      </c>
      <c r="B2807" s="33" t="s">
        <v>31</v>
      </c>
      <c r="C2807" s="33" t="s">
        <v>23</v>
      </c>
      <c r="D2807" s="33">
        <v>169</v>
      </c>
    </row>
    <row r="2808" spans="1:4" x14ac:dyDescent="0.15">
      <c r="A2808" s="32">
        <v>35339</v>
      </c>
      <c r="B2808" s="33" t="s">
        <v>29</v>
      </c>
      <c r="C2808" s="33" t="s">
        <v>23</v>
      </c>
      <c r="D2808" s="33">
        <v>343</v>
      </c>
    </row>
    <row r="2809" spans="1:4" x14ac:dyDescent="0.15">
      <c r="A2809" s="32">
        <v>35339</v>
      </c>
      <c r="B2809" s="33" t="s">
        <v>28</v>
      </c>
      <c r="C2809" s="33" t="s">
        <v>23</v>
      </c>
      <c r="D2809" s="33">
        <v>315</v>
      </c>
    </row>
    <row r="2810" spans="1:4" x14ac:dyDescent="0.15">
      <c r="A2810" s="32">
        <v>35339</v>
      </c>
      <c r="B2810" s="33" t="s">
        <v>33</v>
      </c>
      <c r="C2810" s="33" t="s">
        <v>23</v>
      </c>
      <c r="D2810" s="33">
        <v>263</v>
      </c>
    </row>
    <row r="2811" spans="1:4" x14ac:dyDescent="0.15">
      <c r="A2811" s="32">
        <v>35339</v>
      </c>
      <c r="B2811" s="33" t="s">
        <v>29</v>
      </c>
      <c r="C2811" s="33" t="s">
        <v>23</v>
      </c>
      <c r="D2811" s="33">
        <v>257</v>
      </c>
    </row>
    <row r="2812" spans="1:4" x14ac:dyDescent="0.15">
      <c r="A2812" s="32">
        <v>35339</v>
      </c>
      <c r="B2812" s="33" t="s">
        <v>33</v>
      </c>
      <c r="C2812" s="33" t="s">
        <v>23</v>
      </c>
      <c r="D2812" s="33">
        <v>248</v>
      </c>
    </row>
    <row r="2813" spans="1:4" x14ac:dyDescent="0.15">
      <c r="A2813" s="32">
        <v>35339</v>
      </c>
      <c r="B2813" s="33" t="s">
        <v>26</v>
      </c>
      <c r="C2813" s="33" t="s">
        <v>23</v>
      </c>
      <c r="D2813" s="33">
        <v>96</v>
      </c>
    </row>
    <row r="2814" spans="1:4" x14ac:dyDescent="0.15">
      <c r="A2814" s="32">
        <v>35339</v>
      </c>
      <c r="B2814" s="33" t="s">
        <v>26</v>
      </c>
      <c r="C2814" s="33" t="s">
        <v>23</v>
      </c>
      <c r="D2814" s="33">
        <v>146</v>
      </c>
    </row>
    <row r="2815" spans="1:4" x14ac:dyDescent="0.15">
      <c r="A2815" s="32">
        <v>35339</v>
      </c>
      <c r="B2815" s="33" t="s">
        <v>31</v>
      </c>
      <c r="C2815" s="33" t="s">
        <v>23</v>
      </c>
      <c r="D2815" s="33">
        <v>131</v>
      </c>
    </row>
    <row r="2816" spans="1:4" x14ac:dyDescent="0.15">
      <c r="A2816" s="32">
        <v>35339</v>
      </c>
      <c r="B2816" s="33" t="s">
        <v>21</v>
      </c>
      <c r="C2816" s="33" t="s">
        <v>23</v>
      </c>
      <c r="D2816" s="33">
        <v>1221</v>
      </c>
    </row>
    <row r="2817" spans="1:4" x14ac:dyDescent="0.15">
      <c r="A2817" s="32">
        <v>35339</v>
      </c>
      <c r="B2817" s="33" t="s">
        <v>28</v>
      </c>
      <c r="C2817" s="33" t="s">
        <v>23</v>
      </c>
      <c r="D2817" s="33">
        <v>459</v>
      </c>
    </row>
    <row r="2818" spans="1:4" x14ac:dyDescent="0.15">
      <c r="A2818" s="32">
        <v>35339</v>
      </c>
      <c r="B2818" s="33" t="s">
        <v>21</v>
      </c>
      <c r="C2818" s="33" t="s">
        <v>23</v>
      </c>
      <c r="D2818" s="33">
        <v>417</v>
      </c>
    </row>
    <row r="2819" spans="1:4" x14ac:dyDescent="0.15">
      <c r="A2819" s="32">
        <v>35339</v>
      </c>
      <c r="B2819" s="33" t="s">
        <v>26</v>
      </c>
      <c r="C2819" s="33" t="s">
        <v>23</v>
      </c>
      <c r="D2819" s="33">
        <v>394</v>
      </c>
    </row>
    <row r="2820" spans="1:4" x14ac:dyDescent="0.15">
      <c r="A2820" s="32">
        <v>35339</v>
      </c>
      <c r="B2820" s="33" t="s">
        <v>26</v>
      </c>
      <c r="C2820" s="33" t="s">
        <v>23</v>
      </c>
      <c r="D2820" s="33">
        <v>918</v>
      </c>
    </row>
    <row r="2821" spans="1:4" x14ac:dyDescent="0.15">
      <c r="A2821" s="32">
        <v>35339</v>
      </c>
      <c r="B2821" s="33" t="s">
        <v>31</v>
      </c>
      <c r="C2821" s="33" t="s">
        <v>23</v>
      </c>
      <c r="D2821" s="33">
        <v>907</v>
      </c>
    </row>
    <row r="2822" spans="1:4" x14ac:dyDescent="0.15">
      <c r="A2822" s="32">
        <v>35339</v>
      </c>
      <c r="B2822" s="33" t="s">
        <v>33</v>
      </c>
      <c r="C2822" s="33" t="s">
        <v>23</v>
      </c>
      <c r="D2822" s="33">
        <v>688</v>
      </c>
    </row>
    <row r="2823" spans="1:4" x14ac:dyDescent="0.15">
      <c r="A2823" s="32">
        <v>35339</v>
      </c>
      <c r="B2823" s="33" t="s">
        <v>31</v>
      </c>
      <c r="C2823" s="33" t="s">
        <v>23</v>
      </c>
      <c r="D2823" s="33">
        <v>637</v>
      </c>
    </row>
    <row r="2824" spans="1:4" x14ac:dyDescent="0.15">
      <c r="A2824" s="32">
        <v>35339</v>
      </c>
      <c r="B2824" s="33" t="s">
        <v>29</v>
      </c>
      <c r="C2824" s="33" t="s">
        <v>23</v>
      </c>
      <c r="D2824" s="33">
        <v>535</v>
      </c>
    </row>
    <row r="2825" spans="1:4" x14ac:dyDescent="0.15">
      <c r="A2825" s="32">
        <v>35339</v>
      </c>
      <c r="B2825" s="33" t="s">
        <v>28</v>
      </c>
      <c r="C2825" s="33" t="s">
        <v>23</v>
      </c>
      <c r="D2825" s="33">
        <v>525</v>
      </c>
    </row>
    <row r="2826" spans="1:4" x14ac:dyDescent="0.15">
      <c r="A2826" s="32">
        <v>35339</v>
      </c>
      <c r="B2826" s="33" t="s">
        <v>21</v>
      </c>
      <c r="C2826" s="33" t="s">
        <v>23</v>
      </c>
      <c r="D2826" s="33">
        <v>42</v>
      </c>
    </row>
    <row r="2827" spans="1:4" x14ac:dyDescent="0.15">
      <c r="A2827" s="32">
        <v>35339</v>
      </c>
      <c r="B2827" s="33" t="s">
        <v>21</v>
      </c>
      <c r="C2827" s="33" t="s">
        <v>23</v>
      </c>
      <c r="D2827" s="33">
        <v>54</v>
      </c>
    </row>
    <row r="2828" spans="1:4" x14ac:dyDescent="0.15">
      <c r="A2828" s="32">
        <v>35339</v>
      </c>
      <c r="B2828" s="33" t="s">
        <v>26</v>
      </c>
      <c r="C2828" s="33" t="s">
        <v>32</v>
      </c>
      <c r="D2828" s="33">
        <v>175</v>
      </c>
    </row>
    <row r="2829" spans="1:4" x14ac:dyDescent="0.15">
      <c r="A2829" s="32">
        <v>35339</v>
      </c>
      <c r="B2829" s="33" t="s">
        <v>33</v>
      </c>
      <c r="C2829" s="33" t="s">
        <v>32</v>
      </c>
      <c r="D2829" s="33">
        <v>158</v>
      </c>
    </row>
    <row r="2830" spans="1:4" x14ac:dyDescent="0.15">
      <c r="A2830" s="32">
        <v>35339</v>
      </c>
      <c r="B2830" s="33" t="s">
        <v>31</v>
      </c>
      <c r="C2830" s="33" t="s">
        <v>32</v>
      </c>
      <c r="D2830" s="33">
        <v>124</v>
      </c>
    </row>
    <row r="2831" spans="1:4" x14ac:dyDescent="0.15">
      <c r="A2831" s="32">
        <v>35339</v>
      </c>
      <c r="B2831" s="33" t="s">
        <v>29</v>
      </c>
      <c r="C2831" s="33" t="s">
        <v>32</v>
      </c>
      <c r="D2831" s="33">
        <v>131</v>
      </c>
    </row>
    <row r="2832" spans="1:4" x14ac:dyDescent="0.15">
      <c r="A2832" s="32">
        <v>35339</v>
      </c>
      <c r="B2832" s="33" t="s">
        <v>33</v>
      </c>
      <c r="C2832" s="33" t="s">
        <v>32</v>
      </c>
      <c r="D2832" s="33">
        <v>1238</v>
      </c>
    </row>
    <row r="2833" spans="1:4" x14ac:dyDescent="0.15">
      <c r="A2833" s="32">
        <v>35339</v>
      </c>
      <c r="B2833" s="33" t="s">
        <v>28</v>
      </c>
      <c r="C2833" s="33" t="s">
        <v>32</v>
      </c>
      <c r="D2833" s="33">
        <v>1019</v>
      </c>
    </row>
    <row r="2834" spans="1:4" x14ac:dyDescent="0.15">
      <c r="A2834" s="32">
        <v>35339</v>
      </c>
      <c r="B2834" s="33" t="s">
        <v>29</v>
      </c>
      <c r="C2834" s="33" t="s">
        <v>32</v>
      </c>
      <c r="D2834" s="33">
        <v>189</v>
      </c>
    </row>
    <row r="2835" spans="1:4" x14ac:dyDescent="0.15">
      <c r="A2835" s="32">
        <v>35339</v>
      </c>
      <c r="B2835" s="33" t="s">
        <v>31</v>
      </c>
      <c r="C2835" s="33" t="s">
        <v>32</v>
      </c>
      <c r="D2835" s="33">
        <v>225</v>
      </c>
    </row>
    <row r="2836" spans="1:4" x14ac:dyDescent="0.15">
      <c r="A2836" s="32">
        <v>35339</v>
      </c>
      <c r="B2836" s="33" t="s">
        <v>31</v>
      </c>
      <c r="C2836" s="33" t="s">
        <v>32</v>
      </c>
      <c r="D2836" s="33">
        <v>228</v>
      </c>
    </row>
    <row r="2837" spans="1:4" x14ac:dyDescent="0.15">
      <c r="A2837" s="32">
        <v>35339</v>
      </c>
      <c r="B2837" s="33" t="s">
        <v>26</v>
      </c>
      <c r="C2837" s="33" t="s">
        <v>32</v>
      </c>
      <c r="D2837" s="33">
        <v>88</v>
      </c>
    </row>
    <row r="2838" spans="1:4" x14ac:dyDescent="0.15">
      <c r="A2838" s="32">
        <v>35339</v>
      </c>
      <c r="B2838" s="33" t="s">
        <v>26</v>
      </c>
      <c r="C2838" s="33" t="s">
        <v>32</v>
      </c>
      <c r="D2838" s="33">
        <v>191</v>
      </c>
    </row>
    <row r="2839" spans="1:4" x14ac:dyDescent="0.15">
      <c r="A2839" s="32">
        <v>35339</v>
      </c>
      <c r="B2839" s="33" t="s">
        <v>28</v>
      </c>
      <c r="C2839" s="33" t="s">
        <v>32</v>
      </c>
      <c r="D2839" s="33">
        <v>713</v>
      </c>
    </row>
    <row r="2840" spans="1:4" x14ac:dyDescent="0.15">
      <c r="A2840" s="32">
        <v>35339</v>
      </c>
      <c r="B2840" s="33" t="s">
        <v>21</v>
      </c>
      <c r="C2840" s="33" t="s">
        <v>32</v>
      </c>
      <c r="D2840" s="33">
        <v>68</v>
      </c>
    </row>
    <row r="2841" spans="1:4" x14ac:dyDescent="0.15">
      <c r="A2841" s="32">
        <v>35339</v>
      </c>
      <c r="B2841" s="33" t="s">
        <v>33</v>
      </c>
      <c r="C2841" s="33" t="s">
        <v>32</v>
      </c>
      <c r="D2841" s="33">
        <v>612</v>
      </c>
    </row>
    <row r="2842" spans="1:4" x14ac:dyDescent="0.15">
      <c r="A2842" s="32">
        <v>35339</v>
      </c>
      <c r="B2842" s="33" t="s">
        <v>21</v>
      </c>
      <c r="C2842" s="33" t="s">
        <v>32</v>
      </c>
      <c r="D2842" s="33">
        <v>464</v>
      </c>
    </row>
    <row r="2843" spans="1:4" x14ac:dyDescent="0.15">
      <c r="A2843" s="32">
        <v>35339</v>
      </c>
      <c r="B2843" s="33" t="s">
        <v>28</v>
      </c>
      <c r="C2843" s="33" t="s">
        <v>32</v>
      </c>
      <c r="D2843" s="33">
        <v>456</v>
      </c>
    </row>
    <row r="2844" spans="1:4" x14ac:dyDescent="0.15">
      <c r="A2844" s="32">
        <v>35339</v>
      </c>
      <c r="B2844" s="33" t="s">
        <v>26</v>
      </c>
      <c r="C2844" s="33" t="s">
        <v>32</v>
      </c>
      <c r="D2844" s="33">
        <v>1536</v>
      </c>
    </row>
    <row r="2845" spans="1:4" x14ac:dyDescent="0.15">
      <c r="A2845" s="32">
        <v>35339</v>
      </c>
      <c r="B2845" s="33" t="s">
        <v>33</v>
      </c>
      <c r="C2845" s="33" t="s">
        <v>32</v>
      </c>
      <c r="D2845" s="33">
        <v>180</v>
      </c>
    </row>
    <row r="2846" spans="1:4" x14ac:dyDescent="0.15">
      <c r="A2846" s="32">
        <v>35339</v>
      </c>
      <c r="B2846" s="33" t="s">
        <v>28</v>
      </c>
      <c r="C2846" s="33" t="s">
        <v>32</v>
      </c>
      <c r="D2846" s="33">
        <v>405</v>
      </c>
    </row>
    <row r="2847" spans="1:4" x14ac:dyDescent="0.15">
      <c r="A2847" s="32">
        <v>35339</v>
      </c>
      <c r="B2847" s="33" t="s">
        <v>29</v>
      </c>
      <c r="C2847" s="33" t="s">
        <v>32</v>
      </c>
      <c r="D2847" s="33">
        <v>50</v>
      </c>
    </row>
    <row r="2848" spans="1:4" x14ac:dyDescent="0.15">
      <c r="A2848" s="32">
        <v>35339</v>
      </c>
      <c r="B2848" s="33" t="s">
        <v>21</v>
      </c>
      <c r="C2848" s="33" t="s">
        <v>32</v>
      </c>
      <c r="D2848" s="33">
        <v>46</v>
      </c>
    </row>
    <row r="2849" spans="1:4" x14ac:dyDescent="0.15">
      <c r="A2849" s="32">
        <v>35339</v>
      </c>
      <c r="B2849" s="33" t="s">
        <v>21</v>
      </c>
      <c r="C2849" s="33" t="s">
        <v>32</v>
      </c>
      <c r="D2849" s="33">
        <v>44</v>
      </c>
    </row>
    <row r="2850" spans="1:4" x14ac:dyDescent="0.15">
      <c r="A2850" s="32">
        <v>35339</v>
      </c>
      <c r="B2850" s="33" t="s">
        <v>29</v>
      </c>
      <c r="C2850" s="33" t="s">
        <v>32</v>
      </c>
      <c r="D2850" s="33">
        <v>34</v>
      </c>
    </row>
    <row r="2851" spans="1:4" x14ac:dyDescent="0.15">
      <c r="A2851" s="32">
        <v>35339</v>
      </c>
      <c r="B2851" s="33" t="s">
        <v>31</v>
      </c>
      <c r="C2851" s="33" t="s">
        <v>32</v>
      </c>
      <c r="D2851" s="33">
        <v>61</v>
      </c>
    </row>
    <row r="2852" spans="1:4" x14ac:dyDescent="0.15">
      <c r="A2852" s="32">
        <v>35339</v>
      </c>
      <c r="B2852" s="33" t="s">
        <v>26</v>
      </c>
      <c r="C2852" s="33" t="s">
        <v>24</v>
      </c>
      <c r="D2852" s="33">
        <v>193</v>
      </c>
    </row>
    <row r="2853" spans="1:4" x14ac:dyDescent="0.15">
      <c r="A2853" s="32">
        <v>35339</v>
      </c>
      <c r="B2853" s="33" t="s">
        <v>21</v>
      </c>
      <c r="C2853" s="33" t="s">
        <v>24</v>
      </c>
      <c r="D2853" s="33">
        <v>1337</v>
      </c>
    </row>
    <row r="2854" spans="1:4" x14ac:dyDescent="0.15">
      <c r="A2854" s="32">
        <v>35339</v>
      </c>
      <c r="B2854" s="33" t="s">
        <v>21</v>
      </c>
      <c r="C2854" s="33" t="s">
        <v>24</v>
      </c>
      <c r="D2854" s="33">
        <v>1518</v>
      </c>
    </row>
    <row r="2855" spans="1:4" x14ac:dyDescent="0.15">
      <c r="A2855" s="32">
        <v>35339</v>
      </c>
      <c r="B2855" s="33" t="s">
        <v>26</v>
      </c>
      <c r="C2855" s="33" t="s">
        <v>24</v>
      </c>
      <c r="D2855" s="33">
        <v>330</v>
      </c>
    </row>
    <row r="2856" spans="1:4" x14ac:dyDescent="0.15">
      <c r="A2856" s="32">
        <v>35339</v>
      </c>
      <c r="B2856" s="33" t="s">
        <v>21</v>
      </c>
      <c r="C2856" s="33" t="s">
        <v>24</v>
      </c>
      <c r="D2856" s="33">
        <v>68</v>
      </c>
    </row>
    <row r="2857" spans="1:4" x14ac:dyDescent="0.15">
      <c r="A2857" s="32">
        <v>35339</v>
      </c>
      <c r="B2857" s="33" t="s">
        <v>21</v>
      </c>
      <c r="C2857" s="33" t="s">
        <v>24</v>
      </c>
      <c r="D2857" s="33">
        <v>99</v>
      </c>
    </row>
    <row r="2858" spans="1:4" x14ac:dyDescent="0.15">
      <c r="A2858" s="32">
        <v>35339</v>
      </c>
      <c r="B2858" s="33" t="s">
        <v>21</v>
      </c>
      <c r="C2858" s="33" t="s">
        <v>24</v>
      </c>
      <c r="D2858" s="33">
        <v>88</v>
      </c>
    </row>
    <row r="2859" spans="1:4" x14ac:dyDescent="0.15">
      <c r="A2859" s="32">
        <v>35339</v>
      </c>
      <c r="B2859" s="33" t="s">
        <v>26</v>
      </c>
      <c r="C2859" s="33" t="s">
        <v>24</v>
      </c>
      <c r="D2859" s="33">
        <v>158</v>
      </c>
    </row>
    <row r="2860" spans="1:4" x14ac:dyDescent="0.15">
      <c r="A2860" s="32">
        <v>35339</v>
      </c>
      <c r="B2860" s="33" t="s">
        <v>26</v>
      </c>
      <c r="C2860" s="33" t="s">
        <v>24</v>
      </c>
      <c r="D2860" s="33">
        <v>140</v>
      </c>
    </row>
    <row r="2861" spans="1:4" x14ac:dyDescent="0.15">
      <c r="A2861" s="32">
        <v>35339</v>
      </c>
      <c r="B2861" s="33" t="s">
        <v>26</v>
      </c>
      <c r="C2861" s="33" t="s">
        <v>24</v>
      </c>
      <c r="D2861" s="33">
        <v>61</v>
      </c>
    </row>
    <row r="2862" spans="1:4" x14ac:dyDescent="0.15">
      <c r="A2862" s="32">
        <v>35339</v>
      </c>
      <c r="B2862" s="33" t="s">
        <v>26</v>
      </c>
      <c r="C2862" s="33" t="s">
        <v>24</v>
      </c>
      <c r="D2862" s="33">
        <v>56</v>
      </c>
    </row>
    <row r="2863" spans="1:4" x14ac:dyDescent="0.15">
      <c r="A2863" s="32">
        <v>35339</v>
      </c>
      <c r="B2863" s="33" t="s">
        <v>21</v>
      </c>
      <c r="C2863" s="33" t="s">
        <v>24</v>
      </c>
      <c r="D2863" s="33">
        <v>18</v>
      </c>
    </row>
    <row r="2864" spans="1:4" x14ac:dyDescent="0.15">
      <c r="A2864" s="32">
        <v>35339</v>
      </c>
      <c r="B2864" s="33" t="s">
        <v>33</v>
      </c>
      <c r="C2864" s="33" t="s">
        <v>25</v>
      </c>
      <c r="D2864" s="33">
        <v>473</v>
      </c>
    </row>
    <row r="2865" spans="1:4" x14ac:dyDescent="0.15">
      <c r="A2865" s="32">
        <v>35339</v>
      </c>
      <c r="B2865" s="33" t="s">
        <v>21</v>
      </c>
      <c r="C2865" s="33" t="s">
        <v>25</v>
      </c>
      <c r="D2865" s="33">
        <v>88</v>
      </c>
    </row>
    <row r="2866" spans="1:4" x14ac:dyDescent="0.15">
      <c r="A2866" s="32">
        <v>35339</v>
      </c>
      <c r="B2866" s="33" t="s">
        <v>29</v>
      </c>
      <c r="C2866" s="33" t="s">
        <v>25</v>
      </c>
      <c r="D2866" s="33">
        <v>79</v>
      </c>
    </row>
    <row r="2867" spans="1:4" x14ac:dyDescent="0.15">
      <c r="A2867" s="32">
        <v>35339</v>
      </c>
      <c r="B2867" s="33" t="s">
        <v>28</v>
      </c>
      <c r="C2867" s="33" t="s">
        <v>25</v>
      </c>
      <c r="D2867" s="33">
        <v>184</v>
      </c>
    </row>
    <row r="2868" spans="1:4" x14ac:dyDescent="0.15">
      <c r="A2868" s="32">
        <v>35339</v>
      </c>
      <c r="B2868" s="33" t="s">
        <v>33</v>
      </c>
      <c r="C2868" s="33" t="s">
        <v>25</v>
      </c>
      <c r="D2868" s="33">
        <v>245</v>
      </c>
    </row>
    <row r="2869" spans="1:4" x14ac:dyDescent="0.15">
      <c r="A2869" s="32">
        <v>35339</v>
      </c>
      <c r="B2869" s="33" t="s">
        <v>31</v>
      </c>
      <c r="C2869" s="33" t="s">
        <v>25</v>
      </c>
      <c r="D2869" s="33">
        <v>582</v>
      </c>
    </row>
    <row r="2870" spans="1:4" x14ac:dyDescent="0.15">
      <c r="A2870" s="32">
        <v>35339</v>
      </c>
      <c r="B2870" s="33" t="s">
        <v>21</v>
      </c>
      <c r="C2870" s="33" t="s">
        <v>25</v>
      </c>
      <c r="D2870" s="33">
        <v>306</v>
      </c>
    </row>
    <row r="2871" spans="1:4" x14ac:dyDescent="0.15">
      <c r="A2871" s="32">
        <v>35339</v>
      </c>
      <c r="B2871" s="33" t="s">
        <v>31</v>
      </c>
      <c r="C2871" s="33" t="s">
        <v>25</v>
      </c>
      <c r="D2871" s="33">
        <v>149</v>
      </c>
    </row>
    <row r="2872" spans="1:4" x14ac:dyDescent="0.15">
      <c r="A2872" s="32">
        <v>35339</v>
      </c>
      <c r="B2872" s="33" t="s">
        <v>31</v>
      </c>
      <c r="C2872" s="33" t="s">
        <v>25</v>
      </c>
      <c r="D2872" s="33">
        <v>146</v>
      </c>
    </row>
    <row r="2873" spans="1:4" x14ac:dyDescent="0.15">
      <c r="A2873" s="32">
        <v>35339</v>
      </c>
      <c r="B2873" s="33" t="s">
        <v>21</v>
      </c>
      <c r="C2873" s="33" t="s">
        <v>25</v>
      </c>
      <c r="D2873" s="33">
        <v>158</v>
      </c>
    </row>
    <row r="2874" spans="1:4" x14ac:dyDescent="0.15">
      <c r="A2874" s="32">
        <v>35339</v>
      </c>
      <c r="B2874" s="33" t="s">
        <v>26</v>
      </c>
      <c r="C2874" s="33" t="s">
        <v>25</v>
      </c>
      <c r="D2874" s="33">
        <v>333</v>
      </c>
    </row>
    <row r="2875" spans="1:4" x14ac:dyDescent="0.15">
      <c r="A2875" s="32">
        <v>35339</v>
      </c>
      <c r="B2875" s="33" t="s">
        <v>29</v>
      </c>
      <c r="C2875" s="33" t="s">
        <v>25</v>
      </c>
      <c r="D2875" s="33">
        <v>144</v>
      </c>
    </row>
    <row r="2876" spans="1:4" x14ac:dyDescent="0.15">
      <c r="A2876" s="32">
        <v>35339</v>
      </c>
      <c r="B2876" s="33" t="s">
        <v>26</v>
      </c>
      <c r="C2876" s="33" t="s">
        <v>25</v>
      </c>
      <c r="D2876" s="33">
        <v>338</v>
      </c>
    </row>
    <row r="2877" spans="1:4" x14ac:dyDescent="0.15">
      <c r="A2877" s="32">
        <v>35339</v>
      </c>
      <c r="B2877" s="33" t="s">
        <v>29</v>
      </c>
      <c r="C2877" s="33" t="s">
        <v>25</v>
      </c>
      <c r="D2877" s="33">
        <v>113</v>
      </c>
    </row>
    <row r="2878" spans="1:4" x14ac:dyDescent="0.15">
      <c r="A2878" s="32">
        <v>35339</v>
      </c>
      <c r="B2878" s="33" t="s">
        <v>28</v>
      </c>
      <c r="C2878" s="33" t="s">
        <v>25</v>
      </c>
      <c r="D2878" s="33">
        <v>426</v>
      </c>
    </row>
    <row r="2879" spans="1:4" x14ac:dyDescent="0.15">
      <c r="A2879" s="32">
        <v>35339</v>
      </c>
      <c r="B2879" s="33" t="s">
        <v>31</v>
      </c>
      <c r="C2879" s="33" t="s">
        <v>25</v>
      </c>
      <c r="D2879" s="33">
        <v>368</v>
      </c>
    </row>
    <row r="2880" spans="1:4" x14ac:dyDescent="0.15">
      <c r="A2880" s="32">
        <v>35339</v>
      </c>
      <c r="B2880" s="33" t="s">
        <v>33</v>
      </c>
      <c r="C2880" s="33" t="s">
        <v>25</v>
      </c>
      <c r="D2880" s="33">
        <v>263</v>
      </c>
    </row>
    <row r="2881" spans="1:4" x14ac:dyDescent="0.15">
      <c r="A2881" s="32">
        <v>35339</v>
      </c>
      <c r="B2881" s="33" t="s">
        <v>28</v>
      </c>
      <c r="C2881" s="33" t="s">
        <v>25</v>
      </c>
      <c r="D2881" s="33">
        <v>263</v>
      </c>
    </row>
    <row r="2882" spans="1:4" x14ac:dyDescent="0.15">
      <c r="A2882" s="32">
        <v>35339</v>
      </c>
      <c r="B2882" s="33" t="s">
        <v>21</v>
      </c>
      <c r="C2882" s="33" t="s">
        <v>25</v>
      </c>
      <c r="D2882" s="33">
        <v>259</v>
      </c>
    </row>
    <row r="2883" spans="1:4" x14ac:dyDescent="0.15">
      <c r="A2883" s="32">
        <v>35339</v>
      </c>
      <c r="B2883" s="33" t="s">
        <v>33</v>
      </c>
      <c r="C2883" s="33" t="s">
        <v>25</v>
      </c>
      <c r="D2883" s="33">
        <v>985</v>
      </c>
    </row>
    <row r="2884" spans="1:4" x14ac:dyDescent="0.15">
      <c r="A2884" s="32">
        <v>35339</v>
      </c>
      <c r="B2884" s="33" t="s">
        <v>26</v>
      </c>
      <c r="C2884" s="33" t="s">
        <v>25</v>
      </c>
      <c r="D2884" s="33">
        <v>769</v>
      </c>
    </row>
    <row r="2885" spans="1:4" x14ac:dyDescent="0.15">
      <c r="A2885" s="32">
        <v>35339</v>
      </c>
      <c r="B2885" s="33" t="s">
        <v>28</v>
      </c>
      <c r="C2885" s="33" t="s">
        <v>25</v>
      </c>
      <c r="D2885" s="33">
        <v>727</v>
      </c>
    </row>
    <row r="2886" spans="1:4" x14ac:dyDescent="0.15">
      <c r="A2886" s="32">
        <v>35339</v>
      </c>
      <c r="B2886" s="33" t="s">
        <v>26</v>
      </c>
      <c r="C2886" s="33" t="s">
        <v>25</v>
      </c>
      <c r="D2886" s="33">
        <v>1005</v>
      </c>
    </row>
    <row r="2887" spans="1:4" x14ac:dyDescent="0.15">
      <c r="A2887" s="32">
        <v>35339</v>
      </c>
      <c r="B2887" s="33" t="s">
        <v>29</v>
      </c>
      <c r="C2887" s="33" t="s">
        <v>25</v>
      </c>
      <c r="D2887" s="33">
        <v>39</v>
      </c>
    </row>
    <row r="2888" spans="1:4" x14ac:dyDescent="0.15">
      <c r="A2888" s="32">
        <v>35339</v>
      </c>
      <c r="B2888" s="33" t="s">
        <v>28</v>
      </c>
      <c r="C2888" s="33" t="s">
        <v>27</v>
      </c>
      <c r="D2888" s="33">
        <v>731</v>
      </c>
    </row>
    <row r="2889" spans="1:4" x14ac:dyDescent="0.15">
      <c r="A2889" s="32">
        <v>35339</v>
      </c>
      <c r="B2889" s="33" t="s">
        <v>28</v>
      </c>
      <c r="C2889" s="33" t="s">
        <v>27</v>
      </c>
      <c r="D2889" s="33">
        <v>81</v>
      </c>
    </row>
    <row r="2890" spans="1:4" x14ac:dyDescent="0.15">
      <c r="A2890" s="32">
        <v>35339</v>
      </c>
      <c r="B2890" s="33" t="s">
        <v>31</v>
      </c>
      <c r="C2890" s="33" t="s">
        <v>27</v>
      </c>
      <c r="D2890" s="33">
        <v>90</v>
      </c>
    </row>
    <row r="2891" spans="1:4" x14ac:dyDescent="0.15">
      <c r="A2891" s="32">
        <v>35339</v>
      </c>
      <c r="B2891" s="33" t="s">
        <v>28</v>
      </c>
      <c r="C2891" s="33" t="s">
        <v>27</v>
      </c>
      <c r="D2891" s="33">
        <v>104</v>
      </c>
    </row>
    <row r="2892" spans="1:4" x14ac:dyDescent="0.15">
      <c r="A2892" s="32">
        <v>35339</v>
      </c>
      <c r="B2892" s="33" t="s">
        <v>29</v>
      </c>
      <c r="C2892" s="33" t="s">
        <v>27</v>
      </c>
      <c r="D2892" s="33">
        <v>123</v>
      </c>
    </row>
    <row r="2893" spans="1:4" x14ac:dyDescent="0.15">
      <c r="A2893" s="32">
        <v>35339</v>
      </c>
      <c r="B2893" s="33" t="s">
        <v>31</v>
      </c>
      <c r="C2893" s="33" t="s">
        <v>27</v>
      </c>
      <c r="D2893" s="33">
        <v>123</v>
      </c>
    </row>
    <row r="2894" spans="1:4" x14ac:dyDescent="0.15">
      <c r="A2894" s="32">
        <v>35339</v>
      </c>
      <c r="B2894" s="33" t="s">
        <v>29</v>
      </c>
      <c r="C2894" s="33" t="s">
        <v>27</v>
      </c>
      <c r="D2894" s="33">
        <v>158</v>
      </c>
    </row>
    <row r="2895" spans="1:4" x14ac:dyDescent="0.15">
      <c r="A2895" s="32">
        <v>35339</v>
      </c>
      <c r="B2895" s="33" t="s">
        <v>33</v>
      </c>
      <c r="C2895" s="33" t="s">
        <v>27</v>
      </c>
      <c r="D2895" s="33">
        <v>158</v>
      </c>
    </row>
    <row r="2896" spans="1:4" x14ac:dyDescent="0.15">
      <c r="A2896" s="32">
        <v>35339</v>
      </c>
      <c r="B2896" s="33" t="s">
        <v>29</v>
      </c>
      <c r="C2896" s="33" t="s">
        <v>27</v>
      </c>
      <c r="D2896" s="33">
        <v>185</v>
      </c>
    </row>
    <row r="2897" spans="1:4" x14ac:dyDescent="0.15">
      <c r="A2897" s="32">
        <v>35339</v>
      </c>
      <c r="B2897" s="33" t="s">
        <v>21</v>
      </c>
      <c r="C2897" s="33" t="s">
        <v>27</v>
      </c>
      <c r="D2897" s="33">
        <v>193</v>
      </c>
    </row>
    <row r="2898" spans="1:4" x14ac:dyDescent="0.15">
      <c r="A2898" s="32">
        <v>35339</v>
      </c>
      <c r="B2898" s="33" t="s">
        <v>33</v>
      </c>
      <c r="C2898" s="33" t="s">
        <v>27</v>
      </c>
      <c r="D2898" s="33">
        <v>221</v>
      </c>
    </row>
    <row r="2899" spans="1:4" x14ac:dyDescent="0.15">
      <c r="A2899" s="32">
        <v>35339</v>
      </c>
      <c r="B2899" s="33" t="s">
        <v>33</v>
      </c>
      <c r="C2899" s="33" t="s">
        <v>27</v>
      </c>
      <c r="D2899" s="33">
        <v>248</v>
      </c>
    </row>
    <row r="2900" spans="1:4" x14ac:dyDescent="0.15">
      <c r="A2900" s="32">
        <v>35339</v>
      </c>
      <c r="B2900" s="33" t="s">
        <v>31</v>
      </c>
      <c r="C2900" s="33" t="s">
        <v>27</v>
      </c>
      <c r="D2900" s="33">
        <v>354</v>
      </c>
    </row>
    <row r="2901" spans="1:4" x14ac:dyDescent="0.15">
      <c r="A2901" s="32">
        <v>35339</v>
      </c>
      <c r="B2901" s="33" t="s">
        <v>26</v>
      </c>
      <c r="C2901" s="33" t="s">
        <v>27</v>
      </c>
      <c r="D2901" s="33">
        <v>426</v>
      </c>
    </row>
    <row r="2902" spans="1:4" x14ac:dyDescent="0.15">
      <c r="A2902" s="32">
        <v>35339</v>
      </c>
      <c r="B2902" s="33" t="s">
        <v>28</v>
      </c>
      <c r="C2902" s="33" t="s">
        <v>27</v>
      </c>
      <c r="D2902" s="33">
        <v>765</v>
      </c>
    </row>
    <row r="2903" spans="1:4" x14ac:dyDescent="0.15">
      <c r="A2903" s="32">
        <v>35339</v>
      </c>
      <c r="B2903" s="33" t="s">
        <v>26</v>
      </c>
      <c r="C2903" s="33" t="s">
        <v>27</v>
      </c>
      <c r="D2903" s="33">
        <v>1189</v>
      </c>
    </row>
    <row r="2904" spans="1:4" x14ac:dyDescent="0.15">
      <c r="A2904" s="32">
        <v>35339</v>
      </c>
      <c r="B2904" s="33" t="s">
        <v>26</v>
      </c>
      <c r="C2904" s="33" t="s">
        <v>27</v>
      </c>
      <c r="D2904" s="33">
        <v>1327</v>
      </c>
    </row>
    <row r="2905" spans="1:4" x14ac:dyDescent="0.15">
      <c r="A2905" s="32">
        <v>35339</v>
      </c>
      <c r="B2905" s="33" t="s">
        <v>31</v>
      </c>
      <c r="C2905" s="33" t="s">
        <v>27</v>
      </c>
      <c r="D2905" s="33">
        <v>3392</v>
      </c>
    </row>
    <row r="2906" spans="1:4" x14ac:dyDescent="0.15">
      <c r="A2906" s="32">
        <v>35339</v>
      </c>
      <c r="B2906" s="33" t="s">
        <v>26</v>
      </c>
      <c r="C2906" s="33" t="s">
        <v>27</v>
      </c>
      <c r="D2906" s="33">
        <v>387</v>
      </c>
    </row>
    <row r="2907" spans="1:4" x14ac:dyDescent="0.15">
      <c r="A2907" s="32">
        <v>35339</v>
      </c>
      <c r="B2907" s="33" t="s">
        <v>21</v>
      </c>
      <c r="C2907" s="33" t="s">
        <v>27</v>
      </c>
      <c r="D2907" s="33">
        <v>34</v>
      </c>
    </row>
    <row r="2908" spans="1:4" x14ac:dyDescent="0.15">
      <c r="A2908" s="32">
        <v>35339</v>
      </c>
      <c r="B2908" s="33" t="s">
        <v>21</v>
      </c>
      <c r="C2908" s="33" t="s">
        <v>27</v>
      </c>
      <c r="D2908" s="33">
        <v>26</v>
      </c>
    </row>
    <row r="2909" spans="1:4" x14ac:dyDescent="0.15">
      <c r="A2909" s="32">
        <v>35339</v>
      </c>
      <c r="B2909" s="33" t="s">
        <v>21</v>
      </c>
      <c r="C2909" s="33" t="s">
        <v>27</v>
      </c>
      <c r="D2909" s="33">
        <v>36</v>
      </c>
    </row>
    <row r="2910" spans="1:4" x14ac:dyDescent="0.15">
      <c r="A2910" s="32">
        <v>35339</v>
      </c>
      <c r="B2910" s="33" t="s">
        <v>29</v>
      </c>
      <c r="C2910" s="33" t="s">
        <v>27</v>
      </c>
      <c r="D2910" s="33">
        <v>61</v>
      </c>
    </row>
    <row r="2911" spans="1:4" x14ac:dyDescent="0.15">
      <c r="A2911" s="32">
        <v>35339</v>
      </c>
      <c r="B2911" s="33" t="s">
        <v>33</v>
      </c>
      <c r="C2911" s="33" t="s">
        <v>27</v>
      </c>
      <c r="D2911" s="33">
        <v>44</v>
      </c>
    </row>
    <row r="2912" spans="1:4" x14ac:dyDescent="0.15">
      <c r="A2912" s="32">
        <v>35339</v>
      </c>
      <c r="B2912" s="33" t="s">
        <v>28</v>
      </c>
      <c r="C2912" s="33" t="s">
        <v>30</v>
      </c>
      <c r="D2912" s="33">
        <v>124</v>
      </c>
    </row>
    <row r="2913" spans="1:4" x14ac:dyDescent="0.15">
      <c r="A2913" s="32">
        <v>35339</v>
      </c>
      <c r="B2913" s="33" t="s">
        <v>29</v>
      </c>
      <c r="C2913" s="33" t="s">
        <v>30</v>
      </c>
      <c r="D2913" s="33">
        <v>138</v>
      </c>
    </row>
    <row r="2914" spans="1:4" x14ac:dyDescent="0.15">
      <c r="A2914" s="32">
        <v>35339</v>
      </c>
      <c r="B2914" s="33" t="s">
        <v>29</v>
      </c>
      <c r="C2914" s="33" t="s">
        <v>30</v>
      </c>
      <c r="D2914" s="33">
        <v>146</v>
      </c>
    </row>
    <row r="2915" spans="1:4" x14ac:dyDescent="0.15">
      <c r="A2915" s="32">
        <v>35339</v>
      </c>
      <c r="B2915" s="33" t="s">
        <v>28</v>
      </c>
      <c r="C2915" s="33" t="s">
        <v>30</v>
      </c>
      <c r="D2915" s="33">
        <v>248</v>
      </c>
    </row>
    <row r="2916" spans="1:4" x14ac:dyDescent="0.15">
      <c r="A2916" s="32">
        <v>35339</v>
      </c>
      <c r="B2916" s="33" t="s">
        <v>26</v>
      </c>
      <c r="C2916" s="33" t="s">
        <v>30</v>
      </c>
      <c r="D2916" s="33">
        <v>110</v>
      </c>
    </row>
    <row r="2917" spans="1:4" x14ac:dyDescent="0.15">
      <c r="A2917" s="32">
        <v>35339</v>
      </c>
      <c r="B2917" s="33" t="s">
        <v>33</v>
      </c>
      <c r="C2917" s="33" t="s">
        <v>30</v>
      </c>
      <c r="D2917" s="33">
        <v>72</v>
      </c>
    </row>
    <row r="2918" spans="1:4" x14ac:dyDescent="0.15">
      <c r="A2918" s="32">
        <v>35339</v>
      </c>
      <c r="B2918" s="33" t="s">
        <v>28</v>
      </c>
      <c r="C2918" s="33" t="s">
        <v>30</v>
      </c>
      <c r="D2918" s="33">
        <v>70</v>
      </c>
    </row>
    <row r="2919" spans="1:4" x14ac:dyDescent="0.15">
      <c r="A2919" s="32">
        <v>35339</v>
      </c>
      <c r="B2919" s="33" t="s">
        <v>29</v>
      </c>
      <c r="C2919" s="33" t="s">
        <v>30</v>
      </c>
      <c r="D2919" s="33">
        <v>96</v>
      </c>
    </row>
    <row r="2920" spans="1:4" x14ac:dyDescent="0.15">
      <c r="A2920" s="32">
        <v>35339</v>
      </c>
      <c r="B2920" s="33" t="s">
        <v>31</v>
      </c>
      <c r="C2920" s="33" t="s">
        <v>30</v>
      </c>
      <c r="D2920" s="33">
        <v>96</v>
      </c>
    </row>
    <row r="2921" spans="1:4" x14ac:dyDescent="0.15">
      <c r="A2921" s="32">
        <v>35339</v>
      </c>
      <c r="B2921" s="33" t="s">
        <v>33</v>
      </c>
      <c r="C2921" s="33" t="s">
        <v>30</v>
      </c>
      <c r="D2921" s="33">
        <v>90</v>
      </c>
    </row>
    <row r="2922" spans="1:4" x14ac:dyDescent="0.15">
      <c r="A2922" s="32">
        <v>35339</v>
      </c>
      <c r="B2922" s="33" t="s">
        <v>26</v>
      </c>
      <c r="C2922" s="33" t="s">
        <v>30</v>
      </c>
      <c r="D2922" s="33">
        <v>79</v>
      </c>
    </row>
    <row r="2923" spans="1:4" x14ac:dyDescent="0.15">
      <c r="A2923" s="32">
        <v>35339</v>
      </c>
      <c r="B2923" s="33" t="s">
        <v>31</v>
      </c>
      <c r="C2923" s="33" t="s">
        <v>30</v>
      </c>
      <c r="D2923" s="33">
        <v>77</v>
      </c>
    </row>
    <row r="2924" spans="1:4" x14ac:dyDescent="0.15">
      <c r="A2924" s="32">
        <v>35339</v>
      </c>
      <c r="B2924" s="33" t="s">
        <v>33</v>
      </c>
      <c r="C2924" s="33" t="s">
        <v>30</v>
      </c>
      <c r="D2924" s="33">
        <v>77</v>
      </c>
    </row>
    <row r="2925" spans="1:4" x14ac:dyDescent="0.15">
      <c r="A2925" s="32">
        <v>35339</v>
      </c>
      <c r="B2925" s="33" t="s">
        <v>28</v>
      </c>
      <c r="C2925" s="33" t="s">
        <v>30</v>
      </c>
      <c r="D2925" s="33">
        <v>83</v>
      </c>
    </row>
    <row r="2926" spans="1:4" x14ac:dyDescent="0.15">
      <c r="A2926" s="32">
        <v>35339</v>
      </c>
      <c r="B2926" s="33" t="s">
        <v>33</v>
      </c>
      <c r="C2926" s="33" t="s">
        <v>30</v>
      </c>
      <c r="D2926" s="33">
        <v>1489</v>
      </c>
    </row>
    <row r="2927" spans="1:4" x14ac:dyDescent="0.15">
      <c r="A2927" s="32">
        <v>35339</v>
      </c>
      <c r="B2927" s="33" t="s">
        <v>33</v>
      </c>
      <c r="C2927" s="33" t="s">
        <v>30</v>
      </c>
      <c r="D2927" s="33">
        <v>817</v>
      </c>
    </row>
    <row r="2928" spans="1:4" x14ac:dyDescent="0.15">
      <c r="A2928" s="32">
        <v>35339</v>
      </c>
      <c r="B2928" s="33" t="s">
        <v>26</v>
      </c>
      <c r="C2928" s="33" t="s">
        <v>30</v>
      </c>
      <c r="D2928" s="33">
        <v>797</v>
      </c>
    </row>
    <row r="2929" spans="1:4" x14ac:dyDescent="0.15">
      <c r="A2929" s="32">
        <v>35339</v>
      </c>
      <c r="B2929" s="33" t="s">
        <v>31</v>
      </c>
      <c r="C2929" s="33" t="s">
        <v>30</v>
      </c>
      <c r="D2929" s="33">
        <v>360</v>
      </c>
    </row>
    <row r="2930" spans="1:4" x14ac:dyDescent="0.15">
      <c r="A2930" s="32">
        <v>35339</v>
      </c>
      <c r="B2930" s="33" t="s">
        <v>31</v>
      </c>
      <c r="C2930" s="33" t="s">
        <v>30</v>
      </c>
      <c r="D2930" s="33">
        <v>2759</v>
      </c>
    </row>
    <row r="2931" spans="1:4" x14ac:dyDescent="0.15">
      <c r="A2931" s="32">
        <v>35339</v>
      </c>
      <c r="B2931" s="33" t="s">
        <v>21</v>
      </c>
      <c r="C2931" s="33" t="s">
        <v>30</v>
      </c>
      <c r="D2931" s="33">
        <v>9</v>
      </c>
    </row>
    <row r="2932" spans="1:4" x14ac:dyDescent="0.15">
      <c r="A2932" s="32">
        <v>35339</v>
      </c>
      <c r="B2932" s="33" t="s">
        <v>21</v>
      </c>
      <c r="C2932" s="33" t="s">
        <v>30</v>
      </c>
      <c r="D2932" s="33">
        <v>44</v>
      </c>
    </row>
    <row r="2933" spans="1:4" x14ac:dyDescent="0.15">
      <c r="A2933" s="32">
        <v>35339</v>
      </c>
      <c r="B2933" s="33" t="s">
        <v>29</v>
      </c>
      <c r="C2933" s="33" t="s">
        <v>30</v>
      </c>
      <c r="D2933" s="33">
        <v>42</v>
      </c>
    </row>
    <row r="2934" spans="1:4" x14ac:dyDescent="0.15">
      <c r="A2934" s="32">
        <v>35339</v>
      </c>
      <c r="B2934" s="33" t="s">
        <v>29</v>
      </c>
      <c r="C2934" s="33" t="s">
        <v>30</v>
      </c>
      <c r="D2934" s="33">
        <v>50</v>
      </c>
    </row>
    <row r="2935" spans="1:4" x14ac:dyDescent="0.15">
      <c r="A2935" s="32">
        <v>35339</v>
      </c>
      <c r="B2935" s="33" t="s">
        <v>31</v>
      </c>
      <c r="C2935" s="33" t="s">
        <v>30</v>
      </c>
      <c r="D2935" s="33">
        <v>53</v>
      </c>
    </row>
    <row r="2936" spans="1:4" x14ac:dyDescent="0.15">
      <c r="A2936" s="32">
        <v>35339</v>
      </c>
      <c r="B2936" s="33" t="s">
        <v>31</v>
      </c>
      <c r="C2936" s="33" t="s">
        <v>30</v>
      </c>
      <c r="D2936" s="33">
        <v>45</v>
      </c>
    </row>
    <row r="2937" spans="1:4" x14ac:dyDescent="0.15">
      <c r="A2937" s="32">
        <v>35339</v>
      </c>
      <c r="B2937" s="33" t="s">
        <v>21</v>
      </c>
      <c r="C2937" s="33" t="s">
        <v>30</v>
      </c>
      <c r="D2937" s="33">
        <v>56</v>
      </c>
    </row>
    <row r="2938" spans="1:4" x14ac:dyDescent="0.15">
      <c r="A2938" s="32">
        <v>35339</v>
      </c>
      <c r="B2938" s="33" t="s">
        <v>21</v>
      </c>
      <c r="C2938" s="33" t="s">
        <v>30</v>
      </c>
      <c r="D2938" s="33">
        <v>26</v>
      </c>
    </row>
    <row r="2939" spans="1:4" x14ac:dyDescent="0.15">
      <c r="A2939" s="32">
        <v>35339</v>
      </c>
      <c r="B2939" s="33" t="s">
        <v>26</v>
      </c>
      <c r="C2939" s="33" t="s">
        <v>30</v>
      </c>
      <c r="D2939" s="33">
        <v>26</v>
      </c>
    </row>
    <row r="2940" spans="1:4" x14ac:dyDescent="0.15">
      <c r="A2940" s="32">
        <v>35339</v>
      </c>
      <c r="B2940" s="33" t="s">
        <v>26</v>
      </c>
      <c r="C2940" s="33" t="s">
        <v>30</v>
      </c>
      <c r="D2940" s="33">
        <v>25</v>
      </c>
    </row>
    <row r="2941" spans="1:4" x14ac:dyDescent="0.15">
      <c r="A2941" s="32">
        <v>35339</v>
      </c>
      <c r="B2941" s="33" t="s">
        <v>26</v>
      </c>
      <c r="C2941" s="33" t="s">
        <v>30</v>
      </c>
      <c r="D2941" s="33">
        <v>44</v>
      </c>
    </row>
    <row r="2942" spans="1:4" x14ac:dyDescent="0.15">
      <c r="A2942" s="32">
        <v>35339</v>
      </c>
      <c r="B2942" s="33" t="s">
        <v>21</v>
      </c>
      <c r="C2942" s="33" t="s">
        <v>30</v>
      </c>
      <c r="D2942" s="33">
        <v>28</v>
      </c>
    </row>
    <row r="2943" spans="1:4" x14ac:dyDescent="0.15">
      <c r="A2943" s="32">
        <v>35339</v>
      </c>
      <c r="B2943" s="33" t="s">
        <v>21</v>
      </c>
      <c r="C2943" s="33" t="s">
        <v>30</v>
      </c>
      <c r="D2943" s="33">
        <v>7</v>
      </c>
    </row>
    <row r="2944" spans="1:4" x14ac:dyDescent="0.15">
      <c r="A2944" s="32">
        <v>35339</v>
      </c>
      <c r="B2944" s="33" t="s">
        <v>29</v>
      </c>
      <c r="C2944" s="33" t="s">
        <v>30</v>
      </c>
      <c r="D2944" s="33">
        <v>26</v>
      </c>
    </row>
    <row r="2945" spans="1:4" x14ac:dyDescent="0.15">
      <c r="A2945" s="32">
        <v>35370</v>
      </c>
      <c r="B2945" s="33" t="s">
        <v>29</v>
      </c>
      <c r="C2945" s="33" t="s">
        <v>22</v>
      </c>
      <c r="D2945" s="33">
        <v>308</v>
      </c>
    </row>
    <row r="2946" spans="1:4" x14ac:dyDescent="0.15">
      <c r="A2946" s="32">
        <v>35370</v>
      </c>
      <c r="B2946" s="33" t="s">
        <v>33</v>
      </c>
      <c r="C2946" s="33" t="s">
        <v>22</v>
      </c>
      <c r="D2946" s="33">
        <v>431</v>
      </c>
    </row>
    <row r="2947" spans="1:4" x14ac:dyDescent="0.15">
      <c r="A2947" s="32">
        <v>35370</v>
      </c>
      <c r="B2947" s="33" t="s">
        <v>28</v>
      </c>
      <c r="C2947" s="33" t="s">
        <v>22</v>
      </c>
      <c r="D2947" s="33">
        <v>405</v>
      </c>
    </row>
    <row r="2948" spans="1:4" x14ac:dyDescent="0.15">
      <c r="A2948" s="32">
        <v>35370</v>
      </c>
      <c r="B2948" s="33" t="s">
        <v>28</v>
      </c>
      <c r="C2948" s="33" t="s">
        <v>22</v>
      </c>
      <c r="D2948" s="33">
        <v>371</v>
      </c>
    </row>
    <row r="2949" spans="1:4" x14ac:dyDescent="0.15">
      <c r="A2949" s="32">
        <v>35370</v>
      </c>
      <c r="B2949" s="33" t="s">
        <v>34</v>
      </c>
      <c r="C2949" s="33" t="s">
        <v>22</v>
      </c>
      <c r="D2949" s="33">
        <v>358</v>
      </c>
    </row>
    <row r="2950" spans="1:4" x14ac:dyDescent="0.15">
      <c r="A2950" s="32">
        <v>35370</v>
      </c>
      <c r="B2950" s="33" t="s">
        <v>33</v>
      </c>
      <c r="C2950" s="33" t="s">
        <v>22</v>
      </c>
      <c r="D2950" s="33">
        <v>338</v>
      </c>
    </row>
    <row r="2951" spans="1:4" x14ac:dyDescent="0.15">
      <c r="A2951" s="32">
        <v>35370</v>
      </c>
      <c r="B2951" s="33" t="s">
        <v>34</v>
      </c>
      <c r="C2951" s="33" t="s">
        <v>22</v>
      </c>
      <c r="D2951" s="33">
        <v>338</v>
      </c>
    </row>
    <row r="2952" spans="1:4" x14ac:dyDescent="0.15">
      <c r="A2952" s="32">
        <v>35370</v>
      </c>
      <c r="B2952" s="33" t="s">
        <v>21</v>
      </c>
      <c r="C2952" s="33" t="s">
        <v>22</v>
      </c>
      <c r="D2952" s="33">
        <v>54</v>
      </c>
    </row>
    <row r="2953" spans="1:4" x14ac:dyDescent="0.15">
      <c r="A2953" s="32">
        <v>35370</v>
      </c>
      <c r="B2953" s="33" t="s">
        <v>21</v>
      </c>
      <c r="C2953" s="33" t="s">
        <v>22</v>
      </c>
      <c r="D2953" s="33">
        <v>94</v>
      </c>
    </row>
    <row r="2954" spans="1:4" x14ac:dyDescent="0.15">
      <c r="A2954" s="32">
        <v>35370</v>
      </c>
      <c r="B2954" s="33" t="s">
        <v>31</v>
      </c>
      <c r="C2954" s="33" t="s">
        <v>22</v>
      </c>
      <c r="D2954" s="33">
        <v>158</v>
      </c>
    </row>
    <row r="2955" spans="1:4" x14ac:dyDescent="0.15">
      <c r="A2955" s="32">
        <v>35370</v>
      </c>
      <c r="B2955" s="33" t="s">
        <v>33</v>
      </c>
      <c r="C2955" s="33" t="s">
        <v>22</v>
      </c>
      <c r="D2955" s="33">
        <v>225</v>
      </c>
    </row>
    <row r="2956" spans="1:4" x14ac:dyDescent="0.15">
      <c r="A2956" s="32">
        <v>35370</v>
      </c>
      <c r="B2956" s="33" t="s">
        <v>26</v>
      </c>
      <c r="C2956" s="33" t="s">
        <v>22</v>
      </c>
      <c r="D2956" s="33">
        <v>330</v>
      </c>
    </row>
    <row r="2957" spans="1:4" x14ac:dyDescent="0.15">
      <c r="A2957" s="32">
        <v>35370</v>
      </c>
      <c r="B2957" s="33" t="s">
        <v>26</v>
      </c>
      <c r="C2957" s="33" t="s">
        <v>22</v>
      </c>
      <c r="D2957" s="33">
        <v>248</v>
      </c>
    </row>
    <row r="2958" spans="1:4" x14ac:dyDescent="0.15">
      <c r="A2958" s="32">
        <v>35370</v>
      </c>
      <c r="B2958" s="33" t="s">
        <v>26</v>
      </c>
      <c r="C2958" s="33" t="s">
        <v>22</v>
      </c>
      <c r="D2958" s="33">
        <v>90</v>
      </c>
    </row>
    <row r="2959" spans="1:4" x14ac:dyDescent="0.15">
      <c r="A2959" s="32">
        <v>35370</v>
      </c>
      <c r="B2959" s="33" t="s">
        <v>28</v>
      </c>
      <c r="C2959" s="33" t="s">
        <v>22</v>
      </c>
      <c r="D2959" s="33">
        <v>83</v>
      </c>
    </row>
    <row r="2960" spans="1:4" x14ac:dyDescent="0.15">
      <c r="A2960" s="32">
        <v>35370</v>
      </c>
      <c r="B2960" s="33" t="s">
        <v>29</v>
      </c>
      <c r="C2960" s="33" t="s">
        <v>22</v>
      </c>
      <c r="D2960" s="33">
        <v>289</v>
      </c>
    </row>
    <row r="2961" spans="1:4" x14ac:dyDescent="0.15">
      <c r="A2961" s="32">
        <v>35370</v>
      </c>
      <c r="B2961" s="33" t="s">
        <v>31</v>
      </c>
      <c r="C2961" s="33" t="s">
        <v>22</v>
      </c>
      <c r="D2961" s="33">
        <v>411</v>
      </c>
    </row>
    <row r="2962" spans="1:4" x14ac:dyDescent="0.15">
      <c r="A2962" s="32">
        <v>35370</v>
      </c>
      <c r="B2962" s="33" t="s">
        <v>29</v>
      </c>
      <c r="C2962" s="33" t="s">
        <v>22</v>
      </c>
      <c r="D2962" s="33">
        <v>146</v>
      </c>
    </row>
    <row r="2963" spans="1:4" x14ac:dyDescent="0.15">
      <c r="A2963" s="32">
        <v>35370</v>
      </c>
      <c r="B2963" s="33" t="s">
        <v>28</v>
      </c>
      <c r="C2963" s="33" t="s">
        <v>22</v>
      </c>
      <c r="D2963" s="33">
        <v>897</v>
      </c>
    </row>
    <row r="2964" spans="1:4" x14ac:dyDescent="0.15">
      <c r="A2964" s="32">
        <v>35370</v>
      </c>
      <c r="B2964" s="33" t="s">
        <v>26</v>
      </c>
      <c r="C2964" s="33" t="s">
        <v>22</v>
      </c>
      <c r="D2964" s="33">
        <v>2455</v>
      </c>
    </row>
    <row r="2965" spans="1:4" x14ac:dyDescent="0.15">
      <c r="A2965" s="32">
        <v>35370</v>
      </c>
      <c r="B2965" s="33" t="s">
        <v>21</v>
      </c>
      <c r="C2965" s="33" t="s">
        <v>22</v>
      </c>
      <c r="D2965" s="33">
        <v>1684</v>
      </c>
    </row>
    <row r="2966" spans="1:4" x14ac:dyDescent="0.15">
      <c r="A2966" s="32">
        <v>35370</v>
      </c>
      <c r="B2966" s="33" t="s">
        <v>31</v>
      </c>
      <c r="C2966" s="33" t="s">
        <v>22</v>
      </c>
      <c r="D2966" s="33">
        <v>1079</v>
      </c>
    </row>
    <row r="2967" spans="1:4" x14ac:dyDescent="0.15">
      <c r="A2967" s="32">
        <v>35370</v>
      </c>
      <c r="B2967" s="33" t="s">
        <v>31</v>
      </c>
      <c r="C2967" s="33" t="s">
        <v>22</v>
      </c>
      <c r="D2967" s="33">
        <v>1025</v>
      </c>
    </row>
    <row r="2968" spans="1:4" x14ac:dyDescent="0.15">
      <c r="A2968" s="32">
        <v>35370</v>
      </c>
      <c r="B2968" s="33" t="s">
        <v>21</v>
      </c>
      <c r="C2968" s="33" t="s">
        <v>22</v>
      </c>
      <c r="D2968" s="33">
        <v>761</v>
      </c>
    </row>
    <row r="2969" spans="1:4" x14ac:dyDescent="0.15">
      <c r="A2969" s="32">
        <v>35370</v>
      </c>
      <c r="B2969" s="33" t="s">
        <v>29</v>
      </c>
      <c r="C2969" s="33" t="s">
        <v>22</v>
      </c>
      <c r="D2969" s="33">
        <v>610</v>
      </c>
    </row>
    <row r="2970" spans="1:4" x14ac:dyDescent="0.15">
      <c r="A2970" s="32">
        <v>35370</v>
      </c>
      <c r="B2970" s="33" t="s">
        <v>33</v>
      </c>
      <c r="C2970" s="33" t="s">
        <v>22</v>
      </c>
      <c r="D2970" s="33">
        <v>681</v>
      </c>
    </row>
    <row r="2971" spans="1:4" x14ac:dyDescent="0.15">
      <c r="A2971" s="32">
        <v>35370</v>
      </c>
      <c r="B2971" s="33" t="s">
        <v>31</v>
      </c>
      <c r="C2971" s="33" t="s">
        <v>23</v>
      </c>
      <c r="D2971" s="33">
        <v>123</v>
      </c>
    </row>
    <row r="2972" spans="1:4" x14ac:dyDescent="0.15">
      <c r="A2972" s="32">
        <v>35370</v>
      </c>
      <c r="B2972" s="33" t="s">
        <v>26</v>
      </c>
      <c r="C2972" s="33" t="s">
        <v>23</v>
      </c>
      <c r="D2972" s="33">
        <v>146</v>
      </c>
    </row>
    <row r="2973" spans="1:4" x14ac:dyDescent="0.15">
      <c r="A2973" s="32">
        <v>35370</v>
      </c>
      <c r="B2973" s="33" t="s">
        <v>31</v>
      </c>
      <c r="C2973" s="33" t="s">
        <v>23</v>
      </c>
      <c r="D2973" s="33">
        <v>180</v>
      </c>
    </row>
    <row r="2974" spans="1:4" x14ac:dyDescent="0.15">
      <c r="A2974" s="32">
        <v>35370</v>
      </c>
      <c r="B2974" s="33" t="s">
        <v>21</v>
      </c>
      <c r="C2974" s="33" t="s">
        <v>23</v>
      </c>
      <c r="D2974" s="33">
        <v>68</v>
      </c>
    </row>
    <row r="2975" spans="1:4" x14ac:dyDescent="0.15">
      <c r="A2975" s="32">
        <v>35370</v>
      </c>
      <c r="B2975" s="33" t="s">
        <v>26</v>
      </c>
      <c r="C2975" s="33" t="s">
        <v>23</v>
      </c>
      <c r="D2975" s="33">
        <v>79</v>
      </c>
    </row>
    <row r="2976" spans="1:4" x14ac:dyDescent="0.15">
      <c r="A2976" s="32">
        <v>35370</v>
      </c>
      <c r="B2976" s="33" t="s">
        <v>29</v>
      </c>
      <c r="C2976" s="33" t="s">
        <v>23</v>
      </c>
      <c r="D2976" s="33">
        <v>375</v>
      </c>
    </row>
    <row r="2977" spans="1:4" x14ac:dyDescent="0.15">
      <c r="A2977" s="32">
        <v>35370</v>
      </c>
      <c r="B2977" s="33" t="s">
        <v>28</v>
      </c>
      <c r="C2977" s="33" t="s">
        <v>23</v>
      </c>
      <c r="D2977" s="33">
        <v>557</v>
      </c>
    </row>
    <row r="2978" spans="1:4" x14ac:dyDescent="0.15">
      <c r="A2978" s="32">
        <v>35370</v>
      </c>
      <c r="B2978" s="33" t="s">
        <v>26</v>
      </c>
      <c r="C2978" s="33" t="s">
        <v>23</v>
      </c>
      <c r="D2978" s="33">
        <v>816</v>
      </c>
    </row>
    <row r="2979" spans="1:4" x14ac:dyDescent="0.15">
      <c r="A2979" s="32">
        <v>35370</v>
      </c>
      <c r="B2979" s="33" t="s">
        <v>26</v>
      </c>
      <c r="C2979" s="33" t="s">
        <v>23</v>
      </c>
      <c r="D2979" s="33">
        <v>333</v>
      </c>
    </row>
    <row r="2980" spans="1:4" x14ac:dyDescent="0.15">
      <c r="A2980" s="32">
        <v>35370</v>
      </c>
      <c r="B2980" s="33" t="s">
        <v>28</v>
      </c>
      <c r="C2980" s="33" t="s">
        <v>23</v>
      </c>
      <c r="D2980" s="33">
        <v>368</v>
      </c>
    </row>
    <row r="2981" spans="1:4" x14ac:dyDescent="0.15">
      <c r="A2981" s="32">
        <v>35370</v>
      </c>
      <c r="B2981" s="33" t="s">
        <v>21</v>
      </c>
      <c r="C2981" s="33" t="s">
        <v>23</v>
      </c>
      <c r="D2981" s="33">
        <v>1113</v>
      </c>
    </row>
    <row r="2982" spans="1:4" x14ac:dyDescent="0.15">
      <c r="A2982" s="32">
        <v>35370</v>
      </c>
      <c r="B2982" s="33" t="s">
        <v>31</v>
      </c>
      <c r="C2982" s="33" t="s">
        <v>23</v>
      </c>
      <c r="D2982" s="33">
        <v>675</v>
      </c>
    </row>
    <row r="2983" spans="1:4" x14ac:dyDescent="0.15">
      <c r="A2983" s="32">
        <v>35370</v>
      </c>
      <c r="B2983" s="33" t="s">
        <v>33</v>
      </c>
      <c r="C2983" s="33" t="s">
        <v>23</v>
      </c>
      <c r="D2983" s="33">
        <v>826</v>
      </c>
    </row>
    <row r="2984" spans="1:4" x14ac:dyDescent="0.15">
      <c r="A2984" s="32">
        <v>35370</v>
      </c>
      <c r="B2984" s="33" t="s">
        <v>33</v>
      </c>
      <c r="C2984" s="33" t="s">
        <v>23</v>
      </c>
      <c r="D2984" s="33">
        <v>385</v>
      </c>
    </row>
    <row r="2985" spans="1:4" x14ac:dyDescent="0.15">
      <c r="A2985" s="32">
        <v>35370</v>
      </c>
      <c r="B2985" s="33" t="s">
        <v>29</v>
      </c>
      <c r="C2985" s="33" t="s">
        <v>23</v>
      </c>
      <c r="D2985" s="33">
        <v>428</v>
      </c>
    </row>
    <row r="2986" spans="1:4" x14ac:dyDescent="0.15">
      <c r="A2986" s="32">
        <v>35370</v>
      </c>
      <c r="B2986" s="33" t="s">
        <v>21</v>
      </c>
      <c r="C2986" s="33" t="s">
        <v>23</v>
      </c>
      <c r="D2986" s="33">
        <v>467</v>
      </c>
    </row>
    <row r="2987" spans="1:4" x14ac:dyDescent="0.15">
      <c r="A2987" s="32">
        <v>35370</v>
      </c>
      <c r="B2987" s="33" t="s">
        <v>31</v>
      </c>
      <c r="C2987" s="33" t="s">
        <v>23</v>
      </c>
      <c r="D2987" s="33">
        <v>581</v>
      </c>
    </row>
    <row r="2988" spans="1:4" x14ac:dyDescent="0.15">
      <c r="A2988" s="32">
        <v>35370</v>
      </c>
      <c r="B2988" s="33" t="s">
        <v>29</v>
      </c>
      <c r="C2988" s="33" t="s">
        <v>23</v>
      </c>
      <c r="D2988" s="33">
        <v>491</v>
      </c>
    </row>
    <row r="2989" spans="1:4" x14ac:dyDescent="0.15">
      <c r="A2989" s="32">
        <v>35370</v>
      </c>
      <c r="B2989" s="33" t="s">
        <v>28</v>
      </c>
      <c r="C2989" s="33" t="s">
        <v>23</v>
      </c>
      <c r="D2989" s="33">
        <v>525</v>
      </c>
    </row>
    <row r="2990" spans="1:4" x14ac:dyDescent="0.15">
      <c r="A2990" s="32">
        <v>35370</v>
      </c>
      <c r="B2990" s="33" t="s">
        <v>28</v>
      </c>
      <c r="C2990" s="33" t="s">
        <v>23</v>
      </c>
      <c r="D2990" s="33">
        <v>203</v>
      </c>
    </row>
    <row r="2991" spans="1:4" x14ac:dyDescent="0.15">
      <c r="A2991" s="32">
        <v>35370</v>
      </c>
      <c r="B2991" s="33" t="s">
        <v>33</v>
      </c>
      <c r="C2991" s="33" t="s">
        <v>23</v>
      </c>
      <c r="D2991" s="33">
        <v>225</v>
      </c>
    </row>
    <row r="2992" spans="1:4" x14ac:dyDescent="0.15">
      <c r="A2992" s="32">
        <v>35370</v>
      </c>
      <c r="B2992" s="33" t="s">
        <v>21</v>
      </c>
      <c r="C2992" s="33" t="s">
        <v>23</v>
      </c>
      <c r="D2992" s="33">
        <v>53</v>
      </c>
    </row>
    <row r="2993" spans="1:4" x14ac:dyDescent="0.15">
      <c r="A2993" s="32">
        <v>35370</v>
      </c>
      <c r="B2993" s="33" t="s">
        <v>34</v>
      </c>
      <c r="C2993" s="33" t="s">
        <v>23</v>
      </c>
      <c r="D2993" s="33">
        <v>270</v>
      </c>
    </row>
    <row r="2994" spans="1:4" x14ac:dyDescent="0.15">
      <c r="A2994" s="32">
        <v>35370</v>
      </c>
      <c r="B2994" s="33" t="s">
        <v>33</v>
      </c>
      <c r="C2994" s="33" t="s">
        <v>23</v>
      </c>
      <c r="D2994" s="33">
        <v>263</v>
      </c>
    </row>
    <row r="2995" spans="1:4" x14ac:dyDescent="0.15">
      <c r="A2995" s="32">
        <v>35370</v>
      </c>
      <c r="B2995" s="33" t="s">
        <v>34</v>
      </c>
      <c r="C2995" s="33" t="s">
        <v>23</v>
      </c>
      <c r="D2995" s="33">
        <v>263</v>
      </c>
    </row>
    <row r="2996" spans="1:4" x14ac:dyDescent="0.15">
      <c r="A2996" s="32">
        <v>35370</v>
      </c>
      <c r="B2996" s="33" t="s">
        <v>29</v>
      </c>
      <c r="C2996" s="33" t="s">
        <v>23</v>
      </c>
      <c r="D2996" s="33">
        <v>236</v>
      </c>
    </row>
    <row r="2997" spans="1:4" x14ac:dyDescent="0.15">
      <c r="A2997" s="32">
        <v>35370</v>
      </c>
      <c r="B2997" s="33" t="s">
        <v>26</v>
      </c>
      <c r="C2997" s="33" t="s">
        <v>32</v>
      </c>
      <c r="D2997" s="33">
        <v>1550</v>
      </c>
    </row>
    <row r="2998" spans="1:4" x14ac:dyDescent="0.15">
      <c r="A2998" s="32">
        <v>35370</v>
      </c>
      <c r="B2998" s="33" t="s">
        <v>33</v>
      </c>
      <c r="C2998" s="33" t="s">
        <v>32</v>
      </c>
      <c r="D2998" s="33">
        <v>663</v>
      </c>
    </row>
    <row r="2999" spans="1:4" x14ac:dyDescent="0.15">
      <c r="A2999" s="32">
        <v>35370</v>
      </c>
      <c r="B2999" s="33" t="s">
        <v>28</v>
      </c>
      <c r="C2999" s="33" t="s">
        <v>32</v>
      </c>
      <c r="D2999" s="33">
        <v>764</v>
      </c>
    </row>
    <row r="3000" spans="1:4" x14ac:dyDescent="0.15">
      <c r="A3000" s="32">
        <v>35370</v>
      </c>
      <c r="B3000" s="33" t="s">
        <v>33</v>
      </c>
      <c r="C3000" s="33" t="s">
        <v>32</v>
      </c>
      <c r="D3000" s="33">
        <v>1177</v>
      </c>
    </row>
    <row r="3001" spans="1:4" x14ac:dyDescent="0.15">
      <c r="A3001" s="32">
        <v>35370</v>
      </c>
      <c r="B3001" s="33" t="s">
        <v>21</v>
      </c>
      <c r="C3001" s="33" t="s">
        <v>32</v>
      </c>
      <c r="D3001" s="33">
        <v>707</v>
      </c>
    </row>
    <row r="3002" spans="1:4" x14ac:dyDescent="0.15">
      <c r="A3002" s="32">
        <v>35370</v>
      </c>
      <c r="B3002" s="33" t="s">
        <v>26</v>
      </c>
      <c r="C3002" s="33" t="s">
        <v>32</v>
      </c>
      <c r="D3002" s="33">
        <v>70</v>
      </c>
    </row>
    <row r="3003" spans="1:4" x14ac:dyDescent="0.15">
      <c r="A3003" s="32">
        <v>35370</v>
      </c>
      <c r="B3003" s="33" t="s">
        <v>33</v>
      </c>
      <c r="C3003" s="33" t="s">
        <v>32</v>
      </c>
      <c r="D3003" s="33">
        <v>203</v>
      </c>
    </row>
    <row r="3004" spans="1:4" x14ac:dyDescent="0.15">
      <c r="A3004" s="32">
        <v>35370</v>
      </c>
      <c r="B3004" s="33" t="s">
        <v>29</v>
      </c>
      <c r="C3004" s="33" t="s">
        <v>32</v>
      </c>
      <c r="D3004" s="33">
        <v>193</v>
      </c>
    </row>
    <row r="3005" spans="1:4" x14ac:dyDescent="0.15">
      <c r="A3005" s="32">
        <v>35370</v>
      </c>
      <c r="B3005" s="33" t="s">
        <v>26</v>
      </c>
      <c r="C3005" s="33" t="s">
        <v>32</v>
      </c>
      <c r="D3005" s="33">
        <v>210</v>
      </c>
    </row>
    <row r="3006" spans="1:4" x14ac:dyDescent="0.15">
      <c r="A3006" s="32">
        <v>35370</v>
      </c>
      <c r="B3006" s="33" t="s">
        <v>34</v>
      </c>
      <c r="C3006" s="33" t="s">
        <v>32</v>
      </c>
      <c r="D3006" s="33">
        <v>228</v>
      </c>
    </row>
    <row r="3007" spans="1:4" x14ac:dyDescent="0.15">
      <c r="A3007" s="32">
        <v>35370</v>
      </c>
      <c r="B3007" s="33" t="s">
        <v>33</v>
      </c>
      <c r="C3007" s="33" t="s">
        <v>32</v>
      </c>
      <c r="D3007" s="33">
        <v>140</v>
      </c>
    </row>
    <row r="3008" spans="1:4" x14ac:dyDescent="0.15">
      <c r="A3008" s="32">
        <v>35370</v>
      </c>
      <c r="B3008" s="33" t="s">
        <v>31</v>
      </c>
      <c r="C3008" s="33" t="s">
        <v>32</v>
      </c>
      <c r="D3008" s="33">
        <v>124</v>
      </c>
    </row>
    <row r="3009" spans="1:4" x14ac:dyDescent="0.15">
      <c r="A3009" s="32">
        <v>35370</v>
      </c>
      <c r="B3009" s="33" t="s">
        <v>21</v>
      </c>
      <c r="C3009" s="33" t="s">
        <v>32</v>
      </c>
      <c r="D3009" s="33">
        <v>113</v>
      </c>
    </row>
    <row r="3010" spans="1:4" x14ac:dyDescent="0.15">
      <c r="A3010" s="32">
        <v>35370</v>
      </c>
      <c r="B3010" s="33" t="s">
        <v>31</v>
      </c>
      <c r="C3010" s="33" t="s">
        <v>32</v>
      </c>
      <c r="D3010" s="33">
        <v>248</v>
      </c>
    </row>
    <row r="3011" spans="1:4" x14ac:dyDescent="0.15">
      <c r="A3011" s="32">
        <v>35370</v>
      </c>
      <c r="B3011" s="33" t="s">
        <v>31</v>
      </c>
      <c r="C3011" s="33" t="s">
        <v>32</v>
      </c>
      <c r="D3011" s="33">
        <v>280</v>
      </c>
    </row>
    <row r="3012" spans="1:4" x14ac:dyDescent="0.15">
      <c r="A3012" s="32">
        <v>35370</v>
      </c>
      <c r="B3012" s="33" t="s">
        <v>21</v>
      </c>
      <c r="C3012" s="33" t="s">
        <v>32</v>
      </c>
      <c r="D3012" s="33">
        <v>35</v>
      </c>
    </row>
    <row r="3013" spans="1:4" x14ac:dyDescent="0.15">
      <c r="A3013" s="32">
        <v>35370</v>
      </c>
      <c r="B3013" s="33" t="s">
        <v>29</v>
      </c>
      <c r="C3013" s="33" t="s">
        <v>32</v>
      </c>
      <c r="D3013" s="33">
        <v>77</v>
      </c>
    </row>
    <row r="3014" spans="1:4" x14ac:dyDescent="0.15">
      <c r="A3014" s="32">
        <v>35370</v>
      </c>
      <c r="B3014" s="33" t="s">
        <v>28</v>
      </c>
      <c r="C3014" s="33" t="s">
        <v>32</v>
      </c>
      <c r="D3014" s="33">
        <v>473</v>
      </c>
    </row>
    <row r="3015" spans="1:4" x14ac:dyDescent="0.15">
      <c r="A3015" s="32">
        <v>35370</v>
      </c>
      <c r="B3015" s="33" t="s">
        <v>26</v>
      </c>
      <c r="C3015" s="33" t="s">
        <v>32</v>
      </c>
      <c r="D3015" s="33">
        <v>304</v>
      </c>
    </row>
    <row r="3016" spans="1:4" x14ac:dyDescent="0.15">
      <c r="A3016" s="32">
        <v>35370</v>
      </c>
      <c r="B3016" s="33" t="s">
        <v>34</v>
      </c>
      <c r="C3016" s="33" t="s">
        <v>32</v>
      </c>
      <c r="D3016" s="33">
        <v>338</v>
      </c>
    </row>
    <row r="3017" spans="1:4" x14ac:dyDescent="0.15">
      <c r="A3017" s="32">
        <v>35370</v>
      </c>
      <c r="B3017" s="33" t="s">
        <v>28</v>
      </c>
      <c r="C3017" s="33" t="s">
        <v>32</v>
      </c>
      <c r="D3017" s="33">
        <v>338</v>
      </c>
    </row>
    <row r="3018" spans="1:4" x14ac:dyDescent="0.15">
      <c r="A3018" s="32">
        <v>35370</v>
      </c>
      <c r="B3018" s="33" t="s">
        <v>28</v>
      </c>
      <c r="C3018" s="33" t="s">
        <v>32</v>
      </c>
      <c r="D3018" s="33">
        <v>371</v>
      </c>
    </row>
    <row r="3019" spans="1:4" x14ac:dyDescent="0.15">
      <c r="A3019" s="32">
        <v>35370</v>
      </c>
      <c r="B3019" s="33" t="s">
        <v>31</v>
      </c>
      <c r="C3019" s="33" t="s">
        <v>32</v>
      </c>
      <c r="D3019" s="33">
        <v>53</v>
      </c>
    </row>
    <row r="3020" spans="1:4" x14ac:dyDescent="0.15">
      <c r="A3020" s="32">
        <v>35370</v>
      </c>
      <c r="B3020" s="33" t="s">
        <v>21</v>
      </c>
      <c r="C3020" s="33" t="s">
        <v>32</v>
      </c>
      <c r="D3020" s="33">
        <v>42</v>
      </c>
    </row>
    <row r="3021" spans="1:4" x14ac:dyDescent="0.15">
      <c r="A3021" s="32">
        <v>35370</v>
      </c>
      <c r="B3021" s="33" t="s">
        <v>29</v>
      </c>
      <c r="C3021" s="33" t="s">
        <v>32</v>
      </c>
      <c r="D3021" s="33">
        <v>221</v>
      </c>
    </row>
    <row r="3022" spans="1:4" x14ac:dyDescent="0.15">
      <c r="A3022" s="32">
        <v>35370</v>
      </c>
      <c r="B3022" s="33" t="s">
        <v>29</v>
      </c>
      <c r="C3022" s="33" t="s">
        <v>32</v>
      </c>
      <c r="D3022" s="33">
        <v>79</v>
      </c>
    </row>
    <row r="3023" spans="1:4" x14ac:dyDescent="0.15">
      <c r="A3023" s="32">
        <v>35370</v>
      </c>
      <c r="B3023" s="33" t="s">
        <v>26</v>
      </c>
      <c r="C3023" s="33" t="s">
        <v>24</v>
      </c>
      <c r="D3023" s="33">
        <v>68</v>
      </c>
    </row>
    <row r="3024" spans="1:4" x14ac:dyDescent="0.15">
      <c r="A3024" s="32">
        <v>35370</v>
      </c>
      <c r="B3024" s="33" t="s">
        <v>21</v>
      </c>
      <c r="C3024" s="33" t="s">
        <v>24</v>
      </c>
      <c r="D3024" s="33">
        <v>999</v>
      </c>
    </row>
    <row r="3025" spans="1:4" x14ac:dyDescent="0.15">
      <c r="A3025" s="32">
        <v>35370</v>
      </c>
      <c r="B3025" s="33" t="s">
        <v>21</v>
      </c>
      <c r="C3025" s="33" t="s">
        <v>24</v>
      </c>
      <c r="D3025" s="33">
        <v>90</v>
      </c>
    </row>
    <row r="3026" spans="1:4" x14ac:dyDescent="0.15">
      <c r="A3026" s="32">
        <v>35370</v>
      </c>
      <c r="B3026" s="33" t="s">
        <v>21</v>
      </c>
      <c r="C3026" s="33" t="s">
        <v>24</v>
      </c>
      <c r="D3026" s="33">
        <v>95</v>
      </c>
    </row>
    <row r="3027" spans="1:4" x14ac:dyDescent="0.15">
      <c r="A3027" s="32">
        <v>35370</v>
      </c>
      <c r="B3027" s="33" t="s">
        <v>26</v>
      </c>
      <c r="C3027" s="33" t="s">
        <v>24</v>
      </c>
      <c r="D3027" s="33">
        <v>140</v>
      </c>
    </row>
    <row r="3028" spans="1:4" x14ac:dyDescent="0.15">
      <c r="A3028" s="32">
        <v>35370</v>
      </c>
      <c r="B3028" s="33" t="s">
        <v>21</v>
      </c>
      <c r="C3028" s="33" t="s">
        <v>24</v>
      </c>
      <c r="D3028" s="33">
        <v>99</v>
      </c>
    </row>
    <row r="3029" spans="1:4" x14ac:dyDescent="0.15">
      <c r="A3029" s="32">
        <v>35370</v>
      </c>
      <c r="B3029" s="33" t="s">
        <v>26</v>
      </c>
      <c r="C3029" s="33" t="s">
        <v>24</v>
      </c>
      <c r="D3029" s="33">
        <v>88</v>
      </c>
    </row>
    <row r="3030" spans="1:4" x14ac:dyDescent="0.15">
      <c r="A3030" s="32">
        <v>35370</v>
      </c>
      <c r="B3030" s="33" t="s">
        <v>26</v>
      </c>
      <c r="C3030" s="33" t="s">
        <v>24</v>
      </c>
      <c r="D3030" s="33">
        <v>261</v>
      </c>
    </row>
    <row r="3031" spans="1:4" x14ac:dyDescent="0.15">
      <c r="A3031" s="32">
        <v>35370</v>
      </c>
      <c r="B3031" s="33" t="s">
        <v>26</v>
      </c>
      <c r="C3031" s="33" t="s">
        <v>24</v>
      </c>
      <c r="D3031" s="33">
        <v>303</v>
      </c>
    </row>
    <row r="3032" spans="1:4" x14ac:dyDescent="0.15">
      <c r="A3032" s="32">
        <v>35370</v>
      </c>
      <c r="B3032" s="33" t="s">
        <v>21</v>
      </c>
      <c r="C3032" s="33" t="s">
        <v>24</v>
      </c>
      <c r="D3032" s="33">
        <v>1889</v>
      </c>
    </row>
    <row r="3033" spans="1:4" x14ac:dyDescent="0.15">
      <c r="A3033" s="32">
        <v>35370</v>
      </c>
      <c r="B3033" s="33" t="s">
        <v>21</v>
      </c>
      <c r="C3033" s="33" t="s">
        <v>24</v>
      </c>
      <c r="D3033" s="33">
        <v>18</v>
      </c>
    </row>
    <row r="3034" spans="1:4" x14ac:dyDescent="0.15">
      <c r="A3034" s="32">
        <v>35370</v>
      </c>
      <c r="B3034" s="33" t="s">
        <v>26</v>
      </c>
      <c r="C3034" s="33" t="s">
        <v>24</v>
      </c>
      <c r="D3034" s="33">
        <v>180</v>
      </c>
    </row>
    <row r="3035" spans="1:4" x14ac:dyDescent="0.15">
      <c r="A3035" s="32">
        <v>35370</v>
      </c>
      <c r="B3035" s="33" t="s">
        <v>26</v>
      </c>
      <c r="C3035" s="33" t="s">
        <v>25</v>
      </c>
      <c r="D3035" s="33">
        <v>403</v>
      </c>
    </row>
    <row r="3036" spans="1:4" x14ac:dyDescent="0.15">
      <c r="A3036" s="32">
        <v>35370</v>
      </c>
      <c r="B3036" s="33" t="s">
        <v>28</v>
      </c>
      <c r="C3036" s="33" t="s">
        <v>25</v>
      </c>
      <c r="D3036" s="33">
        <v>210</v>
      </c>
    </row>
    <row r="3037" spans="1:4" x14ac:dyDescent="0.15">
      <c r="A3037" s="32">
        <v>35370</v>
      </c>
      <c r="B3037" s="33" t="s">
        <v>34</v>
      </c>
      <c r="C3037" s="33" t="s">
        <v>25</v>
      </c>
      <c r="D3037" s="33">
        <v>105</v>
      </c>
    </row>
    <row r="3038" spans="1:4" x14ac:dyDescent="0.15">
      <c r="A3038" s="32">
        <v>35370</v>
      </c>
      <c r="B3038" s="33" t="s">
        <v>29</v>
      </c>
      <c r="C3038" s="33" t="s">
        <v>25</v>
      </c>
      <c r="D3038" s="33">
        <v>96</v>
      </c>
    </row>
    <row r="3039" spans="1:4" x14ac:dyDescent="0.15">
      <c r="A3039" s="32">
        <v>35370</v>
      </c>
      <c r="B3039" s="33" t="s">
        <v>33</v>
      </c>
      <c r="C3039" s="33" t="s">
        <v>25</v>
      </c>
      <c r="D3039" s="33">
        <v>394</v>
      </c>
    </row>
    <row r="3040" spans="1:4" x14ac:dyDescent="0.15">
      <c r="A3040" s="32">
        <v>35370</v>
      </c>
      <c r="B3040" s="33" t="s">
        <v>33</v>
      </c>
      <c r="C3040" s="33" t="s">
        <v>25</v>
      </c>
      <c r="D3040" s="33">
        <v>210</v>
      </c>
    </row>
    <row r="3041" spans="1:4" x14ac:dyDescent="0.15">
      <c r="A3041" s="32">
        <v>35370</v>
      </c>
      <c r="B3041" s="33" t="s">
        <v>34</v>
      </c>
      <c r="C3041" s="33" t="s">
        <v>25</v>
      </c>
      <c r="D3041" s="33">
        <v>293</v>
      </c>
    </row>
    <row r="3042" spans="1:4" x14ac:dyDescent="0.15">
      <c r="A3042" s="32">
        <v>35370</v>
      </c>
      <c r="B3042" s="33" t="s">
        <v>31</v>
      </c>
      <c r="C3042" s="33" t="s">
        <v>25</v>
      </c>
      <c r="D3042" s="33">
        <v>124</v>
      </c>
    </row>
    <row r="3043" spans="1:4" x14ac:dyDescent="0.15">
      <c r="A3043" s="32">
        <v>35370</v>
      </c>
      <c r="B3043" s="33" t="s">
        <v>21</v>
      </c>
      <c r="C3043" s="33" t="s">
        <v>25</v>
      </c>
      <c r="D3043" s="33">
        <v>360</v>
      </c>
    </row>
    <row r="3044" spans="1:4" x14ac:dyDescent="0.15">
      <c r="A3044" s="32">
        <v>35370</v>
      </c>
      <c r="B3044" s="33" t="s">
        <v>29</v>
      </c>
      <c r="C3044" s="33" t="s">
        <v>25</v>
      </c>
      <c r="D3044" s="33">
        <v>198</v>
      </c>
    </row>
    <row r="3045" spans="1:4" x14ac:dyDescent="0.15">
      <c r="A3045" s="32">
        <v>35370</v>
      </c>
      <c r="B3045" s="33" t="s">
        <v>21</v>
      </c>
      <c r="C3045" s="33" t="s">
        <v>25</v>
      </c>
      <c r="D3045" s="33">
        <v>359</v>
      </c>
    </row>
    <row r="3046" spans="1:4" x14ac:dyDescent="0.15">
      <c r="A3046" s="32">
        <v>35370</v>
      </c>
      <c r="B3046" s="33" t="s">
        <v>29</v>
      </c>
      <c r="C3046" s="33" t="s">
        <v>25</v>
      </c>
      <c r="D3046" s="33">
        <v>146</v>
      </c>
    </row>
    <row r="3047" spans="1:4" x14ac:dyDescent="0.15">
      <c r="A3047" s="32">
        <v>35370</v>
      </c>
      <c r="B3047" s="33" t="s">
        <v>28</v>
      </c>
      <c r="C3047" s="33" t="s">
        <v>25</v>
      </c>
      <c r="D3047" s="33">
        <v>184</v>
      </c>
    </row>
    <row r="3048" spans="1:4" x14ac:dyDescent="0.15">
      <c r="A3048" s="32">
        <v>35370</v>
      </c>
      <c r="B3048" s="33" t="s">
        <v>31</v>
      </c>
      <c r="C3048" s="33" t="s">
        <v>25</v>
      </c>
      <c r="D3048" s="33">
        <v>184</v>
      </c>
    </row>
    <row r="3049" spans="1:4" x14ac:dyDescent="0.15">
      <c r="A3049" s="32">
        <v>35370</v>
      </c>
      <c r="B3049" s="33" t="s">
        <v>21</v>
      </c>
      <c r="C3049" s="33" t="s">
        <v>25</v>
      </c>
      <c r="D3049" s="33">
        <v>180</v>
      </c>
    </row>
    <row r="3050" spans="1:4" x14ac:dyDescent="0.15">
      <c r="A3050" s="32">
        <v>35370</v>
      </c>
      <c r="B3050" s="33" t="s">
        <v>31</v>
      </c>
      <c r="C3050" s="33" t="s">
        <v>25</v>
      </c>
      <c r="D3050" s="33">
        <v>333</v>
      </c>
    </row>
    <row r="3051" spans="1:4" x14ac:dyDescent="0.15">
      <c r="A3051" s="32">
        <v>35370</v>
      </c>
      <c r="B3051" s="33" t="s">
        <v>33</v>
      </c>
      <c r="C3051" s="33" t="s">
        <v>25</v>
      </c>
      <c r="D3051" s="33">
        <v>715</v>
      </c>
    </row>
    <row r="3052" spans="1:4" x14ac:dyDescent="0.15">
      <c r="A3052" s="32">
        <v>35370</v>
      </c>
      <c r="B3052" s="33" t="s">
        <v>28</v>
      </c>
      <c r="C3052" s="33" t="s">
        <v>25</v>
      </c>
      <c r="D3052" s="33">
        <v>768</v>
      </c>
    </row>
    <row r="3053" spans="1:4" x14ac:dyDescent="0.15">
      <c r="A3053" s="32">
        <v>35370</v>
      </c>
      <c r="B3053" s="33" t="s">
        <v>33</v>
      </c>
      <c r="C3053" s="33" t="s">
        <v>25</v>
      </c>
      <c r="D3053" s="33">
        <v>954</v>
      </c>
    </row>
    <row r="3054" spans="1:4" x14ac:dyDescent="0.15">
      <c r="A3054" s="32">
        <v>35370</v>
      </c>
      <c r="B3054" s="33" t="s">
        <v>26</v>
      </c>
      <c r="C3054" s="33" t="s">
        <v>25</v>
      </c>
      <c r="D3054" s="33">
        <v>1054</v>
      </c>
    </row>
    <row r="3055" spans="1:4" x14ac:dyDescent="0.15">
      <c r="A3055" s="32">
        <v>35370</v>
      </c>
      <c r="B3055" s="33" t="s">
        <v>29</v>
      </c>
      <c r="C3055" s="33" t="s">
        <v>25</v>
      </c>
      <c r="D3055" s="33">
        <v>39</v>
      </c>
    </row>
    <row r="3056" spans="1:4" x14ac:dyDescent="0.15">
      <c r="A3056" s="32">
        <v>35370</v>
      </c>
      <c r="B3056" s="33" t="s">
        <v>31</v>
      </c>
      <c r="C3056" s="33" t="s">
        <v>25</v>
      </c>
      <c r="D3056" s="33">
        <v>585</v>
      </c>
    </row>
    <row r="3057" spans="1:4" x14ac:dyDescent="0.15">
      <c r="A3057" s="32">
        <v>35370</v>
      </c>
      <c r="B3057" s="33" t="s">
        <v>21</v>
      </c>
      <c r="C3057" s="33" t="s">
        <v>25</v>
      </c>
      <c r="D3057" s="33">
        <v>88</v>
      </c>
    </row>
    <row r="3058" spans="1:4" x14ac:dyDescent="0.15">
      <c r="A3058" s="32">
        <v>35370</v>
      </c>
      <c r="B3058" s="33" t="s">
        <v>28</v>
      </c>
      <c r="C3058" s="33" t="s">
        <v>25</v>
      </c>
      <c r="D3058" s="33">
        <v>459</v>
      </c>
    </row>
    <row r="3059" spans="1:4" x14ac:dyDescent="0.15">
      <c r="A3059" s="32">
        <v>35370</v>
      </c>
      <c r="B3059" s="33" t="s">
        <v>26</v>
      </c>
      <c r="C3059" s="33" t="s">
        <v>25</v>
      </c>
      <c r="D3059" s="33">
        <v>609</v>
      </c>
    </row>
    <row r="3060" spans="1:4" x14ac:dyDescent="0.15">
      <c r="A3060" s="32">
        <v>35370</v>
      </c>
      <c r="B3060" s="33" t="s">
        <v>26</v>
      </c>
      <c r="C3060" s="33" t="s">
        <v>25</v>
      </c>
      <c r="D3060" s="33">
        <v>470</v>
      </c>
    </row>
    <row r="3061" spans="1:4" x14ac:dyDescent="0.15">
      <c r="A3061" s="32">
        <v>35370</v>
      </c>
      <c r="B3061" s="33" t="s">
        <v>29</v>
      </c>
      <c r="C3061" s="33" t="s">
        <v>27</v>
      </c>
      <c r="D3061" s="33">
        <v>302</v>
      </c>
    </row>
    <row r="3062" spans="1:4" x14ac:dyDescent="0.15">
      <c r="A3062" s="32">
        <v>35370</v>
      </c>
      <c r="B3062" s="33" t="s">
        <v>33</v>
      </c>
      <c r="C3062" s="33" t="s">
        <v>27</v>
      </c>
      <c r="D3062" s="33">
        <v>291</v>
      </c>
    </row>
    <row r="3063" spans="1:4" x14ac:dyDescent="0.15">
      <c r="A3063" s="32">
        <v>35370</v>
      </c>
      <c r="B3063" s="33" t="s">
        <v>34</v>
      </c>
      <c r="C3063" s="33" t="s">
        <v>27</v>
      </c>
      <c r="D3063" s="33">
        <v>288</v>
      </c>
    </row>
    <row r="3064" spans="1:4" x14ac:dyDescent="0.15">
      <c r="A3064" s="32">
        <v>35370</v>
      </c>
      <c r="B3064" s="33" t="s">
        <v>31</v>
      </c>
      <c r="C3064" s="33" t="s">
        <v>27</v>
      </c>
      <c r="D3064" s="33">
        <v>2112</v>
      </c>
    </row>
    <row r="3065" spans="1:4" x14ac:dyDescent="0.15">
      <c r="A3065" s="32">
        <v>35370</v>
      </c>
      <c r="B3065" s="33" t="s">
        <v>31</v>
      </c>
      <c r="C3065" s="33" t="s">
        <v>27</v>
      </c>
      <c r="D3065" s="33">
        <v>553</v>
      </c>
    </row>
    <row r="3066" spans="1:4" x14ac:dyDescent="0.15">
      <c r="A3066" s="32">
        <v>35370</v>
      </c>
      <c r="B3066" s="33" t="s">
        <v>26</v>
      </c>
      <c r="C3066" s="33" t="s">
        <v>27</v>
      </c>
      <c r="D3066" s="33">
        <v>441</v>
      </c>
    </row>
    <row r="3067" spans="1:4" x14ac:dyDescent="0.15">
      <c r="A3067" s="32">
        <v>35370</v>
      </c>
      <c r="B3067" s="33" t="s">
        <v>33</v>
      </c>
      <c r="C3067" s="33" t="s">
        <v>27</v>
      </c>
      <c r="D3067" s="33">
        <v>304</v>
      </c>
    </row>
    <row r="3068" spans="1:4" x14ac:dyDescent="0.15">
      <c r="A3068" s="32">
        <v>35370</v>
      </c>
      <c r="B3068" s="33" t="s">
        <v>26</v>
      </c>
      <c r="C3068" s="33" t="s">
        <v>27</v>
      </c>
      <c r="D3068" s="33">
        <v>568</v>
      </c>
    </row>
    <row r="3069" spans="1:4" x14ac:dyDescent="0.15">
      <c r="A3069" s="32">
        <v>35370</v>
      </c>
      <c r="B3069" s="33" t="s">
        <v>28</v>
      </c>
      <c r="C3069" s="33" t="s">
        <v>27</v>
      </c>
      <c r="D3069" s="33">
        <v>399</v>
      </c>
    </row>
    <row r="3070" spans="1:4" x14ac:dyDescent="0.15">
      <c r="A3070" s="32">
        <v>35370</v>
      </c>
      <c r="B3070" s="33" t="s">
        <v>26</v>
      </c>
      <c r="C3070" s="33" t="s">
        <v>27</v>
      </c>
      <c r="D3070" s="33">
        <v>1358</v>
      </c>
    </row>
    <row r="3071" spans="1:4" x14ac:dyDescent="0.15">
      <c r="A3071" s="32">
        <v>35370</v>
      </c>
      <c r="B3071" s="33" t="s">
        <v>26</v>
      </c>
      <c r="C3071" s="33" t="s">
        <v>27</v>
      </c>
      <c r="D3071" s="33">
        <v>1744</v>
      </c>
    </row>
    <row r="3072" spans="1:4" x14ac:dyDescent="0.15">
      <c r="A3072" s="32">
        <v>35370</v>
      </c>
      <c r="B3072" s="33" t="s">
        <v>28</v>
      </c>
      <c r="C3072" s="33" t="s">
        <v>27</v>
      </c>
      <c r="D3072" s="33">
        <v>667</v>
      </c>
    </row>
    <row r="3073" spans="1:4" x14ac:dyDescent="0.15">
      <c r="A3073" s="32">
        <v>35370</v>
      </c>
      <c r="B3073" s="33" t="s">
        <v>21</v>
      </c>
      <c r="C3073" s="33" t="s">
        <v>27</v>
      </c>
      <c r="D3073" s="33">
        <v>319</v>
      </c>
    </row>
    <row r="3074" spans="1:4" x14ac:dyDescent="0.15">
      <c r="A3074" s="32">
        <v>35370</v>
      </c>
      <c r="B3074" s="33" t="s">
        <v>33</v>
      </c>
      <c r="C3074" s="33" t="s">
        <v>27</v>
      </c>
      <c r="D3074" s="33">
        <v>96</v>
      </c>
    </row>
    <row r="3075" spans="1:4" x14ac:dyDescent="0.15">
      <c r="A3075" s="32">
        <v>35370</v>
      </c>
      <c r="B3075" s="33" t="s">
        <v>31</v>
      </c>
      <c r="C3075" s="33" t="s">
        <v>27</v>
      </c>
      <c r="D3075" s="33">
        <v>114</v>
      </c>
    </row>
    <row r="3076" spans="1:4" x14ac:dyDescent="0.15">
      <c r="A3076" s="32">
        <v>35370</v>
      </c>
      <c r="B3076" s="33" t="s">
        <v>21</v>
      </c>
      <c r="C3076" s="33" t="s">
        <v>27</v>
      </c>
      <c r="D3076" s="33">
        <v>56</v>
      </c>
    </row>
    <row r="3077" spans="1:4" x14ac:dyDescent="0.15">
      <c r="A3077" s="32">
        <v>35370</v>
      </c>
      <c r="B3077" s="33" t="s">
        <v>29</v>
      </c>
      <c r="C3077" s="33" t="s">
        <v>27</v>
      </c>
      <c r="D3077" s="33">
        <v>137</v>
      </c>
    </row>
    <row r="3078" spans="1:4" x14ac:dyDescent="0.15">
      <c r="A3078" s="32">
        <v>35370</v>
      </c>
      <c r="B3078" s="33" t="s">
        <v>21</v>
      </c>
      <c r="C3078" s="33" t="s">
        <v>27</v>
      </c>
      <c r="D3078" s="33">
        <v>45</v>
      </c>
    </row>
    <row r="3079" spans="1:4" x14ac:dyDescent="0.15">
      <c r="A3079" s="32">
        <v>35370</v>
      </c>
      <c r="B3079" s="33" t="s">
        <v>28</v>
      </c>
      <c r="C3079" s="33" t="s">
        <v>27</v>
      </c>
      <c r="D3079" s="33">
        <v>104</v>
      </c>
    </row>
    <row r="3080" spans="1:4" x14ac:dyDescent="0.15">
      <c r="A3080" s="32">
        <v>35370</v>
      </c>
      <c r="B3080" s="33" t="s">
        <v>28</v>
      </c>
      <c r="C3080" s="33" t="s">
        <v>27</v>
      </c>
      <c r="D3080" s="33">
        <v>95</v>
      </c>
    </row>
    <row r="3081" spans="1:4" x14ac:dyDescent="0.15">
      <c r="A3081" s="32">
        <v>35370</v>
      </c>
      <c r="B3081" s="33" t="s">
        <v>29</v>
      </c>
      <c r="C3081" s="33" t="s">
        <v>27</v>
      </c>
      <c r="D3081" s="33">
        <v>70</v>
      </c>
    </row>
    <row r="3082" spans="1:4" x14ac:dyDescent="0.15">
      <c r="A3082" s="32">
        <v>35370</v>
      </c>
      <c r="B3082" s="33" t="s">
        <v>21</v>
      </c>
      <c r="C3082" s="33" t="s">
        <v>27</v>
      </c>
      <c r="D3082" s="33">
        <v>35</v>
      </c>
    </row>
    <row r="3083" spans="1:4" x14ac:dyDescent="0.15">
      <c r="A3083" s="32">
        <v>35370</v>
      </c>
      <c r="B3083" s="33" t="s">
        <v>31</v>
      </c>
      <c r="C3083" s="33" t="s">
        <v>27</v>
      </c>
      <c r="D3083" s="33">
        <v>101</v>
      </c>
    </row>
    <row r="3084" spans="1:4" x14ac:dyDescent="0.15">
      <c r="A3084" s="32">
        <v>35370</v>
      </c>
      <c r="B3084" s="33" t="s">
        <v>29</v>
      </c>
      <c r="C3084" s="33" t="s">
        <v>27</v>
      </c>
      <c r="D3084" s="33">
        <v>236</v>
      </c>
    </row>
    <row r="3085" spans="1:4" x14ac:dyDescent="0.15">
      <c r="A3085" s="32">
        <v>35370</v>
      </c>
      <c r="B3085" s="33" t="s">
        <v>33</v>
      </c>
      <c r="C3085" s="33" t="s">
        <v>27</v>
      </c>
      <c r="D3085" s="33">
        <v>203</v>
      </c>
    </row>
    <row r="3086" spans="1:4" x14ac:dyDescent="0.15">
      <c r="A3086" s="32">
        <v>35370</v>
      </c>
      <c r="B3086" s="33" t="s">
        <v>34</v>
      </c>
      <c r="C3086" s="33" t="s">
        <v>27</v>
      </c>
      <c r="D3086" s="33">
        <v>186</v>
      </c>
    </row>
    <row r="3087" spans="1:4" x14ac:dyDescent="0.15">
      <c r="A3087" s="32">
        <v>35370</v>
      </c>
      <c r="B3087" s="33" t="s">
        <v>26</v>
      </c>
      <c r="C3087" s="33" t="s">
        <v>30</v>
      </c>
      <c r="D3087" s="33">
        <v>35</v>
      </c>
    </row>
    <row r="3088" spans="1:4" x14ac:dyDescent="0.15">
      <c r="A3088" s="32">
        <v>35370</v>
      </c>
      <c r="B3088" s="33" t="s">
        <v>31</v>
      </c>
      <c r="C3088" s="33" t="s">
        <v>30</v>
      </c>
      <c r="D3088" s="33">
        <v>18</v>
      </c>
    </row>
    <row r="3089" spans="1:4" x14ac:dyDescent="0.15">
      <c r="A3089" s="32">
        <v>35370</v>
      </c>
      <c r="B3089" s="33" t="s">
        <v>31</v>
      </c>
      <c r="C3089" s="33" t="s">
        <v>30</v>
      </c>
      <c r="D3089" s="33">
        <v>1379</v>
      </c>
    </row>
    <row r="3090" spans="1:4" x14ac:dyDescent="0.15">
      <c r="A3090" s="32">
        <v>35370</v>
      </c>
      <c r="B3090" s="33" t="s">
        <v>21</v>
      </c>
      <c r="C3090" s="33" t="s">
        <v>30</v>
      </c>
      <c r="D3090" s="33">
        <v>18</v>
      </c>
    </row>
    <row r="3091" spans="1:4" x14ac:dyDescent="0.15">
      <c r="A3091" s="32">
        <v>35370</v>
      </c>
      <c r="B3091" s="33" t="s">
        <v>26</v>
      </c>
      <c r="C3091" s="33" t="s">
        <v>30</v>
      </c>
      <c r="D3091" s="33">
        <v>26</v>
      </c>
    </row>
    <row r="3092" spans="1:4" x14ac:dyDescent="0.15">
      <c r="A3092" s="32">
        <v>35370</v>
      </c>
      <c r="B3092" s="33" t="s">
        <v>21</v>
      </c>
      <c r="C3092" s="33" t="s">
        <v>30</v>
      </c>
      <c r="D3092" s="33">
        <v>35</v>
      </c>
    </row>
    <row r="3093" spans="1:4" x14ac:dyDescent="0.15">
      <c r="A3093" s="32">
        <v>35370</v>
      </c>
      <c r="B3093" s="33" t="s">
        <v>29</v>
      </c>
      <c r="C3093" s="33" t="s">
        <v>30</v>
      </c>
      <c r="D3093" s="33">
        <v>35</v>
      </c>
    </row>
    <row r="3094" spans="1:4" x14ac:dyDescent="0.15">
      <c r="A3094" s="32">
        <v>35370</v>
      </c>
      <c r="B3094" s="33" t="s">
        <v>21</v>
      </c>
      <c r="C3094" s="33" t="s">
        <v>30</v>
      </c>
      <c r="D3094" s="33">
        <v>41</v>
      </c>
    </row>
    <row r="3095" spans="1:4" x14ac:dyDescent="0.15">
      <c r="A3095" s="32">
        <v>35370</v>
      </c>
      <c r="B3095" s="33" t="s">
        <v>33</v>
      </c>
      <c r="C3095" s="33" t="s">
        <v>30</v>
      </c>
      <c r="D3095" s="33">
        <v>1327</v>
      </c>
    </row>
    <row r="3096" spans="1:4" x14ac:dyDescent="0.15">
      <c r="A3096" s="32">
        <v>35370</v>
      </c>
      <c r="B3096" s="33" t="s">
        <v>21</v>
      </c>
      <c r="C3096" s="33" t="s">
        <v>30</v>
      </c>
      <c r="D3096" s="33">
        <v>7</v>
      </c>
    </row>
    <row r="3097" spans="1:4" x14ac:dyDescent="0.15">
      <c r="A3097" s="32">
        <v>35370</v>
      </c>
      <c r="B3097" s="33" t="s">
        <v>34</v>
      </c>
      <c r="C3097" s="33" t="s">
        <v>30</v>
      </c>
      <c r="D3097" s="33">
        <v>154</v>
      </c>
    </row>
    <row r="3098" spans="1:4" x14ac:dyDescent="0.15">
      <c r="A3098" s="32">
        <v>35370</v>
      </c>
      <c r="B3098" s="33" t="s">
        <v>33</v>
      </c>
      <c r="C3098" s="33" t="s">
        <v>30</v>
      </c>
      <c r="D3098" s="33">
        <v>99</v>
      </c>
    </row>
    <row r="3099" spans="1:4" x14ac:dyDescent="0.15">
      <c r="A3099" s="32">
        <v>35370</v>
      </c>
      <c r="B3099" s="33" t="s">
        <v>34</v>
      </c>
      <c r="C3099" s="33" t="s">
        <v>30</v>
      </c>
      <c r="D3099" s="33">
        <v>116</v>
      </c>
    </row>
    <row r="3100" spans="1:4" x14ac:dyDescent="0.15">
      <c r="A3100" s="32">
        <v>35370</v>
      </c>
      <c r="B3100" s="33" t="s">
        <v>26</v>
      </c>
      <c r="C3100" s="33" t="s">
        <v>30</v>
      </c>
      <c r="D3100" s="33">
        <v>124</v>
      </c>
    </row>
    <row r="3101" spans="1:4" x14ac:dyDescent="0.15">
      <c r="A3101" s="32">
        <v>35370</v>
      </c>
      <c r="B3101" s="33" t="s">
        <v>31</v>
      </c>
      <c r="C3101" s="33" t="s">
        <v>30</v>
      </c>
      <c r="D3101" s="33">
        <v>133</v>
      </c>
    </row>
    <row r="3102" spans="1:4" x14ac:dyDescent="0.15">
      <c r="A3102" s="32">
        <v>35370</v>
      </c>
      <c r="B3102" s="33" t="s">
        <v>33</v>
      </c>
      <c r="C3102" s="33" t="s">
        <v>30</v>
      </c>
      <c r="D3102" s="33">
        <v>135</v>
      </c>
    </row>
    <row r="3103" spans="1:4" x14ac:dyDescent="0.15">
      <c r="A3103" s="32">
        <v>35370</v>
      </c>
      <c r="B3103" s="33" t="s">
        <v>31</v>
      </c>
      <c r="C3103" s="33" t="s">
        <v>30</v>
      </c>
      <c r="D3103" s="33">
        <v>347</v>
      </c>
    </row>
    <row r="3104" spans="1:4" x14ac:dyDescent="0.15">
      <c r="A3104" s="32">
        <v>35370</v>
      </c>
      <c r="B3104" s="33" t="s">
        <v>28</v>
      </c>
      <c r="C3104" s="33" t="s">
        <v>30</v>
      </c>
      <c r="D3104" s="33">
        <v>135</v>
      </c>
    </row>
    <row r="3105" spans="1:4" x14ac:dyDescent="0.15">
      <c r="A3105" s="32">
        <v>35370</v>
      </c>
      <c r="B3105" s="33" t="s">
        <v>26</v>
      </c>
      <c r="C3105" s="33" t="s">
        <v>30</v>
      </c>
      <c r="D3105" s="33">
        <v>90</v>
      </c>
    </row>
    <row r="3106" spans="1:4" x14ac:dyDescent="0.15">
      <c r="A3106" s="32">
        <v>35370</v>
      </c>
      <c r="B3106" s="33" t="s">
        <v>29</v>
      </c>
      <c r="C3106" s="33" t="s">
        <v>30</v>
      </c>
      <c r="D3106" s="33">
        <v>179</v>
      </c>
    </row>
    <row r="3107" spans="1:4" x14ac:dyDescent="0.15">
      <c r="A3107" s="32">
        <v>35370</v>
      </c>
      <c r="B3107" s="33" t="s">
        <v>29</v>
      </c>
      <c r="C3107" s="33" t="s">
        <v>30</v>
      </c>
      <c r="D3107" s="33">
        <v>191</v>
      </c>
    </row>
    <row r="3108" spans="1:4" x14ac:dyDescent="0.15">
      <c r="A3108" s="32">
        <v>35370</v>
      </c>
      <c r="B3108" s="33" t="s">
        <v>29</v>
      </c>
      <c r="C3108" s="33" t="s">
        <v>30</v>
      </c>
      <c r="D3108" s="33">
        <v>46</v>
      </c>
    </row>
    <row r="3109" spans="1:4" x14ac:dyDescent="0.15">
      <c r="A3109" s="32">
        <v>35370</v>
      </c>
      <c r="B3109" s="33" t="s">
        <v>29</v>
      </c>
      <c r="C3109" s="33" t="s">
        <v>30</v>
      </c>
      <c r="D3109" s="33">
        <v>226</v>
      </c>
    </row>
    <row r="3110" spans="1:4" x14ac:dyDescent="0.15">
      <c r="A3110" s="32">
        <v>35370</v>
      </c>
      <c r="B3110" s="33" t="s">
        <v>34</v>
      </c>
      <c r="C3110" s="33" t="s">
        <v>30</v>
      </c>
      <c r="D3110" s="33">
        <v>830</v>
      </c>
    </row>
    <row r="3111" spans="1:4" x14ac:dyDescent="0.15">
      <c r="A3111" s="32">
        <v>35370</v>
      </c>
      <c r="B3111" s="33" t="s">
        <v>29</v>
      </c>
      <c r="C3111" s="33" t="s">
        <v>30</v>
      </c>
      <c r="D3111" s="33">
        <v>54</v>
      </c>
    </row>
    <row r="3112" spans="1:4" x14ac:dyDescent="0.15">
      <c r="A3112" s="32">
        <v>35370</v>
      </c>
      <c r="B3112" s="33" t="s">
        <v>28</v>
      </c>
      <c r="C3112" s="33" t="s">
        <v>30</v>
      </c>
      <c r="D3112" s="33">
        <v>225</v>
      </c>
    </row>
    <row r="3113" spans="1:4" x14ac:dyDescent="0.15">
      <c r="A3113" s="32">
        <v>35370</v>
      </c>
      <c r="B3113" s="33" t="s">
        <v>26</v>
      </c>
      <c r="C3113" s="33" t="s">
        <v>30</v>
      </c>
      <c r="D3113" s="33">
        <v>677</v>
      </c>
    </row>
    <row r="3114" spans="1:4" x14ac:dyDescent="0.15">
      <c r="A3114" s="32">
        <v>35370</v>
      </c>
      <c r="B3114" s="33" t="s">
        <v>31</v>
      </c>
      <c r="C3114" s="33" t="s">
        <v>30</v>
      </c>
      <c r="D3114" s="33">
        <v>56</v>
      </c>
    </row>
    <row r="3115" spans="1:4" x14ac:dyDescent="0.15">
      <c r="A3115" s="32">
        <v>35370</v>
      </c>
      <c r="B3115" s="33" t="s">
        <v>26</v>
      </c>
      <c r="C3115" s="33" t="s">
        <v>30</v>
      </c>
      <c r="D3115" s="33">
        <v>66</v>
      </c>
    </row>
    <row r="3116" spans="1:4" x14ac:dyDescent="0.15">
      <c r="A3116" s="32">
        <v>35370</v>
      </c>
      <c r="B3116" s="33" t="s">
        <v>21</v>
      </c>
      <c r="C3116" s="33" t="s">
        <v>30</v>
      </c>
      <c r="D3116" s="33">
        <v>68</v>
      </c>
    </row>
    <row r="3117" spans="1:4" x14ac:dyDescent="0.15">
      <c r="A3117" s="32">
        <v>35370</v>
      </c>
      <c r="B3117" s="33" t="s">
        <v>31</v>
      </c>
      <c r="C3117" s="33" t="s">
        <v>30</v>
      </c>
      <c r="D3117" s="33">
        <v>96</v>
      </c>
    </row>
    <row r="3118" spans="1:4" x14ac:dyDescent="0.15">
      <c r="A3118" s="32">
        <v>35370</v>
      </c>
      <c r="B3118" s="33" t="s">
        <v>21</v>
      </c>
      <c r="C3118" s="33" t="s">
        <v>30</v>
      </c>
      <c r="D3118" s="33">
        <v>72</v>
      </c>
    </row>
    <row r="3119" spans="1:4" x14ac:dyDescent="0.15">
      <c r="A3119" s="32">
        <v>35370</v>
      </c>
      <c r="B3119" s="33" t="s">
        <v>28</v>
      </c>
      <c r="C3119" s="33" t="s">
        <v>30</v>
      </c>
      <c r="D3119" s="33">
        <v>79</v>
      </c>
    </row>
    <row r="3120" spans="1:4" x14ac:dyDescent="0.15">
      <c r="A3120" s="32">
        <v>35370</v>
      </c>
      <c r="B3120" s="33" t="s">
        <v>28</v>
      </c>
      <c r="C3120" s="33" t="s">
        <v>30</v>
      </c>
      <c r="D3120" s="33">
        <v>83</v>
      </c>
    </row>
    <row r="3121" spans="1:4" x14ac:dyDescent="0.15">
      <c r="A3121" s="32">
        <v>35370</v>
      </c>
      <c r="B3121" s="33" t="s">
        <v>33</v>
      </c>
      <c r="C3121" s="33" t="s">
        <v>30</v>
      </c>
      <c r="D3121" s="33">
        <v>90</v>
      </c>
    </row>
    <row r="3122" spans="1:4" x14ac:dyDescent="0.15">
      <c r="A3122" s="32">
        <v>35370</v>
      </c>
      <c r="B3122" s="33" t="s">
        <v>33</v>
      </c>
      <c r="C3122" s="33" t="s">
        <v>30</v>
      </c>
      <c r="D3122" s="33">
        <v>867</v>
      </c>
    </row>
    <row r="3123" spans="1:4" x14ac:dyDescent="0.15">
      <c r="A3123" s="32">
        <v>35400</v>
      </c>
      <c r="B3123" s="33" t="s">
        <v>21</v>
      </c>
      <c r="C3123" s="33" t="s">
        <v>22</v>
      </c>
      <c r="D3123" s="33">
        <v>83</v>
      </c>
    </row>
    <row r="3124" spans="1:4" x14ac:dyDescent="0.15">
      <c r="A3124" s="32">
        <v>35400</v>
      </c>
      <c r="B3124" s="33" t="s">
        <v>34</v>
      </c>
      <c r="C3124" s="33" t="s">
        <v>22</v>
      </c>
      <c r="D3124" s="33">
        <v>360</v>
      </c>
    </row>
    <row r="3125" spans="1:4" x14ac:dyDescent="0.15">
      <c r="A3125" s="32">
        <v>35400</v>
      </c>
      <c r="B3125" s="33" t="s">
        <v>31</v>
      </c>
      <c r="C3125" s="33" t="s">
        <v>22</v>
      </c>
      <c r="D3125" s="33">
        <v>338</v>
      </c>
    </row>
    <row r="3126" spans="1:4" x14ac:dyDescent="0.15">
      <c r="A3126" s="32">
        <v>35400</v>
      </c>
      <c r="B3126" s="33" t="s">
        <v>21</v>
      </c>
      <c r="C3126" s="33" t="s">
        <v>22</v>
      </c>
      <c r="D3126" s="33">
        <v>99</v>
      </c>
    </row>
    <row r="3127" spans="1:4" x14ac:dyDescent="0.15">
      <c r="A3127" s="32">
        <v>35400</v>
      </c>
      <c r="B3127" s="33" t="s">
        <v>29</v>
      </c>
      <c r="C3127" s="33" t="s">
        <v>22</v>
      </c>
      <c r="D3127" s="33">
        <v>314</v>
      </c>
    </row>
    <row r="3128" spans="1:4" x14ac:dyDescent="0.15">
      <c r="A3128" s="32">
        <v>35400</v>
      </c>
      <c r="B3128" s="33" t="s">
        <v>26</v>
      </c>
      <c r="C3128" s="33" t="s">
        <v>22</v>
      </c>
      <c r="D3128" s="33">
        <v>113</v>
      </c>
    </row>
    <row r="3129" spans="1:4" x14ac:dyDescent="0.15">
      <c r="A3129" s="32">
        <v>35400</v>
      </c>
      <c r="B3129" s="33" t="s">
        <v>21</v>
      </c>
      <c r="C3129" s="33" t="s">
        <v>22</v>
      </c>
      <c r="D3129" s="33">
        <v>1863</v>
      </c>
    </row>
    <row r="3130" spans="1:4" x14ac:dyDescent="0.15">
      <c r="A3130" s="32">
        <v>35400</v>
      </c>
      <c r="B3130" s="33" t="s">
        <v>31</v>
      </c>
      <c r="C3130" s="33" t="s">
        <v>22</v>
      </c>
      <c r="D3130" s="33">
        <v>180</v>
      </c>
    </row>
    <row r="3131" spans="1:4" x14ac:dyDescent="0.15">
      <c r="A3131" s="32">
        <v>35400</v>
      </c>
      <c r="B3131" s="33" t="s">
        <v>29</v>
      </c>
      <c r="C3131" s="33" t="s">
        <v>22</v>
      </c>
      <c r="D3131" s="33">
        <v>214</v>
      </c>
    </row>
    <row r="3132" spans="1:4" x14ac:dyDescent="0.15">
      <c r="A3132" s="32">
        <v>35400</v>
      </c>
      <c r="B3132" s="33" t="s">
        <v>26</v>
      </c>
      <c r="C3132" s="33" t="s">
        <v>22</v>
      </c>
      <c r="D3132" s="33">
        <v>225</v>
      </c>
    </row>
    <row r="3133" spans="1:4" x14ac:dyDescent="0.15">
      <c r="A3133" s="32">
        <v>35400</v>
      </c>
      <c r="B3133" s="33" t="s">
        <v>33</v>
      </c>
      <c r="C3133" s="33" t="s">
        <v>22</v>
      </c>
      <c r="D3133" s="33">
        <v>158</v>
      </c>
    </row>
    <row r="3134" spans="1:4" x14ac:dyDescent="0.15">
      <c r="A3134" s="32">
        <v>35400</v>
      </c>
      <c r="B3134" s="33" t="s">
        <v>28</v>
      </c>
      <c r="C3134" s="33" t="s">
        <v>22</v>
      </c>
      <c r="D3134" s="33">
        <v>124</v>
      </c>
    </row>
    <row r="3135" spans="1:4" x14ac:dyDescent="0.15">
      <c r="A3135" s="32">
        <v>35400</v>
      </c>
      <c r="B3135" s="33" t="s">
        <v>33</v>
      </c>
      <c r="C3135" s="33" t="s">
        <v>22</v>
      </c>
      <c r="D3135" s="33">
        <v>138</v>
      </c>
    </row>
    <row r="3136" spans="1:4" x14ac:dyDescent="0.15">
      <c r="A3136" s="32">
        <v>35400</v>
      </c>
      <c r="B3136" s="33" t="s">
        <v>28</v>
      </c>
      <c r="C3136" s="33" t="s">
        <v>22</v>
      </c>
      <c r="D3136" s="33">
        <v>531</v>
      </c>
    </row>
    <row r="3137" spans="1:4" x14ac:dyDescent="0.15">
      <c r="A3137" s="32">
        <v>35400</v>
      </c>
      <c r="B3137" s="33" t="s">
        <v>26</v>
      </c>
      <c r="C3137" s="33" t="s">
        <v>22</v>
      </c>
      <c r="D3137" s="33">
        <v>523</v>
      </c>
    </row>
    <row r="3138" spans="1:4" x14ac:dyDescent="0.15">
      <c r="A3138" s="32">
        <v>35400</v>
      </c>
      <c r="B3138" s="33" t="s">
        <v>33</v>
      </c>
      <c r="C3138" s="33" t="s">
        <v>22</v>
      </c>
      <c r="D3138" s="33">
        <v>623</v>
      </c>
    </row>
    <row r="3139" spans="1:4" x14ac:dyDescent="0.15">
      <c r="A3139" s="32">
        <v>35400</v>
      </c>
      <c r="B3139" s="33" t="s">
        <v>31</v>
      </c>
      <c r="C3139" s="33" t="s">
        <v>22</v>
      </c>
      <c r="D3139" s="33">
        <v>694</v>
      </c>
    </row>
    <row r="3140" spans="1:4" x14ac:dyDescent="0.15">
      <c r="A3140" s="32">
        <v>35400</v>
      </c>
      <c r="B3140" s="33" t="s">
        <v>26</v>
      </c>
      <c r="C3140" s="33" t="s">
        <v>22</v>
      </c>
      <c r="D3140" s="33">
        <v>3873</v>
      </c>
    </row>
    <row r="3141" spans="1:4" x14ac:dyDescent="0.15">
      <c r="A3141" s="32">
        <v>35400</v>
      </c>
      <c r="B3141" s="33" t="s">
        <v>34</v>
      </c>
      <c r="C3141" s="33" t="s">
        <v>22</v>
      </c>
      <c r="D3141" s="33">
        <v>413</v>
      </c>
    </row>
    <row r="3142" spans="1:4" x14ac:dyDescent="0.15">
      <c r="A3142" s="32">
        <v>35400</v>
      </c>
      <c r="B3142" s="33" t="s">
        <v>29</v>
      </c>
      <c r="C3142" s="33" t="s">
        <v>22</v>
      </c>
      <c r="D3142" s="33">
        <v>854</v>
      </c>
    </row>
    <row r="3143" spans="1:4" x14ac:dyDescent="0.15">
      <c r="A3143" s="32">
        <v>35400</v>
      </c>
      <c r="B3143" s="33" t="s">
        <v>21</v>
      </c>
      <c r="C3143" s="33" t="s">
        <v>22</v>
      </c>
      <c r="D3143" s="33">
        <v>957</v>
      </c>
    </row>
    <row r="3144" spans="1:4" x14ac:dyDescent="0.15">
      <c r="A3144" s="32">
        <v>35400</v>
      </c>
      <c r="B3144" s="33" t="s">
        <v>28</v>
      </c>
      <c r="C3144" s="33" t="s">
        <v>22</v>
      </c>
      <c r="D3144" s="33">
        <v>1051</v>
      </c>
    </row>
    <row r="3145" spans="1:4" x14ac:dyDescent="0.15">
      <c r="A3145" s="32">
        <v>35400</v>
      </c>
      <c r="B3145" s="33" t="s">
        <v>28</v>
      </c>
      <c r="C3145" s="33" t="s">
        <v>22</v>
      </c>
      <c r="D3145" s="33">
        <v>405</v>
      </c>
    </row>
    <row r="3146" spans="1:4" x14ac:dyDescent="0.15">
      <c r="A3146" s="32">
        <v>35400</v>
      </c>
      <c r="B3146" s="33" t="s">
        <v>31</v>
      </c>
      <c r="C3146" s="33" t="s">
        <v>22</v>
      </c>
      <c r="D3146" s="33">
        <v>1118</v>
      </c>
    </row>
    <row r="3147" spans="1:4" x14ac:dyDescent="0.15">
      <c r="A3147" s="32">
        <v>35400</v>
      </c>
      <c r="B3147" s="33" t="s">
        <v>33</v>
      </c>
      <c r="C3147" s="33" t="s">
        <v>22</v>
      </c>
      <c r="D3147" s="33">
        <v>1319</v>
      </c>
    </row>
    <row r="3148" spans="1:4" x14ac:dyDescent="0.15">
      <c r="A3148" s="32">
        <v>35400</v>
      </c>
      <c r="B3148" s="33" t="s">
        <v>29</v>
      </c>
      <c r="C3148" s="33" t="s">
        <v>22</v>
      </c>
      <c r="D3148" s="33">
        <v>385</v>
      </c>
    </row>
    <row r="3149" spans="1:4" x14ac:dyDescent="0.15">
      <c r="A3149" s="32">
        <v>35400</v>
      </c>
      <c r="B3149" s="33" t="s">
        <v>33</v>
      </c>
      <c r="C3149" s="33" t="s">
        <v>23</v>
      </c>
      <c r="D3149" s="33">
        <v>508</v>
      </c>
    </row>
    <row r="3150" spans="1:4" x14ac:dyDescent="0.15">
      <c r="A3150" s="32">
        <v>35400</v>
      </c>
      <c r="B3150" s="33" t="s">
        <v>28</v>
      </c>
      <c r="C3150" s="33" t="s">
        <v>23</v>
      </c>
      <c r="D3150" s="33">
        <v>158</v>
      </c>
    </row>
    <row r="3151" spans="1:4" x14ac:dyDescent="0.15">
      <c r="A3151" s="32">
        <v>35400</v>
      </c>
      <c r="B3151" s="33" t="s">
        <v>28</v>
      </c>
      <c r="C3151" s="33" t="s">
        <v>23</v>
      </c>
      <c r="D3151" s="33">
        <v>341</v>
      </c>
    </row>
    <row r="3152" spans="1:4" x14ac:dyDescent="0.15">
      <c r="A3152" s="32">
        <v>35400</v>
      </c>
      <c r="B3152" s="33" t="s">
        <v>21</v>
      </c>
      <c r="C3152" s="33" t="s">
        <v>23</v>
      </c>
      <c r="D3152" s="33">
        <v>1408</v>
      </c>
    </row>
    <row r="3153" spans="1:4" x14ac:dyDescent="0.15">
      <c r="A3153" s="32">
        <v>35400</v>
      </c>
      <c r="B3153" s="33" t="s">
        <v>28</v>
      </c>
      <c r="C3153" s="33" t="s">
        <v>23</v>
      </c>
      <c r="D3153" s="33">
        <v>203</v>
      </c>
    </row>
    <row r="3154" spans="1:4" x14ac:dyDescent="0.15">
      <c r="A3154" s="32">
        <v>35400</v>
      </c>
      <c r="B3154" s="33" t="s">
        <v>31</v>
      </c>
      <c r="C3154" s="33" t="s">
        <v>23</v>
      </c>
      <c r="D3154" s="33">
        <v>533</v>
      </c>
    </row>
    <row r="3155" spans="1:4" x14ac:dyDescent="0.15">
      <c r="A3155" s="32">
        <v>35400</v>
      </c>
      <c r="B3155" s="33" t="s">
        <v>33</v>
      </c>
      <c r="C3155" s="33" t="s">
        <v>23</v>
      </c>
      <c r="D3155" s="33">
        <v>622</v>
      </c>
    </row>
    <row r="3156" spans="1:4" x14ac:dyDescent="0.15">
      <c r="A3156" s="32">
        <v>35400</v>
      </c>
      <c r="B3156" s="33" t="s">
        <v>29</v>
      </c>
      <c r="C3156" s="33" t="s">
        <v>23</v>
      </c>
      <c r="D3156" s="33">
        <v>645</v>
      </c>
    </row>
    <row r="3157" spans="1:4" x14ac:dyDescent="0.15">
      <c r="A3157" s="32">
        <v>35400</v>
      </c>
      <c r="B3157" s="33" t="s">
        <v>21</v>
      </c>
      <c r="C3157" s="33" t="s">
        <v>23</v>
      </c>
      <c r="D3157" s="33">
        <v>740</v>
      </c>
    </row>
    <row r="3158" spans="1:4" x14ac:dyDescent="0.15">
      <c r="A3158" s="32">
        <v>35400</v>
      </c>
      <c r="B3158" s="33" t="s">
        <v>33</v>
      </c>
      <c r="C3158" s="33" t="s">
        <v>23</v>
      </c>
      <c r="D3158" s="33">
        <v>289</v>
      </c>
    </row>
    <row r="3159" spans="1:4" x14ac:dyDescent="0.15">
      <c r="A3159" s="32">
        <v>35400</v>
      </c>
      <c r="B3159" s="33" t="s">
        <v>31</v>
      </c>
      <c r="C3159" s="33" t="s">
        <v>23</v>
      </c>
      <c r="D3159" s="33">
        <v>180</v>
      </c>
    </row>
    <row r="3160" spans="1:4" x14ac:dyDescent="0.15">
      <c r="A3160" s="32">
        <v>35400</v>
      </c>
      <c r="B3160" s="33" t="s">
        <v>26</v>
      </c>
      <c r="C3160" s="33" t="s">
        <v>23</v>
      </c>
      <c r="D3160" s="33">
        <v>333</v>
      </c>
    </row>
    <row r="3161" spans="1:4" x14ac:dyDescent="0.15">
      <c r="A3161" s="32">
        <v>35400</v>
      </c>
      <c r="B3161" s="33" t="s">
        <v>29</v>
      </c>
      <c r="C3161" s="33" t="s">
        <v>23</v>
      </c>
      <c r="D3161" s="33">
        <v>364</v>
      </c>
    </row>
    <row r="3162" spans="1:4" x14ac:dyDescent="0.15">
      <c r="A3162" s="32">
        <v>35400</v>
      </c>
      <c r="B3162" s="33" t="s">
        <v>31</v>
      </c>
      <c r="C3162" s="33" t="s">
        <v>23</v>
      </c>
      <c r="D3162" s="33">
        <v>808</v>
      </c>
    </row>
    <row r="3163" spans="1:4" x14ac:dyDescent="0.15">
      <c r="A3163" s="32">
        <v>35400</v>
      </c>
      <c r="B3163" s="33" t="s">
        <v>33</v>
      </c>
      <c r="C3163" s="33" t="s">
        <v>23</v>
      </c>
      <c r="D3163" s="33">
        <v>293</v>
      </c>
    </row>
    <row r="3164" spans="1:4" x14ac:dyDescent="0.15">
      <c r="A3164" s="32">
        <v>35400</v>
      </c>
      <c r="B3164" s="33" t="s">
        <v>29</v>
      </c>
      <c r="C3164" s="33" t="s">
        <v>23</v>
      </c>
      <c r="D3164" s="33">
        <v>298</v>
      </c>
    </row>
    <row r="3165" spans="1:4" x14ac:dyDescent="0.15">
      <c r="A3165" s="32">
        <v>35400</v>
      </c>
      <c r="B3165" s="33" t="s">
        <v>26</v>
      </c>
      <c r="C3165" s="33" t="s">
        <v>23</v>
      </c>
      <c r="D3165" s="33">
        <v>995</v>
      </c>
    </row>
    <row r="3166" spans="1:4" x14ac:dyDescent="0.15">
      <c r="A3166" s="32">
        <v>35400</v>
      </c>
      <c r="B3166" s="33" t="s">
        <v>28</v>
      </c>
      <c r="C3166" s="33" t="s">
        <v>23</v>
      </c>
      <c r="D3166" s="33">
        <v>304</v>
      </c>
    </row>
    <row r="3167" spans="1:4" x14ac:dyDescent="0.15">
      <c r="A3167" s="32">
        <v>35400</v>
      </c>
      <c r="B3167" s="33" t="s">
        <v>34</v>
      </c>
      <c r="C3167" s="33" t="s">
        <v>23</v>
      </c>
      <c r="D3167" s="33">
        <v>263</v>
      </c>
    </row>
    <row r="3168" spans="1:4" x14ac:dyDescent="0.15">
      <c r="A3168" s="32">
        <v>35400</v>
      </c>
      <c r="B3168" s="33" t="s">
        <v>34</v>
      </c>
      <c r="C3168" s="33" t="s">
        <v>23</v>
      </c>
      <c r="D3168" s="33">
        <v>180</v>
      </c>
    </row>
    <row r="3169" spans="1:4" x14ac:dyDescent="0.15">
      <c r="A3169" s="32">
        <v>35400</v>
      </c>
      <c r="B3169" s="33" t="s">
        <v>31</v>
      </c>
      <c r="C3169" s="33" t="s">
        <v>23</v>
      </c>
      <c r="D3169" s="33">
        <v>131</v>
      </c>
    </row>
    <row r="3170" spans="1:4" x14ac:dyDescent="0.15">
      <c r="A3170" s="32">
        <v>35400</v>
      </c>
      <c r="B3170" s="33" t="s">
        <v>21</v>
      </c>
      <c r="C3170" s="33" t="s">
        <v>23</v>
      </c>
      <c r="D3170" s="33">
        <v>60</v>
      </c>
    </row>
    <row r="3171" spans="1:4" x14ac:dyDescent="0.15">
      <c r="A3171" s="32">
        <v>35400</v>
      </c>
      <c r="B3171" s="33" t="s">
        <v>26</v>
      </c>
      <c r="C3171" s="33" t="s">
        <v>23</v>
      </c>
      <c r="D3171" s="33">
        <v>70</v>
      </c>
    </row>
    <row r="3172" spans="1:4" x14ac:dyDescent="0.15">
      <c r="A3172" s="32">
        <v>35400</v>
      </c>
      <c r="B3172" s="33" t="s">
        <v>21</v>
      </c>
      <c r="C3172" s="33" t="s">
        <v>23</v>
      </c>
      <c r="D3172" s="33">
        <v>68</v>
      </c>
    </row>
    <row r="3173" spans="1:4" x14ac:dyDescent="0.15">
      <c r="A3173" s="32">
        <v>35400</v>
      </c>
      <c r="B3173" s="33" t="s">
        <v>29</v>
      </c>
      <c r="C3173" s="33" t="s">
        <v>23</v>
      </c>
      <c r="D3173" s="33">
        <v>612</v>
      </c>
    </row>
    <row r="3174" spans="1:4" x14ac:dyDescent="0.15">
      <c r="A3174" s="32">
        <v>35400</v>
      </c>
      <c r="B3174" s="33" t="s">
        <v>26</v>
      </c>
      <c r="C3174" s="33" t="s">
        <v>23</v>
      </c>
      <c r="D3174" s="33">
        <v>158</v>
      </c>
    </row>
    <row r="3175" spans="1:4" x14ac:dyDescent="0.15">
      <c r="A3175" s="32">
        <v>35400</v>
      </c>
      <c r="B3175" s="33" t="s">
        <v>28</v>
      </c>
      <c r="C3175" s="33" t="s">
        <v>32</v>
      </c>
      <c r="D3175" s="33">
        <v>663</v>
      </c>
    </row>
    <row r="3176" spans="1:4" x14ac:dyDescent="0.15">
      <c r="A3176" s="32">
        <v>35400</v>
      </c>
      <c r="B3176" s="33" t="s">
        <v>33</v>
      </c>
      <c r="C3176" s="33" t="s">
        <v>32</v>
      </c>
      <c r="D3176" s="33">
        <v>792</v>
      </c>
    </row>
    <row r="3177" spans="1:4" x14ac:dyDescent="0.15">
      <c r="A3177" s="32">
        <v>35400</v>
      </c>
      <c r="B3177" s="33" t="s">
        <v>33</v>
      </c>
      <c r="C3177" s="33" t="s">
        <v>32</v>
      </c>
      <c r="D3177" s="33">
        <v>1177</v>
      </c>
    </row>
    <row r="3178" spans="1:4" x14ac:dyDescent="0.15">
      <c r="A3178" s="32">
        <v>35400</v>
      </c>
      <c r="B3178" s="33" t="s">
        <v>26</v>
      </c>
      <c r="C3178" s="33" t="s">
        <v>32</v>
      </c>
      <c r="D3178" s="33">
        <v>2131</v>
      </c>
    </row>
    <row r="3179" spans="1:4" x14ac:dyDescent="0.15">
      <c r="A3179" s="32">
        <v>35400</v>
      </c>
      <c r="B3179" s="33" t="s">
        <v>31</v>
      </c>
      <c r="C3179" s="33" t="s">
        <v>32</v>
      </c>
      <c r="D3179" s="33">
        <v>263</v>
      </c>
    </row>
    <row r="3180" spans="1:4" x14ac:dyDescent="0.15">
      <c r="A3180" s="32">
        <v>35400</v>
      </c>
      <c r="B3180" s="33" t="s">
        <v>34</v>
      </c>
      <c r="C3180" s="33" t="s">
        <v>32</v>
      </c>
      <c r="D3180" s="33">
        <v>383</v>
      </c>
    </row>
    <row r="3181" spans="1:4" x14ac:dyDescent="0.15">
      <c r="A3181" s="32">
        <v>35400</v>
      </c>
      <c r="B3181" s="33" t="s">
        <v>21</v>
      </c>
      <c r="C3181" s="33" t="s">
        <v>32</v>
      </c>
      <c r="D3181" s="33">
        <v>35</v>
      </c>
    </row>
    <row r="3182" spans="1:4" x14ac:dyDescent="0.15">
      <c r="A3182" s="32">
        <v>35400</v>
      </c>
      <c r="B3182" s="33" t="s">
        <v>31</v>
      </c>
      <c r="C3182" s="33" t="s">
        <v>32</v>
      </c>
      <c r="D3182" s="33">
        <v>338</v>
      </c>
    </row>
    <row r="3183" spans="1:4" x14ac:dyDescent="0.15">
      <c r="A3183" s="32">
        <v>35400</v>
      </c>
      <c r="B3183" s="33" t="s">
        <v>21</v>
      </c>
      <c r="C3183" s="33" t="s">
        <v>32</v>
      </c>
      <c r="D3183" s="33">
        <v>46</v>
      </c>
    </row>
    <row r="3184" spans="1:4" x14ac:dyDescent="0.15">
      <c r="A3184" s="32">
        <v>35400</v>
      </c>
      <c r="B3184" s="33" t="s">
        <v>31</v>
      </c>
      <c r="C3184" s="33" t="s">
        <v>32</v>
      </c>
      <c r="D3184" s="33">
        <v>61</v>
      </c>
    </row>
    <row r="3185" spans="1:4" x14ac:dyDescent="0.15">
      <c r="A3185" s="32">
        <v>35400</v>
      </c>
      <c r="B3185" s="33" t="s">
        <v>29</v>
      </c>
      <c r="C3185" s="33" t="s">
        <v>32</v>
      </c>
      <c r="D3185" s="33">
        <v>273</v>
      </c>
    </row>
    <row r="3186" spans="1:4" x14ac:dyDescent="0.15">
      <c r="A3186" s="32">
        <v>35400</v>
      </c>
      <c r="B3186" s="33" t="s">
        <v>28</v>
      </c>
      <c r="C3186" s="33" t="s">
        <v>32</v>
      </c>
      <c r="D3186" s="33">
        <v>405</v>
      </c>
    </row>
    <row r="3187" spans="1:4" x14ac:dyDescent="0.15">
      <c r="A3187" s="32">
        <v>35400</v>
      </c>
      <c r="B3187" s="33" t="s">
        <v>29</v>
      </c>
      <c r="C3187" s="33" t="s">
        <v>32</v>
      </c>
      <c r="D3187" s="33">
        <v>101</v>
      </c>
    </row>
    <row r="3188" spans="1:4" x14ac:dyDescent="0.15">
      <c r="A3188" s="32">
        <v>35400</v>
      </c>
      <c r="B3188" s="33" t="s">
        <v>26</v>
      </c>
      <c r="C3188" s="33" t="s">
        <v>32</v>
      </c>
      <c r="D3188" s="33">
        <v>280</v>
      </c>
    </row>
    <row r="3189" spans="1:4" x14ac:dyDescent="0.15">
      <c r="A3189" s="32">
        <v>35400</v>
      </c>
      <c r="B3189" s="33" t="s">
        <v>29</v>
      </c>
      <c r="C3189" s="33" t="s">
        <v>32</v>
      </c>
      <c r="D3189" s="33">
        <v>105</v>
      </c>
    </row>
    <row r="3190" spans="1:4" x14ac:dyDescent="0.15">
      <c r="A3190" s="32">
        <v>35400</v>
      </c>
      <c r="B3190" s="33" t="s">
        <v>26</v>
      </c>
      <c r="C3190" s="33" t="s">
        <v>32</v>
      </c>
      <c r="D3190" s="33">
        <v>114</v>
      </c>
    </row>
    <row r="3191" spans="1:4" x14ac:dyDescent="0.15">
      <c r="A3191" s="32">
        <v>35400</v>
      </c>
      <c r="B3191" s="33" t="s">
        <v>34</v>
      </c>
      <c r="C3191" s="33" t="s">
        <v>32</v>
      </c>
      <c r="D3191" s="33">
        <v>228</v>
      </c>
    </row>
    <row r="3192" spans="1:4" x14ac:dyDescent="0.15">
      <c r="A3192" s="32">
        <v>35400</v>
      </c>
      <c r="B3192" s="33" t="s">
        <v>21</v>
      </c>
      <c r="C3192" s="33" t="s">
        <v>32</v>
      </c>
      <c r="D3192" s="33">
        <v>124</v>
      </c>
    </row>
    <row r="3193" spans="1:4" x14ac:dyDescent="0.15">
      <c r="A3193" s="32">
        <v>35400</v>
      </c>
      <c r="B3193" s="33" t="s">
        <v>33</v>
      </c>
      <c r="C3193" s="33" t="s">
        <v>32</v>
      </c>
      <c r="D3193" s="33">
        <v>180</v>
      </c>
    </row>
    <row r="3194" spans="1:4" x14ac:dyDescent="0.15">
      <c r="A3194" s="32">
        <v>35400</v>
      </c>
      <c r="B3194" s="33" t="s">
        <v>33</v>
      </c>
      <c r="C3194" s="33" t="s">
        <v>32</v>
      </c>
      <c r="D3194" s="33">
        <v>158</v>
      </c>
    </row>
    <row r="3195" spans="1:4" x14ac:dyDescent="0.15">
      <c r="A3195" s="32">
        <v>35400</v>
      </c>
      <c r="B3195" s="33" t="s">
        <v>31</v>
      </c>
      <c r="C3195" s="33" t="s">
        <v>32</v>
      </c>
      <c r="D3195" s="33">
        <v>158</v>
      </c>
    </row>
    <row r="3196" spans="1:4" x14ac:dyDescent="0.15">
      <c r="A3196" s="32">
        <v>35400</v>
      </c>
      <c r="B3196" s="33" t="s">
        <v>29</v>
      </c>
      <c r="C3196" s="33" t="s">
        <v>32</v>
      </c>
      <c r="D3196" s="33">
        <v>86</v>
      </c>
    </row>
    <row r="3197" spans="1:4" x14ac:dyDescent="0.15">
      <c r="A3197" s="32">
        <v>35400</v>
      </c>
      <c r="B3197" s="33" t="s">
        <v>28</v>
      </c>
      <c r="C3197" s="33" t="s">
        <v>32</v>
      </c>
      <c r="D3197" s="33">
        <v>473</v>
      </c>
    </row>
    <row r="3198" spans="1:4" x14ac:dyDescent="0.15">
      <c r="A3198" s="32">
        <v>35400</v>
      </c>
      <c r="B3198" s="33" t="s">
        <v>21</v>
      </c>
      <c r="C3198" s="33" t="s">
        <v>32</v>
      </c>
      <c r="D3198" s="33">
        <v>450</v>
      </c>
    </row>
    <row r="3199" spans="1:4" x14ac:dyDescent="0.15">
      <c r="A3199" s="32">
        <v>35400</v>
      </c>
      <c r="B3199" s="33" t="s">
        <v>28</v>
      </c>
      <c r="C3199" s="33" t="s">
        <v>32</v>
      </c>
      <c r="D3199" s="33">
        <v>459</v>
      </c>
    </row>
    <row r="3200" spans="1:4" x14ac:dyDescent="0.15">
      <c r="A3200" s="32">
        <v>35400</v>
      </c>
      <c r="B3200" s="33" t="s">
        <v>26</v>
      </c>
      <c r="C3200" s="33" t="s">
        <v>32</v>
      </c>
      <c r="D3200" s="33">
        <v>459</v>
      </c>
    </row>
    <row r="3201" spans="1:4" x14ac:dyDescent="0.15">
      <c r="A3201" s="32">
        <v>35400</v>
      </c>
      <c r="B3201" s="33" t="s">
        <v>26</v>
      </c>
      <c r="C3201" s="33" t="s">
        <v>24</v>
      </c>
      <c r="D3201" s="33">
        <v>330</v>
      </c>
    </row>
    <row r="3202" spans="1:4" x14ac:dyDescent="0.15">
      <c r="A3202" s="32">
        <v>35400</v>
      </c>
      <c r="B3202" s="33" t="s">
        <v>26</v>
      </c>
      <c r="C3202" s="33" t="s">
        <v>24</v>
      </c>
      <c r="D3202" s="33">
        <v>330</v>
      </c>
    </row>
    <row r="3203" spans="1:4" x14ac:dyDescent="0.15">
      <c r="A3203" s="32">
        <v>35400</v>
      </c>
      <c r="B3203" s="33" t="s">
        <v>21</v>
      </c>
      <c r="C3203" s="33" t="s">
        <v>24</v>
      </c>
      <c r="D3203" s="33">
        <v>55</v>
      </c>
    </row>
    <row r="3204" spans="1:4" x14ac:dyDescent="0.15">
      <c r="A3204" s="32">
        <v>35400</v>
      </c>
      <c r="B3204" s="33" t="s">
        <v>26</v>
      </c>
      <c r="C3204" s="33" t="s">
        <v>24</v>
      </c>
      <c r="D3204" s="33">
        <v>123</v>
      </c>
    </row>
    <row r="3205" spans="1:4" x14ac:dyDescent="0.15">
      <c r="A3205" s="32">
        <v>35400</v>
      </c>
      <c r="B3205" s="33" t="s">
        <v>21</v>
      </c>
      <c r="C3205" s="33" t="s">
        <v>24</v>
      </c>
      <c r="D3205" s="33">
        <v>124</v>
      </c>
    </row>
    <row r="3206" spans="1:4" x14ac:dyDescent="0.15">
      <c r="A3206" s="32">
        <v>35400</v>
      </c>
      <c r="B3206" s="33" t="s">
        <v>21</v>
      </c>
      <c r="C3206" s="33" t="s">
        <v>24</v>
      </c>
      <c r="D3206" s="33">
        <v>105</v>
      </c>
    </row>
    <row r="3207" spans="1:4" x14ac:dyDescent="0.15">
      <c r="A3207" s="32">
        <v>35400</v>
      </c>
      <c r="B3207" s="33" t="s">
        <v>26</v>
      </c>
      <c r="C3207" s="33" t="s">
        <v>24</v>
      </c>
      <c r="D3207" s="33">
        <v>175</v>
      </c>
    </row>
    <row r="3208" spans="1:4" x14ac:dyDescent="0.15">
      <c r="A3208" s="32">
        <v>35400</v>
      </c>
      <c r="B3208" s="33" t="s">
        <v>26</v>
      </c>
      <c r="C3208" s="33" t="s">
        <v>24</v>
      </c>
      <c r="D3208" s="33">
        <v>158</v>
      </c>
    </row>
    <row r="3209" spans="1:4" x14ac:dyDescent="0.15">
      <c r="A3209" s="32">
        <v>35400</v>
      </c>
      <c r="B3209" s="33" t="s">
        <v>26</v>
      </c>
      <c r="C3209" s="33" t="s">
        <v>24</v>
      </c>
      <c r="D3209" s="33">
        <v>79</v>
      </c>
    </row>
    <row r="3210" spans="1:4" x14ac:dyDescent="0.15">
      <c r="A3210" s="32">
        <v>35400</v>
      </c>
      <c r="B3210" s="33" t="s">
        <v>21</v>
      </c>
      <c r="C3210" s="33" t="s">
        <v>24</v>
      </c>
      <c r="D3210" s="33">
        <v>799</v>
      </c>
    </row>
    <row r="3211" spans="1:4" x14ac:dyDescent="0.15">
      <c r="A3211" s="32">
        <v>35400</v>
      </c>
      <c r="B3211" s="33" t="s">
        <v>21</v>
      </c>
      <c r="C3211" s="33" t="s">
        <v>24</v>
      </c>
      <c r="D3211" s="33">
        <v>2160</v>
      </c>
    </row>
    <row r="3212" spans="1:4" x14ac:dyDescent="0.15">
      <c r="A3212" s="32">
        <v>35400</v>
      </c>
      <c r="B3212" s="33" t="s">
        <v>21</v>
      </c>
      <c r="C3212" s="33" t="s">
        <v>24</v>
      </c>
      <c r="D3212" s="33">
        <v>27</v>
      </c>
    </row>
    <row r="3213" spans="1:4" x14ac:dyDescent="0.15">
      <c r="A3213" s="32">
        <v>35400</v>
      </c>
      <c r="B3213" s="33" t="s">
        <v>29</v>
      </c>
      <c r="C3213" s="33" t="s">
        <v>25</v>
      </c>
      <c r="D3213" s="33">
        <v>96</v>
      </c>
    </row>
    <row r="3214" spans="1:4" x14ac:dyDescent="0.15">
      <c r="A3214" s="32">
        <v>35400</v>
      </c>
      <c r="B3214" s="33" t="s">
        <v>21</v>
      </c>
      <c r="C3214" s="33" t="s">
        <v>25</v>
      </c>
      <c r="D3214" s="33">
        <v>158</v>
      </c>
    </row>
    <row r="3215" spans="1:4" x14ac:dyDescent="0.15">
      <c r="A3215" s="32">
        <v>35400</v>
      </c>
      <c r="B3215" s="33" t="s">
        <v>26</v>
      </c>
      <c r="C3215" s="33" t="s">
        <v>25</v>
      </c>
      <c r="D3215" s="33">
        <v>627</v>
      </c>
    </row>
    <row r="3216" spans="1:4" x14ac:dyDescent="0.15">
      <c r="A3216" s="32">
        <v>35400</v>
      </c>
      <c r="B3216" s="33" t="s">
        <v>31</v>
      </c>
      <c r="C3216" s="33" t="s">
        <v>25</v>
      </c>
      <c r="D3216" s="33">
        <v>514</v>
      </c>
    </row>
    <row r="3217" spans="1:4" x14ac:dyDescent="0.15">
      <c r="A3217" s="32">
        <v>35400</v>
      </c>
      <c r="B3217" s="33" t="s">
        <v>31</v>
      </c>
      <c r="C3217" s="33" t="s">
        <v>25</v>
      </c>
      <c r="D3217" s="33">
        <v>146</v>
      </c>
    </row>
    <row r="3218" spans="1:4" x14ac:dyDescent="0.15">
      <c r="A3218" s="32">
        <v>35400</v>
      </c>
      <c r="B3218" s="33" t="s">
        <v>31</v>
      </c>
      <c r="C3218" s="33" t="s">
        <v>25</v>
      </c>
      <c r="D3218" s="33">
        <v>131</v>
      </c>
    </row>
    <row r="3219" spans="1:4" x14ac:dyDescent="0.15">
      <c r="A3219" s="32">
        <v>35400</v>
      </c>
      <c r="B3219" s="33" t="s">
        <v>33</v>
      </c>
      <c r="C3219" s="33" t="s">
        <v>25</v>
      </c>
      <c r="D3219" s="33">
        <v>263</v>
      </c>
    </row>
    <row r="3220" spans="1:4" x14ac:dyDescent="0.15">
      <c r="A3220" s="32">
        <v>35400</v>
      </c>
      <c r="B3220" s="33" t="s">
        <v>34</v>
      </c>
      <c r="C3220" s="33" t="s">
        <v>25</v>
      </c>
      <c r="D3220" s="33">
        <v>248</v>
      </c>
    </row>
    <row r="3221" spans="1:4" x14ac:dyDescent="0.15">
      <c r="A3221" s="32">
        <v>35400</v>
      </c>
      <c r="B3221" s="33" t="s">
        <v>26</v>
      </c>
      <c r="C3221" s="33" t="s">
        <v>25</v>
      </c>
      <c r="D3221" s="33">
        <v>645</v>
      </c>
    </row>
    <row r="3222" spans="1:4" x14ac:dyDescent="0.15">
      <c r="A3222" s="32">
        <v>35400</v>
      </c>
      <c r="B3222" s="33" t="s">
        <v>29</v>
      </c>
      <c r="C3222" s="33" t="s">
        <v>25</v>
      </c>
      <c r="D3222" s="33">
        <v>214</v>
      </c>
    </row>
    <row r="3223" spans="1:4" x14ac:dyDescent="0.15">
      <c r="A3223" s="32">
        <v>35400</v>
      </c>
      <c r="B3223" s="33" t="s">
        <v>21</v>
      </c>
      <c r="C3223" s="33" t="s">
        <v>25</v>
      </c>
      <c r="D3223" s="33">
        <v>105</v>
      </c>
    </row>
    <row r="3224" spans="1:4" x14ac:dyDescent="0.15">
      <c r="A3224" s="32">
        <v>35400</v>
      </c>
      <c r="B3224" s="33" t="s">
        <v>33</v>
      </c>
      <c r="C3224" s="33" t="s">
        <v>25</v>
      </c>
      <c r="D3224" s="33">
        <v>368</v>
      </c>
    </row>
    <row r="3225" spans="1:4" x14ac:dyDescent="0.15">
      <c r="A3225" s="32">
        <v>35400</v>
      </c>
      <c r="B3225" s="33" t="s">
        <v>28</v>
      </c>
      <c r="C3225" s="33" t="s">
        <v>25</v>
      </c>
      <c r="D3225" s="33">
        <v>263</v>
      </c>
    </row>
    <row r="3226" spans="1:4" x14ac:dyDescent="0.15">
      <c r="A3226" s="32">
        <v>35400</v>
      </c>
      <c r="B3226" s="33" t="s">
        <v>29</v>
      </c>
      <c r="C3226" s="33" t="s">
        <v>25</v>
      </c>
      <c r="D3226" s="33">
        <v>49</v>
      </c>
    </row>
    <row r="3227" spans="1:4" x14ac:dyDescent="0.15">
      <c r="A3227" s="32">
        <v>35400</v>
      </c>
      <c r="B3227" s="33" t="s">
        <v>21</v>
      </c>
      <c r="C3227" s="33" t="s">
        <v>25</v>
      </c>
      <c r="D3227" s="33">
        <v>298</v>
      </c>
    </row>
    <row r="3228" spans="1:4" x14ac:dyDescent="0.15">
      <c r="A3228" s="32">
        <v>35400</v>
      </c>
      <c r="B3228" s="33" t="s">
        <v>28</v>
      </c>
      <c r="C3228" s="33" t="s">
        <v>25</v>
      </c>
      <c r="D3228" s="33">
        <v>338</v>
      </c>
    </row>
    <row r="3229" spans="1:4" x14ac:dyDescent="0.15">
      <c r="A3229" s="32">
        <v>35400</v>
      </c>
      <c r="B3229" s="33" t="s">
        <v>28</v>
      </c>
      <c r="C3229" s="33" t="s">
        <v>25</v>
      </c>
      <c r="D3229" s="33">
        <v>368</v>
      </c>
    </row>
    <row r="3230" spans="1:4" x14ac:dyDescent="0.15">
      <c r="A3230" s="32">
        <v>35400</v>
      </c>
      <c r="B3230" s="33" t="s">
        <v>33</v>
      </c>
      <c r="C3230" s="33" t="s">
        <v>25</v>
      </c>
      <c r="D3230" s="33">
        <v>857</v>
      </c>
    </row>
    <row r="3231" spans="1:4" x14ac:dyDescent="0.15">
      <c r="A3231" s="32">
        <v>35400</v>
      </c>
      <c r="B3231" s="33" t="s">
        <v>33</v>
      </c>
      <c r="C3231" s="33" t="s">
        <v>25</v>
      </c>
      <c r="D3231" s="33">
        <v>1207</v>
      </c>
    </row>
    <row r="3232" spans="1:4" x14ac:dyDescent="0.15">
      <c r="A3232" s="32">
        <v>35400</v>
      </c>
      <c r="B3232" s="33" t="s">
        <v>31</v>
      </c>
      <c r="C3232" s="33" t="s">
        <v>25</v>
      </c>
      <c r="D3232" s="33">
        <v>385</v>
      </c>
    </row>
    <row r="3233" spans="1:4" x14ac:dyDescent="0.15">
      <c r="A3233" s="32">
        <v>35400</v>
      </c>
      <c r="B3233" s="33" t="s">
        <v>26</v>
      </c>
      <c r="C3233" s="33" t="s">
        <v>25</v>
      </c>
      <c r="D3233" s="33">
        <v>996</v>
      </c>
    </row>
    <row r="3234" spans="1:4" x14ac:dyDescent="0.15">
      <c r="A3234" s="32">
        <v>35400</v>
      </c>
      <c r="B3234" s="33" t="s">
        <v>21</v>
      </c>
      <c r="C3234" s="33" t="s">
        <v>25</v>
      </c>
      <c r="D3234" s="33">
        <v>426</v>
      </c>
    </row>
    <row r="3235" spans="1:4" x14ac:dyDescent="0.15">
      <c r="A3235" s="32">
        <v>35400</v>
      </c>
      <c r="B3235" s="33" t="s">
        <v>34</v>
      </c>
      <c r="C3235" s="33" t="s">
        <v>25</v>
      </c>
      <c r="D3235" s="33">
        <v>70</v>
      </c>
    </row>
    <row r="3236" spans="1:4" x14ac:dyDescent="0.15">
      <c r="A3236" s="32">
        <v>35400</v>
      </c>
      <c r="B3236" s="33" t="s">
        <v>29</v>
      </c>
      <c r="C3236" s="33" t="s">
        <v>25</v>
      </c>
      <c r="D3236" s="33">
        <v>266</v>
      </c>
    </row>
    <row r="3237" spans="1:4" x14ac:dyDescent="0.15">
      <c r="A3237" s="32">
        <v>35400</v>
      </c>
      <c r="B3237" s="33" t="s">
        <v>26</v>
      </c>
      <c r="C3237" s="33" t="s">
        <v>25</v>
      </c>
      <c r="D3237" s="33">
        <v>407</v>
      </c>
    </row>
    <row r="3238" spans="1:4" x14ac:dyDescent="0.15">
      <c r="A3238" s="32">
        <v>35400</v>
      </c>
      <c r="B3238" s="33" t="s">
        <v>28</v>
      </c>
      <c r="C3238" s="33" t="s">
        <v>25</v>
      </c>
      <c r="D3238" s="33">
        <v>426</v>
      </c>
    </row>
    <row r="3239" spans="1:4" x14ac:dyDescent="0.15">
      <c r="A3239" s="32">
        <v>35400</v>
      </c>
      <c r="B3239" s="33" t="s">
        <v>28</v>
      </c>
      <c r="C3239" s="33" t="s">
        <v>27</v>
      </c>
      <c r="D3239" s="33">
        <v>133</v>
      </c>
    </row>
    <row r="3240" spans="1:4" x14ac:dyDescent="0.15">
      <c r="A3240" s="32">
        <v>35400</v>
      </c>
      <c r="B3240" s="33" t="s">
        <v>31</v>
      </c>
      <c r="C3240" s="33" t="s">
        <v>27</v>
      </c>
      <c r="D3240" s="33">
        <v>96</v>
      </c>
    </row>
    <row r="3241" spans="1:4" x14ac:dyDescent="0.15">
      <c r="A3241" s="32">
        <v>35400</v>
      </c>
      <c r="B3241" s="33" t="s">
        <v>21</v>
      </c>
      <c r="C3241" s="33" t="s">
        <v>27</v>
      </c>
      <c r="D3241" s="33">
        <v>26</v>
      </c>
    </row>
    <row r="3242" spans="1:4" x14ac:dyDescent="0.15">
      <c r="A3242" s="32">
        <v>35400</v>
      </c>
      <c r="B3242" s="33" t="s">
        <v>33</v>
      </c>
      <c r="C3242" s="33" t="s">
        <v>27</v>
      </c>
      <c r="D3242" s="33">
        <v>96</v>
      </c>
    </row>
    <row r="3243" spans="1:4" x14ac:dyDescent="0.15">
      <c r="A3243" s="32">
        <v>35400</v>
      </c>
      <c r="B3243" s="33" t="s">
        <v>31</v>
      </c>
      <c r="C3243" s="33" t="s">
        <v>27</v>
      </c>
      <c r="D3243" s="33">
        <v>68</v>
      </c>
    </row>
    <row r="3244" spans="1:4" x14ac:dyDescent="0.15">
      <c r="A3244" s="32">
        <v>35400</v>
      </c>
      <c r="B3244" s="33" t="s">
        <v>21</v>
      </c>
      <c r="C3244" s="33" t="s">
        <v>27</v>
      </c>
      <c r="D3244" s="33">
        <v>68</v>
      </c>
    </row>
    <row r="3245" spans="1:4" x14ac:dyDescent="0.15">
      <c r="A3245" s="32">
        <v>35400</v>
      </c>
      <c r="B3245" s="33" t="s">
        <v>28</v>
      </c>
      <c r="C3245" s="33" t="s">
        <v>27</v>
      </c>
      <c r="D3245" s="33">
        <v>122</v>
      </c>
    </row>
    <row r="3246" spans="1:4" x14ac:dyDescent="0.15">
      <c r="A3246" s="32">
        <v>35400</v>
      </c>
      <c r="B3246" s="33" t="s">
        <v>21</v>
      </c>
      <c r="C3246" s="33" t="s">
        <v>27</v>
      </c>
      <c r="D3246" s="33">
        <v>59</v>
      </c>
    </row>
    <row r="3247" spans="1:4" x14ac:dyDescent="0.15">
      <c r="A3247" s="32">
        <v>35400</v>
      </c>
      <c r="B3247" s="33" t="s">
        <v>29</v>
      </c>
      <c r="C3247" s="33" t="s">
        <v>27</v>
      </c>
      <c r="D3247" s="33">
        <v>53</v>
      </c>
    </row>
    <row r="3248" spans="1:4" x14ac:dyDescent="0.15">
      <c r="A3248" s="32">
        <v>35400</v>
      </c>
      <c r="B3248" s="33" t="s">
        <v>28</v>
      </c>
      <c r="C3248" s="33" t="s">
        <v>27</v>
      </c>
      <c r="D3248" s="33">
        <v>56</v>
      </c>
    </row>
    <row r="3249" spans="1:4" x14ac:dyDescent="0.15">
      <c r="A3249" s="32">
        <v>35400</v>
      </c>
      <c r="B3249" s="33" t="s">
        <v>29</v>
      </c>
      <c r="C3249" s="33" t="s">
        <v>27</v>
      </c>
      <c r="D3249" s="33">
        <v>410</v>
      </c>
    </row>
    <row r="3250" spans="1:4" x14ac:dyDescent="0.15">
      <c r="A3250" s="32">
        <v>35400</v>
      </c>
      <c r="B3250" s="33" t="s">
        <v>33</v>
      </c>
      <c r="C3250" s="33" t="s">
        <v>27</v>
      </c>
      <c r="D3250" s="33">
        <v>396</v>
      </c>
    </row>
    <row r="3251" spans="1:4" x14ac:dyDescent="0.15">
      <c r="A3251" s="32">
        <v>35400</v>
      </c>
      <c r="B3251" s="33" t="s">
        <v>26</v>
      </c>
      <c r="C3251" s="33" t="s">
        <v>27</v>
      </c>
      <c r="D3251" s="33">
        <v>1257</v>
      </c>
    </row>
    <row r="3252" spans="1:4" x14ac:dyDescent="0.15">
      <c r="A3252" s="32">
        <v>35400</v>
      </c>
      <c r="B3252" s="33" t="s">
        <v>33</v>
      </c>
      <c r="C3252" s="33" t="s">
        <v>27</v>
      </c>
      <c r="D3252" s="33">
        <v>252</v>
      </c>
    </row>
    <row r="3253" spans="1:4" x14ac:dyDescent="0.15">
      <c r="A3253" s="32">
        <v>35400</v>
      </c>
      <c r="B3253" s="33" t="s">
        <v>26</v>
      </c>
      <c r="C3253" s="33" t="s">
        <v>27</v>
      </c>
      <c r="D3253" s="33">
        <v>1316</v>
      </c>
    </row>
    <row r="3254" spans="1:4" x14ac:dyDescent="0.15">
      <c r="A3254" s="32">
        <v>35400</v>
      </c>
      <c r="B3254" s="33" t="s">
        <v>34</v>
      </c>
      <c r="C3254" s="33" t="s">
        <v>27</v>
      </c>
      <c r="D3254" s="33">
        <v>270</v>
      </c>
    </row>
    <row r="3255" spans="1:4" x14ac:dyDescent="0.15">
      <c r="A3255" s="32">
        <v>35400</v>
      </c>
      <c r="B3255" s="33" t="s">
        <v>21</v>
      </c>
      <c r="C3255" s="33" t="s">
        <v>27</v>
      </c>
      <c r="D3255" s="33">
        <v>364</v>
      </c>
    </row>
    <row r="3256" spans="1:4" x14ac:dyDescent="0.15">
      <c r="A3256" s="32">
        <v>35400</v>
      </c>
      <c r="B3256" s="33" t="s">
        <v>31</v>
      </c>
      <c r="C3256" s="33" t="s">
        <v>27</v>
      </c>
      <c r="D3256" s="33">
        <v>2282</v>
      </c>
    </row>
    <row r="3257" spans="1:4" x14ac:dyDescent="0.15">
      <c r="A3257" s="32">
        <v>35400</v>
      </c>
      <c r="B3257" s="33" t="s">
        <v>33</v>
      </c>
      <c r="C3257" s="33" t="s">
        <v>27</v>
      </c>
      <c r="D3257" s="33">
        <v>304</v>
      </c>
    </row>
    <row r="3258" spans="1:4" x14ac:dyDescent="0.15">
      <c r="A3258" s="32">
        <v>35400</v>
      </c>
      <c r="B3258" s="33" t="s">
        <v>29</v>
      </c>
      <c r="C3258" s="33" t="s">
        <v>27</v>
      </c>
      <c r="D3258" s="33">
        <v>326</v>
      </c>
    </row>
    <row r="3259" spans="1:4" x14ac:dyDescent="0.15">
      <c r="A3259" s="32">
        <v>35400</v>
      </c>
      <c r="B3259" s="33" t="s">
        <v>31</v>
      </c>
      <c r="C3259" s="33" t="s">
        <v>27</v>
      </c>
      <c r="D3259" s="33">
        <v>580</v>
      </c>
    </row>
    <row r="3260" spans="1:4" x14ac:dyDescent="0.15">
      <c r="A3260" s="32">
        <v>35400</v>
      </c>
      <c r="B3260" s="33" t="s">
        <v>26</v>
      </c>
      <c r="C3260" s="33" t="s">
        <v>27</v>
      </c>
      <c r="D3260" s="33">
        <v>455</v>
      </c>
    </row>
    <row r="3261" spans="1:4" x14ac:dyDescent="0.15">
      <c r="A3261" s="32">
        <v>35400</v>
      </c>
      <c r="B3261" s="33" t="s">
        <v>26</v>
      </c>
      <c r="C3261" s="33" t="s">
        <v>27</v>
      </c>
      <c r="D3261" s="33">
        <v>699</v>
      </c>
    </row>
    <row r="3262" spans="1:4" x14ac:dyDescent="0.15">
      <c r="A3262" s="32">
        <v>35400</v>
      </c>
      <c r="B3262" s="33" t="s">
        <v>34</v>
      </c>
      <c r="C3262" s="33" t="s">
        <v>27</v>
      </c>
      <c r="D3262" s="33">
        <v>172</v>
      </c>
    </row>
    <row r="3263" spans="1:4" x14ac:dyDescent="0.15">
      <c r="A3263" s="32">
        <v>35400</v>
      </c>
      <c r="B3263" s="33" t="s">
        <v>29</v>
      </c>
      <c r="C3263" s="33" t="s">
        <v>27</v>
      </c>
      <c r="D3263" s="33">
        <v>175</v>
      </c>
    </row>
    <row r="3264" spans="1:4" x14ac:dyDescent="0.15">
      <c r="A3264" s="32">
        <v>35400</v>
      </c>
      <c r="B3264" s="33" t="s">
        <v>28</v>
      </c>
      <c r="C3264" s="33" t="s">
        <v>27</v>
      </c>
      <c r="D3264" s="33">
        <v>175</v>
      </c>
    </row>
    <row r="3265" spans="1:4" x14ac:dyDescent="0.15">
      <c r="A3265" s="32">
        <v>35400</v>
      </c>
      <c r="B3265" s="33" t="s">
        <v>26</v>
      </c>
      <c r="C3265" s="33" t="s">
        <v>30</v>
      </c>
      <c r="D3265" s="33">
        <v>798</v>
      </c>
    </row>
    <row r="3266" spans="1:4" x14ac:dyDescent="0.15">
      <c r="A3266" s="32">
        <v>35400</v>
      </c>
      <c r="B3266" s="33" t="s">
        <v>29</v>
      </c>
      <c r="C3266" s="33" t="s">
        <v>30</v>
      </c>
      <c r="D3266" s="33">
        <v>46</v>
      </c>
    </row>
    <row r="3267" spans="1:4" x14ac:dyDescent="0.15">
      <c r="A3267" s="32">
        <v>35400</v>
      </c>
      <c r="B3267" s="33" t="s">
        <v>26</v>
      </c>
      <c r="C3267" s="33" t="s">
        <v>30</v>
      </c>
      <c r="D3267" s="33">
        <v>46</v>
      </c>
    </row>
    <row r="3268" spans="1:4" x14ac:dyDescent="0.15">
      <c r="A3268" s="32">
        <v>35400</v>
      </c>
      <c r="B3268" s="33" t="s">
        <v>31</v>
      </c>
      <c r="C3268" s="33" t="s">
        <v>30</v>
      </c>
      <c r="D3268" s="33">
        <v>45</v>
      </c>
    </row>
    <row r="3269" spans="1:4" x14ac:dyDescent="0.15">
      <c r="A3269" s="32">
        <v>35400</v>
      </c>
      <c r="B3269" s="33" t="s">
        <v>34</v>
      </c>
      <c r="C3269" s="33" t="s">
        <v>30</v>
      </c>
      <c r="D3269" s="33">
        <v>888</v>
      </c>
    </row>
    <row r="3270" spans="1:4" x14ac:dyDescent="0.15">
      <c r="A3270" s="32">
        <v>35400</v>
      </c>
      <c r="B3270" s="33" t="s">
        <v>26</v>
      </c>
      <c r="C3270" s="33" t="s">
        <v>30</v>
      </c>
      <c r="D3270" s="33">
        <v>55</v>
      </c>
    </row>
    <row r="3271" spans="1:4" x14ac:dyDescent="0.15">
      <c r="A3271" s="32">
        <v>35400</v>
      </c>
      <c r="B3271" s="33" t="s">
        <v>26</v>
      </c>
      <c r="C3271" s="33" t="s">
        <v>30</v>
      </c>
      <c r="D3271" s="33">
        <v>26</v>
      </c>
    </row>
    <row r="3272" spans="1:4" x14ac:dyDescent="0.15">
      <c r="A3272" s="32">
        <v>35400</v>
      </c>
      <c r="B3272" s="33" t="s">
        <v>21</v>
      </c>
      <c r="C3272" s="33" t="s">
        <v>30</v>
      </c>
      <c r="D3272" s="33">
        <v>23</v>
      </c>
    </row>
    <row r="3273" spans="1:4" x14ac:dyDescent="0.15">
      <c r="A3273" s="32">
        <v>35400</v>
      </c>
      <c r="B3273" s="33" t="s">
        <v>33</v>
      </c>
      <c r="C3273" s="33" t="s">
        <v>30</v>
      </c>
      <c r="D3273" s="33">
        <v>1355</v>
      </c>
    </row>
    <row r="3274" spans="1:4" x14ac:dyDescent="0.15">
      <c r="A3274" s="32">
        <v>35400</v>
      </c>
      <c r="B3274" s="33" t="s">
        <v>21</v>
      </c>
      <c r="C3274" s="33" t="s">
        <v>30</v>
      </c>
      <c r="D3274" s="33">
        <v>18</v>
      </c>
    </row>
    <row r="3275" spans="1:4" x14ac:dyDescent="0.15">
      <c r="A3275" s="32">
        <v>35400</v>
      </c>
      <c r="B3275" s="33" t="s">
        <v>31</v>
      </c>
      <c r="C3275" s="33" t="s">
        <v>30</v>
      </c>
      <c r="D3275" s="33">
        <v>26</v>
      </c>
    </row>
    <row r="3276" spans="1:4" x14ac:dyDescent="0.15">
      <c r="A3276" s="32">
        <v>35400</v>
      </c>
      <c r="B3276" s="33" t="s">
        <v>31</v>
      </c>
      <c r="C3276" s="33" t="s">
        <v>30</v>
      </c>
      <c r="D3276" s="33">
        <v>1453</v>
      </c>
    </row>
    <row r="3277" spans="1:4" x14ac:dyDescent="0.15">
      <c r="A3277" s="32">
        <v>35400</v>
      </c>
      <c r="B3277" s="33" t="s">
        <v>33</v>
      </c>
      <c r="C3277" s="33" t="s">
        <v>30</v>
      </c>
      <c r="D3277" s="33">
        <v>921</v>
      </c>
    </row>
    <row r="3278" spans="1:4" x14ac:dyDescent="0.15">
      <c r="A3278" s="32">
        <v>35400</v>
      </c>
      <c r="B3278" s="33" t="s">
        <v>34</v>
      </c>
      <c r="C3278" s="33" t="s">
        <v>30</v>
      </c>
      <c r="D3278" s="33">
        <v>98</v>
      </c>
    </row>
    <row r="3279" spans="1:4" x14ac:dyDescent="0.15">
      <c r="A3279" s="32">
        <v>35400</v>
      </c>
      <c r="B3279" s="33" t="s">
        <v>26</v>
      </c>
      <c r="C3279" s="33" t="s">
        <v>30</v>
      </c>
      <c r="D3279" s="33">
        <v>113</v>
      </c>
    </row>
    <row r="3280" spans="1:4" x14ac:dyDescent="0.15">
      <c r="A3280" s="32">
        <v>35400</v>
      </c>
      <c r="B3280" s="33" t="s">
        <v>33</v>
      </c>
      <c r="C3280" s="33" t="s">
        <v>30</v>
      </c>
      <c r="D3280" s="33">
        <v>68</v>
      </c>
    </row>
    <row r="3281" spans="1:4" x14ac:dyDescent="0.15">
      <c r="A3281" s="32">
        <v>35400</v>
      </c>
      <c r="B3281" s="33" t="s">
        <v>29</v>
      </c>
      <c r="C3281" s="33" t="s">
        <v>30</v>
      </c>
      <c r="D3281" s="33">
        <v>248</v>
      </c>
    </row>
    <row r="3282" spans="1:4" x14ac:dyDescent="0.15">
      <c r="A3282" s="32">
        <v>35400</v>
      </c>
      <c r="B3282" s="33" t="s">
        <v>31</v>
      </c>
      <c r="C3282" s="33" t="s">
        <v>30</v>
      </c>
      <c r="D3282" s="33">
        <v>228</v>
      </c>
    </row>
    <row r="3283" spans="1:4" x14ac:dyDescent="0.15">
      <c r="A3283" s="32">
        <v>35400</v>
      </c>
      <c r="B3283" s="33" t="s">
        <v>31</v>
      </c>
      <c r="C3283" s="33" t="s">
        <v>30</v>
      </c>
      <c r="D3283" s="33">
        <v>124</v>
      </c>
    </row>
    <row r="3284" spans="1:4" x14ac:dyDescent="0.15">
      <c r="A3284" s="32">
        <v>35400</v>
      </c>
      <c r="B3284" s="33" t="s">
        <v>33</v>
      </c>
      <c r="C3284" s="33" t="s">
        <v>30</v>
      </c>
      <c r="D3284" s="33">
        <v>126</v>
      </c>
    </row>
    <row r="3285" spans="1:4" x14ac:dyDescent="0.15">
      <c r="A3285" s="32">
        <v>35400</v>
      </c>
      <c r="B3285" s="33" t="s">
        <v>28</v>
      </c>
      <c r="C3285" s="33" t="s">
        <v>30</v>
      </c>
      <c r="D3285" s="33">
        <v>203</v>
      </c>
    </row>
    <row r="3286" spans="1:4" x14ac:dyDescent="0.15">
      <c r="A3286" s="32">
        <v>35400</v>
      </c>
      <c r="B3286" s="33" t="s">
        <v>28</v>
      </c>
      <c r="C3286" s="33" t="s">
        <v>30</v>
      </c>
      <c r="D3286" s="33">
        <v>135</v>
      </c>
    </row>
    <row r="3287" spans="1:4" x14ac:dyDescent="0.15">
      <c r="A3287" s="32">
        <v>35400</v>
      </c>
      <c r="B3287" s="33" t="s">
        <v>34</v>
      </c>
      <c r="C3287" s="33" t="s">
        <v>30</v>
      </c>
      <c r="D3287" s="33">
        <v>138</v>
      </c>
    </row>
    <row r="3288" spans="1:4" x14ac:dyDescent="0.15">
      <c r="A3288" s="32">
        <v>35400</v>
      </c>
      <c r="B3288" s="33" t="s">
        <v>21</v>
      </c>
      <c r="C3288" s="33" t="s">
        <v>30</v>
      </c>
      <c r="D3288" s="33">
        <v>116</v>
      </c>
    </row>
    <row r="3289" spans="1:4" x14ac:dyDescent="0.15">
      <c r="A3289" s="32">
        <v>35400</v>
      </c>
      <c r="B3289" s="33" t="s">
        <v>29</v>
      </c>
      <c r="C3289" s="33" t="s">
        <v>30</v>
      </c>
      <c r="D3289" s="33">
        <v>281</v>
      </c>
    </row>
    <row r="3290" spans="1:4" x14ac:dyDescent="0.15">
      <c r="A3290" s="32">
        <v>35400</v>
      </c>
      <c r="B3290" s="33" t="s">
        <v>21</v>
      </c>
      <c r="C3290" s="33" t="s">
        <v>30</v>
      </c>
      <c r="D3290" s="33">
        <v>55</v>
      </c>
    </row>
    <row r="3291" spans="1:4" x14ac:dyDescent="0.15">
      <c r="A3291" s="32">
        <v>35400</v>
      </c>
      <c r="B3291" s="33" t="s">
        <v>21</v>
      </c>
      <c r="C3291" s="33" t="s">
        <v>30</v>
      </c>
      <c r="D3291" s="33">
        <v>11</v>
      </c>
    </row>
    <row r="3292" spans="1:4" x14ac:dyDescent="0.15">
      <c r="A3292" s="32">
        <v>35400</v>
      </c>
      <c r="B3292" s="33" t="s">
        <v>29</v>
      </c>
      <c r="C3292" s="33" t="s">
        <v>30</v>
      </c>
      <c r="D3292" s="33">
        <v>61</v>
      </c>
    </row>
    <row r="3293" spans="1:4" x14ac:dyDescent="0.15">
      <c r="A3293" s="32">
        <v>35400</v>
      </c>
      <c r="B3293" s="33" t="s">
        <v>26</v>
      </c>
      <c r="C3293" s="33" t="s">
        <v>30</v>
      </c>
      <c r="D3293" s="33">
        <v>151</v>
      </c>
    </row>
    <row r="3294" spans="1:4" x14ac:dyDescent="0.15">
      <c r="A3294" s="32">
        <v>35400</v>
      </c>
      <c r="B3294" s="33" t="s">
        <v>28</v>
      </c>
      <c r="C3294" s="33" t="s">
        <v>30</v>
      </c>
      <c r="D3294" s="33">
        <v>96</v>
      </c>
    </row>
    <row r="3295" spans="1:4" x14ac:dyDescent="0.15">
      <c r="A3295" s="32">
        <v>35400</v>
      </c>
      <c r="B3295" s="33" t="s">
        <v>29</v>
      </c>
      <c r="C3295" s="33" t="s">
        <v>30</v>
      </c>
      <c r="D3295" s="33">
        <v>72</v>
      </c>
    </row>
    <row r="3296" spans="1:4" x14ac:dyDescent="0.15">
      <c r="A3296" s="32">
        <v>35400</v>
      </c>
      <c r="B3296" s="33" t="s">
        <v>21</v>
      </c>
      <c r="C3296" s="33" t="s">
        <v>30</v>
      </c>
      <c r="D3296" s="33">
        <v>79</v>
      </c>
    </row>
    <row r="3297" spans="1:4" x14ac:dyDescent="0.15">
      <c r="A3297" s="32">
        <v>35400</v>
      </c>
      <c r="B3297" s="33" t="s">
        <v>29</v>
      </c>
      <c r="C3297" s="33" t="s">
        <v>30</v>
      </c>
      <c r="D3297" s="33">
        <v>270</v>
      </c>
    </row>
    <row r="3298" spans="1:4" x14ac:dyDescent="0.15">
      <c r="A3298" s="32">
        <v>35400</v>
      </c>
      <c r="B3298" s="33" t="s">
        <v>28</v>
      </c>
      <c r="C3298" s="33" t="s">
        <v>30</v>
      </c>
      <c r="D3298" s="33">
        <v>79</v>
      </c>
    </row>
    <row r="3299" spans="1:4" x14ac:dyDescent="0.15">
      <c r="A3299" s="32">
        <v>35400</v>
      </c>
      <c r="B3299" s="33" t="s">
        <v>33</v>
      </c>
      <c r="C3299" s="33" t="s">
        <v>30</v>
      </c>
      <c r="D3299" s="33">
        <v>94</v>
      </c>
    </row>
    <row r="3300" spans="1:4" x14ac:dyDescent="0.15">
      <c r="A3300" s="32">
        <v>35400</v>
      </c>
      <c r="B3300" s="33" t="s">
        <v>31</v>
      </c>
      <c r="C3300" s="33" t="s">
        <v>30</v>
      </c>
      <c r="D3300" s="33">
        <v>293</v>
      </c>
    </row>
  </sheetData>
  <phoneticPr fontId="11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Drop Down 1">
              <controlPr defaultSize="0" autoLine="0" autoPict="0">
                <anchor moveWithCells="1">
                  <from>
                    <xdr:col>6</xdr:col>
                    <xdr:colOff>295275</xdr:colOff>
                    <xdr:row>16</xdr:row>
                    <xdr:rowOff>114300</xdr:rowOff>
                  </from>
                  <to>
                    <xdr:col>7</xdr:col>
                    <xdr:colOff>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5" name="List Box 2">
              <controlPr defaultSize="0" autoLine="0" autoPict="0">
                <anchor moveWithCells="1">
                  <from>
                    <xdr:col>7</xdr:col>
                    <xdr:colOff>104775</xdr:colOff>
                    <xdr:row>15</xdr:row>
                    <xdr:rowOff>142875</xdr:rowOff>
                  </from>
                  <to>
                    <xdr:col>8</xdr:col>
                    <xdr:colOff>0</xdr:colOff>
                    <xdr:row>18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J29" sqref="J29"/>
    </sheetView>
  </sheetViews>
  <sheetFormatPr defaultColWidth="8.875" defaultRowHeight="14.25" x14ac:dyDescent="0.15"/>
  <cols>
    <col min="1" max="4" width="8.875" style="1"/>
    <col min="5" max="5" width="14.625" style="1" customWidth="1"/>
    <col min="6" max="6" width="17.5" style="1" customWidth="1"/>
    <col min="7" max="16384" width="8.875" style="1"/>
  </cols>
  <sheetData>
    <row r="1" spans="1:6" x14ac:dyDescent="0.15">
      <c r="A1" s="4" t="s">
        <v>160</v>
      </c>
      <c r="B1" s="4" t="s">
        <v>159</v>
      </c>
      <c r="C1" s="57" t="s">
        <v>158</v>
      </c>
      <c r="E1" s="4" t="s">
        <v>157</v>
      </c>
      <c r="F1" s="2">
        <v>0.3</v>
      </c>
    </row>
    <row r="2" spans="1:6" x14ac:dyDescent="0.15">
      <c r="A2" s="7">
        <v>1</v>
      </c>
      <c r="B2" s="17">
        <v>7.78</v>
      </c>
      <c r="C2" s="56"/>
      <c r="E2" s="4" t="s">
        <v>156</v>
      </c>
      <c r="F2" s="3">
        <f>SUMXMY2(C2:C13,B2:B13)/COUNT(C2:C13)</f>
        <v>5.2712667795663082</v>
      </c>
    </row>
    <row r="3" spans="1:6" x14ac:dyDescent="0.15">
      <c r="A3" s="7">
        <v>2</v>
      </c>
      <c r="B3" s="17">
        <v>7.78</v>
      </c>
      <c r="C3" s="54">
        <f t="shared" ref="C3:C13" si="0">B2*$F$1+(1-$F$1)*C2</f>
        <v>2.3340000000000001</v>
      </c>
    </row>
    <row r="4" spans="1:6" x14ac:dyDescent="0.15">
      <c r="A4" s="7">
        <v>3</v>
      </c>
      <c r="B4" s="17">
        <v>7.79</v>
      </c>
      <c r="C4" s="54">
        <f t="shared" si="0"/>
        <v>3.9678</v>
      </c>
      <c r="E4" s="4" t="s">
        <v>155</v>
      </c>
      <c r="F4" s="5">
        <f>INDEX(E8:E13,MATCH(MIN(F8:F13),F8:F13,0))</f>
        <v>0.6</v>
      </c>
    </row>
    <row r="5" spans="1:6" x14ac:dyDescent="0.15">
      <c r="A5" s="7">
        <v>4</v>
      </c>
      <c r="B5" s="17">
        <v>7.76</v>
      </c>
      <c r="C5" s="54">
        <f t="shared" si="0"/>
        <v>5.1144599999999993</v>
      </c>
      <c r="E5" s="4" t="s">
        <v>154</v>
      </c>
      <c r="F5" s="55">
        <f>B13*F4+(1-F4)*C13</f>
        <v>7.6866666482498403</v>
      </c>
    </row>
    <row r="6" spans="1:6" x14ac:dyDescent="0.15">
      <c r="A6" s="7">
        <v>5</v>
      </c>
      <c r="B6" s="17">
        <v>7.77</v>
      </c>
      <c r="C6" s="54">
        <f t="shared" si="0"/>
        <v>5.9081219999999988</v>
      </c>
    </row>
    <row r="7" spans="1:6" x14ac:dyDescent="0.15">
      <c r="A7" s="7">
        <v>6</v>
      </c>
      <c r="B7" s="17">
        <v>7.75</v>
      </c>
      <c r="C7" s="54">
        <f t="shared" si="0"/>
        <v>6.4666853999999994</v>
      </c>
      <c r="E7" s="6"/>
      <c r="F7" s="16">
        <f>F2</f>
        <v>5.2712667795663082</v>
      </c>
    </row>
    <row r="8" spans="1:6" x14ac:dyDescent="0.15">
      <c r="A8" s="7">
        <v>7</v>
      </c>
      <c r="B8" s="17">
        <v>7.76</v>
      </c>
      <c r="C8" s="54">
        <f t="shared" si="0"/>
        <v>6.8516797799999996</v>
      </c>
      <c r="E8" s="9">
        <v>0.1</v>
      </c>
      <c r="F8" s="13">
        <f t="dataTable" ref="F8:F13" dt2D="0" dtr="0" r1="F1"/>
        <v>21.060141986068746</v>
      </c>
    </row>
    <row r="9" spans="1:6" x14ac:dyDescent="0.15">
      <c r="A9" s="7">
        <v>8</v>
      </c>
      <c r="B9" s="17">
        <v>7.78</v>
      </c>
      <c r="C9" s="54">
        <f t="shared" si="0"/>
        <v>7.124175846</v>
      </c>
      <c r="E9" s="10">
        <v>0.2</v>
      </c>
      <c r="F9" s="14">
        <v>9.6767769736424309</v>
      </c>
    </row>
    <row r="10" spans="1:6" x14ac:dyDescent="0.15">
      <c r="A10" s="7">
        <v>9</v>
      </c>
      <c r="B10" s="17">
        <v>7.77</v>
      </c>
      <c r="C10" s="54">
        <f t="shared" si="0"/>
        <v>7.3209230921999993</v>
      </c>
      <c r="E10" s="11">
        <v>0.3</v>
      </c>
      <c r="F10" s="14">
        <v>5.2712667795663082</v>
      </c>
    </row>
    <row r="11" spans="1:6" x14ac:dyDescent="0.15">
      <c r="A11" s="7">
        <v>10</v>
      </c>
      <c r="B11" s="17">
        <v>7.74</v>
      </c>
      <c r="C11" s="54">
        <f t="shared" si="0"/>
        <v>7.4556461645399992</v>
      </c>
      <c r="E11" s="10">
        <v>0.4</v>
      </c>
      <c r="F11" s="14">
        <v>3.0898646982242508</v>
      </c>
    </row>
    <row r="12" spans="1:6" x14ac:dyDescent="0.15">
      <c r="A12" s="7">
        <v>11</v>
      </c>
      <c r="B12" s="17">
        <v>7.76</v>
      </c>
      <c r="C12" s="54">
        <f t="shared" si="0"/>
        <v>7.5409523151779991</v>
      </c>
      <c r="E12" s="11">
        <v>0.5</v>
      </c>
      <c r="F12" s="14">
        <v>1.8325187743880533</v>
      </c>
    </row>
    <row r="13" spans="1:6" x14ac:dyDescent="0.15">
      <c r="A13" s="8">
        <v>12</v>
      </c>
      <c r="B13" s="18">
        <v>7.74</v>
      </c>
      <c r="C13" s="53">
        <f t="shared" si="0"/>
        <v>7.6066666206245994</v>
      </c>
      <c r="E13" s="12">
        <v>0.6</v>
      </c>
      <c r="F13" s="15">
        <v>1.0480246643516464</v>
      </c>
    </row>
    <row r="26" spans="1:1" x14ac:dyDescent="0.15">
      <c r="A26" s="6"/>
    </row>
  </sheetData>
  <phoneticPr fontId="1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H20"/>
  <sheetViews>
    <sheetView workbookViewId="0">
      <selection activeCell="J11" sqref="J11"/>
    </sheetView>
  </sheetViews>
  <sheetFormatPr defaultColWidth="8.875" defaultRowHeight="13.5" x14ac:dyDescent="0.15"/>
  <cols>
    <col min="1" max="1" width="3.5" style="34" customWidth="1"/>
    <col min="2" max="2" width="16.25" style="34" bestFit="1" customWidth="1"/>
    <col min="3" max="3" width="10.25" style="34" bestFit="1" customWidth="1"/>
    <col min="4" max="4" width="3.5" style="34" customWidth="1"/>
    <col min="5" max="16384" width="8.875" style="34"/>
  </cols>
  <sheetData>
    <row r="2" spans="2:8" x14ac:dyDescent="0.15">
      <c r="B2" s="38" t="s">
        <v>50</v>
      </c>
      <c r="C2" s="44">
        <v>80000</v>
      </c>
      <c r="E2" s="40"/>
      <c r="F2" s="46" t="s">
        <v>38</v>
      </c>
      <c r="G2" s="46" t="s">
        <v>39</v>
      </c>
      <c r="H2" s="46" t="s">
        <v>37</v>
      </c>
    </row>
    <row r="3" spans="2:8" x14ac:dyDescent="0.15">
      <c r="B3" s="38" t="s">
        <v>49</v>
      </c>
      <c r="C3" s="44">
        <v>2</v>
      </c>
      <c r="E3" s="40"/>
      <c r="F3" s="41">
        <f>C14</f>
        <v>3000000</v>
      </c>
      <c r="G3" s="41">
        <f>C13</f>
        <v>2480000</v>
      </c>
      <c r="H3" s="41">
        <f>C15</f>
        <v>520000</v>
      </c>
    </row>
    <row r="4" spans="2:8" x14ac:dyDescent="0.15">
      <c r="B4" s="38" t="s">
        <v>48</v>
      </c>
      <c r="C4" s="44">
        <v>3</v>
      </c>
      <c r="E4" s="41">
        <v>0</v>
      </c>
      <c r="F4" s="41">
        <f t="dataTable" ref="F4:H5" dt2D="0" dtr="0" r1="C11"/>
        <v>0</v>
      </c>
      <c r="G4" s="41">
        <v>80000</v>
      </c>
      <c r="H4" s="41">
        <v>-80000</v>
      </c>
    </row>
    <row r="5" spans="2:8" x14ac:dyDescent="0.15">
      <c r="B5" s="38" t="s">
        <v>47</v>
      </c>
      <c r="C5" s="44">
        <v>6</v>
      </c>
      <c r="E5" s="41">
        <v>10000</v>
      </c>
      <c r="F5" s="41">
        <v>6000000</v>
      </c>
      <c r="G5" s="41">
        <v>4880000</v>
      </c>
      <c r="H5" s="41">
        <v>1120000</v>
      </c>
    </row>
    <row r="6" spans="2:8" x14ac:dyDescent="0.15">
      <c r="B6" s="38" t="s">
        <v>46</v>
      </c>
      <c r="C6" s="44">
        <v>60</v>
      </c>
      <c r="E6" s="40"/>
      <c r="F6" s="40"/>
      <c r="G6" s="40"/>
      <c r="H6" s="40"/>
    </row>
    <row r="7" spans="2:8" x14ac:dyDescent="0.15">
      <c r="B7" s="38" t="s">
        <v>45</v>
      </c>
      <c r="C7" s="44">
        <v>20</v>
      </c>
      <c r="E7" s="45" t="s">
        <v>44</v>
      </c>
      <c r="F7" s="40"/>
      <c r="G7" s="40"/>
      <c r="H7" s="40"/>
    </row>
    <row r="8" spans="2:8" x14ac:dyDescent="0.15">
      <c r="B8" s="38" t="s">
        <v>43</v>
      </c>
      <c r="C8" s="44">
        <v>50</v>
      </c>
      <c r="E8" s="42">
        <f>$C$17</f>
        <v>666.66666666666663</v>
      </c>
      <c r="F8" s="41">
        <v>-1000000</v>
      </c>
      <c r="G8" s="40"/>
      <c r="H8" s="40"/>
    </row>
    <row r="9" spans="2:8" x14ac:dyDescent="0.15">
      <c r="B9" s="38" t="s">
        <v>42</v>
      </c>
      <c r="C9" s="44">
        <v>600</v>
      </c>
      <c r="E9" s="42">
        <f>$C$17</f>
        <v>666.66666666666663</v>
      </c>
      <c r="F9" s="41">
        <v>0</v>
      </c>
      <c r="G9" s="40"/>
      <c r="H9" s="40"/>
    </row>
    <row r="10" spans="2:8" x14ac:dyDescent="0.15">
      <c r="B10" s="35"/>
      <c r="C10" s="35"/>
      <c r="E10" s="42">
        <f>$C$17</f>
        <v>666.66666666666663</v>
      </c>
      <c r="F10" s="41">
        <f>C18</f>
        <v>400000</v>
      </c>
      <c r="G10" s="40"/>
      <c r="H10" s="40"/>
    </row>
    <row r="11" spans="2:8" x14ac:dyDescent="0.15">
      <c r="B11" s="38" t="s">
        <v>41</v>
      </c>
      <c r="C11" s="43">
        <v>5000</v>
      </c>
      <c r="E11" s="42">
        <f>$C$17</f>
        <v>666.66666666666663</v>
      </c>
      <c r="F11" s="41">
        <v>6000000</v>
      </c>
      <c r="G11" s="40"/>
      <c r="H11" s="40"/>
    </row>
    <row r="12" spans="2:8" x14ac:dyDescent="0.15">
      <c r="B12" s="38" t="s">
        <v>40</v>
      </c>
      <c r="C12" s="37">
        <f t="array" ref="C12">SUM(C3:C5*C6:C8)</f>
        <v>480</v>
      </c>
      <c r="E12" s="40"/>
      <c r="F12" s="40"/>
      <c r="G12" s="40"/>
      <c r="H12" s="40"/>
    </row>
    <row r="13" spans="2:8" x14ac:dyDescent="0.15">
      <c r="B13" s="38" t="s">
        <v>39</v>
      </c>
      <c r="C13" s="37">
        <f>C2+C12*C11</f>
        <v>2480000</v>
      </c>
    </row>
    <row r="14" spans="2:8" x14ac:dyDescent="0.15">
      <c r="B14" s="38" t="s">
        <v>38</v>
      </c>
      <c r="C14" s="37">
        <f>C9*C11</f>
        <v>3000000</v>
      </c>
    </row>
    <row r="15" spans="2:8" x14ac:dyDescent="0.15">
      <c r="B15" s="38" t="s">
        <v>37</v>
      </c>
      <c r="C15" s="37">
        <f>C14-C13</f>
        <v>520000</v>
      </c>
    </row>
    <row r="16" spans="2:8" x14ac:dyDescent="0.15">
      <c r="B16" s="35"/>
      <c r="C16" s="35"/>
    </row>
    <row r="17" spans="2:3" x14ac:dyDescent="0.15">
      <c r="B17" s="38" t="s">
        <v>36</v>
      </c>
      <c r="C17" s="39">
        <f>C2/(C9-C12)</f>
        <v>666.66666666666663</v>
      </c>
    </row>
    <row r="18" spans="2:3" x14ac:dyDescent="0.15">
      <c r="B18" s="38" t="s">
        <v>35</v>
      </c>
      <c r="C18" s="37">
        <f>C17*C9</f>
        <v>400000</v>
      </c>
    </row>
    <row r="19" spans="2:3" x14ac:dyDescent="0.15">
      <c r="B19" s="35"/>
      <c r="C19" s="35"/>
    </row>
    <row r="20" spans="2:3" x14ac:dyDescent="0.15">
      <c r="B20" s="36" t="str">
        <f>"销售价格="&amp;C9&amp;"元"</f>
        <v>销售价格=600元</v>
      </c>
      <c r="C20" s="35"/>
    </row>
  </sheetData>
  <phoneticPr fontId="1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Spinner 1">
              <controlPr defaultSize="0" autoPict="0">
                <anchor moveWithCells="1" sizeWithCells="1">
                  <from>
                    <xdr:col>6</xdr:col>
                    <xdr:colOff>76200</xdr:colOff>
                    <xdr:row>22</xdr:row>
                    <xdr:rowOff>161925</xdr:rowOff>
                  </from>
                  <to>
                    <xdr:col>6</xdr:col>
                    <xdr:colOff>295275</xdr:colOff>
                    <xdr:row>24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2"/>
  <sheetViews>
    <sheetView topLeftCell="A10" workbookViewId="0">
      <selection activeCell="I27" sqref="I27"/>
    </sheetView>
  </sheetViews>
  <sheetFormatPr defaultColWidth="10" defaultRowHeight="13.5" x14ac:dyDescent="0.15"/>
  <cols>
    <col min="1" max="1" width="18.375" style="21" customWidth="1"/>
    <col min="2" max="16384" width="10" style="21"/>
  </cols>
  <sheetData>
    <row r="1" spans="1:7" x14ac:dyDescent="0.15">
      <c r="A1" s="20" t="s">
        <v>0</v>
      </c>
      <c r="B1" s="21">
        <v>36000</v>
      </c>
      <c r="E1" s="21">
        <f>B11</f>
        <v>810</v>
      </c>
    </row>
    <row r="2" spans="1:7" x14ac:dyDescent="0.15">
      <c r="A2" s="21" t="s">
        <v>231</v>
      </c>
      <c r="B2" s="21">
        <v>360</v>
      </c>
      <c r="D2" s="21">
        <v>0</v>
      </c>
      <c r="E2" s="21">
        <f t="dataTable" ref="E2:E102" dt2D="0" dtr="0" r1="B8"/>
        <v>2010</v>
      </c>
      <c r="F2" s="21">
        <f t="shared" ref="F2:F33" si="0">IF($B$8=D2,E2,-10)</f>
        <v>-10</v>
      </c>
      <c r="G2" s="21">
        <f t="shared" ref="G2:G33" si="1">$B$5/2</f>
        <v>1000</v>
      </c>
    </row>
    <row r="3" spans="1:7" x14ac:dyDescent="0.15">
      <c r="A3" s="20" t="s">
        <v>230</v>
      </c>
      <c r="B3" s="21">
        <f>B1/B2</f>
        <v>100</v>
      </c>
      <c r="D3" s="21">
        <v>1</v>
      </c>
      <c r="E3" s="21">
        <v>1910</v>
      </c>
      <c r="F3" s="21">
        <f t="shared" si="0"/>
        <v>-10</v>
      </c>
      <c r="G3" s="21">
        <f t="shared" si="1"/>
        <v>1000</v>
      </c>
    </row>
    <row r="4" spans="1:7" x14ac:dyDescent="0.15">
      <c r="A4" s="22" t="s">
        <v>229</v>
      </c>
      <c r="B4" s="21">
        <v>20</v>
      </c>
      <c r="D4" s="21">
        <v>2</v>
      </c>
      <c r="E4" s="21">
        <v>1810</v>
      </c>
      <c r="F4" s="21">
        <f t="shared" si="0"/>
        <v>-10</v>
      </c>
      <c r="G4" s="21">
        <f t="shared" si="1"/>
        <v>1000</v>
      </c>
    </row>
    <row r="5" spans="1:7" x14ac:dyDescent="0.15">
      <c r="A5" s="22" t="s">
        <v>1</v>
      </c>
      <c r="B5" s="21">
        <f>B3*B4</f>
        <v>2000</v>
      </c>
      <c r="D5" s="21">
        <v>3</v>
      </c>
      <c r="E5" s="21">
        <v>1710</v>
      </c>
      <c r="F5" s="21">
        <f t="shared" si="0"/>
        <v>-10</v>
      </c>
      <c r="G5" s="21">
        <f t="shared" si="1"/>
        <v>1000</v>
      </c>
    </row>
    <row r="6" spans="1:7" x14ac:dyDescent="0.15">
      <c r="D6" s="21">
        <v>4</v>
      </c>
      <c r="E6" s="21">
        <v>1610</v>
      </c>
      <c r="F6" s="21">
        <f t="shared" si="0"/>
        <v>-10</v>
      </c>
      <c r="G6" s="21">
        <f t="shared" si="1"/>
        <v>1000</v>
      </c>
    </row>
    <row r="7" spans="1:7" x14ac:dyDescent="0.15">
      <c r="A7" s="22" t="s">
        <v>228</v>
      </c>
      <c r="B7" s="21">
        <v>10</v>
      </c>
      <c r="D7" s="21">
        <v>5</v>
      </c>
      <c r="E7" s="21">
        <v>1510</v>
      </c>
      <c r="F7" s="21">
        <f t="shared" si="0"/>
        <v>-10</v>
      </c>
      <c r="G7" s="21">
        <f t="shared" si="1"/>
        <v>1000</v>
      </c>
    </row>
    <row r="8" spans="1:7" x14ac:dyDescent="0.15">
      <c r="A8" s="22" t="s">
        <v>227</v>
      </c>
      <c r="B8" s="21">
        <v>12</v>
      </c>
      <c r="D8" s="21">
        <v>6</v>
      </c>
      <c r="E8" s="21">
        <v>1410</v>
      </c>
      <c r="F8" s="21">
        <f t="shared" si="0"/>
        <v>-10</v>
      </c>
      <c r="G8" s="21">
        <f t="shared" si="1"/>
        <v>1000</v>
      </c>
    </row>
    <row r="9" spans="1:7" x14ac:dyDescent="0.15">
      <c r="A9" s="22" t="s">
        <v>226</v>
      </c>
      <c r="B9" s="21">
        <f>INT(B8/B4)</f>
        <v>0</v>
      </c>
      <c r="D9" s="21">
        <v>7</v>
      </c>
      <c r="E9" s="21">
        <v>1310</v>
      </c>
      <c r="F9" s="21">
        <f t="shared" si="0"/>
        <v>-10</v>
      </c>
      <c r="G9" s="21">
        <f t="shared" si="1"/>
        <v>1000</v>
      </c>
    </row>
    <row r="10" spans="1:7" x14ac:dyDescent="0.15">
      <c r="A10" s="22" t="s">
        <v>225</v>
      </c>
      <c r="B10" s="21">
        <f>B8-B9*B4</f>
        <v>12</v>
      </c>
      <c r="D10" s="21">
        <v>8</v>
      </c>
      <c r="E10" s="21">
        <v>1210</v>
      </c>
      <c r="F10" s="21">
        <f t="shared" si="0"/>
        <v>-10</v>
      </c>
      <c r="G10" s="21">
        <f t="shared" si="1"/>
        <v>1000</v>
      </c>
    </row>
    <row r="11" spans="1:7" x14ac:dyDescent="0.15">
      <c r="A11" s="22" t="s">
        <v>224</v>
      </c>
      <c r="B11" s="21">
        <f>B7+B5-B10*B3</f>
        <v>810</v>
      </c>
      <c r="D11" s="21">
        <v>9</v>
      </c>
      <c r="E11" s="21">
        <v>1110</v>
      </c>
      <c r="F11" s="21">
        <f t="shared" si="0"/>
        <v>-10</v>
      </c>
      <c r="G11" s="21">
        <f t="shared" si="1"/>
        <v>1000</v>
      </c>
    </row>
    <row r="12" spans="1:7" x14ac:dyDescent="0.15">
      <c r="D12" s="21">
        <v>10</v>
      </c>
      <c r="E12" s="21">
        <v>1010</v>
      </c>
      <c r="F12" s="21">
        <f t="shared" si="0"/>
        <v>-10</v>
      </c>
      <c r="G12" s="21">
        <f t="shared" si="1"/>
        <v>1000</v>
      </c>
    </row>
    <row r="13" spans="1:7" x14ac:dyDescent="0.15">
      <c r="D13" s="21">
        <v>11</v>
      </c>
      <c r="E13" s="21">
        <v>910</v>
      </c>
      <c r="F13" s="21">
        <f t="shared" si="0"/>
        <v>-10</v>
      </c>
      <c r="G13" s="21">
        <f t="shared" si="1"/>
        <v>1000</v>
      </c>
    </row>
    <row r="14" spans="1:7" x14ac:dyDescent="0.15">
      <c r="A14" s="21" t="str">
        <f>A4&amp;"="&amp;B4</f>
        <v>订货周期=20</v>
      </c>
      <c r="D14" s="21">
        <v>12</v>
      </c>
      <c r="E14" s="21">
        <v>810</v>
      </c>
      <c r="F14" s="21">
        <f t="shared" si="0"/>
        <v>810</v>
      </c>
      <c r="G14" s="21">
        <f t="shared" si="1"/>
        <v>1000</v>
      </c>
    </row>
    <row r="15" spans="1:7" x14ac:dyDescent="0.15">
      <c r="A15" s="21" t="str">
        <f>A8&amp;"="&amp;B8</f>
        <v>第N天=12</v>
      </c>
      <c r="D15" s="21">
        <v>13</v>
      </c>
      <c r="E15" s="21">
        <v>710</v>
      </c>
      <c r="F15" s="21">
        <f t="shared" si="0"/>
        <v>-10</v>
      </c>
      <c r="G15" s="21">
        <f t="shared" si="1"/>
        <v>1000</v>
      </c>
    </row>
    <row r="16" spans="1:7" x14ac:dyDescent="0.15">
      <c r="D16" s="21">
        <v>14</v>
      </c>
      <c r="E16" s="21">
        <v>610</v>
      </c>
      <c r="F16" s="21">
        <f t="shared" si="0"/>
        <v>-10</v>
      </c>
      <c r="G16" s="21">
        <f t="shared" si="1"/>
        <v>1000</v>
      </c>
    </row>
    <row r="17" spans="4:7" x14ac:dyDescent="0.15">
      <c r="D17" s="21">
        <v>15</v>
      </c>
      <c r="E17" s="21">
        <v>510</v>
      </c>
      <c r="F17" s="21">
        <f t="shared" si="0"/>
        <v>-10</v>
      </c>
      <c r="G17" s="21">
        <f t="shared" si="1"/>
        <v>1000</v>
      </c>
    </row>
    <row r="18" spans="4:7" x14ac:dyDescent="0.15">
      <c r="D18" s="21">
        <v>16</v>
      </c>
      <c r="E18" s="21">
        <v>410</v>
      </c>
      <c r="F18" s="21">
        <f t="shared" si="0"/>
        <v>-10</v>
      </c>
      <c r="G18" s="21">
        <f t="shared" si="1"/>
        <v>1000</v>
      </c>
    </row>
    <row r="19" spans="4:7" x14ac:dyDescent="0.15">
      <c r="D19" s="21">
        <v>17</v>
      </c>
      <c r="E19" s="21">
        <v>310</v>
      </c>
      <c r="F19" s="21">
        <f t="shared" si="0"/>
        <v>-10</v>
      </c>
      <c r="G19" s="21">
        <f t="shared" si="1"/>
        <v>1000</v>
      </c>
    </row>
    <row r="20" spans="4:7" x14ac:dyDescent="0.15">
      <c r="D20" s="21">
        <v>18</v>
      </c>
      <c r="E20" s="21">
        <v>210</v>
      </c>
      <c r="F20" s="21">
        <f t="shared" si="0"/>
        <v>-10</v>
      </c>
      <c r="G20" s="21">
        <f t="shared" si="1"/>
        <v>1000</v>
      </c>
    </row>
    <row r="21" spans="4:7" x14ac:dyDescent="0.15">
      <c r="D21" s="21">
        <v>19</v>
      </c>
      <c r="E21" s="21">
        <v>110</v>
      </c>
      <c r="F21" s="21">
        <f t="shared" si="0"/>
        <v>-10</v>
      </c>
      <c r="G21" s="21">
        <f t="shared" si="1"/>
        <v>1000</v>
      </c>
    </row>
    <row r="22" spans="4:7" x14ac:dyDescent="0.15">
      <c r="D22" s="21">
        <v>20</v>
      </c>
      <c r="E22" s="21">
        <v>2010</v>
      </c>
      <c r="F22" s="21">
        <f t="shared" si="0"/>
        <v>-10</v>
      </c>
      <c r="G22" s="21">
        <f t="shared" si="1"/>
        <v>1000</v>
      </c>
    </row>
    <row r="23" spans="4:7" x14ac:dyDescent="0.15">
      <c r="D23" s="21">
        <v>21</v>
      </c>
      <c r="E23" s="21">
        <v>1910</v>
      </c>
      <c r="F23" s="21">
        <f t="shared" si="0"/>
        <v>-10</v>
      </c>
      <c r="G23" s="21">
        <f t="shared" si="1"/>
        <v>1000</v>
      </c>
    </row>
    <row r="24" spans="4:7" x14ac:dyDescent="0.15">
      <c r="D24" s="21">
        <v>22</v>
      </c>
      <c r="E24" s="21">
        <v>1810</v>
      </c>
      <c r="F24" s="21">
        <f t="shared" si="0"/>
        <v>-10</v>
      </c>
      <c r="G24" s="21">
        <f t="shared" si="1"/>
        <v>1000</v>
      </c>
    </row>
    <row r="25" spans="4:7" x14ac:dyDescent="0.15">
      <c r="D25" s="21">
        <v>23</v>
      </c>
      <c r="E25" s="21">
        <v>1710</v>
      </c>
      <c r="F25" s="21">
        <f t="shared" si="0"/>
        <v>-10</v>
      </c>
      <c r="G25" s="21">
        <f t="shared" si="1"/>
        <v>1000</v>
      </c>
    </row>
    <row r="26" spans="4:7" x14ac:dyDescent="0.15">
      <c r="D26" s="21">
        <v>24</v>
      </c>
      <c r="E26" s="21">
        <v>1610</v>
      </c>
      <c r="F26" s="21">
        <f t="shared" si="0"/>
        <v>-10</v>
      </c>
      <c r="G26" s="21">
        <f t="shared" si="1"/>
        <v>1000</v>
      </c>
    </row>
    <row r="27" spans="4:7" x14ac:dyDescent="0.15">
      <c r="D27" s="21">
        <v>25</v>
      </c>
      <c r="E27" s="21">
        <v>1510</v>
      </c>
      <c r="F27" s="21">
        <f t="shared" si="0"/>
        <v>-10</v>
      </c>
      <c r="G27" s="21">
        <f t="shared" si="1"/>
        <v>1000</v>
      </c>
    </row>
    <row r="28" spans="4:7" x14ac:dyDescent="0.15">
      <c r="D28" s="21">
        <v>26</v>
      </c>
      <c r="E28" s="21">
        <v>1410</v>
      </c>
      <c r="F28" s="21">
        <f t="shared" si="0"/>
        <v>-10</v>
      </c>
      <c r="G28" s="21">
        <f t="shared" si="1"/>
        <v>1000</v>
      </c>
    </row>
    <row r="29" spans="4:7" x14ac:dyDescent="0.15">
      <c r="D29" s="21">
        <v>27</v>
      </c>
      <c r="E29" s="21">
        <v>1310</v>
      </c>
      <c r="F29" s="21">
        <f t="shared" si="0"/>
        <v>-10</v>
      </c>
      <c r="G29" s="21">
        <f t="shared" si="1"/>
        <v>1000</v>
      </c>
    </row>
    <row r="30" spans="4:7" x14ac:dyDescent="0.15">
      <c r="D30" s="21">
        <v>28</v>
      </c>
      <c r="E30" s="21">
        <v>1210</v>
      </c>
      <c r="F30" s="21">
        <f t="shared" si="0"/>
        <v>-10</v>
      </c>
      <c r="G30" s="21">
        <f t="shared" si="1"/>
        <v>1000</v>
      </c>
    </row>
    <row r="31" spans="4:7" x14ac:dyDescent="0.15">
      <c r="D31" s="21">
        <v>29</v>
      </c>
      <c r="E31" s="21">
        <v>1110</v>
      </c>
      <c r="F31" s="21">
        <f t="shared" si="0"/>
        <v>-10</v>
      </c>
      <c r="G31" s="21">
        <f t="shared" si="1"/>
        <v>1000</v>
      </c>
    </row>
    <row r="32" spans="4:7" x14ac:dyDescent="0.15">
      <c r="D32" s="21">
        <v>30</v>
      </c>
      <c r="E32" s="21">
        <v>1010</v>
      </c>
      <c r="F32" s="21">
        <f t="shared" si="0"/>
        <v>-10</v>
      </c>
      <c r="G32" s="21">
        <f t="shared" si="1"/>
        <v>1000</v>
      </c>
    </row>
    <row r="33" spans="4:7" x14ac:dyDescent="0.15">
      <c r="D33" s="21">
        <v>31</v>
      </c>
      <c r="E33" s="21">
        <v>910</v>
      </c>
      <c r="F33" s="21">
        <f t="shared" si="0"/>
        <v>-10</v>
      </c>
      <c r="G33" s="21">
        <f t="shared" si="1"/>
        <v>1000</v>
      </c>
    </row>
    <row r="34" spans="4:7" x14ac:dyDescent="0.15">
      <c r="D34" s="21">
        <v>32</v>
      </c>
      <c r="E34" s="21">
        <v>810</v>
      </c>
      <c r="F34" s="21">
        <f t="shared" ref="F34:F65" si="2">IF($B$8=D34,E34,-10)</f>
        <v>-10</v>
      </c>
      <c r="G34" s="21">
        <f t="shared" ref="G34:G65" si="3">$B$5/2</f>
        <v>1000</v>
      </c>
    </row>
    <row r="35" spans="4:7" x14ac:dyDescent="0.15">
      <c r="D35" s="21">
        <v>33</v>
      </c>
      <c r="E35" s="21">
        <v>710</v>
      </c>
      <c r="F35" s="21">
        <f t="shared" si="2"/>
        <v>-10</v>
      </c>
      <c r="G35" s="21">
        <f t="shared" si="3"/>
        <v>1000</v>
      </c>
    </row>
    <row r="36" spans="4:7" x14ac:dyDescent="0.15">
      <c r="D36" s="21">
        <v>34</v>
      </c>
      <c r="E36" s="21">
        <v>610</v>
      </c>
      <c r="F36" s="21">
        <f t="shared" si="2"/>
        <v>-10</v>
      </c>
      <c r="G36" s="21">
        <f t="shared" si="3"/>
        <v>1000</v>
      </c>
    </row>
    <row r="37" spans="4:7" x14ac:dyDescent="0.15">
      <c r="D37" s="21">
        <v>35</v>
      </c>
      <c r="E37" s="21">
        <v>510</v>
      </c>
      <c r="F37" s="21">
        <f t="shared" si="2"/>
        <v>-10</v>
      </c>
      <c r="G37" s="21">
        <f t="shared" si="3"/>
        <v>1000</v>
      </c>
    </row>
    <row r="38" spans="4:7" x14ac:dyDescent="0.15">
      <c r="D38" s="21">
        <v>36</v>
      </c>
      <c r="E38" s="21">
        <v>410</v>
      </c>
      <c r="F38" s="21">
        <f t="shared" si="2"/>
        <v>-10</v>
      </c>
      <c r="G38" s="21">
        <f t="shared" si="3"/>
        <v>1000</v>
      </c>
    </row>
    <row r="39" spans="4:7" x14ac:dyDescent="0.15">
      <c r="D39" s="21">
        <v>37</v>
      </c>
      <c r="E39" s="21">
        <v>310</v>
      </c>
      <c r="F39" s="21">
        <f t="shared" si="2"/>
        <v>-10</v>
      </c>
      <c r="G39" s="21">
        <f t="shared" si="3"/>
        <v>1000</v>
      </c>
    </row>
    <row r="40" spans="4:7" x14ac:dyDescent="0.15">
      <c r="D40" s="21">
        <v>38</v>
      </c>
      <c r="E40" s="21">
        <v>210</v>
      </c>
      <c r="F40" s="21">
        <f t="shared" si="2"/>
        <v>-10</v>
      </c>
      <c r="G40" s="21">
        <f t="shared" si="3"/>
        <v>1000</v>
      </c>
    </row>
    <row r="41" spans="4:7" x14ac:dyDescent="0.15">
      <c r="D41" s="21">
        <v>39</v>
      </c>
      <c r="E41" s="21">
        <v>110</v>
      </c>
      <c r="F41" s="21">
        <f t="shared" si="2"/>
        <v>-10</v>
      </c>
      <c r="G41" s="21">
        <f t="shared" si="3"/>
        <v>1000</v>
      </c>
    </row>
    <row r="42" spans="4:7" x14ac:dyDescent="0.15">
      <c r="D42" s="21">
        <v>40</v>
      </c>
      <c r="E42" s="21">
        <v>2010</v>
      </c>
      <c r="F42" s="21">
        <f t="shared" si="2"/>
        <v>-10</v>
      </c>
      <c r="G42" s="21">
        <f t="shared" si="3"/>
        <v>1000</v>
      </c>
    </row>
    <row r="43" spans="4:7" x14ac:dyDescent="0.15">
      <c r="D43" s="21">
        <v>41</v>
      </c>
      <c r="E43" s="21">
        <v>1910</v>
      </c>
      <c r="F43" s="21">
        <f t="shared" si="2"/>
        <v>-10</v>
      </c>
      <c r="G43" s="21">
        <f t="shared" si="3"/>
        <v>1000</v>
      </c>
    </row>
    <row r="44" spans="4:7" x14ac:dyDescent="0.15">
      <c r="D44" s="21">
        <v>42</v>
      </c>
      <c r="E44" s="21">
        <v>1810</v>
      </c>
      <c r="F44" s="21">
        <f t="shared" si="2"/>
        <v>-10</v>
      </c>
      <c r="G44" s="21">
        <f t="shared" si="3"/>
        <v>1000</v>
      </c>
    </row>
    <row r="45" spans="4:7" x14ac:dyDescent="0.15">
      <c r="D45" s="21">
        <v>43</v>
      </c>
      <c r="E45" s="21">
        <v>1710</v>
      </c>
      <c r="F45" s="21">
        <f t="shared" si="2"/>
        <v>-10</v>
      </c>
      <c r="G45" s="21">
        <f t="shared" si="3"/>
        <v>1000</v>
      </c>
    </row>
    <row r="46" spans="4:7" x14ac:dyDescent="0.15">
      <c r="D46" s="21">
        <v>44</v>
      </c>
      <c r="E46" s="21">
        <v>1610</v>
      </c>
      <c r="F46" s="21">
        <f t="shared" si="2"/>
        <v>-10</v>
      </c>
      <c r="G46" s="21">
        <f t="shared" si="3"/>
        <v>1000</v>
      </c>
    </row>
    <row r="47" spans="4:7" x14ac:dyDescent="0.15">
      <c r="D47" s="21">
        <v>45</v>
      </c>
      <c r="E47" s="21">
        <v>1510</v>
      </c>
      <c r="F47" s="21">
        <f t="shared" si="2"/>
        <v>-10</v>
      </c>
      <c r="G47" s="21">
        <f t="shared" si="3"/>
        <v>1000</v>
      </c>
    </row>
    <row r="48" spans="4:7" x14ac:dyDescent="0.15">
      <c r="D48" s="21">
        <v>46</v>
      </c>
      <c r="E48" s="21">
        <v>1410</v>
      </c>
      <c r="F48" s="21">
        <f t="shared" si="2"/>
        <v>-10</v>
      </c>
      <c r="G48" s="21">
        <f t="shared" si="3"/>
        <v>1000</v>
      </c>
    </row>
    <row r="49" spans="4:7" x14ac:dyDescent="0.15">
      <c r="D49" s="21">
        <v>47</v>
      </c>
      <c r="E49" s="21">
        <v>1310</v>
      </c>
      <c r="F49" s="21">
        <f t="shared" si="2"/>
        <v>-10</v>
      </c>
      <c r="G49" s="21">
        <f t="shared" si="3"/>
        <v>1000</v>
      </c>
    </row>
    <row r="50" spans="4:7" x14ac:dyDescent="0.15">
      <c r="D50" s="21">
        <v>48</v>
      </c>
      <c r="E50" s="21">
        <v>1210</v>
      </c>
      <c r="F50" s="21">
        <f t="shared" si="2"/>
        <v>-10</v>
      </c>
      <c r="G50" s="21">
        <f t="shared" si="3"/>
        <v>1000</v>
      </c>
    </row>
    <row r="51" spans="4:7" x14ac:dyDescent="0.15">
      <c r="D51" s="21">
        <v>49</v>
      </c>
      <c r="E51" s="21">
        <v>1110</v>
      </c>
      <c r="F51" s="21">
        <f t="shared" si="2"/>
        <v>-10</v>
      </c>
      <c r="G51" s="21">
        <f t="shared" si="3"/>
        <v>1000</v>
      </c>
    </row>
    <row r="52" spans="4:7" x14ac:dyDescent="0.15">
      <c r="D52" s="21">
        <v>50</v>
      </c>
      <c r="E52" s="21">
        <v>1010</v>
      </c>
      <c r="F52" s="21">
        <f t="shared" si="2"/>
        <v>-10</v>
      </c>
      <c r="G52" s="21">
        <f t="shared" si="3"/>
        <v>1000</v>
      </c>
    </row>
    <row r="53" spans="4:7" x14ac:dyDescent="0.15">
      <c r="D53" s="21">
        <v>51</v>
      </c>
      <c r="E53" s="21">
        <v>910</v>
      </c>
      <c r="F53" s="21">
        <f t="shared" si="2"/>
        <v>-10</v>
      </c>
      <c r="G53" s="21">
        <f t="shared" si="3"/>
        <v>1000</v>
      </c>
    </row>
    <row r="54" spans="4:7" x14ac:dyDescent="0.15">
      <c r="D54" s="21">
        <v>52</v>
      </c>
      <c r="E54" s="21">
        <v>810</v>
      </c>
      <c r="F54" s="21">
        <f t="shared" si="2"/>
        <v>-10</v>
      </c>
      <c r="G54" s="21">
        <f t="shared" si="3"/>
        <v>1000</v>
      </c>
    </row>
    <row r="55" spans="4:7" x14ac:dyDescent="0.15">
      <c r="D55" s="21">
        <v>53</v>
      </c>
      <c r="E55" s="21">
        <v>710</v>
      </c>
      <c r="F55" s="21">
        <f t="shared" si="2"/>
        <v>-10</v>
      </c>
      <c r="G55" s="21">
        <f t="shared" si="3"/>
        <v>1000</v>
      </c>
    </row>
    <row r="56" spans="4:7" x14ac:dyDescent="0.15">
      <c r="D56" s="21">
        <v>54</v>
      </c>
      <c r="E56" s="21">
        <v>610</v>
      </c>
      <c r="F56" s="21">
        <f t="shared" si="2"/>
        <v>-10</v>
      </c>
      <c r="G56" s="21">
        <f t="shared" si="3"/>
        <v>1000</v>
      </c>
    </row>
    <row r="57" spans="4:7" x14ac:dyDescent="0.15">
      <c r="D57" s="21">
        <v>55</v>
      </c>
      <c r="E57" s="21">
        <v>510</v>
      </c>
      <c r="F57" s="21">
        <f t="shared" si="2"/>
        <v>-10</v>
      </c>
      <c r="G57" s="21">
        <f t="shared" si="3"/>
        <v>1000</v>
      </c>
    </row>
    <row r="58" spans="4:7" x14ac:dyDescent="0.15">
      <c r="D58" s="21">
        <v>56</v>
      </c>
      <c r="E58" s="21">
        <v>410</v>
      </c>
      <c r="F58" s="21">
        <f t="shared" si="2"/>
        <v>-10</v>
      </c>
      <c r="G58" s="21">
        <f t="shared" si="3"/>
        <v>1000</v>
      </c>
    </row>
    <row r="59" spans="4:7" x14ac:dyDescent="0.15">
      <c r="D59" s="21">
        <v>57</v>
      </c>
      <c r="E59" s="21">
        <v>310</v>
      </c>
      <c r="F59" s="21">
        <f t="shared" si="2"/>
        <v>-10</v>
      </c>
      <c r="G59" s="21">
        <f t="shared" si="3"/>
        <v>1000</v>
      </c>
    </row>
    <row r="60" spans="4:7" x14ac:dyDescent="0.15">
      <c r="D60" s="21">
        <v>58</v>
      </c>
      <c r="E60" s="21">
        <v>210</v>
      </c>
      <c r="F60" s="21">
        <f t="shared" si="2"/>
        <v>-10</v>
      </c>
      <c r="G60" s="21">
        <f t="shared" si="3"/>
        <v>1000</v>
      </c>
    </row>
    <row r="61" spans="4:7" x14ac:dyDescent="0.15">
      <c r="D61" s="21">
        <v>59</v>
      </c>
      <c r="E61" s="21">
        <v>110</v>
      </c>
      <c r="F61" s="21">
        <f t="shared" si="2"/>
        <v>-10</v>
      </c>
      <c r="G61" s="21">
        <f t="shared" si="3"/>
        <v>1000</v>
      </c>
    </row>
    <row r="62" spans="4:7" x14ac:dyDescent="0.15">
      <c r="D62" s="21">
        <v>60</v>
      </c>
      <c r="E62" s="21">
        <v>2010</v>
      </c>
      <c r="F62" s="21">
        <f t="shared" si="2"/>
        <v>-10</v>
      </c>
      <c r="G62" s="21">
        <f t="shared" si="3"/>
        <v>1000</v>
      </c>
    </row>
    <row r="63" spans="4:7" x14ac:dyDescent="0.15">
      <c r="D63" s="21">
        <v>61</v>
      </c>
      <c r="E63" s="21">
        <v>1910</v>
      </c>
      <c r="F63" s="21">
        <f t="shared" si="2"/>
        <v>-10</v>
      </c>
      <c r="G63" s="21">
        <f t="shared" si="3"/>
        <v>1000</v>
      </c>
    </row>
    <row r="64" spans="4:7" x14ac:dyDescent="0.15">
      <c r="D64" s="21">
        <v>62</v>
      </c>
      <c r="E64" s="21">
        <v>1810</v>
      </c>
      <c r="F64" s="21">
        <f t="shared" si="2"/>
        <v>-10</v>
      </c>
      <c r="G64" s="21">
        <f t="shared" si="3"/>
        <v>1000</v>
      </c>
    </row>
    <row r="65" spans="4:7" x14ac:dyDescent="0.15">
      <c r="D65" s="21">
        <v>63</v>
      </c>
      <c r="E65" s="21">
        <v>1710</v>
      </c>
      <c r="F65" s="21">
        <f t="shared" si="2"/>
        <v>-10</v>
      </c>
      <c r="G65" s="21">
        <f t="shared" si="3"/>
        <v>1000</v>
      </c>
    </row>
    <row r="66" spans="4:7" x14ac:dyDescent="0.15">
      <c r="D66" s="21">
        <v>64</v>
      </c>
      <c r="E66" s="21">
        <v>1610</v>
      </c>
      <c r="F66" s="21">
        <f t="shared" ref="F66:F97" si="4">IF($B$8=D66,E66,-10)</f>
        <v>-10</v>
      </c>
      <c r="G66" s="21">
        <f t="shared" ref="G66:G102" si="5">$B$5/2</f>
        <v>1000</v>
      </c>
    </row>
    <row r="67" spans="4:7" x14ac:dyDescent="0.15">
      <c r="D67" s="21">
        <v>65</v>
      </c>
      <c r="E67" s="21">
        <v>1510</v>
      </c>
      <c r="F67" s="21">
        <f t="shared" si="4"/>
        <v>-10</v>
      </c>
      <c r="G67" s="21">
        <f t="shared" si="5"/>
        <v>1000</v>
      </c>
    </row>
    <row r="68" spans="4:7" x14ac:dyDescent="0.15">
      <c r="D68" s="21">
        <v>66</v>
      </c>
      <c r="E68" s="21">
        <v>1410</v>
      </c>
      <c r="F68" s="21">
        <f t="shared" si="4"/>
        <v>-10</v>
      </c>
      <c r="G68" s="21">
        <f t="shared" si="5"/>
        <v>1000</v>
      </c>
    </row>
    <row r="69" spans="4:7" x14ac:dyDescent="0.15">
      <c r="D69" s="21">
        <v>67</v>
      </c>
      <c r="E69" s="21">
        <v>1310</v>
      </c>
      <c r="F69" s="21">
        <f t="shared" si="4"/>
        <v>-10</v>
      </c>
      <c r="G69" s="21">
        <f t="shared" si="5"/>
        <v>1000</v>
      </c>
    </row>
    <row r="70" spans="4:7" x14ac:dyDescent="0.15">
      <c r="D70" s="21">
        <v>68</v>
      </c>
      <c r="E70" s="21">
        <v>1210</v>
      </c>
      <c r="F70" s="21">
        <f t="shared" si="4"/>
        <v>-10</v>
      </c>
      <c r="G70" s="21">
        <f t="shared" si="5"/>
        <v>1000</v>
      </c>
    </row>
    <row r="71" spans="4:7" x14ac:dyDescent="0.15">
      <c r="D71" s="21">
        <v>69</v>
      </c>
      <c r="E71" s="21">
        <v>1110</v>
      </c>
      <c r="F71" s="21">
        <f t="shared" si="4"/>
        <v>-10</v>
      </c>
      <c r="G71" s="21">
        <f t="shared" si="5"/>
        <v>1000</v>
      </c>
    </row>
    <row r="72" spans="4:7" x14ac:dyDescent="0.15">
      <c r="D72" s="21">
        <v>70</v>
      </c>
      <c r="E72" s="21">
        <v>1010</v>
      </c>
      <c r="F72" s="21">
        <f t="shared" si="4"/>
        <v>-10</v>
      </c>
      <c r="G72" s="21">
        <f t="shared" si="5"/>
        <v>1000</v>
      </c>
    </row>
    <row r="73" spans="4:7" x14ac:dyDescent="0.15">
      <c r="D73" s="21">
        <v>71</v>
      </c>
      <c r="E73" s="21">
        <v>910</v>
      </c>
      <c r="F73" s="21">
        <f t="shared" si="4"/>
        <v>-10</v>
      </c>
      <c r="G73" s="21">
        <f t="shared" si="5"/>
        <v>1000</v>
      </c>
    </row>
    <row r="74" spans="4:7" x14ac:dyDescent="0.15">
      <c r="D74" s="21">
        <v>72</v>
      </c>
      <c r="E74" s="21">
        <v>810</v>
      </c>
      <c r="F74" s="21">
        <f t="shared" si="4"/>
        <v>-10</v>
      </c>
      <c r="G74" s="21">
        <f t="shared" si="5"/>
        <v>1000</v>
      </c>
    </row>
    <row r="75" spans="4:7" x14ac:dyDescent="0.15">
      <c r="D75" s="21">
        <v>73</v>
      </c>
      <c r="E75" s="21">
        <v>710</v>
      </c>
      <c r="F75" s="21">
        <f t="shared" si="4"/>
        <v>-10</v>
      </c>
      <c r="G75" s="21">
        <f t="shared" si="5"/>
        <v>1000</v>
      </c>
    </row>
    <row r="76" spans="4:7" x14ac:dyDescent="0.15">
      <c r="D76" s="21">
        <v>74</v>
      </c>
      <c r="E76" s="21">
        <v>610</v>
      </c>
      <c r="F76" s="21">
        <f t="shared" si="4"/>
        <v>-10</v>
      </c>
      <c r="G76" s="21">
        <f t="shared" si="5"/>
        <v>1000</v>
      </c>
    </row>
    <row r="77" spans="4:7" x14ac:dyDescent="0.15">
      <c r="D77" s="21">
        <v>75</v>
      </c>
      <c r="E77" s="21">
        <v>510</v>
      </c>
      <c r="F77" s="21">
        <f t="shared" si="4"/>
        <v>-10</v>
      </c>
      <c r="G77" s="21">
        <f t="shared" si="5"/>
        <v>1000</v>
      </c>
    </row>
    <row r="78" spans="4:7" x14ac:dyDescent="0.15">
      <c r="D78" s="21">
        <v>76</v>
      </c>
      <c r="E78" s="21">
        <v>410</v>
      </c>
      <c r="F78" s="21">
        <f t="shared" si="4"/>
        <v>-10</v>
      </c>
      <c r="G78" s="21">
        <f t="shared" si="5"/>
        <v>1000</v>
      </c>
    </row>
    <row r="79" spans="4:7" x14ac:dyDescent="0.15">
      <c r="D79" s="21">
        <v>77</v>
      </c>
      <c r="E79" s="21">
        <v>310</v>
      </c>
      <c r="F79" s="21">
        <f t="shared" si="4"/>
        <v>-10</v>
      </c>
      <c r="G79" s="21">
        <f t="shared" si="5"/>
        <v>1000</v>
      </c>
    </row>
    <row r="80" spans="4:7" x14ac:dyDescent="0.15">
      <c r="D80" s="21">
        <v>78</v>
      </c>
      <c r="E80" s="21">
        <v>210</v>
      </c>
      <c r="F80" s="21">
        <f t="shared" si="4"/>
        <v>-10</v>
      </c>
      <c r="G80" s="21">
        <f t="shared" si="5"/>
        <v>1000</v>
      </c>
    </row>
    <row r="81" spans="4:7" x14ac:dyDescent="0.15">
      <c r="D81" s="21">
        <v>79</v>
      </c>
      <c r="E81" s="21">
        <v>110</v>
      </c>
      <c r="F81" s="21">
        <f t="shared" si="4"/>
        <v>-10</v>
      </c>
      <c r="G81" s="21">
        <f t="shared" si="5"/>
        <v>1000</v>
      </c>
    </row>
    <row r="82" spans="4:7" x14ac:dyDescent="0.15">
      <c r="D82" s="21">
        <v>80</v>
      </c>
      <c r="E82" s="21">
        <v>2010</v>
      </c>
      <c r="F82" s="21">
        <f t="shared" si="4"/>
        <v>-10</v>
      </c>
      <c r="G82" s="21">
        <f t="shared" si="5"/>
        <v>1000</v>
      </c>
    </row>
    <row r="83" spans="4:7" x14ac:dyDescent="0.15">
      <c r="D83" s="21">
        <v>81</v>
      </c>
      <c r="E83" s="21">
        <v>1910</v>
      </c>
      <c r="F83" s="21">
        <f t="shared" si="4"/>
        <v>-10</v>
      </c>
      <c r="G83" s="21">
        <f t="shared" si="5"/>
        <v>1000</v>
      </c>
    </row>
    <row r="84" spans="4:7" x14ac:dyDescent="0.15">
      <c r="D84" s="21">
        <v>82</v>
      </c>
      <c r="E84" s="21">
        <v>1810</v>
      </c>
      <c r="F84" s="21">
        <f t="shared" si="4"/>
        <v>-10</v>
      </c>
      <c r="G84" s="21">
        <f t="shared" si="5"/>
        <v>1000</v>
      </c>
    </row>
    <row r="85" spans="4:7" x14ac:dyDescent="0.15">
      <c r="D85" s="21">
        <v>83</v>
      </c>
      <c r="E85" s="21">
        <v>1710</v>
      </c>
      <c r="F85" s="21">
        <f t="shared" si="4"/>
        <v>-10</v>
      </c>
      <c r="G85" s="21">
        <f t="shared" si="5"/>
        <v>1000</v>
      </c>
    </row>
    <row r="86" spans="4:7" x14ac:dyDescent="0.15">
      <c r="D86" s="21">
        <v>84</v>
      </c>
      <c r="E86" s="21">
        <v>1610</v>
      </c>
      <c r="F86" s="21">
        <f t="shared" si="4"/>
        <v>-10</v>
      </c>
      <c r="G86" s="21">
        <f t="shared" si="5"/>
        <v>1000</v>
      </c>
    </row>
    <row r="87" spans="4:7" x14ac:dyDescent="0.15">
      <c r="D87" s="21">
        <v>85</v>
      </c>
      <c r="E87" s="21">
        <v>1510</v>
      </c>
      <c r="F87" s="21">
        <f t="shared" si="4"/>
        <v>-10</v>
      </c>
      <c r="G87" s="21">
        <f t="shared" si="5"/>
        <v>1000</v>
      </c>
    </row>
    <row r="88" spans="4:7" x14ac:dyDescent="0.15">
      <c r="D88" s="21">
        <v>86</v>
      </c>
      <c r="E88" s="21">
        <v>1410</v>
      </c>
      <c r="F88" s="21">
        <f t="shared" si="4"/>
        <v>-10</v>
      </c>
      <c r="G88" s="21">
        <f t="shared" si="5"/>
        <v>1000</v>
      </c>
    </row>
    <row r="89" spans="4:7" x14ac:dyDescent="0.15">
      <c r="D89" s="21">
        <v>87</v>
      </c>
      <c r="E89" s="21">
        <v>1310</v>
      </c>
      <c r="F89" s="21">
        <f t="shared" si="4"/>
        <v>-10</v>
      </c>
      <c r="G89" s="21">
        <f t="shared" si="5"/>
        <v>1000</v>
      </c>
    </row>
    <row r="90" spans="4:7" x14ac:dyDescent="0.15">
      <c r="D90" s="21">
        <v>88</v>
      </c>
      <c r="E90" s="21">
        <v>1210</v>
      </c>
      <c r="F90" s="21">
        <f t="shared" si="4"/>
        <v>-10</v>
      </c>
      <c r="G90" s="21">
        <f t="shared" si="5"/>
        <v>1000</v>
      </c>
    </row>
    <row r="91" spans="4:7" x14ac:dyDescent="0.15">
      <c r="D91" s="21">
        <v>89</v>
      </c>
      <c r="E91" s="21">
        <v>1110</v>
      </c>
      <c r="F91" s="21">
        <f t="shared" si="4"/>
        <v>-10</v>
      </c>
      <c r="G91" s="21">
        <f t="shared" si="5"/>
        <v>1000</v>
      </c>
    </row>
    <row r="92" spans="4:7" x14ac:dyDescent="0.15">
      <c r="D92" s="21">
        <v>90</v>
      </c>
      <c r="E92" s="21">
        <v>1010</v>
      </c>
      <c r="F92" s="21">
        <f t="shared" si="4"/>
        <v>-10</v>
      </c>
      <c r="G92" s="21">
        <f t="shared" si="5"/>
        <v>1000</v>
      </c>
    </row>
    <row r="93" spans="4:7" x14ac:dyDescent="0.15">
      <c r="D93" s="21">
        <v>91</v>
      </c>
      <c r="E93" s="21">
        <v>910</v>
      </c>
      <c r="F93" s="21">
        <f t="shared" si="4"/>
        <v>-10</v>
      </c>
      <c r="G93" s="21">
        <f t="shared" si="5"/>
        <v>1000</v>
      </c>
    </row>
    <row r="94" spans="4:7" x14ac:dyDescent="0.15">
      <c r="D94" s="21">
        <v>92</v>
      </c>
      <c r="E94" s="21">
        <v>810</v>
      </c>
      <c r="F94" s="21">
        <f t="shared" si="4"/>
        <v>-10</v>
      </c>
      <c r="G94" s="21">
        <f t="shared" si="5"/>
        <v>1000</v>
      </c>
    </row>
    <row r="95" spans="4:7" x14ac:dyDescent="0.15">
      <c r="D95" s="21">
        <v>93</v>
      </c>
      <c r="E95" s="21">
        <v>710</v>
      </c>
      <c r="F95" s="21">
        <f t="shared" si="4"/>
        <v>-10</v>
      </c>
      <c r="G95" s="21">
        <f t="shared" si="5"/>
        <v>1000</v>
      </c>
    </row>
    <row r="96" spans="4:7" x14ac:dyDescent="0.15">
      <c r="D96" s="21">
        <v>94</v>
      </c>
      <c r="E96" s="21">
        <v>610</v>
      </c>
      <c r="F96" s="21">
        <f t="shared" si="4"/>
        <v>-10</v>
      </c>
      <c r="G96" s="21">
        <f t="shared" si="5"/>
        <v>1000</v>
      </c>
    </row>
    <row r="97" spans="4:7" x14ac:dyDescent="0.15">
      <c r="D97" s="21">
        <v>95</v>
      </c>
      <c r="E97" s="21">
        <v>510</v>
      </c>
      <c r="F97" s="21">
        <f t="shared" si="4"/>
        <v>-10</v>
      </c>
      <c r="G97" s="21">
        <f t="shared" si="5"/>
        <v>1000</v>
      </c>
    </row>
    <row r="98" spans="4:7" x14ac:dyDescent="0.15">
      <c r="D98" s="21">
        <v>96</v>
      </c>
      <c r="E98" s="21">
        <v>410</v>
      </c>
      <c r="F98" s="21">
        <f t="shared" ref="F98:F102" si="6">IF($B$8=D98,E98,-10)</f>
        <v>-10</v>
      </c>
      <c r="G98" s="21">
        <f t="shared" si="5"/>
        <v>1000</v>
      </c>
    </row>
    <row r="99" spans="4:7" x14ac:dyDescent="0.15">
      <c r="D99" s="21">
        <v>97</v>
      </c>
      <c r="E99" s="21">
        <v>310</v>
      </c>
      <c r="F99" s="21">
        <f t="shared" si="6"/>
        <v>-10</v>
      </c>
      <c r="G99" s="21">
        <f t="shared" si="5"/>
        <v>1000</v>
      </c>
    </row>
    <row r="100" spans="4:7" x14ac:dyDescent="0.15">
      <c r="D100" s="21">
        <v>98</v>
      </c>
      <c r="E100" s="21">
        <v>210</v>
      </c>
      <c r="F100" s="21">
        <f t="shared" si="6"/>
        <v>-10</v>
      </c>
      <c r="G100" s="21">
        <f t="shared" si="5"/>
        <v>1000</v>
      </c>
    </row>
    <row r="101" spans="4:7" x14ac:dyDescent="0.15">
      <c r="D101" s="21">
        <v>99</v>
      </c>
      <c r="E101" s="21">
        <v>110</v>
      </c>
      <c r="F101" s="21">
        <f t="shared" si="6"/>
        <v>-10</v>
      </c>
      <c r="G101" s="21">
        <f t="shared" si="5"/>
        <v>1000</v>
      </c>
    </row>
    <row r="102" spans="4:7" x14ac:dyDescent="0.15">
      <c r="D102" s="21">
        <v>100</v>
      </c>
      <c r="E102" s="21">
        <v>2010</v>
      </c>
      <c r="F102" s="21">
        <f t="shared" si="6"/>
        <v>-10</v>
      </c>
      <c r="G102" s="21">
        <f t="shared" si="5"/>
        <v>1000</v>
      </c>
    </row>
  </sheetData>
  <phoneticPr fontId="11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3" name="Spinner 1">
              <controlPr defaultSize="0" autoPict="0">
                <anchor moveWithCells="1" sizeWithCells="1">
                  <from>
                    <xdr:col>8</xdr:col>
                    <xdr:colOff>552450</xdr:colOff>
                    <xdr:row>1</xdr:row>
                    <xdr:rowOff>152400</xdr:rowOff>
                  </from>
                  <to>
                    <xdr:col>9</xdr:col>
                    <xdr:colOff>66675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4" name="Spinner 2">
              <controlPr defaultSize="0" autoPict="0">
                <anchor moveWithCells="1" sizeWithCells="1">
                  <from>
                    <xdr:col>13</xdr:col>
                    <xdr:colOff>304800</xdr:colOff>
                    <xdr:row>2</xdr:row>
                    <xdr:rowOff>9525</xdr:rowOff>
                  </from>
                  <to>
                    <xdr:col>13</xdr:col>
                    <xdr:colOff>504825</xdr:colOff>
                    <xdr:row>2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43"/>
  <sheetViews>
    <sheetView topLeftCell="A16" workbookViewId="0">
      <selection activeCell="O13" sqref="O13"/>
    </sheetView>
  </sheetViews>
  <sheetFormatPr defaultColWidth="10" defaultRowHeight="13.5" x14ac:dyDescent="0.15"/>
  <cols>
    <col min="1" max="1" width="6.375" style="88" customWidth="1"/>
    <col min="2" max="2" width="88.5" style="88" bestFit="1" customWidth="1"/>
    <col min="3" max="3" width="31.875" style="88" bestFit="1" customWidth="1"/>
    <col min="4" max="4" width="24.5" style="88" customWidth="1"/>
    <col min="5" max="5" width="10.5" style="88" bestFit="1" customWidth="1"/>
    <col min="6" max="6" width="5.75" style="88" bestFit="1" customWidth="1"/>
    <col min="7" max="7" width="15.5" style="88" bestFit="1" customWidth="1"/>
    <col min="8" max="9" width="10" style="88" bestFit="1" customWidth="1"/>
    <col min="10" max="10" width="10.5" style="88" bestFit="1" customWidth="1"/>
    <col min="11" max="11" width="9.5" style="88" bestFit="1" customWidth="1"/>
    <col min="12" max="12" width="8.75" style="88" customWidth="1"/>
    <col min="13" max="13" width="10" style="88"/>
    <col min="14" max="14" width="13.375" style="88" customWidth="1"/>
    <col min="15" max="15" width="15.25" style="88" customWidth="1"/>
    <col min="16" max="16" width="15.5" style="88" bestFit="1" customWidth="1"/>
    <col min="17" max="17" width="12.875" style="88" bestFit="1" customWidth="1"/>
    <col min="18" max="16384" width="10" style="88"/>
  </cols>
  <sheetData>
    <row r="2" spans="2:12" x14ac:dyDescent="0.15">
      <c r="B2" s="19" t="s">
        <v>2</v>
      </c>
      <c r="C2" s="23">
        <v>0.01</v>
      </c>
    </row>
    <row r="3" spans="2:12" x14ac:dyDescent="0.15">
      <c r="B3" s="19" t="s">
        <v>3</v>
      </c>
      <c r="C3" s="24">
        <v>10</v>
      </c>
      <c r="K3" s="110"/>
      <c r="L3" s="103"/>
    </row>
    <row r="4" spans="2:12" x14ac:dyDescent="0.15">
      <c r="F4" s="117"/>
      <c r="G4" s="120" t="s">
        <v>223</v>
      </c>
      <c r="H4" s="120"/>
      <c r="I4" s="120"/>
      <c r="J4" s="120"/>
      <c r="K4" s="110"/>
    </row>
    <row r="5" spans="2:12" x14ac:dyDescent="0.15">
      <c r="B5" s="19" t="s">
        <v>222</v>
      </c>
      <c r="C5" s="19" t="s">
        <v>221</v>
      </c>
      <c r="F5" s="116" t="s">
        <v>220</v>
      </c>
      <c r="G5" s="116" t="s">
        <v>219</v>
      </c>
      <c r="H5" s="116" t="s">
        <v>218</v>
      </c>
      <c r="I5" s="116" t="s">
        <v>217</v>
      </c>
      <c r="J5" s="116" t="s">
        <v>216</v>
      </c>
      <c r="K5" s="110"/>
    </row>
    <row r="6" spans="2:12" x14ac:dyDescent="0.15">
      <c r="B6" s="19" t="s">
        <v>215</v>
      </c>
      <c r="C6" s="105">
        <v>2000</v>
      </c>
      <c r="F6" s="115">
        <v>0</v>
      </c>
      <c r="G6" s="114"/>
      <c r="H6" s="114"/>
      <c r="I6" s="114"/>
      <c r="J6" s="113">
        <f>C11</f>
        <v>471.40675164117636</v>
      </c>
      <c r="K6" s="110" t="s">
        <v>214</v>
      </c>
      <c r="L6" s="110" t="s">
        <v>214</v>
      </c>
    </row>
    <row r="7" spans="2:12" x14ac:dyDescent="0.15">
      <c r="B7" s="19" t="s">
        <v>213</v>
      </c>
      <c r="C7" s="25">
        <v>0.05</v>
      </c>
      <c r="F7" s="109">
        <v>1</v>
      </c>
      <c r="G7" s="107">
        <f t="shared" ref="G7:G18" si="0">-PPMT($C$7/12,F7,$C$3*12,$C$11)</f>
        <v>3.0358052014951129</v>
      </c>
      <c r="H7" s="107">
        <f t="shared" ref="H7:H18" si="1">-IPMT($C$7/12,F7,$C$3*12,$C$11)</f>
        <v>1.9641947985049013</v>
      </c>
      <c r="I7" s="108">
        <f t="shared" ref="I7:I18" si="2">$C$10</f>
        <v>5</v>
      </c>
      <c r="J7" s="107">
        <f t="shared" ref="J7:J18" si="3">J6-G7</f>
        <v>468.37094643968123</v>
      </c>
      <c r="K7" s="106">
        <f t="shared" ref="K7:K18" si="4">G7+H7</f>
        <v>5.0000000000000142</v>
      </c>
      <c r="L7" s="98">
        <f t="shared" ref="L7:L18" si="5">J6*$C$7/12</f>
        <v>1.9641947985049015</v>
      </c>
    </row>
    <row r="8" spans="2:12" x14ac:dyDescent="0.15">
      <c r="B8" s="19" t="s">
        <v>212</v>
      </c>
      <c r="C8" s="25">
        <v>0.03</v>
      </c>
      <c r="F8" s="109">
        <v>2</v>
      </c>
      <c r="G8" s="107">
        <f t="shared" si="0"/>
        <v>3.0484543898346756</v>
      </c>
      <c r="H8" s="107">
        <f t="shared" si="1"/>
        <v>1.9515456101653379</v>
      </c>
      <c r="I8" s="108">
        <f t="shared" si="2"/>
        <v>5</v>
      </c>
      <c r="J8" s="107">
        <f t="shared" si="3"/>
        <v>465.32249204984657</v>
      </c>
      <c r="K8" s="106">
        <f t="shared" si="4"/>
        <v>5.0000000000000133</v>
      </c>
      <c r="L8" s="98">
        <f t="shared" si="5"/>
        <v>1.9515456101653388</v>
      </c>
    </row>
    <row r="9" spans="2:12" x14ac:dyDescent="0.15">
      <c r="B9" s="19" t="s">
        <v>211</v>
      </c>
      <c r="C9" s="105">
        <v>5000</v>
      </c>
      <c r="F9" s="109">
        <v>3</v>
      </c>
      <c r="G9" s="107">
        <f t="shared" si="0"/>
        <v>3.061156283125654</v>
      </c>
      <c r="H9" s="107">
        <f t="shared" si="1"/>
        <v>1.93884371687436</v>
      </c>
      <c r="I9" s="108">
        <f t="shared" si="2"/>
        <v>5</v>
      </c>
      <c r="J9" s="107">
        <f t="shared" si="3"/>
        <v>462.26133576672095</v>
      </c>
      <c r="K9" s="106">
        <f t="shared" si="4"/>
        <v>5.0000000000000142</v>
      </c>
      <c r="L9" s="98">
        <f t="shared" si="5"/>
        <v>1.9388437168743609</v>
      </c>
    </row>
    <row r="10" spans="2:12" x14ac:dyDescent="0.15">
      <c r="B10" s="19" t="s">
        <v>210</v>
      </c>
      <c r="C10" s="105">
        <v>5</v>
      </c>
      <c r="E10" s="88" t="s">
        <v>209</v>
      </c>
      <c r="F10" s="109">
        <v>4</v>
      </c>
      <c r="G10" s="107">
        <f t="shared" si="0"/>
        <v>3.073911100972011</v>
      </c>
      <c r="H10" s="107">
        <f t="shared" si="1"/>
        <v>1.9260888990280032</v>
      </c>
      <c r="I10" s="108">
        <f t="shared" si="2"/>
        <v>5</v>
      </c>
      <c r="J10" s="107">
        <f t="shared" si="3"/>
        <v>459.18742466574895</v>
      </c>
      <c r="K10" s="106">
        <f t="shared" si="4"/>
        <v>5.0000000000000142</v>
      </c>
      <c r="L10" s="98">
        <f t="shared" si="5"/>
        <v>1.9260888990280041</v>
      </c>
    </row>
    <row r="11" spans="2:12" x14ac:dyDescent="0.15">
      <c r="B11" s="19" t="s">
        <v>6</v>
      </c>
      <c r="C11" s="112">
        <f>PV(C7/12,C3*12,-C10)</f>
        <v>471.40675164117636</v>
      </c>
      <c r="E11" s="111">
        <f>-PMT(C7/12,C3*12,C11)</f>
        <v>5.0000000000000142</v>
      </c>
      <c r="F11" s="109">
        <v>5</v>
      </c>
      <c r="G11" s="107">
        <f t="shared" si="0"/>
        <v>3.086719063892728</v>
      </c>
      <c r="H11" s="107">
        <f t="shared" si="1"/>
        <v>1.9132809361072869</v>
      </c>
      <c r="I11" s="108">
        <f t="shared" si="2"/>
        <v>5</v>
      </c>
      <c r="J11" s="107">
        <f t="shared" si="3"/>
        <v>456.10070560185625</v>
      </c>
      <c r="K11" s="106">
        <f t="shared" si="4"/>
        <v>5.0000000000000151</v>
      </c>
      <c r="L11" s="98">
        <f t="shared" si="5"/>
        <v>1.9132809361072873</v>
      </c>
    </row>
    <row r="12" spans="2:12" x14ac:dyDescent="0.15">
      <c r="B12" s="19" t="s">
        <v>7</v>
      </c>
      <c r="C12" s="100">
        <f>C6-C11</f>
        <v>1528.5932483588235</v>
      </c>
      <c r="F12" s="109">
        <v>6</v>
      </c>
      <c r="G12" s="107">
        <f t="shared" si="0"/>
        <v>3.0995803933256134</v>
      </c>
      <c r="H12" s="107">
        <f t="shared" si="1"/>
        <v>1.9004196066744004</v>
      </c>
      <c r="I12" s="108">
        <f t="shared" si="2"/>
        <v>5</v>
      </c>
      <c r="J12" s="107">
        <f t="shared" si="3"/>
        <v>453.00112520853065</v>
      </c>
      <c r="K12" s="106">
        <f t="shared" si="4"/>
        <v>5.0000000000000142</v>
      </c>
      <c r="L12" s="98">
        <f t="shared" si="5"/>
        <v>1.900419606674401</v>
      </c>
    </row>
    <row r="13" spans="2:12" x14ac:dyDescent="0.15">
      <c r="B13" s="19" t="s">
        <v>8</v>
      </c>
      <c r="C13" s="26">
        <f>INT(NPER(C8/12,-C10,(C11-G19)))</f>
        <v>98</v>
      </c>
      <c r="F13" s="109">
        <v>7</v>
      </c>
      <c r="G13" s="107">
        <f t="shared" si="0"/>
        <v>3.1124953116311369</v>
      </c>
      <c r="H13" s="107">
        <f t="shared" si="1"/>
        <v>1.8875046883688766</v>
      </c>
      <c r="I13" s="108">
        <f t="shared" si="2"/>
        <v>5</v>
      </c>
      <c r="J13" s="107">
        <f t="shared" si="3"/>
        <v>449.88862989689949</v>
      </c>
      <c r="K13" s="106">
        <f t="shared" si="4"/>
        <v>5.0000000000000133</v>
      </c>
      <c r="L13" s="98">
        <f t="shared" si="5"/>
        <v>1.887504688368878</v>
      </c>
    </row>
    <row r="14" spans="2:12" x14ac:dyDescent="0.15">
      <c r="E14" s="110"/>
      <c r="F14" s="109">
        <v>8</v>
      </c>
      <c r="G14" s="107">
        <f t="shared" si="0"/>
        <v>3.1254640420962669</v>
      </c>
      <c r="H14" s="107">
        <f t="shared" si="1"/>
        <v>1.8745359579037471</v>
      </c>
      <c r="I14" s="108">
        <f t="shared" si="2"/>
        <v>5</v>
      </c>
      <c r="J14" s="107">
        <f t="shared" si="3"/>
        <v>446.76316585480322</v>
      </c>
      <c r="K14" s="106">
        <f t="shared" si="4"/>
        <v>5.0000000000000142</v>
      </c>
      <c r="L14" s="98">
        <f t="shared" si="5"/>
        <v>1.8745359579037479</v>
      </c>
    </row>
    <row r="15" spans="2:12" x14ac:dyDescent="0.15">
      <c r="B15" s="19" t="s">
        <v>4</v>
      </c>
      <c r="C15" s="19" t="s">
        <v>9</v>
      </c>
      <c r="E15" s="110"/>
      <c r="F15" s="109">
        <v>9</v>
      </c>
      <c r="G15" s="107">
        <f t="shared" si="0"/>
        <v>3.1384868089383344</v>
      </c>
      <c r="H15" s="107">
        <f t="shared" si="1"/>
        <v>1.8615131910616793</v>
      </c>
      <c r="I15" s="108">
        <f t="shared" si="2"/>
        <v>5</v>
      </c>
      <c r="J15" s="107">
        <f t="shared" si="3"/>
        <v>443.62467904586487</v>
      </c>
      <c r="K15" s="106">
        <f t="shared" si="4"/>
        <v>5.0000000000000142</v>
      </c>
      <c r="L15" s="98">
        <f t="shared" si="5"/>
        <v>1.86151319106168</v>
      </c>
    </row>
    <row r="16" spans="2:12" x14ac:dyDescent="0.15">
      <c r="B16" s="19" t="s">
        <v>10</v>
      </c>
      <c r="C16" s="105">
        <v>2000</v>
      </c>
      <c r="F16" s="109">
        <v>10</v>
      </c>
      <c r="G16" s="107">
        <f t="shared" si="0"/>
        <v>3.1515638373089114</v>
      </c>
      <c r="H16" s="107">
        <f t="shared" si="1"/>
        <v>1.848436162691103</v>
      </c>
      <c r="I16" s="108">
        <f t="shared" si="2"/>
        <v>5</v>
      </c>
      <c r="J16" s="107">
        <f t="shared" si="3"/>
        <v>440.47311520855595</v>
      </c>
      <c r="K16" s="106">
        <f t="shared" si="4"/>
        <v>5.0000000000000142</v>
      </c>
      <c r="L16" s="98">
        <f t="shared" si="5"/>
        <v>1.8484361626911037</v>
      </c>
    </row>
    <row r="17" spans="2:17" x14ac:dyDescent="0.15">
      <c r="B17" s="19" t="s">
        <v>11</v>
      </c>
      <c r="C17" s="105">
        <v>50</v>
      </c>
      <c r="F17" s="109">
        <v>11</v>
      </c>
      <c r="G17" s="107">
        <f t="shared" si="0"/>
        <v>3.1646953532976982</v>
      </c>
      <c r="H17" s="107">
        <f t="shared" si="1"/>
        <v>1.835304646702316</v>
      </c>
      <c r="I17" s="108">
        <f t="shared" si="2"/>
        <v>5</v>
      </c>
      <c r="J17" s="107">
        <f t="shared" si="3"/>
        <v>437.30841985525825</v>
      </c>
      <c r="K17" s="106">
        <f t="shared" si="4"/>
        <v>5.0000000000000142</v>
      </c>
      <c r="L17" s="98">
        <f t="shared" si="5"/>
        <v>1.8353046467023166</v>
      </c>
    </row>
    <row r="18" spans="2:17" x14ac:dyDescent="0.15">
      <c r="B18" s="19" t="s">
        <v>12</v>
      </c>
      <c r="C18" s="105">
        <v>200</v>
      </c>
      <c r="F18" s="109">
        <v>12</v>
      </c>
      <c r="G18" s="107">
        <f t="shared" si="0"/>
        <v>3.1778815839364389</v>
      </c>
      <c r="H18" s="107">
        <f t="shared" si="1"/>
        <v>1.8221184160635755</v>
      </c>
      <c r="I18" s="108">
        <f t="shared" si="2"/>
        <v>5</v>
      </c>
      <c r="J18" s="107">
        <f t="shared" si="3"/>
        <v>434.13053827132183</v>
      </c>
      <c r="K18" s="106">
        <f t="shared" si="4"/>
        <v>5.0000000000000142</v>
      </c>
      <c r="L18" s="98">
        <f t="shared" si="5"/>
        <v>1.8221184160635762</v>
      </c>
    </row>
    <row r="19" spans="2:17" x14ac:dyDescent="0.15">
      <c r="B19" s="19" t="s">
        <v>13</v>
      </c>
      <c r="C19" s="105">
        <v>2800</v>
      </c>
      <c r="G19" s="104">
        <f>SUM(G7:G18)</f>
        <v>37.276213369854581</v>
      </c>
      <c r="J19" s="104">
        <f>J6-G19</f>
        <v>434.13053827132177</v>
      </c>
      <c r="L19" s="103"/>
    </row>
    <row r="21" spans="2:17" x14ac:dyDescent="0.15">
      <c r="B21" s="102"/>
      <c r="C21" s="101" t="s">
        <v>5</v>
      </c>
      <c r="D21" s="101" t="s">
        <v>9</v>
      </c>
    </row>
    <row r="22" spans="2:17" x14ac:dyDescent="0.15">
      <c r="B22" s="97" t="s">
        <v>208</v>
      </c>
      <c r="C22" s="100">
        <f>NPV($C$2/12,G24:G143)+G23</f>
        <v>2470.4466421978636</v>
      </c>
      <c r="D22" s="100">
        <f>NPV(C2,K24:K33)+K23</f>
        <v>2181.5396268054401</v>
      </c>
      <c r="G22" s="19" t="s">
        <v>5</v>
      </c>
      <c r="K22" s="19" t="s">
        <v>9</v>
      </c>
      <c r="O22" s="88" t="str">
        <f>C5</f>
        <v>项目A</v>
      </c>
      <c r="P22" s="88" t="str">
        <f>D21</f>
        <v>项目B</v>
      </c>
    </row>
    <row r="23" spans="2:17" x14ac:dyDescent="0.15">
      <c r="B23" s="97" t="s">
        <v>14</v>
      </c>
      <c r="C23" s="27">
        <f>IRR(G23:G143)*12</f>
        <v>9.7621322496544316E-2</v>
      </c>
      <c r="D23" s="99">
        <f>IRR(K23:K33)</f>
        <v>0.10558923473753756</v>
      </c>
      <c r="F23" s="88">
        <v>0</v>
      </c>
      <c r="G23" s="98">
        <f>-C12</f>
        <v>-1528.5932483588235</v>
      </c>
      <c r="J23" s="88">
        <v>0</v>
      </c>
      <c r="K23" s="88">
        <f>-C16</f>
        <v>-2000</v>
      </c>
      <c r="O23" s="98">
        <f>C22</f>
        <v>2470.4466421978636</v>
      </c>
      <c r="P23" s="98">
        <f>D22</f>
        <v>2181.5396268054401</v>
      </c>
    </row>
    <row r="24" spans="2:17" x14ac:dyDescent="0.15">
      <c r="B24" s="97" t="s">
        <v>15</v>
      </c>
      <c r="C24" s="99">
        <f>N40</f>
        <v>5.9461798894784285E-2</v>
      </c>
      <c r="D24" s="23">
        <v>5.9422836444441109E-2</v>
      </c>
      <c r="E24" s="98">
        <f>C22-D22</f>
        <v>288.90701539242355</v>
      </c>
      <c r="F24" s="88">
        <v>1</v>
      </c>
      <c r="G24" s="89">
        <f t="shared" ref="G24:G55" si="6">-$C$10</f>
        <v>-5</v>
      </c>
      <c r="J24" s="88">
        <v>1</v>
      </c>
      <c r="K24" s="88">
        <f>-C17</f>
        <v>-50</v>
      </c>
      <c r="N24" s="94">
        <v>0.01</v>
      </c>
      <c r="O24" s="93">
        <f t="dataTable" ref="O24:P38" dt2D="0" dtr="0" r1="C2"/>
        <v>2470.4466421978636</v>
      </c>
      <c r="P24" s="93">
        <v>2181.5396268054401</v>
      </c>
      <c r="Q24" s="93">
        <f t="shared" ref="Q24:Q38" si="7">O24-P24</f>
        <v>288.90701539242355</v>
      </c>
    </row>
    <row r="25" spans="2:17" x14ac:dyDescent="0.15">
      <c r="B25" s="97" t="s">
        <v>16</v>
      </c>
      <c r="C25" s="96">
        <f>O40</f>
        <v>811.81205459001671</v>
      </c>
      <c r="F25" s="88">
        <v>2</v>
      </c>
      <c r="G25" s="89">
        <f t="shared" si="6"/>
        <v>-5</v>
      </c>
      <c r="J25" s="88">
        <v>2</v>
      </c>
      <c r="K25" s="88">
        <f t="shared" ref="K25:K32" si="8">$C$18</f>
        <v>200</v>
      </c>
      <c r="N25" s="94">
        <v>0.02</v>
      </c>
      <c r="O25" s="93">
        <v>2063.5950939458507</v>
      </c>
      <c r="P25" s="93">
        <v>1848.3942016831952</v>
      </c>
      <c r="Q25" s="93">
        <f t="shared" si="7"/>
        <v>215.20089226265554</v>
      </c>
    </row>
    <row r="26" spans="2:17" x14ac:dyDescent="0.15">
      <c r="F26" s="88">
        <v>3</v>
      </c>
      <c r="G26" s="89">
        <f t="shared" si="6"/>
        <v>-5</v>
      </c>
      <c r="J26" s="88">
        <v>3</v>
      </c>
      <c r="K26" s="88">
        <f t="shared" si="8"/>
        <v>200</v>
      </c>
      <c r="N26" s="94">
        <v>0.03</v>
      </c>
      <c r="O26" s="93">
        <v>1696.5505111354191</v>
      </c>
      <c r="P26" s="93">
        <v>1546.7850824640541</v>
      </c>
      <c r="Q26" s="93">
        <f t="shared" si="7"/>
        <v>149.76542867136504</v>
      </c>
    </row>
    <row r="27" spans="2:17" x14ac:dyDescent="0.15">
      <c r="F27" s="88">
        <v>4</v>
      </c>
      <c r="G27" s="89">
        <f t="shared" si="6"/>
        <v>-5</v>
      </c>
      <c r="J27" s="88">
        <v>4</v>
      </c>
      <c r="K27" s="88">
        <f t="shared" si="8"/>
        <v>200</v>
      </c>
      <c r="N27" s="94">
        <v>0.04</v>
      </c>
      <c r="O27" s="93">
        <v>1365.4321731161463</v>
      </c>
      <c r="P27" s="93">
        <v>1273.3742131986255</v>
      </c>
      <c r="Q27" s="93">
        <f t="shared" si="7"/>
        <v>92.057959917520748</v>
      </c>
    </row>
    <row r="28" spans="2:17" x14ac:dyDescent="0.15">
      <c r="F28" s="88">
        <v>5</v>
      </c>
      <c r="G28" s="89">
        <f t="shared" si="6"/>
        <v>-5</v>
      </c>
      <c r="J28" s="88">
        <v>5</v>
      </c>
      <c r="K28" s="88">
        <f t="shared" si="8"/>
        <v>200</v>
      </c>
      <c r="N28" s="95">
        <v>0.05</v>
      </c>
      <c r="O28" s="91">
        <v>1066.7388379277327</v>
      </c>
      <c r="P28" s="91">
        <v>1025.2088576558494</v>
      </c>
      <c r="Q28" s="91">
        <f t="shared" si="7"/>
        <v>41.529980271883232</v>
      </c>
    </row>
    <row r="29" spans="2:17" x14ac:dyDescent="0.15">
      <c r="F29" s="88">
        <v>6</v>
      </c>
      <c r="G29" s="89">
        <f t="shared" si="6"/>
        <v>-5</v>
      </c>
      <c r="J29" s="88">
        <v>6</v>
      </c>
      <c r="K29" s="88">
        <f t="shared" si="8"/>
        <v>200</v>
      </c>
      <c r="N29" s="95">
        <v>0.06</v>
      </c>
      <c r="O29" s="91">
        <v>797.31144238433171</v>
      </c>
      <c r="P29" s="91">
        <v>799.67372904149533</v>
      </c>
      <c r="Q29" s="91">
        <f t="shared" si="7"/>
        <v>-2.3622866571636223</v>
      </c>
    </row>
    <row r="30" spans="2:17" x14ac:dyDescent="0.15">
      <c r="F30" s="88">
        <v>7</v>
      </c>
      <c r="G30" s="89">
        <f t="shared" si="6"/>
        <v>-5</v>
      </c>
      <c r="J30" s="88">
        <v>7</v>
      </c>
      <c r="K30" s="88">
        <f t="shared" si="8"/>
        <v>200</v>
      </c>
      <c r="N30" s="94">
        <v>7.0000000000000007E-2</v>
      </c>
      <c r="O30" s="93">
        <v>554.29949064968559</v>
      </c>
      <c r="P30" s="93">
        <v>594.44946635064525</v>
      </c>
      <c r="Q30" s="93">
        <f t="shared" si="7"/>
        <v>-40.149975700959658</v>
      </c>
    </row>
    <row r="31" spans="2:17" x14ac:dyDescent="0.15">
      <c r="F31" s="88">
        <v>8</v>
      </c>
      <c r="G31" s="89">
        <f t="shared" si="6"/>
        <v>-5</v>
      </c>
      <c r="J31" s="88">
        <v>8</v>
      </c>
      <c r="K31" s="88">
        <f t="shared" si="8"/>
        <v>200</v>
      </c>
      <c r="N31" s="94">
        <v>0.08</v>
      </c>
      <c r="O31" s="93">
        <v>335.1307642042043</v>
      </c>
      <c r="P31" s="93">
        <v>407.47656494392277</v>
      </c>
      <c r="Q31" s="93">
        <f t="shared" si="7"/>
        <v>-72.34580073971847</v>
      </c>
    </row>
    <row r="32" spans="2:17" x14ac:dyDescent="0.15">
      <c r="F32" s="88">
        <v>9</v>
      </c>
      <c r="G32" s="89">
        <f t="shared" si="6"/>
        <v>-5</v>
      </c>
      <c r="J32" s="88">
        <v>9</v>
      </c>
      <c r="K32" s="88">
        <f t="shared" si="8"/>
        <v>200</v>
      </c>
      <c r="N32" s="94">
        <v>0.09</v>
      </c>
      <c r="O32" s="93">
        <v>137.48402288399666</v>
      </c>
      <c r="P32" s="93">
        <v>236.92400137459254</v>
      </c>
      <c r="Q32" s="93">
        <f t="shared" si="7"/>
        <v>-99.439978490595877</v>
      </c>
    </row>
    <row r="33" spans="6:17" x14ac:dyDescent="0.15">
      <c r="F33" s="88">
        <v>10</v>
      </c>
      <c r="G33" s="89">
        <f t="shared" si="6"/>
        <v>-5</v>
      </c>
      <c r="J33" s="88">
        <v>10</v>
      </c>
      <c r="K33" s="88">
        <f>$C$18+C19</f>
        <v>3000</v>
      </c>
      <c r="N33" s="94">
        <v>0.1</v>
      </c>
      <c r="O33" s="93">
        <v>-40.735600257501801</v>
      </c>
      <c r="P33" s="93">
        <v>81.161904270896684</v>
      </c>
      <c r="Q33" s="93">
        <f t="shared" si="7"/>
        <v>-121.89750452839849</v>
      </c>
    </row>
    <row r="34" spans="6:17" x14ac:dyDescent="0.15">
      <c r="F34" s="88">
        <v>11</v>
      </c>
      <c r="G34" s="89">
        <f t="shared" si="6"/>
        <v>-5</v>
      </c>
      <c r="N34" s="94">
        <v>0.11</v>
      </c>
      <c r="O34" s="93">
        <v>-201.41877778217281</v>
      </c>
      <c r="P34" s="93">
        <v>-61.262282428476738</v>
      </c>
      <c r="Q34" s="93">
        <f t="shared" si="7"/>
        <v>-140.15649535369607</v>
      </c>
    </row>
    <row r="35" spans="6:17" x14ac:dyDescent="0.15">
      <c r="F35" s="88">
        <v>12</v>
      </c>
      <c r="G35" s="89">
        <f t="shared" si="6"/>
        <v>-5</v>
      </c>
      <c r="N35" s="94">
        <v>0.12</v>
      </c>
      <c r="O35" s="93">
        <v>-346.27198116604836</v>
      </c>
      <c r="P35" s="93">
        <v>-191.6446175781648</v>
      </c>
      <c r="Q35" s="93">
        <f t="shared" si="7"/>
        <v>-154.62736358788356</v>
      </c>
    </row>
    <row r="36" spans="6:17" x14ac:dyDescent="0.15">
      <c r="F36" s="88">
        <v>13</v>
      </c>
      <c r="G36" s="89">
        <f t="shared" si="6"/>
        <v>-5</v>
      </c>
      <c r="N36" s="94">
        <v>0.13</v>
      </c>
      <c r="O36" s="93">
        <v>-476.83550528938963</v>
      </c>
      <c r="P36" s="93">
        <v>-311.14286810936869</v>
      </c>
      <c r="Q36" s="93">
        <f t="shared" si="7"/>
        <v>-165.69263718002094</v>
      </c>
    </row>
    <row r="37" spans="6:17" x14ac:dyDescent="0.15">
      <c r="F37" s="88">
        <v>14</v>
      </c>
      <c r="G37" s="89">
        <f t="shared" si="6"/>
        <v>-5</v>
      </c>
      <c r="N37" s="94">
        <v>0.14000000000000001</v>
      </c>
      <c r="O37" s="93">
        <v>-594.49971920849475</v>
      </c>
      <c r="P37" s="93">
        <v>-420.7924497024037</v>
      </c>
      <c r="Q37" s="93">
        <f t="shared" si="7"/>
        <v>-173.70726950609105</v>
      </c>
    </row>
    <row r="38" spans="6:17" x14ac:dyDescent="0.15">
      <c r="F38" s="88">
        <v>15</v>
      </c>
      <c r="G38" s="89">
        <f t="shared" si="6"/>
        <v>-5</v>
      </c>
      <c r="N38" s="94">
        <v>0.15</v>
      </c>
      <c r="O38" s="93">
        <v>-700.51971884312275</v>
      </c>
      <c r="P38" s="93">
        <v>-521.52040203575575</v>
      </c>
      <c r="Q38" s="93">
        <f t="shared" si="7"/>
        <v>-178.99931680736699</v>
      </c>
    </row>
    <row r="39" spans="6:17" x14ac:dyDescent="0.15">
      <c r="F39" s="88">
        <v>16</v>
      </c>
      <c r="G39" s="89">
        <f t="shared" si="6"/>
        <v>-5</v>
      </c>
    </row>
    <row r="40" spans="6:17" x14ac:dyDescent="0.15">
      <c r="F40" s="88">
        <v>17</v>
      </c>
      <c r="G40" s="89">
        <f t="shared" si="6"/>
        <v>-5</v>
      </c>
      <c r="N40" s="92">
        <f>N28+($Q$40-$Q$28)/($Q$29-$Q$28)*(N29-N28)</f>
        <v>5.9461798894784285E-2</v>
      </c>
      <c r="O40" s="91">
        <f>O28+($Q$40-$Q$28)/($Q$29-$Q$28)*(O29-O28)</f>
        <v>811.81205459001671</v>
      </c>
      <c r="P40" s="91">
        <f>P28+($Q$40-$Q$28)/($Q$29-$Q$28)*(P29-P28)</f>
        <v>811.81205459001671</v>
      </c>
      <c r="Q40" s="90">
        <v>0</v>
      </c>
    </row>
    <row r="41" spans="6:17" x14ac:dyDescent="0.15">
      <c r="F41" s="88">
        <v>18</v>
      </c>
      <c r="G41" s="89">
        <f t="shared" si="6"/>
        <v>-5</v>
      </c>
    </row>
    <row r="42" spans="6:17" x14ac:dyDescent="0.15">
      <c r="F42" s="88">
        <v>19</v>
      </c>
      <c r="G42" s="89">
        <f t="shared" si="6"/>
        <v>-5</v>
      </c>
    </row>
    <row r="43" spans="6:17" x14ac:dyDescent="0.15">
      <c r="F43" s="88">
        <v>20</v>
      </c>
      <c r="G43" s="89">
        <f t="shared" si="6"/>
        <v>-5</v>
      </c>
    </row>
    <row r="44" spans="6:17" x14ac:dyDescent="0.15">
      <c r="F44" s="88">
        <v>21</v>
      </c>
      <c r="G44" s="89">
        <f t="shared" si="6"/>
        <v>-5</v>
      </c>
    </row>
    <row r="45" spans="6:17" x14ac:dyDescent="0.15">
      <c r="F45" s="88">
        <v>22</v>
      </c>
      <c r="G45" s="89">
        <f t="shared" si="6"/>
        <v>-5</v>
      </c>
    </row>
    <row r="46" spans="6:17" x14ac:dyDescent="0.15">
      <c r="F46" s="88">
        <v>23</v>
      </c>
      <c r="G46" s="89">
        <f t="shared" si="6"/>
        <v>-5</v>
      </c>
    </row>
    <row r="47" spans="6:17" x14ac:dyDescent="0.15">
      <c r="F47" s="88">
        <v>24</v>
      </c>
      <c r="G47" s="89">
        <f t="shared" si="6"/>
        <v>-5</v>
      </c>
    </row>
    <row r="48" spans="6:17" x14ac:dyDescent="0.15">
      <c r="F48" s="88">
        <v>25</v>
      </c>
      <c r="G48" s="89">
        <f t="shared" si="6"/>
        <v>-5</v>
      </c>
    </row>
    <row r="49" spans="6:7" x14ac:dyDescent="0.15">
      <c r="F49" s="88">
        <v>26</v>
      </c>
      <c r="G49" s="89">
        <f t="shared" si="6"/>
        <v>-5</v>
      </c>
    </row>
    <row r="50" spans="6:7" x14ac:dyDescent="0.15">
      <c r="F50" s="88">
        <v>27</v>
      </c>
      <c r="G50" s="89">
        <f t="shared" si="6"/>
        <v>-5</v>
      </c>
    </row>
    <row r="51" spans="6:7" x14ac:dyDescent="0.15">
      <c r="F51" s="88">
        <v>28</v>
      </c>
      <c r="G51" s="89">
        <f t="shared" si="6"/>
        <v>-5</v>
      </c>
    </row>
    <row r="52" spans="6:7" x14ac:dyDescent="0.15">
      <c r="F52" s="88">
        <v>29</v>
      </c>
      <c r="G52" s="89">
        <f t="shared" si="6"/>
        <v>-5</v>
      </c>
    </row>
    <row r="53" spans="6:7" x14ac:dyDescent="0.15">
      <c r="F53" s="88">
        <v>30</v>
      </c>
      <c r="G53" s="89">
        <f t="shared" si="6"/>
        <v>-5</v>
      </c>
    </row>
    <row r="54" spans="6:7" x14ac:dyDescent="0.15">
      <c r="F54" s="88">
        <v>31</v>
      </c>
      <c r="G54" s="89">
        <f t="shared" si="6"/>
        <v>-5</v>
      </c>
    </row>
    <row r="55" spans="6:7" x14ac:dyDescent="0.15">
      <c r="F55" s="88">
        <v>32</v>
      </c>
      <c r="G55" s="89">
        <f t="shared" si="6"/>
        <v>-5</v>
      </c>
    </row>
    <row r="56" spans="6:7" x14ac:dyDescent="0.15">
      <c r="F56" s="88">
        <v>33</v>
      </c>
      <c r="G56" s="89">
        <f t="shared" ref="G56:G87" si="9">-$C$10</f>
        <v>-5</v>
      </c>
    </row>
    <row r="57" spans="6:7" x14ac:dyDescent="0.15">
      <c r="F57" s="88">
        <v>34</v>
      </c>
      <c r="G57" s="89">
        <f t="shared" si="9"/>
        <v>-5</v>
      </c>
    </row>
    <row r="58" spans="6:7" x14ac:dyDescent="0.15">
      <c r="F58" s="88">
        <v>35</v>
      </c>
      <c r="G58" s="89">
        <f t="shared" si="9"/>
        <v>-5</v>
      </c>
    </row>
    <row r="59" spans="6:7" x14ac:dyDescent="0.15">
      <c r="F59" s="88">
        <v>36</v>
      </c>
      <c r="G59" s="89">
        <f t="shared" si="9"/>
        <v>-5</v>
      </c>
    </row>
    <row r="60" spans="6:7" x14ac:dyDescent="0.15">
      <c r="F60" s="88">
        <v>37</v>
      </c>
      <c r="G60" s="89">
        <f t="shared" si="9"/>
        <v>-5</v>
      </c>
    </row>
    <row r="61" spans="6:7" x14ac:dyDescent="0.15">
      <c r="F61" s="88">
        <v>38</v>
      </c>
      <c r="G61" s="89">
        <f t="shared" si="9"/>
        <v>-5</v>
      </c>
    </row>
    <row r="62" spans="6:7" x14ac:dyDescent="0.15">
      <c r="F62" s="88">
        <v>39</v>
      </c>
      <c r="G62" s="89">
        <f t="shared" si="9"/>
        <v>-5</v>
      </c>
    </row>
    <row r="63" spans="6:7" x14ac:dyDescent="0.15">
      <c r="F63" s="88">
        <v>40</v>
      </c>
      <c r="G63" s="89">
        <f t="shared" si="9"/>
        <v>-5</v>
      </c>
    </row>
    <row r="64" spans="6:7" x14ac:dyDescent="0.15">
      <c r="F64" s="88">
        <v>41</v>
      </c>
      <c r="G64" s="89">
        <f t="shared" si="9"/>
        <v>-5</v>
      </c>
    </row>
    <row r="65" spans="6:7" x14ac:dyDescent="0.15">
      <c r="F65" s="88">
        <v>42</v>
      </c>
      <c r="G65" s="89">
        <f t="shared" si="9"/>
        <v>-5</v>
      </c>
    </row>
    <row r="66" spans="6:7" x14ac:dyDescent="0.15">
      <c r="F66" s="88">
        <v>43</v>
      </c>
      <c r="G66" s="89">
        <f t="shared" si="9"/>
        <v>-5</v>
      </c>
    </row>
    <row r="67" spans="6:7" x14ac:dyDescent="0.15">
      <c r="F67" s="88">
        <v>44</v>
      </c>
      <c r="G67" s="89">
        <f t="shared" si="9"/>
        <v>-5</v>
      </c>
    </row>
    <row r="68" spans="6:7" x14ac:dyDescent="0.15">
      <c r="F68" s="88">
        <v>45</v>
      </c>
      <c r="G68" s="89">
        <f t="shared" si="9"/>
        <v>-5</v>
      </c>
    </row>
    <row r="69" spans="6:7" x14ac:dyDescent="0.15">
      <c r="F69" s="88">
        <v>46</v>
      </c>
      <c r="G69" s="89">
        <f t="shared" si="9"/>
        <v>-5</v>
      </c>
    </row>
    <row r="70" spans="6:7" x14ac:dyDescent="0.15">
      <c r="F70" s="88">
        <v>47</v>
      </c>
      <c r="G70" s="89">
        <f t="shared" si="9"/>
        <v>-5</v>
      </c>
    </row>
    <row r="71" spans="6:7" x14ac:dyDescent="0.15">
      <c r="F71" s="88">
        <v>48</v>
      </c>
      <c r="G71" s="89">
        <f t="shared" si="9"/>
        <v>-5</v>
      </c>
    </row>
    <row r="72" spans="6:7" x14ac:dyDescent="0.15">
      <c r="F72" s="88">
        <v>49</v>
      </c>
      <c r="G72" s="89">
        <f t="shared" si="9"/>
        <v>-5</v>
      </c>
    </row>
    <row r="73" spans="6:7" x14ac:dyDescent="0.15">
      <c r="F73" s="88">
        <v>50</v>
      </c>
      <c r="G73" s="89">
        <f t="shared" si="9"/>
        <v>-5</v>
      </c>
    </row>
    <row r="74" spans="6:7" x14ac:dyDescent="0.15">
      <c r="F74" s="88">
        <v>51</v>
      </c>
      <c r="G74" s="89">
        <f t="shared" si="9"/>
        <v>-5</v>
      </c>
    </row>
    <row r="75" spans="6:7" x14ac:dyDescent="0.15">
      <c r="F75" s="88">
        <v>52</v>
      </c>
      <c r="G75" s="89">
        <f t="shared" si="9"/>
        <v>-5</v>
      </c>
    </row>
    <row r="76" spans="6:7" x14ac:dyDescent="0.15">
      <c r="F76" s="88">
        <v>53</v>
      </c>
      <c r="G76" s="89">
        <f t="shared" si="9"/>
        <v>-5</v>
      </c>
    </row>
    <row r="77" spans="6:7" x14ac:dyDescent="0.15">
      <c r="F77" s="88">
        <v>54</v>
      </c>
      <c r="G77" s="89">
        <f t="shared" si="9"/>
        <v>-5</v>
      </c>
    </row>
    <row r="78" spans="6:7" x14ac:dyDescent="0.15">
      <c r="F78" s="88">
        <v>55</v>
      </c>
      <c r="G78" s="89">
        <f t="shared" si="9"/>
        <v>-5</v>
      </c>
    </row>
    <row r="79" spans="6:7" x14ac:dyDescent="0.15">
      <c r="F79" s="88">
        <v>56</v>
      </c>
      <c r="G79" s="89">
        <f t="shared" si="9"/>
        <v>-5</v>
      </c>
    </row>
    <row r="80" spans="6:7" x14ac:dyDescent="0.15">
      <c r="F80" s="88">
        <v>57</v>
      </c>
      <c r="G80" s="89">
        <f t="shared" si="9"/>
        <v>-5</v>
      </c>
    </row>
    <row r="81" spans="6:7" x14ac:dyDescent="0.15">
      <c r="F81" s="88">
        <v>58</v>
      </c>
      <c r="G81" s="89">
        <f t="shared" si="9"/>
        <v>-5</v>
      </c>
    </row>
    <row r="82" spans="6:7" x14ac:dyDescent="0.15">
      <c r="F82" s="88">
        <v>59</v>
      </c>
      <c r="G82" s="89">
        <f t="shared" si="9"/>
        <v>-5</v>
      </c>
    </row>
    <row r="83" spans="6:7" x14ac:dyDescent="0.15">
      <c r="F83" s="88">
        <v>60</v>
      </c>
      <c r="G83" s="89">
        <f t="shared" si="9"/>
        <v>-5</v>
      </c>
    </row>
    <row r="84" spans="6:7" x14ac:dyDescent="0.15">
      <c r="F84" s="88">
        <v>61</v>
      </c>
      <c r="G84" s="89">
        <f t="shared" si="9"/>
        <v>-5</v>
      </c>
    </row>
    <row r="85" spans="6:7" x14ac:dyDescent="0.15">
      <c r="F85" s="88">
        <v>62</v>
      </c>
      <c r="G85" s="89">
        <f t="shared" si="9"/>
        <v>-5</v>
      </c>
    </row>
    <row r="86" spans="6:7" x14ac:dyDescent="0.15">
      <c r="F86" s="88">
        <v>63</v>
      </c>
      <c r="G86" s="89">
        <f t="shared" si="9"/>
        <v>-5</v>
      </c>
    </row>
    <row r="87" spans="6:7" x14ac:dyDescent="0.15">
      <c r="F87" s="88">
        <v>64</v>
      </c>
      <c r="G87" s="89">
        <f t="shared" si="9"/>
        <v>-5</v>
      </c>
    </row>
    <row r="88" spans="6:7" x14ac:dyDescent="0.15">
      <c r="F88" s="88">
        <v>65</v>
      </c>
      <c r="G88" s="89">
        <f t="shared" ref="G88:G119" si="10">-$C$10</f>
        <v>-5</v>
      </c>
    </row>
    <row r="89" spans="6:7" x14ac:dyDescent="0.15">
      <c r="F89" s="88">
        <v>66</v>
      </c>
      <c r="G89" s="89">
        <f t="shared" si="10"/>
        <v>-5</v>
      </c>
    </row>
    <row r="90" spans="6:7" x14ac:dyDescent="0.15">
      <c r="F90" s="88">
        <v>67</v>
      </c>
      <c r="G90" s="89">
        <f t="shared" si="10"/>
        <v>-5</v>
      </c>
    </row>
    <row r="91" spans="6:7" x14ac:dyDescent="0.15">
      <c r="F91" s="88">
        <v>68</v>
      </c>
      <c r="G91" s="89">
        <f t="shared" si="10"/>
        <v>-5</v>
      </c>
    </row>
    <row r="92" spans="6:7" x14ac:dyDescent="0.15">
      <c r="F92" s="88">
        <v>69</v>
      </c>
      <c r="G92" s="89">
        <f t="shared" si="10"/>
        <v>-5</v>
      </c>
    </row>
    <row r="93" spans="6:7" x14ac:dyDescent="0.15">
      <c r="F93" s="88">
        <v>70</v>
      </c>
      <c r="G93" s="89">
        <f t="shared" si="10"/>
        <v>-5</v>
      </c>
    </row>
    <row r="94" spans="6:7" x14ac:dyDescent="0.15">
      <c r="F94" s="88">
        <v>71</v>
      </c>
      <c r="G94" s="89">
        <f t="shared" si="10"/>
        <v>-5</v>
      </c>
    </row>
    <row r="95" spans="6:7" x14ac:dyDescent="0.15">
      <c r="F95" s="88">
        <v>72</v>
      </c>
      <c r="G95" s="89">
        <f t="shared" si="10"/>
        <v>-5</v>
      </c>
    </row>
    <row r="96" spans="6:7" x14ac:dyDescent="0.15">
      <c r="F96" s="88">
        <v>73</v>
      </c>
      <c r="G96" s="89">
        <f t="shared" si="10"/>
        <v>-5</v>
      </c>
    </row>
    <row r="97" spans="6:7" x14ac:dyDescent="0.15">
      <c r="F97" s="88">
        <v>74</v>
      </c>
      <c r="G97" s="89">
        <f t="shared" si="10"/>
        <v>-5</v>
      </c>
    </row>
    <row r="98" spans="6:7" x14ac:dyDescent="0.15">
      <c r="F98" s="88">
        <v>75</v>
      </c>
      <c r="G98" s="89">
        <f t="shared" si="10"/>
        <v>-5</v>
      </c>
    </row>
    <row r="99" spans="6:7" x14ac:dyDescent="0.15">
      <c r="F99" s="88">
        <v>76</v>
      </c>
      <c r="G99" s="89">
        <f t="shared" si="10"/>
        <v>-5</v>
      </c>
    </row>
    <row r="100" spans="6:7" x14ac:dyDescent="0.15">
      <c r="F100" s="88">
        <v>77</v>
      </c>
      <c r="G100" s="89">
        <f t="shared" si="10"/>
        <v>-5</v>
      </c>
    </row>
    <row r="101" spans="6:7" x14ac:dyDescent="0.15">
      <c r="F101" s="88">
        <v>78</v>
      </c>
      <c r="G101" s="89">
        <f t="shared" si="10"/>
        <v>-5</v>
      </c>
    </row>
    <row r="102" spans="6:7" x14ac:dyDescent="0.15">
      <c r="F102" s="88">
        <v>79</v>
      </c>
      <c r="G102" s="89">
        <f t="shared" si="10"/>
        <v>-5</v>
      </c>
    </row>
    <row r="103" spans="6:7" x14ac:dyDescent="0.15">
      <c r="F103" s="88">
        <v>80</v>
      </c>
      <c r="G103" s="89">
        <f t="shared" si="10"/>
        <v>-5</v>
      </c>
    </row>
    <row r="104" spans="6:7" x14ac:dyDescent="0.15">
      <c r="F104" s="88">
        <v>81</v>
      </c>
      <c r="G104" s="89">
        <f t="shared" si="10"/>
        <v>-5</v>
      </c>
    </row>
    <row r="105" spans="6:7" x14ac:dyDescent="0.15">
      <c r="F105" s="88">
        <v>82</v>
      </c>
      <c r="G105" s="89">
        <f t="shared" si="10"/>
        <v>-5</v>
      </c>
    </row>
    <row r="106" spans="6:7" x14ac:dyDescent="0.15">
      <c r="F106" s="88">
        <v>83</v>
      </c>
      <c r="G106" s="89">
        <f t="shared" si="10"/>
        <v>-5</v>
      </c>
    </row>
    <row r="107" spans="6:7" x14ac:dyDescent="0.15">
      <c r="F107" s="88">
        <v>84</v>
      </c>
      <c r="G107" s="89">
        <f t="shared" si="10"/>
        <v>-5</v>
      </c>
    </row>
    <row r="108" spans="6:7" x14ac:dyDescent="0.15">
      <c r="F108" s="88">
        <v>85</v>
      </c>
      <c r="G108" s="89">
        <f t="shared" si="10"/>
        <v>-5</v>
      </c>
    </row>
    <row r="109" spans="6:7" x14ac:dyDescent="0.15">
      <c r="F109" s="88">
        <v>86</v>
      </c>
      <c r="G109" s="89">
        <f t="shared" si="10"/>
        <v>-5</v>
      </c>
    </row>
    <row r="110" spans="6:7" x14ac:dyDescent="0.15">
      <c r="F110" s="88">
        <v>87</v>
      </c>
      <c r="G110" s="89">
        <f t="shared" si="10"/>
        <v>-5</v>
      </c>
    </row>
    <row r="111" spans="6:7" x14ac:dyDescent="0.15">
      <c r="F111" s="88">
        <v>88</v>
      </c>
      <c r="G111" s="89">
        <f t="shared" si="10"/>
        <v>-5</v>
      </c>
    </row>
    <row r="112" spans="6:7" x14ac:dyDescent="0.15">
      <c r="F112" s="88">
        <v>89</v>
      </c>
      <c r="G112" s="89">
        <f t="shared" si="10"/>
        <v>-5</v>
      </c>
    </row>
    <row r="113" spans="6:7" x14ac:dyDescent="0.15">
      <c r="F113" s="88">
        <v>90</v>
      </c>
      <c r="G113" s="89">
        <f t="shared" si="10"/>
        <v>-5</v>
      </c>
    </row>
    <row r="114" spans="6:7" x14ac:dyDescent="0.15">
      <c r="F114" s="88">
        <v>91</v>
      </c>
      <c r="G114" s="89">
        <f t="shared" si="10"/>
        <v>-5</v>
      </c>
    </row>
    <row r="115" spans="6:7" x14ac:dyDescent="0.15">
      <c r="F115" s="88">
        <v>92</v>
      </c>
      <c r="G115" s="89">
        <f t="shared" si="10"/>
        <v>-5</v>
      </c>
    </row>
    <row r="116" spans="6:7" x14ac:dyDescent="0.15">
      <c r="F116" s="88">
        <v>93</v>
      </c>
      <c r="G116" s="89">
        <f t="shared" si="10"/>
        <v>-5</v>
      </c>
    </row>
    <row r="117" spans="6:7" x14ac:dyDescent="0.15">
      <c r="F117" s="88">
        <v>94</v>
      </c>
      <c r="G117" s="89">
        <f t="shared" si="10"/>
        <v>-5</v>
      </c>
    </row>
    <row r="118" spans="6:7" x14ac:dyDescent="0.15">
      <c r="F118" s="88">
        <v>95</v>
      </c>
      <c r="G118" s="89">
        <f t="shared" si="10"/>
        <v>-5</v>
      </c>
    </row>
    <row r="119" spans="6:7" x14ac:dyDescent="0.15">
      <c r="F119" s="88">
        <v>96</v>
      </c>
      <c r="G119" s="89">
        <f t="shared" si="10"/>
        <v>-5</v>
      </c>
    </row>
    <row r="120" spans="6:7" x14ac:dyDescent="0.15">
      <c r="F120" s="88">
        <v>97</v>
      </c>
      <c r="G120" s="89">
        <f t="shared" ref="G120:G133" si="11">-$C$10</f>
        <v>-5</v>
      </c>
    </row>
    <row r="121" spans="6:7" x14ac:dyDescent="0.15">
      <c r="F121" s="88">
        <v>98</v>
      </c>
      <c r="G121" s="89">
        <f t="shared" si="11"/>
        <v>-5</v>
      </c>
    </row>
    <row r="122" spans="6:7" x14ac:dyDescent="0.15">
      <c r="F122" s="88">
        <v>99</v>
      </c>
      <c r="G122" s="89">
        <f t="shared" si="11"/>
        <v>-5</v>
      </c>
    </row>
    <row r="123" spans="6:7" x14ac:dyDescent="0.15">
      <c r="F123" s="88">
        <v>100</v>
      </c>
      <c r="G123" s="89">
        <f t="shared" si="11"/>
        <v>-5</v>
      </c>
    </row>
    <row r="124" spans="6:7" x14ac:dyDescent="0.15">
      <c r="F124" s="88">
        <v>101</v>
      </c>
      <c r="G124" s="89">
        <f t="shared" si="11"/>
        <v>-5</v>
      </c>
    </row>
    <row r="125" spans="6:7" x14ac:dyDescent="0.15">
      <c r="F125" s="88">
        <v>102</v>
      </c>
      <c r="G125" s="89">
        <f t="shared" si="11"/>
        <v>-5</v>
      </c>
    </row>
    <row r="126" spans="6:7" x14ac:dyDescent="0.15">
      <c r="F126" s="88">
        <v>103</v>
      </c>
      <c r="G126" s="89">
        <f t="shared" si="11"/>
        <v>-5</v>
      </c>
    </row>
    <row r="127" spans="6:7" x14ac:dyDescent="0.15">
      <c r="F127" s="88">
        <v>104</v>
      </c>
      <c r="G127" s="89">
        <f t="shared" si="11"/>
        <v>-5</v>
      </c>
    </row>
    <row r="128" spans="6:7" x14ac:dyDescent="0.15">
      <c r="F128" s="88">
        <v>105</v>
      </c>
      <c r="G128" s="89">
        <f t="shared" si="11"/>
        <v>-5</v>
      </c>
    </row>
    <row r="129" spans="6:7" x14ac:dyDescent="0.15">
      <c r="F129" s="88">
        <v>106</v>
      </c>
      <c r="G129" s="89">
        <f t="shared" si="11"/>
        <v>-5</v>
      </c>
    </row>
    <row r="130" spans="6:7" x14ac:dyDescent="0.15">
      <c r="F130" s="88">
        <v>107</v>
      </c>
      <c r="G130" s="89">
        <f t="shared" si="11"/>
        <v>-5</v>
      </c>
    </row>
    <row r="131" spans="6:7" x14ac:dyDescent="0.15">
      <c r="F131" s="88">
        <v>108</v>
      </c>
      <c r="G131" s="89">
        <f t="shared" si="11"/>
        <v>-5</v>
      </c>
    </row>
    <row r="132" spans="6:7" x14ac:dyDescent="0.15">
      <c r="F132" s="88">
        <v>109</v>
      </c>
      <c r="G132" s="89">
        <f t="shared" si="11"/>
        <v>-5</v>
      </c>
    </row>
    <row r="133" spans="6:7" x14ac:dyDescent="0.15">
      <c r="F133" s="88">
        <v>110</v>
      </c>
      <c r="G133" s="89">
        <f t="shared" si="11"/>
        <v>-5</v>
      </c>
    </row>
    <row r="134" spans="6:7" x14ac:dyDescent="0.15">
      <c r="F134" s="88">
        <v>111</v>
      </c>
      <c r="G134" s="89">
        <v>0</v>
      </c>
    </row>
    <row r="135" spans="6:7" x14ac:dyDescent="0.15">
      <c r="F135" s="88">
        <v>112</v>
      </c>
      <c r="G135" s="89">
        <v>0</v>
      </c>
    </row>
    <row r="136" spans="6:7" x14ac:dyDescent="0.15">
      <c r="F136" s="88">
        <v>113</v>
      </c>
      <c r="G136" s="89">
        <v>0</v>
      </c>
    </row>
    <row r="137" spans="6:7" x14ac:dyDescent="0.15">
      <c r="F137" s="88">
        <v>114</v>
      </c>
      <c r="G137" s="89">
        <v>0</v>
      </c>
    </row>
    <row r="138" spans="6:7" x14ac:dyDescent="0.15">
      <c r="F138" s="88">
        <v>115</v>
      </c>
      <c r="G138" s="89">
        <v>0</v>
      </c>
    </row>
    <row r="139" spans="6:7" x14ac:dyDescent="0.15">
      <c r="F139" s="88">
        <v>116</v>
      </c>
      <c r="G139" s="89">
        <v>0</v>
      </c>
    </row>
    <row r="140" spans="6:7" x14ac:dyDescent="0.15">
      <c r="F140" s="88">
        <v>117</v>
      </c>
      <c r="G140" s="89">
        <v>0</v>
      </c>
    </row>
    <row r="141" spans="6:7" x14ac:dyDescent="0.15">
      <c r="F141" s="88">
        <v>118</v>
      </c>
      <c r="G141" s="89">
        <v>0</v>
      </c>
    </row>
    <row r="142" spans="6:7" x14ac:dyDescent="0.15">
      <c r="F142" s="88">
        <v>119</v>
      </c>
      <c r="G142" s="89">
        <v>0</v>
      </c>
    </row>
    <row r="143" spans="6:7" x14ac:dyDescent="0.15">
      <c r="F143" s="88">
        <v>120</v>
      </c>
      <c r="G143" s="89">
        <f>C9</f>
        <v>5000</v>
      </c>
    </row>
  </sheetData>
  <mergeCells count="1">
    <mergeCell ref="G4:J4"/>
  </mergeCells>
  <phoneticPr fontId="1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1"/>
  <sheetViews>
    <sheetView workbookViewId="0">
      <selection activeCell="M25" sqref="M25"/>
    </sheetView>
  </sheetViews>
  <sheetFormatPr defaultColWidth="8.875" defaultRowHeight="13.5" x14ac:dyDescent="0.15"/>
  <cols>
    <col min="1" max="1" width="4.375" style="83" customWidth="1"/>
    <col min="2" max="2" width="16.625" style="83" bestFit="1" customWidth="1"/>
    <col min="3" max="16384" width="8.875" style="83"/>
  </cols>
  <sheetData>
    <row r="1" spans="2:7" x14ac:dyDescent="0.15">
      <c r="B1" s="28"/>
      <c r="C1" s="28"/>
      <c r="D1" s="28"/>
      <c r="E1" s="28"/>
      <c r="F1" s="28"/>
      <c r="G1" s="28"/>
    </row>
    <row r="2" spans="2:7" x14ac:dyDescent="0.15">
      <c r="C2" s="29" t="s">
        <v>207</v>
      </c>
      <c r="D2" s="29" t="s">
        <v>206</v>
      </c>
      <c r="E2" s="29" t="s">
        <v>205</v>
      </c>
      <c r="F2" s="28"/>
      <c r="G2" s="28"/>
    </row>
    <row r="3" spans="2:7" ht="14.25" x14ac:dyDescent="0.2">
      <c r="B3" s="29" t="s">
        <v>199</v>
      </c>
      <c r="C3" s="30">
        <v>25</v>
      </c>
      <c r="D3" s="30">
        <v>28</v>
      </c>
      <c r="E3" s="30">
        <v>16</v>
      </c>
      <c r="F3" s="28"/>
      <c r="G3" s="28"/>
    </row>
    <row r="4" spans="2:7" ht="14.25" x14ac:dyDescent="0.2">
      <c r="B4" s="29" t="s">
        <v>198</v>
      </c>
      <c r="C4" s="30">
        <v>24</v>
      </c>
      <c r="D4" s="30">
        <v>18</v>
      </c>
      <c r="E4" s="30">
        <v>15</v>
      </c>
      <c r="F4" s="28"/>
      <c r="G4" s="28"/>
    </row>
    <row r="5" spans="2:7" x14ac:dyDescent="0.15">
      <c r="B5" s="28"/>
      <c r="C5" s="28"/>
      <c r="D5" s="28"/>
      <c r="E5" s="28"/>
      <c r="F5" s="28"/>
      <c r="G5" s="28"/>
    </row>
    <row r="6" spans="2:7" x14ac:dyDescent="0.15">
      <c r="B6" s="28"/>
      <c r="C6" s="28"/>
      <c r="D6" s="28"/>
      <c r="E6" s="28"/>
      <c r="F6" s="28"/>
      <c r="G6" s="28"/>
    </row>
    <row r="7" spans="2:7" x14ac:dyDescent="0.15">
      <c r="C7" s="29" t="s">
        <v>204</v>
      </c>
      <c r="D7" s="29" t="s">
        <v>203</v>
      </c>
      <c r="E7" s="29" t="s">
        <v>202</v>
      </c>
      <c r="F7" s="29" t="s">
        <v>201</v>
      </c>
      <c r="G7" s="29" t="s">
        <v>200</v>
      </c>
    </row>
    <row r="8" spans="2:7" ht="14.25" x14ac:dyDescent="0.2">
      <c r="B8" s="29" t="s">
        <v>199</v>
      </c>
      <c r="C8" s="87">
        <v>55</v>
      </c>
      <c r="D8" s="87">
        <v>0</v>
      </c>
      <c r="E8" s="87">
        <v>24.999999999999993</v>
      </c>
      <c r="F8" s="86">
        <f>SUM(C8:E8)</f>
        <v>80</v>
      </c>
      <c r="G8" s="30">
        <v>90</v>
      </c>
    </row>
    <row r="9" spans="2:7" ht="14.25" x14ac:dyDescent="0.2">
      <c r="B9" s="29" t="s">
        <v>198</v>
      </c>
      <c r="C9" s="87">
        <v>0</v>
      </c>
      <c r="D9" s="87">
        <v>75</v>
      </c>
      <c r="E9" s="87">
        <v>24.999999999999996</v>
      </c>
      <c r="F9" s="86">
        <f>SUM(C9:E9)</f>
        <v>100</v>
      </c>
      <c r="G9" s="30">
        <v>100</v>
      </c>
    </row>
    <row r="10" spans="2:7" x14ac:dyDescent="0.15">
      <c r="B10" s="29" t="s">
        <v>197</v>
      </c>
      <c r="C10" s="86">
        <f>SUM(C8:C9)</f>
        <v>55</v>
      </c>
      <c r="D10" s="86">
        <f>SUM(D8:D9)</f>
        <v>75</v>
      </c>
      <c r="E10" s="86">
        <f>SUM(E8:E9)</f>
        <v>49.999999999999986</v>
      </c>
    </row>
    <row r="11" spans="2:7" ht="14.25" x14ac:dyDescent="0.2">
      <c r="B11" s="29" t="s">
        <v>196</v>
      </c>
      <c r="C11" s="30">
        <v>55</v>
      </c>
      <c r="D11" s="30">
        <v>75</v>
      </c>
      <c r="E11" s="30">
        <v>50</v>
      </c>
    </row>
    <row r="12" spans="2:7" x14ac:dyDescent="0.15">
      <c r="F12" s="29" t="s">
        <v>195</v>
      </c>
      <c r="G12" s="85">
        <f t="array" ref="G12">SUM(C3:E4*C8:E9)</f>
        <v>3500</v>
      </c>
    </row>
    <row r="14" spans="2:7" x14ac:dyDescent="0.15">
      <c r="F14" s="84"/>
    </row>
    <row r="15" spans="2:7" x14ac:dyDescent="0.15">
      <c r="B15" s="83">
        <f>MIN($G$12)</f>
        <v>3500</v>
      </c>
    </row>
    <row r="16" spans="2:7" x14ac:dyDescent="0.15">
      <c r="B16" s="83">
        <f>COUNT($C$8:$E$9)</f>
        <v>6</v>
      </c>
    </row>
    <row r="17" spans="2:2" x14ac:dyDescent="0.15">
      <c r="B17" s="83" t="b">
        <f t="array" ref="B17">$C$10:$E$10=$C$11:$E$11</f>
        <v>1</v>
      </c>
    </row>
    <row r="18" spans="2:2" x14ac:dyDescent="0.15">
      <c r="B18" s="83" t="b">
        <f t="array" ref="B18">$C$8:$E$9&gt;=0</f>
        <v>1</v>
      </c>
    </row>
    <row r="19" spans="2:2" x14ac:dyDescent="0.15">
      <c r="B19" s="83" t="b">
        <f t="array" ref="B19">$F$8:$F$9&lt;=$G$8:$G$9</f>
        <v>1</v>
      </c>
    </row>
    <row r="20" spans="2:2" x14ac:dyDescent="0.15">
      <c r="B20" s="83">
        <f>{32767,32767,0.000001,0.01,FALSE,FALSE,TRUE,1,1,1,0.0001,TRUE}</f>
        <v>32767</v>
      </c>
    </row>
    <row r="21" spans="2:2" x14ac:dyDescent="0.15">
      <c r="B21" s="83">
        <f>{0,0,1,100,0,FALSE,TRUE,0.075,0,0,FALSE,30}</f>
        <v>0</v>
      </c>
    </row>
  </sheetData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1014"/>
  <sheetViews>
    <sheetView tabSelected="1" workbookViewId="0">
      <selection activeCell="F7" sqref="F7"/>
    </sheetView>
  </sheetViews>
  <sheetFormatPr defaultColWidth="8.875" defaultRowHeight="13.5" x14ac:dyDescent="0.15"/>
  <cols>
    <col min="1" max="1" width="4.75" style="58" customWidth="1"/>
    <col min="2" max="2" width="21.25" style="58" customWidth="1"/>
    <col min="3" max="4" width="9.5" style="58" customWidth="1"/>
    <col min="5" max="5" width="8.875" style="58"/>
    <col min="6" max="6" width="17.625" style="58" customWidth="1"/>
    <col min="7" max="16384" width="8.875" style="58"/>
  </cols>
  <sheetData>
    <row r="2" spans="1:12" ht="33.75" x14ac:dyDescent="0.15">
      <c r="B2" s="82" t="s">
        <v>194</v>
      </c>
      <c r="C2" s="82"/>
      <c r="D2" s="82"/>
      <c r="E2" s="82"/>
      <c r="F2" s="82"/>
      <c r="G2" s="82"/>
    </row>
    <row r="4" spans="1:12" x14ac:dyDescent="0.15">
      <c r="B4" s="63" t="s">
        <v>193</v>
      </c>
      <c r="C4" s="81">
        <v>100</v>
      </c>
    </row>
    <row r="5" spans="1:12" x14ac:dyDescent="0.15">
      <c r="B5" s="63" t="s">
        <v>192</v>
      </c>
      <c r="C5" s="80">
        <v>100</v>
      </c>
    </row>
    <row r="7" spans="1:12" ht="14.25" x14ac:dyDescent="0.15">
      <c r="B7" s="63" t="s">
        <v>191</v>
      </c>
      <c r="C7" s="79">
        <f>1-C8</f>
        <v>0.7</v>
      </c>
    </row>
    <row r="8" spans="1:12" x14ac:dyDescent="0.15">
      <c r="A8" s="58">
        <v>30</v>
      </c>
      <c r="B8" s="63" t="s">
        <v>190</v>
      </c>
      <c r="C8" s="78">
        <f>A8/100</f>
        <v>0.3</v>
      </c>
    </row>
    <row r="10" spans="1:12" ht="14.25" x14ac:dyDescent="0.15">
      <c r="B10" s="63" t="s">
        <v>189</v>
      </c>
      <c r="C10" s="74">
        <f ca="1">ROUND(RANDBETWEEN(1,C4)*C7+RANDBETWEEN(1,C5)*C8,0)</f>
        <v>35</v>
      </c>
    </row>
    <row r="12" spans="1:12" x14ac:dyDescent="0.15">
      <c r="B12" s="69" t="s">
        <v>188</v>
      </c>
      <c r="C12" s="69" t="s">
        <v>177</v>
      </c>
      <c r="D12" s="69" t="s">
        <v>176</v>
      </c>
    </row>
    <row r="13" spans="1:12" x14ac:dyDescent="0.15">
      <c r="B13" s="69">
        <v>0</v>
      </c>
      <c r="C13" s="69">
        <f t="array" ref="C13:C33">FREQUENCY($I$15:$I$1014,B13:B33)</f>
        <v>0</v>
      </c>
      <c r="D13" s="68">
        <f t="shared" ref="D13:D33" si="0">C13/$C$59</f>
        <v>0</v>
      </c>
    </row>
    <row r="14" spans="1:12" x14ac:dyDescent="0.15">
      <c r="B14" s="69">
        <v>5</v>
      </c>
      <c r="C14" s="69">
        <v>9</v>
      </c>
      <c r="D14" s="68">
        <f t="shared" si="0"/>
        <v>8.9999999999999993E-3</v>
      </c>
      <c r="H14" s="59"/>
      <c r="I14" s="59">
        <f ca="1">C10</f>
        <v>35</v>
      </c>
      <c r="K14" s="59"/>
      <c r="L14" s="59">
        <f ca="1">C39</f>
        <v>83</v>
      </c>
    </row>
    <row r="15" spans="1:12" x14ac:dyDescent="0.15">
      <c r="B15" s="69">
        <v>10</v>
      </c>
      <c r="C15" s="69">
        <v>21</v>
      </c>
      <c r="D15" s="68">
        <f t="shared" si="0"/>
        <v>2.1000000000000001E-2</v>
      </c>
      <c r="H15" s="59">
        <v>1</v>
      </c>
      <c r="I15" s="59">
        <f t="dataTable" ref="I15:I1014" dt2D="0" dtr="0" r1="J2" ca="1"/>
        <v>68</v>
      </c>
      <c r="K15" s="59">
        <v>1</v>
      </c>
      <c r="L15" s="59">
        <f t="dataTable" ref="L15:L1014" dt2D="0" dtr="0" r1="K11" ca="1"/>
        <v>79.5</v>
      </c>
    </row>
    <row r="16" spans="1:12" x14ac:dyDescent="0.15">
      <c r="B16" s="69">
        <v>15</v>
      </c>
      <c r="C16" s="69">
        <v>32</v>
      </c>
      <c r="D16" s="68">
        <f t="shared" si="0"/>
        <v>3.2000000000000001E-2</v>
      </c>
      <c r="H16" s="59">
        <v>2</v>
      </c>
      <c r="I16" s="59">
        <v>58</v>
      </c>
      <c r="K16" s="59">
        <v>2</v>
      </c>
      <c r="L16" s="59">
        <v>72</v>
      </c>
    </row>
    <row r="17" spans="1:12" x14ac:dyDescent="0.15">
      <c r="B17" s="69">
        <v>20</v>
      </c>
      <c r="C17" s="69">
        <v>50</v>
      </c>
      <c r="D17" s="68">
        <f t="shared" si="0"/>
        <v>0.05</v>
      </c>
      <c r="H17" s="59">
        <v>3</v>
      </c>
      <c r="I17" s="59">
        <v>53</v>
      </c>
      <c r="K17" s="59">
        <v>3</v>
      </c>
      <c r="L17" s="59">
        <v>78</v>
      </c>
    </row>
    <row r="18" spans="1:12" x14ac:dyDescent="0.15">
      <c r="A18" s="77"/>
      <c r="B18" s="69">
        <v>25</v>
      </c>
      <c r="C18" s="69">
        <v>50</v>
      </c>
      <c r="D18" s="68">
        <f t="shared" si="0"/>
        <v>0.05</v>
      </c>
      <c r="H18" s="59">
        <v>4</v>
      </c>
      <c r="I18" s="59">
        <v>46</v>
      </c>
      <c r="K18" s="59">
        <v>4</v>
      </c>
      <c r="L18" s="59">
        <v>74</v>
      </c>
    </row>
    <row r="19" spans="1:12" x14ac:dyDescent="0.15">
      <c r="A19" s="76"/>
      <c r="B19" s="69">
        <v>30</v>
      </c>
      <c r="C19" s="69">
        <v>66</v>
      </c>
      <c r="D19" s="68">
        <f t="shared" si="0"/>
        <v>6.6000000000000003E-2</v>
      </c>
      <c r="H19" s="59">
        <v>5</v>
      </c>
      <c r="I19" s="59">
        <v>25</v>
      </c>
      <c r="K19" s="59">
        <v>5</v>
      </c>
      <c r="L19" s="59">
        <v>60</v>
      </c>
    </row>
    <row r="20" spans="1:12" x14ac:dyDescent="0.15">
      <c r="A20" s="76"/>
      <c r="B20" s="69">
        <v>35</v>
      </c>
      <c r="C20" s="69">
        <v>62</v>
      </c>
      <c r="D20" s="68">
        <f t="shared" si="0"/>
        <v>6.2E-2</v>
      </c>
      <c r="H20" s="59">
        <v>6</v>
      </c>
      <c r="I20" s="59">
        <v>18</v>
      </c>
      <c r="K20" s="59">
        <v>6</v>
      </c>
      <c r="L20" s="59">
        <v>49.5</v>
      </c>
    </row>
    <row r="21" spans="1:12" x14ac:dyDescent="0.15">
      <c r="A21" s="76"/>
      <c r="B21" s="69">
        <v>40</v>
      </c>
      <c r="C21" s="69">
        <v>71</v>
      </c>
      <c r="D21" s="68">
        <f t="shared" si="0"/>
        <v>7.0999999999999994E-2</v>
      </c>
      <c r="H21" s="59">
        <v>7</v>
      </c>
      <c r="I21" s="59">
        <v>71</v>
      </c>
      <c r="K21" s="59">
        <v>7</v>
      </c>
      <c r="L21" s="59">
        <v>89.5</v>
      </c>
    </row>
    <row r="22" spans="1:12" x14ac:dyDescent="0.15">
      <c r="A22" s="76"/>
      <c r="B22" s="69">
        <v>45</v>
      </c>
      <c r="C22" s="69">
        <v>72</v>
      </c>
      <c r="D22" s="68">
        <f t="shared" si="0"/>
        <v>7.1999999999999995E-2</v>
      </c>
      <c r="H22" s="59">
        <v>8</v>
      </c>
      <c r="I22" s="59">
        <v>79</v>
      </c>
      <c r="K22" s="59">
        <v>8</v>
      </c>
      <c r="L22" s="59">
        <v>86.5</v>
      </c>
    </row>
    <row r="23" spans="1:12" x14ac:dyDescent="0.15">
      <c r="A23" s="76"/>
      <c r="B23" s="69">
        <v>50</v>
      </c>
      <c r="C23" s="69">
        <v>62</v>
      </c>
      <c r="D23" s="68">
        <f t="shared" si="0"/>
        <v>6.2E-2</v>
      </c>
      <c r="H23" s="59">
        <v>9</v>
      </c>
      <c r="I23" s="59">
        <v>37</v>
      </c>
      <c r="K23" s="59">
        <v>9</v>
      </c>
      <c r="L23" s="59">
        <v>82.5</v>
      </c>
    </row>
    <row r="24" spans="1:12" x14ac:dyDescent="0.15">
      <c r="A24" s="76"/>
      <c r="B24" s="69">
        <v>55</v>
      </c>
      <c r="C24" s="69">
        <v>83</v>
      </c>
      <c r="D24" s="68">
        <f t="shared" si="0"/>
        <v>8.3000000000000004E-2</v>
      </c>
      <c r="H24" s="59">
        <v>10</v>
      </c>
      <c r="I24" s="59">
        <v>51</v>
      </c>
      <c r="K24" s="59">
        <v>10</v>
      </c>
      <c r="L24" s="59">
        <v>56</v>
      </c>
    </row>
    <row r="25" spans="1:12" x14ac:dyDescent="0.15">
      <c r="A25" s="76"/>
      <c r="B25" s="69">
        <v>60</v>
      </c>
      <c r="C25" s="69">
        <v>79</v>
      </c>
      <c r="D25" s="68">
        <f t="shared" si="0"/>
        <v>7.9000000000000001E-2</v>
      </c>
      <c r="H25" s="59">
        <v>11</v>
      </c>
      <c r="I25" s="59">
        <v>27</v>
      </c>
      <c r="K25" s="59">
        <v>11</v>
      </c>
      <c r="L25" s="59">
        <v>72</v>
      </c>
    </row>
    <row r="26" spans="1:12" x14ac:dyDescent="0.15">
      <c r="A26" s="76"/>
      <c r="B26" s="69">
        <v>65</v>
      </c>
      <c r="C26" s="69">
        <v>63</v>
      </c>
      <c r="D26" s="68">
        <f t="shared" si="0"/>
        <v>6.3E-2</v>
      </c>
      <c r="H26" s="59">
        <v>12</v>
      </c>
      <c r="I26" s="59">
        <v>43</v>
      </c>
      <c r="K26" s="59">
        <v>12</v>
      </c>
      <c r="L26" s="59">
        <v>75</v>
      </c>
    </row>
    <row r="27" spans="1:12" x14ac:dyDescent="0.15">
      <c r="A27" s="76"/>
      <c r="B27" s="69">
        <v>70</v>
      </c>
      <c r="C27" s="69">
        <v>67</v>
      </c>
      <c r="D27" s="68">
        <f t="shared" si="0"/>
        <v>6.7000000000000004E-2</v>
      </c>
      <c r="H27" s="59">
        <v>13</v>
      </c>
      <c r="I27" s="59">
        <v>15</v>
      </c>
      <c r="K27" s="59">
        <v>13</v>
      </c>
      <c r="L27" s="59">
        <v>63</v>
      </c>
    </row>
    <row r="28" spans="1:12" x14ac:dyDescent="0.15">
      <c r="A28" s="76"/>
      <c r="B28" s="69">
        <v>75</v>
      </c>
      <c r="C28" s="69">
        <v>63</v>
      </c>
      <c r="D28" s="68">
        <f t="shared" si="0"/>
        <v>6.3E-2</v>
      </c>
      <c r="H28" s="59">
        <v>14</v>
      </c>
      <c r="I28" s="59">
        <v>16</v>
      </c>
      <c r="K28" s="59">
        <v>14</v>
      </c>
      <c r="L28" s="59">
        <v>75.5</v>
      </c>
    </row>
    <row r="29" spans="1:12" x14ac:dyDescent="0.15">
      <c r="A29" s="76"/>
      <c r="B29" s="69">
        <v>80</v>
      </c>
      <c r="C29" s="69">
        <v>63</v>
      </c>
      <c r="D29" s="68">
        <f t="shared" si="0"/>
        <v>6.3E-2</v>
      </c>
      <c r="H29" s="59">
        <v>15</v>
      </c>
      <c r="I29" s="59">
        <v>21</v>
      </c>
      <c r="K29" s="59">
        <v>15</v>
      </c>
      <c r="L29" s="59">
        <v>91.5</v>
      </c>
    </row>
    <row r="30" spans="1:12" x14ac:dyDescent="0.15">
      <c r="A30" s="76"/>
      <c r="B30" s="69">
        <v>85</v>
      </c>
      <c r="C30" s="69">
        <v>38</v>
      </c>
      <c r="D30" s="68">
        <f t="shared" si="0"/>
        <v>3.7999999999999999E-2</v>
      </c>
      <c r="H30" s="59">
        <v>16</v>
      </c>
      <c r="I30" s="59">
        <v>30</v>
      </c>
      <c r="K30" s="59">
        <v>16</v>
      </c>
      <c r="L30" s="59">
        <v>82</v>
      </c>
    </row>
    <row r="31" spans="1:12" x14ac:dyDescent="0.15">
      <c r="A31" s="76"/>
      <c r="B31" s="69">
        <v>90</v>
      </c>
      <c r="C31" s="69">
        <v>23</v>
      </c>
      <c r="D31" s="68">
        <f t="shared" si="0"/>
        <v>2.3E-2</v>
      </c>
      <c r="H31" s="59">
        <v>17</v>
      </c>
      <c r="I31" s="59">
        <v>44</v>
      </c>
      <c r="K31" s="59">
        <v>17</v>
      </c>
      <c r="L31" s="59">
        <v>61</v>
      </c>
    </row>
    <row r="32" spans="1:12" x14ac:dyDescent="0.15">
      <c r="A32" s="76"/>
      <c r="B32" s="69">
        <v>95</v>
      </c>
      <c r="C32" s="69">
        <v>17</v>
      </c>
      <c r="D32" s="68">
        <f t="shared" si="0"/>
        <v>1.7000000000000001E-2</v>
      </c>
      <c r="H32" s="59">
        <v>18</v>
      </c>
      <c r="I32" s="59">
        <v>72</v>
      </c>
      <c r="K32" s="59">
        <v>18</v>
      </c>
      <c r="L32" s="59">
        <v>54</v>
      </c>
    </row>
    <row r="33" spans="1:12" x14ac:dyDescent="0.15">
      <c r="A33" s="76"/>
      <c r="B33" s="69">
        <v>100</v>
      </c>
      <c r="C33" s="69">
        <v>9</v>
      </c>
      <c r="D33" s="68">
        <f t="shared" si="0"/>
        <v>8.9999999999999993E-3</v>
      </c>
      <c r="H33" s="59">
        <v>19</v>
      </c>
      <c r="I33" s="59">
        <v>56</v>
      </c>
      <c r="K33" s="59">
        <v>19</v>
      </c>
      <c r="L33" s="59">
        <v>50.5</v>
      </c>
    </row>
    <row r="34" spans="1:12" x14ac:dyDescent="0.15">
      <c r="A34" s="76"/>
      <c r="B34" s="59" t="s">
        <v>187</v>
      </c>
      <c r="C34" s="59">
        <f>SUM(C13:C33)</f>
        <v>1000</v>
      </c>
      <c r="D34" s="65">
        <f>SUM(D13:D33)</f>
        <v>0.99999999999999989</v>
      </c>
      <c r="H34" s="59">
        <v>20</v>
      </c>
      <c r="I34" s="59">
        <v>34</v>
      </c>
      <c r="K34" s="59">
        <v>20</v>
      </c>
      <c r="L34" s="59">
        <v>84</v>
      </c>
    </row>
    <row r="35" spans="1:12" x14ac:dyDescent="0.15">
      <c r="A35" s="76"/>
      <c r="H35" s="59">
        <v>21</v>
      </c>
      <c r="I35" s="59">
        <v>28</v>
      </c>
      <c r="K35" s="59">
        <v>21</v>
      </c>
      <c r="L35" s="59">
        <v>92.5</v>
      </c>
    </row>
    <row r="36" spans="1:12" ht="14.25" x14ac:dyDescent="0.15">
      <c r="A36" s="76"/>
      <c r="B36" s="63" t="s">
        <v>186</v>
      </c>
      <c r="C36" s="64">
        <v>95</v>
      </c>
      <c r="H36" s="59">
        <v>22</v>
      </c>
      <c r="I36" s="59">
        <v>53</v>
      </c>
      <c r="K36" s="59">
        <v>22</v>
      </c>
      <c r="L36" s="59">
        <v>68.5</v>
      </c>
    </row>
    <row r="37" spans="1:12" x14ac:dyDescent="0.15">
      <c r="A37" s="76"/>
      <c r="B37" s="63" t="s">
        <v>185</v>
      </c>
      <c r="C37" s="75">
        <v>0.5</v>
      </c>
      <c r="H37" s="59">
        <v>23</v>
      </c>
      <c r="I37" s="59">
        <v>78</v>
      </c>
      <c r="K37" s="59">
        <v>23</v>
      </c>
      <c r="L37" s="59">
        <v>61.5</v>
      </c>
    </row>
    <row r="38" spans="1:12" x14ac:dyDescent="0.15">
      <c r="H38" s="59">
        <v>24</v>
      </c>
      <c r="I38" s="59">
        <v>33</v>
      </c>
      <c r="K38" s="59">
        <v>24</v>
      </c>
      <c r="L38" s="59">
        <v>83.5</v>
      </c>
    </row>
    <row r="39" spans="1:12" ht="14.25" x14ac:dyDescent="0.15">
      <c r="B39" s="63" t="s">
        <v>184</v>
      </c>
      <c r="C39" s="74">
        <f ca="1">C36*(1-C37)+RANDBETWEEN(1,C5)*C37</f>
        <v>83</v>
      </c>
      <c r="H39" s="59">
        <v>25</v>
      </c>
      <c r="I39" s="59">
        <v>65</v>
      </c>
      <c r="K39" s="59">
        <v>25</v>
      </c>
      <c r="L39" s="59">
        <v>77.5</v>
      </c>
    </row>
    <row r="40" spans="1:12" x14ac:dyDescent="0.15">
      <c r="H40" s="59">
        <v>26</v>
      </c>
      <c r="I40" s="59">
        <v>52</v>
      </c>
      <c r="K40" s="59">
        <v>26</v>
      </c>
      <c r="L40" s="59">
        <v>75</v>
      </c>
    </row>
    <row r="41" spans="1:12" x14ac:dyDescent="0.15">
      <c r="B41" s="58" t="s">
        <v>183</v>
      </c>
      <c r="H41" s="59">
        <v>27</v>
      </c>
      <c r="I41" s="59">
        <v>63</v>
      </c>
      <c r="K41" s="59">
        <v>27</v>
      </c>
      <c r="L41" s="59">
        <v>84</v>
      </c>
    </row>
    <row r="42" spans="1:12" ht="14.25" x14ac:dyDescent="0.15">
      <c r="B42" s="63" t="s">
        <v>182</v>
      </c>
      <c r="C42" s="74">
        <f>MIN($I$15:$I$1014)</f>
        <v>1</v>
      </c>
      <c r="H42" s="59">
        <v>28</v>
      </c>
      <c r="I42" s="59">
        <v>33</v>
      </c>
      <c r="K42" s="59">
        <v>28</v>
      </c>
      <c r="L42" s="59">
        <v>68.5</v>
      </c>
    </row>
    <row r="43" spans="1:12" ht="14.25" x14ac:dyDescent="0.15">
      <c r="B43" s="63" t="s">
        <v>181</v>
      </c>
      <c r="C43" s="74">
        <f>MAX($I$15:$I$1014)</f>
        <v>99</v>
      </c>
      <c r="H43" s="59">
        <v>29</v>
      </c>
      <c r="I43" s="59">
        <v>39</v>
      </c>
      <c r="K43" s="59">
        <v>29</v>
      </c>
      <c r="L43" s="59">
        <v>74.5</v>
      </c>
    </row>
    <row r="44" spans="1:12" ht="14.25" x14ac:dyDescent="0.15">
      <c r="B44" s="63" t="s">
        <v>180</v>
      </c>
      <c r="C44" s="74">
        <f>ROUND(AVERAGE($I$15:$I$1014),0)</f>
        <v>50</v>
      </c>
      <c r="H44" s="59">
        <v>30</v>
      </c>
      <c r="I44" s="59">
        <v>33</v>
      </c>
      <c r="K44" s="59">
        <v>30</v>
      </c>
      <c r="L44" s="59">
        <v>84</v>
      </c>
    </row>
    <row r="45" spans="1:12" ht="14.25" x14ac:dyDescent="0.15">
      <c r="B45" s="63" t="s">
        <v>179</v>
      </c>
      <c r="C45" s="73">
        <f>STDEV($I$15:$I$1014)</f>
        <v>22.32037701810232</v>
      </c>
      <c r="H45" s="59">
        <v>31</v>
      </c>
      <c r="I45" s="59">
        <v>43</v>
      </c>
      <c r="K45" s="59">
        <v>31</v>
      </c>
      <c r="L45" s="59">
        <v>90.5</v>
      </c>
    </row>
    <row r="46" spans="1:12" x14ac:dyDescent="0.15">
      <c r="H46" s="59">
        <v>32</v>
      </c>
      <c r="I46" s="59">
        <v>55</v>
      </c>
      <c r="K46" s="59">
        <v>32</v>
      </c>
      <c r="L46" s="59">
        <v>90</v>
      </c>
    </row>
    <row r="47" spans="1:12" x14ac:dyDescent="0.15">
      <c r="B47" s="69" t="s">
        <v>178</v>
      </c>
      <c r="C47" s="69" t="s">
        <v>177</v>
      </c>
      <c r="D47" s="69" t="s">
        <v>176</v>
      </c>
      <c r="E47" s="72" t="s">
        <v>175</v>
      </c>
      <c r="F47" s="72" t="s">
        <v>174</v>
      </c>
      <c r="H47" s="59">
        <v>33</v>
      </c>
      <c r="I47" s="59">
        <v>44</v>
      </c>
      <c r="K47" s="59">
        <v>33</v>
      </c>
      <c r="L47" s="59">
        <v>95</v>
      </c>
    </row>
    <row r="48" spans="1:12" x14ac:dyDescent="0.15">
      <c r="A48" s="58" t="s">
        <v>173</v>
      </c>
      <c r="B48" s="69">
        <v>50</v>
      </c>
      <c r="C48" s="69">
        <f t="array" ref="C48:C58">FREQUENCY(L15:L1014,B48:B58)</f>
        <v>36</v>
      </c>
      <c r="D48" s="68">
        <f t="shared" ref="D48:D58" si="1">C48/$C$59</f>
        <v>3.5999999999999997E-2</v>
      </c>
      <c r="E48" s="67">
        <f>D48</f>
        <v>3.5999999999999997E-2</v>
      </c>
      <c r="F48" s="66">
        <f t="shared" ref="F48:F58" si="2">1-E48</f>
        <v>0.96399999999999997</v>
      </c>
      <c r="H48" s="59">
        <v>34</v>
      </c>
      <c r="I48" s="59">
        <v>39</v>
      </c>
      <c r="K48" s="59">
        <v>34</v>
      </c>
      <c r="L48" s="59">
        <v>67.5</v>
      </c>
    </row>
    <row r="49" spans="1:12" x14ac:dyDescent="0.15">
      <c r="A49" s="58" t="s">
        <v>172</v>
      </c>
      <c r="B49" s="69">
        <v>55</v>
      </c>
      <c r="C49" s="69">
        <v>81</v>
      </c>
      <c r="D49" s="68">
        <f t="shared" si="1"/>
        <v>8.1000000000000003E-2</v>
      </c>
      <c r="E49" s="67">
        <f t="shared" ref="E49:E58" si="3">E48+D49</f>
        <v>0.11699999999999999</v>
      </c>
      <c r="F49" s="66">
        <f t="shared" si="2"/>
        <v>0.88300000000000001</v>
      </c>
      <c r="H49" s="59">
        <v>35</v>
      </c>
      <c r="I49" s="59">
        <v>48</v>
      </c>
      <c r="K49" s="59">
        <v>35</v>
      </c>
      <c r="L49" s="59">
        <v>81.5</v>
      </c>
    </row>
    <row r="50" spans="1:12" x14ac:dyDescent="0.15">
      <c r="A50" s="58" t="s">
        <v>171</v>
      </c>
      <c r="B50" s="69">
        <v>60</v>
      </c>
      <c r="C50" s="69">
        <v>102</v>
      </c>
      <c r="D50" s="68">
        <f t="shared" si="1"/>
        <v>0.10199999999999999</v>
      </c>
      <c r="E50" s="67">
        <f t="shared" si="3"/>
        <v>0.21899999999999997</v>
      </c>
      <c r="F50" s="66">
        <f t="shared" si="2"/>
        <v>0.78100000000000003</v>
      </c>
      <c r="H50" s="59">
        <v>36</v>
      </c>
      <c r="I50" s="59">
        <v>37</v>
      </c>
      <c r="K50" s="59">
        <v>36</v>
      </c>
      <c r="L50" s="59">
        <v>68.5</v>
      </c>
    </row>
    <row r="51" spans="1:12" x14ac:dyDescent="0.15">
      <c r="A51" s="58" t="s">
        <v>170</v>
      </c>
      <c r="B51" s="69">
        <v>65</v>
      </c>
      <c r="C51" s="69">
        <v>88</v>
      </c>
      <c r="D51" s="68">
        <f t="shared" si="1"/>
        <v>8.7999999999999995E-2</v>
      </c>
      <c r="E51" s="67">
        <f t="shared" si="3"/>
        <v>0.30699999999999994</v>
      </c>
      <c r="F51" s="66">
        <f t="shared" si="2"/>
        <v>0.69300000000000006</v>
      </c>
      <c r="H51" s="59">
        <v>37</v>
      </c>
      <c r="I51" s="59">
        <v>38</v>
      </c>
      <c r="K51" s="59">
        <v>37</v>
      </c>
      <c r="L51" s="59">
        <v>53.5</v>
      </c>
    </row>
    <row r="52" spans="1:12" x14ac:dyDescent="0.15">
      <c r="A52" s="58" t="s">
        <v>169</v>
      </c>
      <c r="B52" s="69">
        <v>70</v>
      </c>
      <c r="C52" s="69">
        <v>97</v>
      </c>
      <c r="D52" s="68">
        <f t="shared" si="1"/>
        <v>9.7000000000000003E-2</v>
      </c>
      <c r="E52" s="67">
        <f t="shared" si="3"/>
        <v>0.40399999999999991</v>
      </c>
      <c r="F52" s="66">
        <f t="shared" si="2"/>
        <v>0.59600000000000009</v>
      </c>
      <c r="H52" s="59">
        <v>38</v>
      </c>
      <c r="I52" s="59">
        <v>47</v>
      </c>
      <c r="K52" s="59">
        <v>38</v>
      </c>
      <c r="L52" s="59">
        <v>85.5</v>
      </c>
    </row>
    <row r="53" spans="1:12" x14ac:dyDescent="0.15">
      <c r="A53" s="58" t="s">
        <v>168</v>
      </c>
      <c r="B53" s="69">
        <v>75</v>
      </c>
      <c r="C53" s="69">
        <v>100</v>
      </c>
      <c r="D53" s="68">
        <f t="shared" si="1"/>
        <v>0.1</v>
      </c>
      <c r="E53" s="67">
        <f t="shared" si="3"/>
        <v>0.50399999999999989</v>
      </c>
      <c r="F53" s="66">
        <f t="shared" si="2"/>
        <v>0.49600000000000011</v>
      </c>
      <c r="H53" s="59">
        <v>39</v>
      </c>
      <c r="I53" s="59">
        <v>65</v>
      </c>
      <c r="K53" s="59">
        <v>39</v>
      </c>
      <c r="L53" s="59">
        <v>93.5</v>
      </c>
    </row>
    <row r="54" spans="1:12" x14ac:dyDescent="0.15">
      <c r="A54" s="58" t="s">
        <v>167</v>
      </c>
      <c r="B54" s="69">
        <v>80</v>
      </c>
      <c r="C54" s="69">
        <v>92</v>
      </c>
      <c r="D54" s="68">
        <f t="shared" si="1"/>
        <v>9.1999999999999998E-2</v>
      </c>
      <c r="E54" s="67">
        <f t="shared" si="3"/>
        <v>0.59599999999999986</v>
      </c>
      <c r="F54" s="66">
        <f t="shared" si="2"/>
        <v>0.40400000000000014</v>
      </c>
      <c r="H54" s="59">
        <v>40</v>
      </c>
      <c r="I54" s="59">
        <v>70</v>
      </c>
      <c r="K54" s="59">
        <v>40</v>
      </c>
      <c r="L54" s="59">
        <v>89.5</v>
      </c>
    </row>
    <row r="55" spans="1:12" x14ac:dyDescent="0.15">
      <c r="A55" s="58" t="s">
        <v>166</v>
      </c>
      <c r="B55" s="69">
        <v>85</v>
      </c>
      <c r="C55" s="69">
        <v>116</v>
      </c>
      <c r="D55" s="68">
        <f t="shared" si="1"/>
        <v>0.11600000000000001</v>
      </c>
      <c r="E55" s="67">
        <f t="shared" si="3"/>
        <v>0.71199999999999986</v>
      </c>
      <c r="F55" s="66">
        <f t="shared" si="2"/>
        <v>0.28800000000000014</v>
      </c>
      <c r="H55" s="59">
        <v>41</v>
      </c>
      <c r="I55" s="59">
        <v>43</v>
      </c>
      <c r="K55" s="59">
        <v>41</v>
      </c>
      <c r="L55" s="59">
        <v>49.5</v>
      </c>
    </row>
    <row r="56" spans="1:12" x14ac:dyDescent="0.15">
      <c r="A56" s="58" t="s">
        <v>165</v>
      </c>
      <c r="B56" s="69">
        <v>90</v>
      </c>
      <c r="C56" s="69">
        <v>108</v>
      </c>
      <c r="D56" s="68">
        <f t="shared" si="1"/>
        <v>0.108</v>
      </c>
      <c r="E56" s="67">
        <f t="shared" si="3"/>
        <v>0.81999999999999984</v>
      </c>
      <c r="F56" s="66">
        <f t="shared" si="2"/>
        <v>0.18000000000000016</v>
      </c>
      <c r="H56" s="59">
        <v>42</v>
      </c>
      <c r="I56" s="59">
        <v>66</v>
      </c>
      <c r="K56" s="59">
        <v>42</v>
      </c>
      <c r="L56" s="59">
        <v>78.5</v>
      </c>
    </row>
    <row r="57" spans="1:12" x14ac:dyDescent="0.15">
      <c r="A57" s="70" t="str">
        <f>"90-"&amp;C36</f>
        <v>90-95</v>
      </c>
      <c r="B57" s="71">
        <f>C36</f>
        <v>95</v>
      </c>
      <c r="C57" s="69">
        <v>132</v>
      </c>
      <c r="D57" s="68">
        <f t="shared" si="1"/>
        <v>0.13200000000000001</v>
      </c>
      <c r="E57" s="67">
        <f t="shared" si="3"/>
        <v>0.95199999999999985</v>
      </c>
      <c r="F57" s="66">
        <f t="shared" si="2"/>
        <v>4.8000000000000154E-2</v>
      </c>
      <c r="H57" s="59">
        <v>43</v>
      </c>
      <c r="I57" s="59">
        <v>61</v>
      </c>
      <c r="K57" s="59">
        <v>43</v>
      </c>
      <c r="L57" s="59">
        <v>53.5</v>
      </c>
    </row>
    <row r="58" spans="1:12" x14ac:dyDescent="0.15">
      <c r="A58" s="70" t="str">
        <f>C36&amp;"-100"</f>
        <v>95-100</v>
      </c>
      <c r="B58" s="69">
        <v>100</v>
      </c>
      <c r="C58" s="69">
        <v>48</v>
      </c>
      <c r="D58" s="68">
        <f t="shared" si="1"/>
        <v>4.8000000000000001E-2</v>
      </c>
      <c r="E58" s="67">
        <f t="shared" si="3"/>
        <v>0.99999999999999989</v>
      </c>
      <c r="F58" s="66">
        <f t="shared" si="2"/>
        <v>0</v>
      </c>
      <c r="H58" s="59">
        <v>44</v>
      </c>
      <c r="I58" s="59">
        <v>37</v>
      </c>
      <c r="K58" s="59">
        <v>44</v>
      </c>
      <c r="L58" s="59">
        <v>90.5</v>
      </c>
    </row>
    <row r="59" spans="1:12" x14ac:dyDescent="0.15">
      <c r="B59" s="59" t="s">
        <v>164</v>
      </c>
      <c r="C59" s="59">
        <f>SUM(C48:C58)</f>
        <v>1000</v>
      </c>
      <c r="D59" s="65">
        <f>SUM(D48:D58)</f>
        <v>0.99999999999999989</v>
      </c>
      <c r="H59" s="59">
        <v>45</v>
      </c>
      <c r="I59" s="59">
        <v>48</v>
      </c>
      <c r="K59" s="59">
        <v>45</v>
      </c>
      <c r="L59" s="59">
        <v>78.5</v>
      </c>
    </row>
    <row r="60" spans="1:12" x14ac:dyDescent="0.15">
      <c r="H60" s="59">
        <v>46</v>
      </c>
      <c r="I60" s="59">
        <v>52</v>
      </c>
      <c r="K60" s="59">
        <v>46</v>
      </c>
      <c r="L60" s="59">
        <v>70.5</v>
      </c>
    </row>
    <row r="61" spans="1:12" ht="14.25" x14ac:dyDescent="0.15">
      <c r="B61" s="63" t="s">
        <v>163</v>
      </c>
      <c r="C61" s="64">
        <f>C36</f>
        <v>95</v>
      </c>
      <c r="H61" s="59">
        <v>47</v>
      </c>
      <c r="I61" s="59">
        <v>29</v>
      </c>
      <c r="K61" s="59">
        <v>47</v>
      </c>
      <c r="L61" s="59">
        <v>80.5</v>
      </c>
    </row>
    <row r="62" spans="1:12" x14ac:dyDescent="0.15">
      <c r="B62" s="63" t="s">
        <v>161</v>
      </c>
      <c r="C62" s="62">
        <f>INDEX(F48:F58,MATCH(C61,B48:B58,0))</f>
        <v>4.8000000000000154E-2</v>
      </c>
      <c r="H62" s="59">
        <v>48</v>
      </c>
      <c r="I62" s="59">
        <v>24</v>
      </c>
      <c r="K62" s="59">
        <v>48</v>
      </c>
      <c r="L62" s="59">
        <v>84.5</v>
      </c>
    </row>
    <row r="63" spans="1:12" x14ac:dyDescent="0.15">
      <c r="H63" s="59">
        <v>49</v>
      </c>
      <c r="I63" s="59">
        <v>51</v>
      </c>
      <c r="K63" s="59">
        <v>49</v>
      </c>
      <c r="L63" s="59">
        <v>75.5</v>
      </c>
    </row>
    <row r="64" spans="1:12" ht="14.25" x14ac:dyDescent="0.15">
      <c r="B64" s="63" t="s">
        <v>162</v>
      </c>
      <c r="C64" s="64">
        <v>50</v>
      </c>
      <c r="H64" s="59">
        <v>50</v>
      </c>
      <c r="I64" s="59">
        <v>27</v>
      </c>
      <c r="K64" s="59">
        <v>50</v>
      </c>
      <c r="L64" s="59">
        <v>97.5</v>
      </c>
    </row>
    <row r="65" spans="2:12" x14ac:dyDescent="0.15">
      <c r="B65" s="63" t="s">
        <v>161</v>
      </c>
      <c r="C65" s="62">
        <f>INDEX(D48:D58,MATCH(C64,B48:B58,0))</f>
        <v>3.5999999999999997E-2</v>
      </c>
      <c r="H65" s="59">
        <v>51</v>
      </c>
      <c r="I65" s="59">
        <v>74</v>
      </c>
      <c r="K65" s="59">
        <v>51</v>
      </c>
      <c r="L65" s="59">
        <v>84</v>
      </c>
    </row>
    <row r="66" spans="2:12" ht="14.25" thickBot="1" x14ac:dyDescent="0.2">
      <c r="H66" s="59">
        <v>52</v>
      </c>
      <c r="I66" s="59">
        <v>52</v>
      </c>
      <c r="K66" s="59">
        <v>52</v>
      </c>
      <c r="L66" s="59">
        <v>71</v>
      </c>
    </row>
    <row r="67" spans="2:12" ht="15" thickTop="1" thickBot="1" x14ac:dyDescent="0.2">
      <c r="B67" s="61" t="str">
        <f>"实力水平为"&amp;C36&amp;"分的人，因为运气因素最终的赢家排名"</f>
        <v>实力水平为95分的人，因为运气因素最终的赢家排名</v>
      </c>
      <c r="C67" s="60"/>
      <c r="D67" s="60"/>
      <c r="E67" s="60"/>
      <c r="H67" s="59">
        <v>53</v>
      </c>
      <c r="I67" s="59">
        <v>21</v>
      </c>
      <c r="K67" s="59">
        <v>53</v>
      </c>
      <c r="L67" s="59">
        <v>48.5</v>
      </c>
    </row>
    <row r="68" spans="2:12" ht="14.25" thickTop="1" x14ac:dyDescent="0.15">
      <c r="H68" s="59">
        <v>54</v>
      </c>
      <c r="I68" s="59">
        <v>76</v>
      </c>
      <c r="K68" s="59">
        <v>54</v>
      </c>
      <c r="L68" s="59">
        <v>81</v>
      </c>
    </row>
    <row r="69" spans="2:12" x14ac:dyDescent="0.15">
      <c r="H69" s="59">
        <v>55</v>
      </c>
      <c r="I69" s="59">
        <v>42</v>
      </c>
      <c r="K69" s="59">
        <v>55</v>
      </c>
      <c r="L69" s="59">
        <v>89.5</v>
      </c>
    </row>
    <row r="70" spans="2:12" x14ac:dyDescent="0.15">
      <c r="H70" s="59">
        <v>56</v>
      </c>
      <c r="I70" s="59">
        <v>74</v>
      </c>
      <c r="K70" s="59">
        <v>56</v>
      </c>
      <c r="L70" s="59">
        <v>71.5</v>
      </c>
    </row>
    <row r="71" spans="2:12" x14ac:dyDescent="0.15">
      <c r="H71" s="59">
        <v>57</v>
      </c>
      <c r="I71" s="59">
        <v>21</v>
      </c>
      <c r="K71" s="59">
        <v>57</v>
      </c>
      <c r="L71" s="59">
        <v>83</v>
      </c>
    </row>
    <row r="72" spans="2:12" x14ac:dyDescent="0.15">
      <c r="H72" s="59">
        <v>58</v>
      </c>
      <c r="I72" s="59">
        <v>39</v>
      </c>
      <c r="K72" s="59">
        <v>58</v>
      </c>
      <c r="L72" s="59">
        <v>97</v>
      </c>
    </row>
    <row r="73" spans="2:12" x14ac:dyDescent="0.15">
      <c r="H73" s="59">
        <v>59</v>
      </c>
      <c r="I73" s="59">
        <v>30</v>
      </c>
      <c r="K73" s="59">
        <v>59</v>
      </c>
      <c r="L73" s="59">
        <v>48.5</v>
      </c>
    </row>
    <row r="74" spans="2:12" x14ac:dyDescent="0.15">
      <c r="H74" s="59">
        <v>60</v>
      </c>
      <c r="I74" s="59">
        <v>40</v>
      </c>
      <c r="K74" s="59">
        <v>60</v>
      </c>
      <c r="L74" s="59">
        <v>58</v>
      </c>
    </row>
    <row r="75" spans="2:12" x14ac:dyDescent="0.15">
      <c r="H75" s="59">
        <v>61</v>
      </c>
      <c r="I75" s="59">
        <v>55</v>
      </c>
      <c r="K75" s="59">
        <v>61</v>
      </c>
      <c r="L75" s="59">
        <v>68</v>
      </c>
    </row>
    <row r="76" spans="2:12" x14ac:dyDescent="0.15">
      <c r="H76" s="59">
        <v>62</v>
      </c>
      <c r="I76" s="59">
        <v>61</v>
      </c>
      <c r="K76" s="59">
        <v>62</v>
      </c>
      <c r="L76" s="59">
        <v>72</v>
      </c>
    </row>
    <row r="77" spans="2:12" x14ac:dyDescent="0.15">
      <c r="H77" s="59">
        <v>63</v>
      </c>
      <c r="I77" s="59">
        <v>37</v>
      </c>
      <c r="K77" s="59">
        <v>63</v>
      </c>
      <c r="L77" s="59">
        <v>85</v>
      </c>
    </row>
    <row r="78" spans="2:12" x14ac:dyDescent="0.15">
      <c r="H78" s="59">
        <v>64</v>
      </c>
      <c r="I78" s="59">
        <v>56</v>
      </c>
      <c r="K78" s="59">
        <v>64</v>
      </c>
      <c r="L78" s="59">
        <v>82</v>
      </c>
    </row>
    <row r="79" spans="2:12" x14ac:dyDescent="0.15">
      <c r="H79" s="59">
        <v>65</v>
      </c>
      <c r="I79" s="59">
        <v>48</v>
      </c>
      <c r="K79" s="59">
        <v>65</v>
      </c>
      <c r="L79" s="59">
        <v>96</v>
      </c>
    </row>
    <row r="80" spans="2:12" x14ac:dyDescent="0.15">
      <c r="H80" s="59">
        <v>66</v>
      </c>
      <c r="I80" s="59">
        <v>61</v>
      </c>
      <c r="K80" s="59">
        <v>66</v>
      </c>
      <c r="L80" s="59">
        <v>76</v>
      </c>
    </row>
    <row r="81" spans="8:12" x14ac:dyDescent="0.15">
      <c r="H81" s="59">
        <v>67</v>
      </c>
      <c r="I81" s="59">
        <v>82</v>
      </c>
      <c r="K81" s="59">
        <v>67</v>
      </c>
      <c r="L81" s="59">
        <v>71</v>
      </c>
    </row>
    <row r="82" spans="8:12" x14ac:dyDescent="0.15">
      <c r="H82" s="59">
        <v>68</v>
      </c>
      <c r="I82" s="59">
        <v>24</v>
      </c>
      <c r="K82" s="59">
        <v>68</v>
      </c>
      <c r="L82" s="59">
        <v>61.5</v>
      </c>
    </row>
    <row r="83" spans="8:12" x14ac:dyDescent="0.15">
      <c r="H83" s="59">
        <v>69</v>
      </c>
      <c r="I83" s="59">
        <v>46</v>
      </c>
      <c r="K83" s="59">
        <v>69</v>
      </c>
      <c r="L83" s="59">
        <v>93.5</v>
      </c>
    </row>
    <row r="84" spans="8:12" x14ac:dyDescent="0.15">
      <c r="H84" s="59">
        <v>70</v>
      </c>
      <c r="I84" s="59">
        <v>39</v>
      </c>
      <c r="K84" s="59">
        <v>70</v>
      </c>
      <c r="L84" s="59">
        <v>53</v>
      </c>
    </row>
    <row r="85" spans="8:12" x14ac:dyDescent="0.15">
      <c r="H85" s="59">
        <v>71</v>
      </c>
      <c r="I85" s="59">
        <v>66</v>
      </c>
      <c r="K85" s="59">
        <v>71</v>
      </c>
      <c r="L85" s="59">
        <v>75.5</v>
      </c>
    </row>
    <row r="86" spans="8:12" x14ac:dyDescent="0.15">
      <c r="H86" s="59">
        <v>72</v>
      </c>
      <c r="I86" s="59">
        <v>24</v>
      </c>
      <c r="K86" s="59">
        <v>72</v>
      </c>
      <c r="L86" s="59">
        <v>79.5</v>
      </c>
    </row>
    <row r="87" spans="8:12" x14ac:dyDescent="0.15">
      <c r="H87" s="59">
        <v>73</v>
      </c>
      <c r="I87" s="59">
        <v>19</v>
      </c>
      <c r="K87" s="59">
        <v>73</v>
      </c>
      <c r="L87" s="59">
        <v>92</v>
      </c>
    </row>
    <row r="88" spans="8:12" x14ac:dyDescent="0.15">
      <c r="H88" s="59">
        <v>74</v>
      </c>
      <c r="I88" s="59">
        <v>13</v>
      </c>
      <c r="K88" s="59">
        <v>74</v>
      </c>
      <c r="L88" s="59">
        <v>68.5</v>
      </c>
    </row>
    <row r="89" spans="8:12" x14ac:dyDescent="0.15">
      <c r="H89" s="59">
        <v>75</v>
      </c>
      <c r="I89" s="59">
        <v>52</v>
      </c>
      <c r="K89" s="59">
        <v>75</v>
      </c>
      <c r="L89" s="59">
        <v>84</v>
      </c>
    </row>
    <row r="90" spans="8:12" x14ac:dyDescent="0.15">
      <c r="H90" s="59">
        <v>76</v>
      </c>
      <c r="I90" s="59">
        <v>99</v>
      </c>
      <c r="K90" s="59">
        <v>76</v>
      </c>
      <c r="L90" s="59">
        <v>81.5</v>
      </c>
    </row>
    <row r="91" spans="8:12" x14ac:dyDescent="0.15">
      <c r="H91" s="59">
        <v>77</v>
      </c>
      <c r="I91" s="59">
        <v>17</v>
      </c>
      <c r="K91" s="59">
        <v>77</v>
      </c>
      <c r="L91" s="59">
        <v>60.5</v>
      </c>
    </row>
    <row r="92" spans="8:12" x14ac:dyDescent="0.15">
      <c r="H92" s="59">
        <v>78</v>
      </c>
      <c r="I92" s="59">
        <v>18</v>
      </c>
      <c r="K92" s="59">
        <v>78</v>
      </c>
      <c r="L92" s="59">
        <v>71</v>
      </c>
    </row>
    <row r="93" spans="8:12" x14ac:dyDescent="0.15">
      <c r="H93" s="59">
        <v>79</v>
      </c>
      <c r="I93" s="59">
        <v>57</v>
      </c>
      <c r="K93" s="59">
        <v>79</v>
      </c>
      <c r="L93" s="59">
        <v>94</v>
      </c>
    </row>
    <row r="94" spans="8:12" x14ac:dyDescent="0.15">
      <c r="H94" s="59">
        <v>80</v>
      </c>
      <c r="I94" s="59">
        <v>88</v>
      </c>
      <c r="K94" s="59">
        <v>80</v>
      </c>
      <c r="L94" s="59">
        <v>65</v>
      </c>
    </row>
    <row r="95" spans="8:12" x14ac:dyDescent="0.15">
      <c r="H95" s="59">
        <v>81</v>
      </c>
      <c r="I95" s="59">
        <v>70</v>
      </c>
      <c r="K95" s="59">
        <v>81</v>
      </c>
      <c r="L95" s="59">
        <v>82</v>
      </c>
    </row>
    <row r="96" spans="8:12" x14ac:dyDescent="0.15">
      <c r="H96" s="59">
        <v>82</v>
      </c>
      <c r="I96" s="59">
        <v>47</v>
      </c>
      <c r="K96" s="59">
        <v>82</v>
      </c>
      <c r="L96" s="59">
        <v>91.5</v>
      </c>
    </row>
    <row r="97" spans="8:12" x14ac:dyDescent="0.15">
      <c r="H97" s="59">
        <v>83</v>
      </c>
      <c r="I97" s="59">
        <v>46</v>
      </c>
      <c r="K97" s="59">
        <v>83</v>
      </c>
      <c r="L97" s="59">
        <v>60.5</v>
      </c>
    </row>
    <row r="98" spans="8:12" x14ac:dyDescent="0.15">
      <c r="H98" s="59">
        <v>84</v>
      </c>
      <c r="I98" s="59">
        <v>29</v>
      </c>
      <c r="K98" s="59">
        <v>84</v>
      </c>
      <c r="L98" s="59">
        <v>94</v>
      </c>
    </row>
    <row r="99" spans="8:12" x14ac:dyDescent="0.15">
      <c r="H99" s="59">
        <v>85</v>
      </c>
      <c r="I99" s="59">
        <v>37</v>
      </c>
      <c r="K99" s="59">
        <v>85</v>
      </c>
      <c r="L99" s="59">
        <v>80</v>
      </c>
    </row>
    <row r="100" spans="8:12" x14ac:dyDescent="0.15">
      <c r="H100" s="59">
        <v>86</v>
      </c>
      <c r="I100" s="59">
        <v>34</v>
      </c>
      <c r="K100" s="59">
        <v>86</v>
      </c>
      <c r="L100" s="59">
        <v>83</v>
      </c>
    </row>
    <row r="101" spans="8:12" x14ac:dyDescent="0.15">
      <c r="H101" s="59">
        <v>87</v>
      </c>
      <c r="I101" s="59">
        <v>47</v>
      </c>
      <c r="K101" s="59">
        <v>87</v>
      </c>
      <c r="L101" s="59">
        <v>62</v>
      </c>
    </row>
    <row r="102" spans="8:12" x14ac:dyDescent="0.15">
      <c r="H102" s="59">
        <v>88</v>
      </c>
      <c r="I102" s="59">
        <v>9</v>
      </c>
      <c r="K102" s="59">
        <v>88</v>
      </c>
      <c r="L102" s="59">
        <v>79.5</v>
      </c>
    </row>
    <row r="103" spans="8:12" x14ac:dyDescent="0.15">
      <c r="H103" s="59">
        <v>89</v>
      </c>
      <c r="I103" s="59">
        <v>40</v>
      </c>
      <c r="K103" s="59">
        <v>89</v>
      </c>
      <c r="L103" s="59">
        <v>82</v>
      </c>
    </row>
    <row r="104" spans="8:12" x14ac:dyDescent="0.15">
      <c r="H104" s="59">
        <v>90</v>
      </c>
      <c r="I104" s="59">
        <v>18</v>
      </c>
      <c r="K104" s="59">
        <v>90</v>
      </c>
      <c r="L104" s="59">
        <v>60</v>
      </c>
    </row>
    <row r="105" spans="8:12" x14ac:dyDescent="0.15">
      <c r="H105" s="59">
        <v>91</v>
      </c>
      <c r="I105" s="59">
        <v>62</v>
      </c>
      <c r="K105" s="59">
        <v>91</v>
      </c>
      <c r="L105" s="59">
        <v>74</v>
      </c>
    </row>
    <row r="106" spans="8:12" x14ac:dyDescent="0.15">
      <c r="H106" s="59">
        <v>92</v>
      </c>
      <c r="I106" s="59">
        <v>61</v>
      </c>
      <c r="K106" s="59">
        <v>92</v>
      </c>
      <c r="L106" s="59">
        <v>80</v>
      </c>
    </row>
    <row r="107" spans="8:12" x14ac:dyDescent="0.15">
      <c r="H107" s="59">
        <v>93</v>
      </c>
      <c r="I107" s="59">
        <v>20</v>
      </c>
      <c r="K107" s="59">
        <v>93</v>
      </c>
      <c r="L107" s="59">
        <v>93</v>
      </c>
    </row>
    <row r="108" spans="8:12" x14ac:dyDescent="0.15">
      <c r="H108" s="59">
        <v>94</v>
      </c>
      <c r="I108" s="59">
        <v>74</v>
      </c>
      <c r="K108" s="59">
        <v>94</v>
      </c>
      <c r="L108" s="59">
        <v>76.5</v>
      </c>
    </row>
    <row r="109" spans="8:12" x14ac:dyDescent="0.15">
      <c r="H109" s="59">
        <v>95</v>
      </c>
      <c r="I109" s="59">
        <v>10</v>
      </c>
      <c r="K109" s="59">
        <v>95</v>
      </c>
      <c r="L109" s="59">
        <v>81.5</v>
      </c>
    </row>
    <row r="110" spans="8:12" x14ac:dyDescent="0.15">
      <c r="H110" s="59">
        <v>96</v>
      </c>
      <c r="I110" s="59">
        <v>86</v>
      </c>
      <c r="K110" s="59">
        <v>96</v>
      </c>
      <c r="L110" s="59">
        <v>64.5</v>
      </c>
    </row>
    <row r="111" spans="8:12" x14ac:dyDescent="0.15">
      <c r="H111" s="59">
        <v>97</v>
      </c>
      <c r="I111" s="59">
        <v>11</v>
      </c>
      <c r="K111" s="59">
        <v>97</v>
      </c>
      <c r="L111" s="59">
        <v>71.5</v>
      </c>
    </row>
    <row r="112" spans="8:12" x14ac:dyDescent="0.15">
      <c r="H112" s="59">
        <v>98</v>
      </c>
      <c r="I112" s="59">
        <v>5</v>
      </c>
      <c r="K112" s="59">
        <v>98</v>
      </c>
      <c r="L112" s="59">
        <v>95.5</v>
      </c>
    </row>
    <row r="113" spans="8:12" x14ac:dyDescent="0.15">
      <c r="H113" s="59">
        <v>99</v>
      </c>
      <c r="I113" s="59">
        <v>26</v>
      </c>
      <c r="K113" s="59">
        <v>99</v>
      </c>
      <c r="L113" s="59">
        <v>77</v>
      </c>
    </row>
    <row r="114" spans="8:12" x14ac:dyDescent="0.15">
      <c r="H114" s="59">
        <v>100</v>
      </c>
      <c r="I114" s="59">
        <v>27</v>
      </c>
      <c r="K114" s="59">
        <v>100</v>
      </c>
      <c r="L114" s="59">
        <v>83</v>
      </c>
    </row>
    <row r="115" spans="8:12" x14ac:dyDescent="0.15">
      <c r="H115" s="59">
        <v>101</v>
      </c>
      <c r="I115" s="59">
        <v>18</v>
      </c>
      <c r="K115" s="59">
        <v>101</v>
      </c>
      <c r="L115" s="59">
        <v>91.5</v>
      </c>
    </row>
    <row r="116" spans="8:12" x14ac:dyDescent="0.15">
      <c r="H116" s="59">
        <v>102</v>
      </c>
      <c r="I116" s="59">
        <v>56</v>
      </c>
      <c r="K116" s="59">
        <v>102</v>
      </c>
      <c r="L116" s="59">
        <v>72</v>
      </c>
    </row>
    <row r="117" spans="8:12" x14ac:dyDescent="0.15">
      <c r="H117" s="59">
        <v>103</v>
      </c>
      <c r="I117" s="59">
        <v>62</v>
      </c>
      <c r="K117" s="59">
        <v>103</v>
      </c>
      <c r="L117" s="59">
        <v>88.5</v>
      </c>
    </row>
    <row r="118" spans="8:12" x14ac:dyDescent="0.15">
      <c r="H118" s="59">
        <v>104</v>
      </c>
      <c r="I118" s="59">
        <v>57</v>
      </c>
      <c r="K118" s="59">
        <v>104</v>
      </c>
      <c r="L118" s="59">
        <v>77.5</v>
      </c>
    </row>
    <row r="119" spans="8:12" x14ac:dyDescent="0.15">
      <c r="H119" s="59">
        <v>105</v>
      </c>
      <c r="I119" s="59">
        <v>36</v>
      </c>
      <c r="K119" s="59">
        <v>105</v>
      </c>
      <c r="L119" s="59">
        <v>91</v>
      </c>
    </row>
    <row r="120" spans="8:12" x14ac:dyDescent="0.15">
      <c r="H120" s="59">
        <v>106</v>
      </c>
      <c r="I120" s="59">
        <v>27</v>
      </c>
      <c r="K120" s="59">
        <v>106</v>
      </c>
      <c r="L120" s="59">
        <v>93.5</v>
      </c>
    </row>
    <row r="121" spans="8:12" x14ac:dyDescent="0.15">
      <c r="H121" s="59">
        <v>107</v>
      </c>
      <c r="I121" s="59">
        <v>70</v>
      </c>
      <c r="K121" s="59">
        <v>107</v>
      </c>
      <c r="L121" s="59">
        <v>92</v>
      </c>
    </row>
    <row r="122" spans="8:12" x14ac:dyDescent="0.15">
      <c r="H122" s="59">
        <v>108</v>
      </c>
      <c r="I122" s="59">
        <v>33</v>
      </c>
      <c r="K122" s="59">
        <v>108</v>
      </c>
      <c r="L122" s="59">
        <v>70.5</v>
      </c>
    </row>
    <row r="123" spans="8:12" x14ac:dyDescent="0.15">
      <c r="H123" s="59">
        <v>109</v>
      </c>
      <c r="I123" s="59">
        <v>65</v>
      </c>
      <c r="K123" s="59">
        <v>109</v>
      </c>
      <c r="L123" s="59">
        <v>52.5</v>
      </c>
    </row>
    <row r="124" spans="8:12" x14ac:dyDescent="0.15">
      <c r="H124" s="59">
        <v>110</v>
      </c>
      <c r="I124" s="59">
        <v>53</v>
      </c>
      <c r="K124" s="59">
        <v>110</v>
      </c>
      <c r="L124" s="59">
        <v>82.5</v>
      </c>
    </row>
    <row r="125" spans="8:12" x14ac:dyDescent="0.15">
      <c r="H125" s="59">
        <v>111</v>
      </c>
      <c r="I125" s="59">
        <v>55</v>
      </c>
      <c r="K125" s="59">
        <v>111</v>
      </c>
      <c r="L125" s="59">
        <v>84</v>
      </c>
    </row>
    <row r="126" spans="8:12" x14ac:dyDescent="0.15">
      <c r="H126" s="59">
        <v>112</v>
      </c>
      <c r="I126" s="59">
        <v>13</v>
      </c>
      <c r="K126" s="59">
        <v>112</v>
      </c>
      <c r="L126" s="59">
        <v>80.5</v>
      </c>
    </row>
    <row r="127" spans="8:12" x14ac:dyDescent="0.15">
      <c r="H127" s="59">
        <v>113</v>
      </c>
      <c r="I127" s="59">
        <v>77</v>
      </c>
      <c r="K127" s="59">
        <v>113</v>
      </c>
      <c r="L127" s="59">
        <v>64.5</v>
      </c>
    </row>
    <row r="128" spans="8:12" x14ac:dyDescent="0.15">
      <c r="H128" s="59">
        <v>114</v>
      </c>
      <c r="I128" s="59">
        <v>9</v>
      </c>
      <c r="K128" s="59">
        <v>114</v>
      </c>
      <c r="L128" s="59">
        <v>69</v>
      </c>
    </row>
    <row r="129" spans="8:12" x14ac:dyDescent="0.15">
      <c r="H129" s="59">
        <v>115</v>
      </c>
      <c r="I129" s="59">
        <v>24</v>
      </c>
      <c r="K129" s="59">
        <v>115</v>
      </c>
      <c r="L129" s="59">
        <v>95.5</v>
      </c>
    </row>
    <row r="130" spans="8:12" x14ac:dyDescent="0.15">
      <c r="H130" s="59">
        <v>116</v>
      </c>
      <c r="I130" s="59">
        <v>93</v>
      </c>
      <c r="K130" s="59">
        <v>116</v>
      </c>
      <c r="L130" s="59">
        <v>67.5</v>
      </c>
    </row>
    <row r="131" spans="8:12" x14ac:dyDescent="0.15">
      <c r="H131" s="59">
        <v>117</v>
      </c>
      <c r="I131" s="59">
        <v>27</v>
      </c>
      <c r="K131" s="59">
        <v>117</v>
      </c>
      <c r="L131" s="59">
        <v>53.5</v>
      </c>
    </row>
    <row r="132" spans="8:12" x14ac:dyDescent="0.15">
      <c r="H132" s="59">
        <v>118</v>
      </c>
      <c r="I132" s="59">
        <v>42</v>
      </c>
      <c r="K132" s="59">
        <v>118</v>
      </c>
      <c r="L132" s="59">
        <v>71.5</v>
      </c>
    </row>
    <row r="133" spans="8:12" x14ac:dyDescent="0.15">
      <c r="H133" s="59">
        <v>119</v>
      </c>
      <c r="I133" s="59">
        <v>44</v>
      </c>
      <c r="K133" s="59">
        <v>119</v>
      </c>
      <c r="L133" s="59">
        <v>74.5</v>
      </c>
    </row>
    <row r="134" spans="8:12" x14ac:dyDescent="0.15">
      <c r="H134" s="59">
        <v>120</v>
      </c>
      <c r="I134" s="59">
        <v>73</v>
      </c>
      <c r="K134" s="59">
        <v>120</v>
      </c>
      <c r="L134" s="59">
        <v>48.5</v>
      </c>
    </row>
    <row r="135" spans="8:12" x14ac:dyDescent="0.15">
      <c r="H135" s="59">
        <v>121</v>
      </c>
      <c r="I135" s="59">
        <v>57</v>
      </c>
      <c r="K135" s="59">
        <v>121</v>
      </c>
      <c r="L135" s="59">
        <v>95.5</v>
      </c>
    </row>
    <row r="136" spans="8:12" x14ac:dyDescent="0.15">
      <c r="H136" s="59">
        <v>122</v>
      </c>
      <c r="I136" s="59">
        <v>69</v>
      </c>
      <c r="K136" s="59">
        <v>122</v>
      </c>
      <c r="L136" s="59">
        <v>79.5</v>
      </c>
    </row>
    <row r="137" spans="8:12" x14ac:dyDescent="0.15">
      <c r="H137" s="59">
        <v>123</v>
      </c>
      <c r="I137" s="59">
        <v>49</v>
      </c>
      <c r="K137" s="59">
        <v>123</v>
      </c>
      <c r="L137" s="59">
        <v>64.5</v>
      </c>
    </row>
    <row r="138" spans="8:12" x14ac:dyDescent="0.15">
      <c r="H138" s="59">
        <v>124</v>
      </c>
      <c r="I138" s="59">
        <v>61</v>
      </c>
      <c r="K138" s="59">
        <v>124</v>
      </c>
      <c r="L138" s="59">
        <v>89</v>
      </c>
    </row>
    <row r="139" spans="8:12" x14ac:dyDescent="0.15">
      <c r="H139" s="59">
        <v>125</v>
      </c>
      <c r="I139" s="59">
        <v>50</v>
      </c>
      <c r="K139" s="59">
        <v>125</v>
      </c>
      <c r="L139" s="59">
        <v>62.5</v>
      </c>
    </row>
    <row r="140" spans="8:12" x14ac:dyDescent="0.15">
      <c r="H140" s="59">
        <v>126</v>
      </c>
      <c r="I140" s="59">
        <v>61</v>
      </c>
      <c r="K140" s="59">
        <v>126</v>
      </c>
      <c r="L140" s="59">
        <v>93</v>
      </c>
    </row>
    <row r="141" spans="8:12" x14ac:dyDescent="0.15">
      <c r="H141" s="59">
        <v>127</v>
      </c>
      <c r="I141" s="59">
        <v>60</v>
      </c>
      <c r="K141" s="59">
        <v>127</v>
      </c>
      <c r="L141" s="59">
        <v>48.5</v>
      </c>
    </row>
    <row r="142" spans="8:12" x14ac:dyDescent="0.15">
      <c r="H142" s="59">
        <v>128</v>
      </c>
      <c r="I142" s="59">
        <v>58</v>
      </c>
      <c r="K142" s="59">
        <v>128</v>
      </c>
      <c r="L142" s="59">
        <v>58</v>
      </c>
    </row>
    <row r="143" spans="8:12" x14ac:dyDescent="0.15">
      <c r="H143" s="59">
        <v>129</v>
      </c>
      <c r="I143" s="59">
        <v>66</v>
      </c>
      <c r="K143" s="59">
        <v>129</v>
      </c>
      <c r="L143" s="59">
        <v>92.5</v>
      </c>
    </row>
    <row r="144" spans="8:12" x14ac:dyDescent="0.15">
      <c r="H144" s="59">
        <v>130</v>
      </c>
      <c r="I144" s="59">
        <v>41</v>
      </c>
      <c r="K144" s="59">
        <v>130</v>
      </c>
      <c r="L144" s="59">
        <v>90</v>
      </c>
    </row>
    <row r="145" spans="8:12" x14ac:dyDescent="0.15">
      <c r="H145" s="59">
        <v>131</v>
      </c>
      <c r="I145" s="59">
        <v>33</v>
      </c>
      <c r="K145" s="59">
        <v>131</v>
      </c>
      <c r="L145" s="59">
        <v>69.5</v>
      </c>
    </row>
    <row r="146" spans="8:12" x14ac:dyDescent="0.15">
      <c r="H146" s="59">
        <v>132</v>
      </c>
      <c r="I146" s="59">
        <v>42</v>
      </c>
      <c r="K146" s="59">
        <v>132</v>
      </c>
      <c r="L146" s="59">
        <v>57</v>
      </c>
    </row>
    <row r="147" spans="8:12" x14ac:dyDescent="0.15">
      <c r="H147" s="59">
        <v>133</v>
      </c>
      <c r="I147" s="59">
        <v>11</v>
      </c>
      <c r="K147" s="59">
        <v>133</v>
      </c>
      <c r="L147" s="59">
        <v>90</v>
      </c>
    </row>
    <row r="148" spans="8:12" x14ac:dyDescent="0.15">
      <c r="H148" s="59">
        <v>134</v>
      </c>
      <c r="I148" s="59">
        <v>86</v>
      </c>
      <c r="K148" s="59">
        <v>134</v>
      </c>
      <c r="L148" s="59">
        <v>90</v>
      </c>
    </row>
    <row r="149" spans="8:12" x14ac:dyDescent="0.15">
      <c r="H149" s="59">
        <v>135</v>
      </c>
      <c r="I149" s="59">
        <v>34</v>
      </c>
      <c r="K149" s="59">
        <v>135</v>
      </c>
      <c r="L149" s="59">
        <v>88</v>
      </c>
    </row>
    <row r="150" spans="8:12" x14ac:dyDescent="0.15">
      <c r="H150" s="59">
        <v>136</v>
      </c>
      <c r="I150" s="59">
        <v>63</v>
      </c>
      <c r="K150" s="59">
        <v>136</v>
      </c>
      <c r="L150" s="59">
        <v>96</v>
      </c>
    </row>
    <row r="151" spans="8:12" x14ac:dyDescent="0.15">
      <c r="H151" s="59">
        <v>137</v>
      </c>
      <c r="I151" s="59">
        <v>65</v>
      </c>
      <c r="K151" s="59">
        <v>137</v>
      </c>
      <c r="L151" s="59">
        <v>64.5</v>
      </c>
    </row>
    <row r="152" spans="8:12" x14ac:dyDescent="0.15">
      <c r="H152" s="59">
        <v>138</v>
      </c>
      <c r="I152" s="59">
        <v>54</v>
      </c>
      <c r="K152" s="59">
        <v>138</v>
      </c>
      <c r="L152" s="59">
        <v>59.5</v>
      </c>
    </row>
    <row r="153" spans="8:12" x14ac:dyDescent="0.15">
      <c r="H153" s="59">
        <v>139</v>
      </c>
      <c r="I153" s="59">
        <v>71</v>
      </c>
      <c r="K153" s="59">
        <v>139</v>
      </c>
      <c r="L153" s="59">
        <v>61.5</v>
      </c>
    </row>
    <row r="154" spans="8:12" x14ac:dyDescent="0.15">
      <c r="H154" s="59">
        <v>140</v>
      </c>
      <c r="I154" s="59">
        <v>31</v>
      </c>
      <c r="K154" s="59">
        <v>140</v>
      </c>
      <c r="L154" s="59">
        <v>87</v>
      </c>
    </row>
    <row r="155" spans="8:12" x14ac:dyDescent="0.15">
      <c r="H155" s="59">
        <v>141</v>
      </c>
      <c r="I155" s="59">
        <v>27</v>
      </c>
      <c r="K155" s="59">
        <v>141</v>
      </c>
      <c r="L155" s="59">
        <v>58.5</v>
      </c>
    </row>
    <row r="156" spans="8:12" x14ac:dyDescent="0.15">
      <c r="H156" s="59">
        <v>142</v>
      </c>
      <c r="I156" s="59">
        <v>40</v>
      </c>
      <c r="K156" s="59">
        <v>142</v>
      </c>
      <c r="L156" s="59">
        <v>68</v>
      </c>
    </row>
    <row r="157" spans="8:12" x14ac:dyDescent="0.15">
      <c r="H157" s="59">
        <v>143</v>
      </c>
      <c r="I157" s="59">
        <v>56</v>
      </c>
      <c r="K157" s="59">
        <v>143</v>
      </c>
      <c r="L157" s="59">
        <v>58.5</v>
      </c>
    </row>
    <row r="158" spans="8:12" x14ac:dyDescent="0.15">
      <c r="H158" s="59">
        <v>144</v>
      </c>
      <c r="I158" s="59">
        <v>17</v>
      </c>
      <c r="K158" s="59">
        <v>144</v>
      </c>
      <c r="L158" s="59">
        <v>58.5</v>
      </c>
    </row>
    <row r="159" spans="8:12" x14ac:dyDescent="0.15">
      <c r="H159" s="59">
        <v>145</v>
      </c>
      <c r="I159" s="59">
        <v>42</v>
      </c>
      <c r="K159" s="59">
        <v>145</v>
      </c>
      <c r="L159" s="59">
        <v>87</v>
      </c>
    </row>
    <row r="160" spans="8:12" x14ac:dyDescent="0.15">
      <c r="H160" s="59">
        <v>146</v>
      </c>
      <c r="I160" s="59">
        <v>57</v>
      </c>
      <c r="K160" s="59">
        <v>146</v>
      </c>
      <c r="L160" s="59">
        <v>92</v>
      </c>
    </row>
    <row r="161" spans="8:12" x14ac:dyDescent="0.15">
      <c r="H161" s="59">
        <v>147</v>
      </c>
      <c r="I161" s="59">
        <v>42</v>
      </c>
      <c r="K161" s="59">
        <v>147</v>
      </c>
      <c r="L161" s="59">
        <v>92.5</v>
      </c>
    </row>
    <row r="162" spans="8:12" x14ac:dyDescent="0.15">
      <c r="H162" s="59">
        <v>148</v>
      </c>
      <c r="I162" s="59">
        <v>38</v>
      </c>
      <c r="K162" s="59">
        <v>148</v>
      </c>
      <c r="L162" s="59">
        <v>94.5</v>
      </c>
    </row>
    <row r="163" spans="8:12" x14ac:dyDescent="0.15">
      <c r="H163" s="59">
        <v>149</v>
      </c>
      <c r="I163" s="59">
        <v>20</v>
      </c>
      <c r="K163" s="59">
        <v>149</v>
      </c>
      <c r="L163" s="59">
        <v>73.5</v>
      </c>
    </row>
    <row r="164" spans="8:12" x14ac:dyDescent="0.15">
      <c r="H164" s="59">
        <v>150</v>
      </c>
      <c r="I164" s="59">
        <v>98</v>
      </c>
      <c r="K164" s="59">
        <v>150</v>
      </c>
      <c r="L164" s="59">
        <v>59</v>
      </c>
    </row>
    <row r="165" spans="8:12" x14ac:dyDescent="0.15">
      <c r="H165" s="59">
        <v>151</v>
      </c>
      <c r="I165" s="59">
        <v>67</v>
      </c>
      <c r="K165" s="59">
        <v>151</v>
      </c>
      <c r="L165" s="59">
        <v>96</v>
      </c>
    </row>
    <row r="166" spans="8:12" x14ac:dyDescent="0.15">
      <c r="H166" s="59">
        <v>152</v>
      </c>
      <c r="I166" s="59">
        <v>36</v>
      </c>
      <c r="K166" s="59">
        <v>152</v>
      </c>
      <c r="L166" s="59">
        <v>77.5</v>
      </c>
    </row>
    <row r="167" spans="8:12" x14ac:dyDescent="0.15">
      <c r="H167" s="59">
        <v>153</v>
      </c>
      <c r="I167" s="59">
        <v>38</v>
      </c>
      <c r="K167" s="59">
        <v>153</v>
      </c>
      <c r="L167" s="59">
        <v>91</v>
      </c>
    </row>
    <row r="168" spans="8:12" x14ac:dyDescent="0.15">
      <c r="H168" s="59">
        <v>154</v>
      </c>
      <c r="I168" s="59">
        <v>40</v>
      </c>
      <c r="K168" s="59">
        <v>154</v>
      </c>
      <c r="L168" s="59">
        <v>74</v>
      </c>
    </row>
    <row r="169" spans="8:12" x14ac:dyDescent="0.15">
      <c r="H169" s="59">
        <v>155</v>
      </c>
      <c r="I169" s="59">
        <v>59</v>
      </c>
      <c r="K169" s="59">
        <v>155</v>
      </c>
      <c r="L169" s="59">
        <v>61</v>
      </c>
    </row>
    <row r="170" spans="8:12" x14ac:dyDescent="0.15">
      <c r="H170" s="59">
        <v>156</v>
      </c>
      <c r="I170" s="59">
        <v>34</v>
      </c>
      <c r="K170" s="59">
        <v>156</v>
      </c>
      <c r="L170" s="59">
        <v>72.5</v>
      </c>
    </row>
    <row r="171" spans="8:12" x14ac:dyDescent="0.15">
      <c r="H171" s="59">
        <v>157</v>
      </c>
      <c r="I171" s="59">
        <v>43</v>
      </c>
      <c r="K171" s="59">
        <v>157</v>
      </c>
      <c r="L171" s="59">
        <v>97</v>
      </c>
    </row>
    <row r="172" spans="8:12" x14ac:dyDescent="0.15">
      <c r="H172" s="59">
        <v>158</v>
      </c>
      <c r="I172" s="59">
        <v>86</v>
      </c>
      <c r="K172" s="59">
        <v>158</v>
      </c>
      <c r="L172" s="59">
        <v>63</v>
      </c>
    </row>
    <row r="173" spans="8:12" x14ac:dyDescent="0.15">
      <c r="H173" s="59">
        <v>159</v>
      </c>
      <c r="I173" s="59">
        <v>51</v>
      </c>
      <c r="K173" s="59">
        <v>159</v>
      </c>
      <c r="L173" s="59">
        <v>59.5</v>
      </c>
    </row>
    <row r="174" spans="8:12" x14ac:dyDescent="0.15">
      <c r="H174" s="59">
        <v>160</v>
      </c>
      <c r="I174" s="59">
        <v>50</v>
      </c>
      <c r="K174" s="59">
        <v>160</v>
      </c>
      <c r="L174" s="59">
        <v>87.5</v>
      </c>
    </row>
    <row r="175" spans="8:12" x14ac:dyDescent="0.15">
      <c r="H175" s="59">
        <v>161</v>
      </c>
      <c r="I175" s="59">
        <v>41</v>
      </c>
      <c r="K175" s="59">
        <v>161</v>
      </c>
      <c r="L175" s="59">
        <v>64</v>
      </c>
    </row>
    <row r="176" spans="8:12" x14ac:dyDescent="0.15">
      <c r="H176" s="59">
        <v>162</v>
      </c>
      <c r="I176" s="59">
        <v>80</v>
      </c>
      <c r="K176" s="59">
        <v>162</v>
      </c>
      <c r="L176" s="59">
        <v>81</v>
      </c>
    </row>
    <row r="177" spans="8:12" x14ac:dyDescent="0.15">
      <c r="H177" s="59">
        <v>163</v>
      </c>
      <c r="I177" s="59">
        <v>33</v>
      </c>
      <c r="K177" s="59">
        <v>163</v>
      </c>
      <c r="L177" s="59">
        <v>53</v>
      </c>
    </row>
    <row r="178" spans="8:12" x14ac:dyDescent="0.15">
      <c r="H178" s="59">
        <v>164</v>
      </c>
      <c r="I178" s="59">
        <v>87</v>
      </c>
      <c r="K178" s="59">
        <v>164</v>
      </c>
      <c r="L178" s="59">
        <v>90</v>
      </c>
    </row>
    <row r="179" spans="8:12" x14ac:dyDescent="0.15">
      <c r="H179" s="59">
        <v>165</v>
      </c>
      <c r="I179" s="59">
        <v>24</v>
      </c>
      <c r="K179" s="59">
        <v>165</v>
      </c>
      <c r="L179" s="59">
        <v>67.5</v>
      </c>
    </row>
    <row r="180" spans="8:12" x14ac:dyDescent="0.15">
      <c r="H180" s="59">
        <v>166</v>
      </c>
      <c r="I180" s="59">
        <v>62</v>
      </c>
      <c r="K180" s="59">
        <v>166</v>
      </c>
      <c r="L180" s="59">
        <v>66</v>
      </c>
    </row>
    <row r="181" spans="8:12" x14ac:dyDescent="0.15">
      <c r="H181" s="59">
        <v>167</v>
      </c>
      <c r="I181" s="59">
        <v>21</v>
      </c>
      <c r="K181" s="59">
        <v>167</v>
      </c>
      <c r="L181" s="59">
        <v>73</v>
      </c>
    </row>
    <row r="182" spans="8:12" x14ac:dyDescent="0.15">
      <c r="H182" s="59">
        <v>168</v>
      </c>
      <c r="I182" s="59">
        <v>77</v>
      </c>
      <c r="K182" s="59">
        <v>168</v>
      </c>
      <c r="L182" s="59">
        <v>87.5</v>
      </c>
    </row>
    <row r="183" spans="8:12" x14ac:dyDescent="0.15">
      <c r="H183" s="59">
        <v>169</v>
      </c>
      <c r="I183" s="59">
        <v>24</v>
      </c>
      <c r="K183" s="59">
        <v>169</v>
      </c>
      <c r="L183" s="59">
        <v>82</v>
      </c>
    </row>
    <row r="184" spans="8:12" x14ac:dyDescent="0.15">
      <c r="H184" s="59">
        <v>170</v>
      </c>
      <c r="I184" s="59">
        <v>60</v>
      </c>
      <c r="K184" s="59">
        <v>170</v>
      </c>
      <c r="L184" s="59">
        <v>69</v>
      </c>
    </row>
    <row r="185" spans="8:12" x14ac:dyDescent="0.15">
      <c r="H185" s="59">
        <v>171</v>
      </c>
      <c r="I185" s="59">
        <v>47</v>
      </c>
      <c r="K185" s="59">
        <v>171</v>
      </c>
      <c r="L185" s="59">
        <v>94.5</v>
      </c>
    </row>
    <row r="186" spans="8:12" x14ac:dyDescent="0.15">
      <c r="H186" s="59">
        <v>172</v>
      </c>
      <c r="I186" s="59">
        <v>53</v>
      </c>
      <c r="K186" s="59">
        <v>172</v>
      </c>
      <c r="L186" s="59">
        <v>64</v>
      </c>
    </row>
    <row r="187" spans="8:12" x14ac:dyDescent="0.15">
      <c r="H187" s="59">
        <v>173</v>
      </c>
      <c r="I187" s="59">
        <v>72</v>
      </c>
      <c r="K187" s="59">
        <v>173</v>
      </c>
      <c r="L187" s="59">
        <v>64</v>
      </c>
    </row>
    <row r="188" spans="8:12" x14ac:dyDescent="0.15">
      <c r="H188" s="59">
        <v>174</v>
      </c>
      <c r="I188" s="59">
        <v>18</v>
      </c>
      <c r="K188" s="59">
        <v>174</v>
      </c>
      <c r="L188" s="59">
        <v>97</v>
      </c>
    </row>
    <row r="189" spans="8:12" x14ac:dyDescent="0.15">
      <c r="H189" s="59">
        <v>175</v>
      </c>
      <c r="I189" s="59">
        <v>72</v>
      </c>
      <c r="K189" s="59">
        <v>175</v>
      </c>
      <c r="L189" s="59">
        <v>60</v>
      </c>
    </row>
    <row r="190" spans="8:12" x14ac:dyDescent="0.15">
      <c r="H190" s="59">
        <v>176</v>
      </c>
      <c r="I190" s="59">
        <v>33</v>
      </c>
      <c r="K190" s="59">
        <v>176</v>
      </c>
      <c r="L190" s="59">
        <v>88</v>
      </c>
    </row>
    <row r="191" spans="8:12" x14ac:dyDescent="0.15">
      <c r="H191" s="59">
        <v>177</v>
      </c>
      <c r="I191" s="59">
        <v>65</v>
      </c>
      <c r="K191" s="59">
        <v>177</v>
      </c>
      <c r="L191" s="59">
        <v>82</v>
      </c>
    </row>
    <row r="192" spans="8:12" x14ac:dyDescent="0.15">
      <c r="H192" s="59">
        <v>178</v>
      </c>
      <c r="I192" s="59">
        <v>58</v>
      </c>
      <c r="K192" s="59">
        <v>178</v>
      </c>
      <c r="L192" s="59">
        <v>80.5</v>
      </c>
    </row>
    <row r="193" spans="8:12" x14ac:dyDescent="0.15">
      <c r="H193" s="59">
        <v>179</v>
      </c>
      <c r="I193" s="59">
        <v>78</v>
      </c>
      <c r="K193" s="59">
        <v>179</v>
      </c>
      <c r="L193" s="59">
        <v>78.5</v>
      </c>
    </row>
    <row r="194" spans="8:12" x14ac:dyDescent="0.15">
      <c r="H194" s="59">
        <v>180</v>
      </c>
      <c r="I194" s="59">
        <v>39</v>
      </c>
      <c r="K194" s="59">
        <v>180</v>
      </c>
      <c r="L194" s="59">
        <v>68</v>
      </c>
    </row>
    <row r="195" spans="8:12" x14ac:dyDescent="0.15">
      <c r="H195" s="59">
        <v>181</v>
      </c>
      <c r="I195" s="59">
        <v>42</v>
      </c>
      <c r="K195" s="59">
        <v>181</v>
      </c>
      <c r="L195" s="59">
        <v>70</v>
      </c>
    </row>
    <row r="196" spans="8:12" x14ac:dyDescent="0.15">
      <c r="H196" s="59">
        <v>182</v>
      </c>
      <c r="I196" s="59">
        <v>67</v>
      </c>
      <c r="K196" s="59">
        <v>182</v>
      </c>
      <c r="L196" s="59">
        <v>84</v>
      </c>
    </row>
    <row r="197" spans="8:12" x14ac:dyDescent="0.15">
      <c r="H197" s="59">
        <v>183</v>
      </c>
      <c r="I197" s="59">
        <v>56</v>
      </c>
      <c r="K197" s="59">
        <v>183</v>
      </c>
      <c r="L197" s="59">
        <v>62.5</v>
      </c>
    </row>
    <row r="198" spans="8:12" x14ac:dyDescent="0.15">
      <c r="H198" s="59">
        <v>184</v>
      </c>
      <c r="I198" s="59">
        <v>30</v>
      </c>
      <c r="K198" s="59">
        <v>184</v>
      </c>
      <c r="L198" s="59">
        <v>93</v>
      </c>
    </row>
    <row r="199" spans="8:12" x14ac:dyDescent="0.15">
      <c r="H199" s="59">
        <v>185</v>
      </c>
      <c r="I199" s="59">
        <v>28</v>
      </c>
      <c r="K199" s="59">
        <v>185</v>
      </c>
      <c r="L199" s="59">
        <v>49.5</v>
      </c>
    </row>
    <row r="200" spans="8:12" x14ac:dyDescent="0.15">
      <c r="H200" s="59">
        <v>186</v>
      </c>
      <c r="I200" s="59">
        <v>65</v>
      </c>
      <c r="K200" s="59">
        <v>186</v>
      </c>
      <c r="L200" s="59">
        <v>91.5</v>
      </c>
    </row>
    <row r="201" spans="8:12" x14ac:dyDescent="0.15">
      <c r="H201" s="59">
        <v>187</v>
      </c>
      <c r="I201" s="59">
        <v>30</v>
      </c>
      <c r="K201" s="59">
        <v>187</v>
      </c>
      <c r="L201" s="59">
        <v>97</v>
      </c>
    </row>
    <row r="202" spans="8:12" x14ac:dyDescent="0.15">
      <c r="H202" s="59">
        <v>188</v>
      </c>
      <c r="I202" s="59">
        <v>73</v>
      </c>
      <c r="K202" s="59">
        <v>188</v>
      </c>
      <c r="L202" s="59">
        <v>88.5</v>
      </c>
    </row>
    <row r="203" spans="8:12" x14ac:dyDescent="0.15">
      <c r="H203" s="59">
        <v>189</v>
      </c>
      <c r="I203" s="59">
        <v>72</v>
      </c>
      <c r="K203" s="59">
        <v>189</v>
      </c>
      <c r="L203" s="59">
        <v>53.5</v>
      </c>
    </row>
    <row r="204" spans="8:12" x14ac:dyDescent="0.15">
      <c r="H204" s="59">
        <v>190</v>
      </c>
      <c r="I204" s="59">
        <v>9</v>
      </c>
      <c r="K204" s="59">
        <v>190</v>
      </c>
      <c r="L204" s="59">
        <v>59</v>
      </c>
    </row>
    <row r="205" spans="8:12" x14ac:dyDescent="0.15">
      <c r="H205" s="59">
        <v>191</v>
      </c>
      <c r="I205" s="59">
        <v>68</v>
      </c>
      <c r="K205" s="59">
        <v>191</v>
      </c>
      <c r="L205" s="59">
        <v>89.5</v>
      </c>
    </row>
    <row r="206" spans="8:12" x14ac:dyDescent="0.15">
      <c r="H206" s="59">
        <v>192</v>
      </c>
      <c r="I206" s="59">
        <v>29</v>
      </c>
      <c r="K206" s="59">
        <v>192</v>
      </c>
      <c r="L206" s="59">
        <v>54.5</v>
      </c>
    </row>
    <row r="207" spans="8:12" x14ac:dyDescent="0.15">
      <c r="H207" s="59">
        <v>193</v>
      </c>
      <c r="I207" s="59">
        <v>38</v>
      </c>
      <c r="K207" s="59">
        <v>193</v>
      </c>
      <c r="L207" s="59">
        <v>70.5</v>
      </c>
    </row>
    <row r="208" spans="8:12" x14ac:dyDescent="0.15">
      <c r="H208" s="59">
        <v>194</v>
      </c>
      <c r="I208" s="59">
        <v>60</v>
      </c>
      <c r="K208" s="59">
        <v>194</v>
      </c>
      <c r="L208" s="59">
        <v>82</v>
      </c>
    </row>
    <row r="209" spans="8:12" x14ac:dyDescent="0.15">
      <c r="H209" s="59">
        <v>195</v>
      </c>
      <c r="I209" s="59">
        <v>37</v>
      </c>
      <c r="K209" s="59">
        <v>195</v>
      </c>
      <c r="L209" s="59">
        <v>87.5</v>
      </c>
    </row>
    <row r="210" spans="8:12" x14ac:dyDescent="0.15">
      <c r="H210" s="59">
        <v>196</v>
      </c>
      <c r="I210" s="59">
        <v>17</v>
      </c>
      <c r="K210" s="59">
        <v>196</v>
      </c>
      <c r="L210" s="59">
        <v>69</v>
      </c>
    </row>
    <row r="211" spans="8:12" x14ac:dyDescent="0.15">
      <c r="H211" s="59">
        <v>197</v>
      </c>
      <c r="I211" s="59">
        <v>82</v>
      </c>
      <c r="K211" s="59">
        <v>197</v>
      </c>
      <c r="L211" s="59">
        <v>66.5</v>
      </c>
    </row>
    <row r="212" spans="8:12" x14ac:dyDescent="0.15">
      <c r="H212" s="59">
        <v>198</v>
      </c>
      <c r="I212" s="59">
        <v>26</v>
      </c>
      <c r="K212" s="59">
        <v>198</v>
      </c>
      <c r="L212" s="59">
        <v>94.5</v>
      </c>
    </row>
    <row r="213" spans="8:12" x14ac:dyDescent="0.15">
      <c r="H213" s="59">
        <v>199</v>
      </c>
      <c r="I213" s="59">
        <v>75</v>
      </c>
      <c r="K213" s="59">
        <v>199</v>
      </c>
      <c r="L213" s="59">
        <v>53.5</v>
      </c>
    </row>
    <row r="214" spans="8:12" x14ac:dyDescent="0.15">
      <c r="H214" s="59">
        <v>200</v>
      </c>
      <c r="I214" s="59">
        <v>79</v>
      </c>
      <c r="K214" s="59">
        <v>200</v>
      </c>
      <c r="L214" s="59">
        <v>82.5</v>
      </c>
    </row>
    <row r="215" spans="8:12" x14ac:dyDescent="0.15">
      <c r="H215" s="59">
        <v>201</v>
      </c>
      <c r="I215" s="59">
        <v>47</v>
      </c>
      <c r="K215" s="59">
        <v>201</v>
      </c>
      <c r="L215" s="59">
        <v>80.5</v>
      </c>
    </row>
    <row r="216" spans="8:12" x14ac:dyDescent="0.15">
      <c r="H216" s="59">
        <v>202</v>
      </c>
      <c r="I216" s="59">
        <v>14</v>
      </c>
      <c r="K216" s="59">
        <v>202</v>
      </c>
      <c r="L216" s="59">
        <v>76</v>
      </c>
    </row>
    <row r="217" spans="8:12" x14ac:dyDescent="0.15">
      <c r="H217" s="59">
        <v>203</v>
      </c>
      <c r="I217" s="59">
        <v>18</v>
      </c>
      <c r="K217" s="59">
        <v>203</v>
      </c>
      <c r="L217" s="59">
        <v>87.5</v>
      </c>
    </row>
    <row r="218" spans="8:12" x14ac:dyDescent="0.15">
      <c r="H218" s="59">
        <v>204</v>
      </c>
      <c r="I218" s="59">
        <v>44</v>
      </c>
      <c r="K218" s="59">
        <v>204</v>
      </c>
      <c r="L218" s="59">
        <v>82</v>
      </c>
    </row>
    <row r="219" spans="8:12" x14ac:dyDescent="0.15">
      <c r="H219" s="59">
        <v>205</v>
      </c>
      <c r="I219" s="59">
        <v>52</v>
      </c>
      <c r="K219" s="59">
        <v>205</v>
      </c>
      <c r="L219" s="59">
        <v>69.5</v>
      </c>
    </row>
    <row r="220" spans="8:12" x14ac:dyDescent="0.15">
      <c r="H220" s="59">
        <v>206</v>
      </c>
      <c r="I220" s="59">
        <v>17</v>
      </c>
      <c r="K220" s="59">
        <v>206</v>
      </c>
      <c r="L220" s="59">
        <v>70</v>
      </c>
    </row>
    <row r="221" spans="8:12" x14ac:dyDescent="0.15">
      <c r="H221" s="59">
        <v>207</v>
      </c>
      <c r="I221" s="59">
        <v>57</v>
      </c>
      <c r="K221" s="59">
        <v>207</v>
      </c>
      <c r="L221" s="59">
        <v>54.5</v>
      </c>
    </row>
    <row r="222" spans="8:12" x14ac:dyDescent="0.15">
      <c r="H222" s="59">
        <v>208</v>
      </c>
      <c r="I222" s="59">
        <v>66</v>
      </c>
      <c r="K222" s="59">
        <v>208</v>
      </c>
      <c r="L222" s="59">
        <v>66.5</v>
      </c>
    </row>
    <row r="223" spans="8:12" x14ac:dyDescent="0.15">
      <c r="H223" s="59">
        <v>209</v>
      </c>
      <c r="I223" s="59">
        <v>33</v>
      </c>
      <c r="K223" s="59">
        <v>209</v>
      </c>
      <c r="L223" s="59">
        <v>54.5</v>
      </c>
    </row>
    <row r="224" spans="8:12" x14ac:dyDescent="0.15">
      <c r="H224" s="59">
        <v>210</v>
      </c>
      <c r="I224" s="59">
        <v>19</v>
      </c>
      <c r="K224" s="59">
        <v>210</v>
      </c>
      <c r="L224" s="59">
        <v>66</v>
      </c>
    </row>
    <row r="225" spans="8:12" x14ac:dyDescent="0.15">
      <c r="H225" s="59">
        <v>211</v>
      </c>
      <c r="I225" s="59">
        <v>9</v>
      </c>
      <c r="K225" s="59">
        <v>211</v>
      </c>
      <c r="L225" s="59">
        <v>96.5</v>
      </c>
    </row>
    <row r="226" spans="8:12" x14ac:dyDescent="0.15">
      <c r="H226" s="59">
        <v>212</v>
      </c>
      <c r="I226" s="59">
        <v>78</v>
      </c>
      <c r="K226" s="59">
        <v>212</v>
      </c>
      <c r="L226" s="59">
        <v>89.5</v>
      </c>
    </row>
    <row r="227" spans="8:12" x14ac:dyDescent="0.15">
      <c r="H227" s="59">
        <v>213</v>
      </c>
      <c r="I227" s="59">
        <v>38</v>
      </c>
      <c r="K227" s="59">
        <v>213</v>
      </c>
      <c r="L227" s="59">
        <v>76.5</v>
      </c>
    </row>
    <row r="228" spans="8:12" x14ac:dyDescent="0.15">
      <c r="H228" s="59">
        <v>214</v>
      </c>
      <c r="I228" s="59">
        <v>24</v>
      </c>
      <c r="K228" s="59">
        <v>214</v>
      </c>
      <c r="L228" s="59">
        <v>56</v>
      </c>
    </row>
    <row r="229" spans="8:12" x14ac:dyDescent="0.15">
      <c r="H229" s="59">
        <v>215</v>
      </c>
      <c r="I229" s="59">
        <v>70</v>
      </c>
      <c r="K229" s="59">
        <v>215</v>
      </c>
      <c r="L229" s="59">
        <v>95</v>
      </c>
    </row>
    <row r="230" spans="8:12" x14ac:dyDescent="0.15">
      <c r="H230" s="59">
        <v>216</v>
      </c>
      <c r="I230" s="59">
        <v>22</v>
      </c>
      <c r="K230" s="59">
        <v>216</v>
      </c>
      <c r="L230" s="59">
        <v>93.5</v>
      </c>
    </row>
    <row r="231" spans="8:12" x14ac:dyDescent="0.15">
      <c r="H231" s="59">
        <v>217</v>
      </c>
      <c r="I231" s="59">
        <v>73</v>
      </c>
      <c r="K231" s="59">
        <v>217</v>
      </c>
      <c r="L231" s="59">
        <v>85</v>
      </c>
    </row>
    <row r="232" spans="8:12" x14ac:dyDescent="0.15">
      <c r="H232" s="59">
        <v>218</v>
      </c>
      <c r="I232" s="59">
        <v>83</v>
      </c>
      <c r="K232" s="59">
        <v>218</v>
      </c>
      <c r="L232" s="59">
        <v>88</v>
      </c>
    </row>
    <row r="233" spans="8:12" x14ac:dyDescent="0.15">
      <c r="H233" s="59">
        <v>219</v>
      </c>
      <c r="I233" s="59">
        <v>16</v>
      </c>
      <c r="K233" s="59">
        <v>219</v>
      </c>
      <c r="L233" s="59">
        <v>57.5</v>
      </c>
    </row>
    <row r="234" spans="8:12" x14ac:dyDescent="0.15">
      <c r="H234" s="59">
        <v>220</v>
      </c>
      <c r="I234" s="59">
        <v>78</v>
      </c>
      <c r="K234" s="59">
        <v>220</v>
      </c>
      <c r="L234" s="59">
        <v>78.5</v>
      </c>
    </row>
    <row r="235" spans="8:12" x14ac:dyDescent="0.15">
      <c r="H235" s="59">
        <v>221</v>
      </c>
      <c r="I235" s="59">
        <v>20</v>
      </c>
      <c r="K235" s="59">
        <v>221</v>
      </c>
      <c r="L235" s="59">
        <v>67.5</v>
      </c>
    </row>
    <row r="236" spans="8:12" x14ac:dyDescent="0.15">
      <c r="H236" s="59">
        <v>222</v>
      </c>
      <c r="I236" s="59">
        <v>69</v>
      </c>
      <c r="K236" s="59">
        <v>222</v>
      </c>
      <c r="L236" s="59">
        <v>58</v>
      </c>
    </row>
    <row r="237" spans="8:12" x14ac:dyDescent="0.15">
      <c r="H237" s="59">
        <v>223</v>
      </c>
      <c r="I237" s="59">
        <v>72</v>
      </c>
      <c r="K237" s="59">
        <v>223</v>
      </c>
      <c r="L237" s="59">
        <v>75</v>
      </c>
    </row>
    <row r="238" spans="8:12" x14ac:dyDescent="0.15">
      <c r="H238" s="59">
        <v>224</v>
      </c>
      <c r="I238" s="59">
        <v>94</v>
      </c>
      <c r="K238" s="59">
        <v>224</v>
      </c>
      <c r="L238" s="59">
        <v>95.5</v>
      </c>
    </row>
    <row r="239" spans="8:12" x14ac:dyDescent="0.15">
      <c r="H239" s="59">
        <v>225</v>
      </c>
      <c r="I239" s="59">
        <v>57</v>
      </c>
      <c r="K239" s="59">
        <v>225</v>
      </c>
      <c r="L239" s="59">
        <v>76</v>
      </c>
    </row>
    <row r="240" spans="8:12" x14ac:dyDescent="0.15">
      <c r="H240" s="59">
        <v>226</v>
      </c>
      <c r="I240" s="59">
        <v>47</v>
      </c>
      <c r="K240" s="59">
        <v>226</v>
      </c>
      <c r="L240" s="59">
        <v>65.5</v>
      </c>
    </row>
    <row r="241" spans="8:12" x14ac:dyDescent="0.15">
      <c r="H241" s="59">
        <v>227</v>
      </c>
      <c r="I241" s="59">
        <v>41</v>
      </c>
      <c r="K241" s="59">
        <v>227</v>
      </c>
      <c r="L241" s="59">
        <v>58.5</v>
      </c>
    </row>
    <row r="242" spans="8:12" x14ac:dyDescent="0.15">
      <c r="H242" s="59">
        <v>228</v>
      </c>
      <c r="I242" s="59">
        <v>58</v>
      </c>
      <c r="K242" s="59">
        <v>228</v>
      </c>
      <c r="L242" s="59">
        <v>90.5</v>
      </c>
    </row>
    <row r="243" spans="8:12" x14ac:dyDescent="0.15">
      <c r="H243" s="59">
        <v>229</v>
      </c>
      <c r="I243" s="59">
        <v>33</v>
      </c>
      <c r="K243" s="59">
        <v>229</v>
      </c>
      <c r="L243" s="59">
        <v>96</v>
      </c>
    </row>
    <row r="244" spans="8:12" x14ac:dyDescent="0.15">
      <c r="H244" s="59">
        <v>230</v>
      </c>
      <c r="I244" s="59">
        <v>92</v>
      </c>
      <c r="K244" s="59">
        <v>230</v>
      </c>
      <c r="L244" s="59">
        <v>85</v>
      </c>
    </row>
    <row r="245" spans="8:12" x14ac:dyDescent="0.15">
      <c r="H245" s="59">
        <v>231</v>
      </c>
      <c r="I245" s="59">
        <v>43</v>
      </c>
      <c r="K245" s="59">
        <v>231</v>
      </c>
      <c r="L245" s="59">
        <v>72</v>
      </c>
    </row>
    <row r="246" spans="8:12" x14ac:dyDescent="0.15">
      <c r="H246" s="59">
        <v>232</v>
      </c>
      <c r="I246" s="59">
        <v>26</v>
      </c>
      <c r="K246" s="59">
        <v>232</v>
      </c>
      <c r="L246" s="59">
        <v>89.5</v>
      </c>
    </row>
    <row r="247" spans="8:12" x14ac:dyDescent="0.15">
      <c r="H247" s="59">
        <v>233</v>
      </c>
      <c r="I247" s="59">
        <v>28</v>
      </c>
      <c r="K247" s="59">
        <v>233</v>
      </c>
      <c r="L247" s="59">
        <v>58.5</v>
      </c>
    </row>
    <row r="248" spans="8:12" x14ac:dyDescent="0.15">
      <c r="H248" s="59">
        <v>234</v>
      </c>
      <c r="I248" s="59">
        <v>63</v>
      </c>
      <c r="K248" s="59">
        <v>234</v>
      </c>
      <c r="L248" s="59">
        <v>77.5</v>
      </c>
    </row>
    <row r="249" spans="8:12" x14ac:dyDescent="0.15">
      <c r="H249" s="59">
        <v>235</v>
      </c>
      <c r="I249" s="59">
        <v>55</v>
      </c>
      <c r="K249" s="59">
        <v>235</v>
      </c>
      <c r="L249" s="59">
        <v>53.5</v>
      </c>
    </row>
    <row r="250" spans="8:12" x14ac:dyDescent="0.15">
      <c r="H250" s="59">
        <v>236</v>
      </c>
      <c r="I250" s="59">
        <v>75</v>
      </c>
      <c r="K250" s="59">
        <v>236</v>
      </c>
      <c r="L250" s="59">
        <v>56</v>
      </c>
    </row>
    <row r="251" spans="8:12" x14ac:dyDescent="0.15">
      <c r="H251" s="59">
        <v>237</v>
      </c>
      <c r="I251" s="59">
        <v>57</v>
      </c>
      <c r="K251" s="59">
        <v>237</v>
      </c>
      <c r="L251" s="59">
        <v>77</v>
      </c>
    </row>
    <row r="252" spans="8:12" x14ac:dyDescent="0.15">
      <c r="H252" s="59">
        <v>238</v>
      </c>
      <c r="I252" s="59">
        <v>52</v>
      </c>
      <c r="K252" s="59">
        <v>238</v>
      </c>
      <c r="L252" s="59">
        <v>82.5</v>
      </c>
    </row>
    <row r="253" spans="8:12" x14ac:dyDescent="0.15">
      <c r="H253" s="59">
        <v>239</v>
      </c>
      <c r="I253" s="59">
        <v>33</v>
      </c>
      <c r="K253" s="59">
        <v>239</v>
      </c>
      <c r="L253" s="59">
        <v>93.5</v>
      </c>
    </row>
    <row r="254" spans="8:12" x14ac:dyDescent="0.15">
      <c r="H254" s="59">
        <v>240</v>
      </c>
      <c r="I254" s="59">
        <v>4</v>
      </c>
      <c r="K254" s="59">
        <v>240</v>
      </c>
      <c r="L254" s="59">
        <v>88</v>
      </c>
    </row>
    <row r="255" spans="8:12" x14ac:dyDescent="0.15">
      <c r="H255" s="59">
        <v>241</v>
      </c>
      <c r="I255" s="59">
        <v>77</v>
      </c>
      <c r="K255" s="59">
        <v>241</v>
      </c>
      <c r="L255" s="59">
        <v>80.5</v>
      </c>
    </row>
    <row r="256" spans="8:12" x14ac:dyDescent="0.15">
      <c r="H256" s="59">
        <v>242</v>
      </c>
      <c r="I256" s="59">
        <v>47</v>
      </c>
      <c r="K256" s="59">
        <v>242</v>
      </c>
      <c r="L256" s="59">
        <v>86</v>
      </c>
    </row>
    <row r="257" spans="8:12" x14ac:dyDescent="0.15">
      <c r="H257" s="59">
        <v>243</v>
      </c>
      <c r="I257" s="59">
        <v>58</v>
      </c>
      <c r="K257" s="59">
        <v>243</v>
      </c>
      <c r="L257" s="59">
        <v>61.5</v>
      </c>
    </row>
    <row r="258" spans="8:12" x14ac:dyDescent="0.15">
      <c r="H258" s="59">
        <v>244</v>
      </c>
      <c r="I258" s="59">
        <v>65</v>
      </c>
      <c r="K258" s="59">
        <v>244</v>
      </c>
      <c r="L258" s="59">
        <v>75</v>
      </c>
    </row>
    <row r="259" spans="8:12" x14ac:dyDescent="0.15">
      <c r="H259" s="59">
        <v>245</v>
      </c>
      <c r="I259" s="59">
        <v>42</v>
      </c>
      <c r="K259" s="59">
        <v>245</v>
      </c>
      <c r="L259" s="59">
        <v>96</v>
      </c>
    </row>
    <row r="260" spans="8:12" x14ac:dyDescent="0.15">
      <c r="H260" s="59">
        <v>246</v>
      </c>
      <c r="I260" s="59">
        <v>42</v>
      </c>
      <c r="K260" s="59">
        <v>246</v>
      </c>
      <c r="L260" s="59">
        <v>89.5</v>
      </c>
    </row>
    <row r="261" spans="8:12" x14ac:dyDescent="0.15">
      <c r="H261" s="59">
        <v>247</v>
      </c>
      <c r="I261" s="59">
        <v>21</v>
      </c>
      <c r="K261" s="59">
        <v>247</v>
      </c>
      <c r="L261" s="59">
        <v>71.5</v>
      </c>
    </row>
    <row r="262" spans="8:12" x14ac:dyDescent="0.15">
      <c r="H262" s="59">
        <v>248</v>
      </c>
      <c r="I262" s="59">
        <v>76</v>
      </c>
      <c r="K262" s="59">
        <v>248</v>
      </c>
      <c r="L262" s="59">
        <v>55.5</v>
      </c>
    </row>
    <row r="263" spans="8:12" x14ac:dyDescent="0.15">
      <c r="H263" s="59">
        <v>249</v>
      </c>
      <c r="I263" s="59">
        <v>14</v>
      </c>
      <c r="K263" s="59">
        <v>249</v>
      </c>
      <c r="L263" s="59">
        <v>97</v>
      </c>
    </row>
    <row r="264" spans="8:12" x14ac:dyDescent="0.15">
      <c r="H264" s="59">
        <v>250</v>
      </c>
      <c r="I264" s="59">
        <v>81</v>
      </c>
      <c r="K264" s="59">
        <v>250</v>
      </c>
      <c r="L264" s="59">
        <v>84.5</v>
      </c>
    </row>
    <row r="265" spans="8:12" x14ac:dyDescent="0.15">
      <c r="H265" s="59">
        <v>251</v>
      </c>
      <c r="I265" s="59">
        <v>65</v>
      </c>
      <c r="K265" s="59">
        <v>251</v>
      </c>
      <c r="L265" s="59">
        <v>67</v>
      </c>
    </row>
    <row r="266" spans="8:12" x14ac:dyDescent="0.15">
      <c r="H266" s="59">
        <v>252</v>
      </c>
      <c r="I266" s="59">
        <v>18</v>
      </c>
      <c r="K266" s="59">
        <v>252</v>
      </c>
      <c r="L266" s="59">
        <v>78</v>
      </c>
    </row>
    <row r="267" spans="8:12" x14ac:dyDescent="0.15">
      <c r="H267" s="59">
        <v>253</v>
      </c>
      <c r="I267" s="59">
        <v>61</v>
      </c>
      <c r="K267" s="59">
        <v>253</v>
      </c>
      <c r="L267" s="59">
        <v>63.5</v>
      </c>
    </row>
    <row r="268" spans="8:12" x14ac:dyDescent="0.15">
      <c r="H268" s="59">
        <v>254</v>
      </c>
      <c r="I268" s="59">
        <v>46</v>
      </c>
      <c r="K268" s="59">
        <v>254</v>
      </c>
      <c r="L268" s="59">
        <v>72.5</v>
      </c>
    </row>
    <row r="269" spans="8:12" x14ac:dyDescent="0.15">
      <c r="H269" s="59">
        <v>255</v>
      </c>
      <c r="I269" s="59">
        <v>78</v>
      </c>
      <c r="K269" s="59">
        <v>255</v>
      </c>
      <c r="L269" s="59">
        <v>72.5</v>
      </c>
    </row>
    <row r="270" spans="8:12" x14ac:dyDescent="0.15">
      <c r="H270" s="59">
        <v>256</v>
      </c>
      <c r="I270" s="59">
        <v>30</v>
      </c>
      <c r="K270" s="59">
        <v>256</v>
      </c>
      <c r="L270" s="59">
        <v>71</v>
      </c>
    </row>
    <row r="271" spans="8:12" x14ac:dyDescent="0.15">
      <c r="H271" s="59">
        <v>257</v>
      </c>
      <c r="I271" s="59">
        <v>13</v>
      </c>
      <c r="K271" s="59">
        <v>257</v>
      </c>
      <c r="L271" s="59">
        <v>63.5</v>
      </c>
    </row>
    <row r="272" spans="8:12" x14ac:dyDescent="0.15">
      <c r="H272" s="59">
        <v>258</v>
      </c>
      <c r="I272" s="59">
        <v>53</v>
      </c>
      <c r="K272" s="59">
        <v>258</v>
      </c>
      <c r="L272" s="59">
        <v>82</v>
      </c>
    </row>
    <row r="273" spans="8:12" x14ac:dyDescent="0.15">
      <c r="H273" s="59">
        <v>259</v>
      </c>
      <c r="I273" s="59">
        <v>28</v>
      </c>
      <c r="K273" s="59">
        <v>259</v>
      </c>
      <c r="L273" s="59">
        <v>93</v>
      </c>
    </row>
    <row r="274" spans="8:12" x14ac:dyDescent="0.15">
      <c r="H274" s="59">
        <v>260</v>
      </c>
      <c r="I274" s="59">
        <v>27</v>
      </c>
      <c r="K274" s="59">
        <v>260</v>
      </c>
      <c r="L274" s="59">
        <v>57</v>
      </c>
    </row>
    <row r="275" spans="8:12" x14ac:dyDescent="0.15">
      <c r="H275" s="59">
        <v>261</v>
      </c>
      <c r="I275" s="59">
        <v>65</v>
      </c>
      <c r="K275" s="59">
        <v>261</v>
      </c>
      <c r="L275" s="59">
        <v>70</v>
      </c>
    </row>
    <row r="276" spans="8:12" x14ac:dyDescent="0.15">
      <c r="H276" s="59">
        <v>262</v>
      </c>
      <c r="I276" s="59">
        <v>33</v>
      </c>
      <c r="K276" s="59">
        <v>262</v>
      </c>
      <c r="L276" s="59">
        <v>91.5</v>
      </c>
    </row>
    <row r="277" spans="8:12" x14ac:dyDescent="0.15">
      <c r="H277" s="59">
        <v>263</v>
      </c>
      <c r="I277" s="59">
        <v>44</v>
      </c>
      <c r="K277" s="59">
        <v>263</v>
      </c>
      <c r="L277" s="59">
        <v>66</v>
      </c>
    </row>
    <row r="278" spans="8:12" x14ac:dyDescent="0.15">
      <c r="H278" s="59">
        <v>264</v>
      </c>
      <c r="I278" s="59">
        <v>42</v>
      </c>
      <c r="K278" s="59">
        <v>264</v>
      </c>
      <c r="L278" s="59">
        <v>80</v>
      </c>
    </row>
    <row r="279" spans="8:12" x14ac:dyDescent="0.15">
      <c r="H279" s="59">
        <v>265</v>
      </c>
      <c r="I279" s="59">
        <v>26</v>
      </c>
      <c r="K279" s="59">
        <v>265</v>
      </c>
      <c r="L279" s="59">
        <v>51</v>
      </c>
    </row>
    <row r="280" spans="8:12" x14ac:dyDescent="0.15">
      <c r="H280" s="59">
        <v>266</v>
      </c>
      <c r="I280" s="59">
        <v>57</v>
      </c>
      <c r="K280" s="59">
        <v>266</v>
      </c>
      <c r="L280" s="59">
        <v>70.5</v>
      </c>
    </row>
    <row r="281" spans="8:12" x14ac:dyDescent="0.15">
      <c r="H281" s="59">
        <v>267</v>
      </c>
      <c r="I281" s="59">
        <v>52</v>
      </c>
      <c r="K281" s="59">
        <v>267</v>
      </c>
      <c r="L281" s="59">
        <v>62.5</v>
      </c>
    </row>
    <row r="282" spans="8:12" x14ac:dyDescent="0.15">
      <c r="H282" s="59">
        <v>268</v>
      </c>
      <c r="I282" s="59">
        <v>83</v>
      </c>
      <c r="K282" s="59">
        <v>268</v>
      </c>
      <c r="L282" s="59">
        <v>53</v>
      </c>
    </row>
    <row r="283" spans="8:12" x14ac:dyDescent="0.15">
      <c r="H283" s="59">
        <v>269</v>
      </c>
      <c r="I283" s="59">
        <v>72</v>
      </c>
      <c r="K283" s="59">
        <v>269</v>
      </c>
      <c r="L283" s="59">
        <v>89</v>
      </c>
    </row>
    <row r="284" spans="8:12" x14ac:dyDescent="0.15">
      <c r="H284" s="59">
        <v>270</v>
      </c>
      <c r="I284" s="59">
        <v>57</v>
      </c>
      <c r="K284" s="59">
        <v>270</v>
      </c>
      <c r="L284" s="59">
        <v>69.5</v>
      </c>
    </row>
    <row r="285" spans="8:12" x14ac:dyDescent="0.15">
      <c r="H285" s="59">
        <v>271</v>
      </c>
      <c r="I285" s="59">
        <v>36</v>
      </c>
      <c r="K285" s="59">
        <v>271</v>
      </c>
      <c r="L285" s="59">
        <v>54.5</v>
      </c>
    </row>
    <row r="286" spans="8:12" x14ac:dyDescent="0.15">
      <c r="H286" s="59">
        <v>272</v>
      </c>
      <c r="I286" s="59">
        <v>37</v>
      </c>
      <c r="K286" s="59">
        <v>272</v>
      </c>
      <c r="L286" s="59">
        <v>78.5</v>
      </c>
    </row>
    <row r="287" spans="8:12" x14ac:dyDescent="0.15">
      <c r="H287" s="59">
        <v>273</v>
      </c>
      <c r="I287" s="59">
        <v>44</v>
      </c>
      <c r="K287" s="59">
        <v>273</v>
      </c>
      <c r="L287" s="59">
        <v>89</v>
      </c>
    </row>
    <row r="288" spans="8:12" x14ac:dyDescent="0.15">
      <c r="H288" s="59">
        <v>274</v>
      </c>
      <c r="I288" s="59">
        <v>78</v>
      </c>
      <c r="K288" s="59">
        <v>274</v>
      </c>
      <c r="L288" s="59">
        <v>67.5</v>
      </c>
    </row>
    <row r="289" spans="8:12" x14ac:dyDescent="0.15">
      <c r="H289" s="59">
        <v>275</v>
      </c>
      <c r="I289" s="59">
        <v>73</v>
      </c>
      <c r="K289" s="59">
        <v>275</v>
      </c>
      <c r="L289" s="59">
        <v>57</v>
      </c>
    </row>
    <row r="290" spans="8:12" x14ac:dyDescent="0.15">
      <c r="H290" s="59">
        <v>276</v>
      </c>
      <c r="I290" s="59">
        <v>77</v>
      </c>
      <c r="K290" s="59">
        <v>276</v>
      </c>
      <c r="L290" s="59">
        <v>78</v>
      </c>
    </row>
    <row r="291" spans="8:12" x14ac:dyDescent="0.15">
      <c r="H291" s="59">
        <v>277</v>
      </c>
      <c r="I291" s="59">
        <v>48</v>
      </c>
      <c r="K291" s="59">
        <v>277</v>
      </c>
      <c r="L291" s="59">
        <v>69.5</v>
      </c>
    </row>
    <row r="292" spans="8:12" x14ac:dyDescent="0.15">
      <c r="H292" s="59">
        <v>278</v>
      </c>
      <c r="I292" s="59">
        <v>19</v>
      </c>
      <c r="K292" s="59">
        <v>278</v>
      </c>
      <c r="L292" s="59">
        <v>84</v>
      </c>
    </row>
    <row r="293" spans="8:12" x14ac:dyDescent="0.15">
      <c r="H293" s="59">
        <v>279</v>
      </c>
      <c r="I293" s="59">
        <v>53</v>
      </c>
      <c r="K293" s="59">
        <v>279</v>
      </c>
      <c r="L293" s="59">
        <v>74</v>
      </c>
    </row>
    <row r="294" spans="8:12" x14ac:dyDescent="0.15">
      <c r="H294" s="59">
        <v>280</v>
      </c>
      <c r="I294" s="59">
        <v>85</v>
      </c>
      <c r="K294" s="59">
        <v>280</v>
      </c>
      <c r="L294" s="59">
        <v>62</v>
      </c>
    </row>
    <row r="295" spans="8:12" x14ac:dyDescent="0.15">
      <c r="H295" s="59">
        <v>281</v>
      </c>
      <c r="I295" s="59">
        <v>22</v>
      </c>
      <c r="K295" s="59">
        <v>281</v>
      </c>
      <c r="L295" s="59">
        <v>61</v>
      </c>
    </row>
    <row r="296" spans="8:12" x14ac:dyDescent="0.15">
      <c r="H296" s="59">
        <v>282</v>
      </c>
      <c r="I296" s="59">
        <v>40</v>
      </c>
      <c r="K296" s="59">
        <v>282</v>
      </c>
      <c r="L296" s="59">
        <v>81</v>
      </c>
    </row>
    <row r="297" spans="8:12" x14ac:dyDescent="0.15">
      <c r="H297" s="59">
        <v>283</v>
      </c>
      <c r="I297" s="59">
        <v>99</v>
      </c>
      <c r="K297" s="59">
        <v>283</v>
      </c>
      <c r="L297" s="59">
        <v>81</v>
      </c>
    </row>
    <row r="298" spans="8:12" x14ac:dyDescent="0.15">
      <c r="H298" s="59">
        <v>284</v>
      </c>
      <c r="I298" s="59">
        <v>6</v>
      </c>
      <c r="K298" s="59">
        <v>284</v>
      </c>
      <c r="L298" s="59">
        <v>57</v>
      </c>
    </row>
    <row r="299" spans="8:12" x14ac:dyDescent="0.15">
      <c r="H299" s="59">
        <v>285</v>
      </c>
      <c r="I299" s="59">
        <v>23</v>
      </c>
      <c r="K299" s="59">
        <v>285</v>
      </c>
      <c r="L299" s="59">
        <v>97</v>
      </c>
    </row>
    <row r="300" spans="8:12" x14ac:dyDescent="0.15">
      <c r="H300" s="59">
        <v>286</v>
      </c>
      <c r="I300" s="59">
        <v>55</v>
      </c>
      <c r="K300" s="59">
        <v>286</v>
      </c>
      <c r="L300" s="59">
        <v>72</v>
      </c>
    </row>
    <row r="301" spans="8:12" x14ac:dyDescent="0.15">
      <c r="H301" s="59">
        <v>287</v>
      </c>
      <c r="I301" s="59">
        <v>12</v>
      </c>
      <c r="K301" s="59">
        <v>287</v>
      </c>
      <c r="L301" s="59">
        <v>53.5</v>
      </c>
    </row>
    <row r="302" spans="8:12" x14ac:dyDescent="0.15">
      <c r="H302" s="59">
        <v>288</v>
      </c>
      <c r="I302" s="59">
        <v>34</v>
      </c>
      <c r="K302" s="59">
        <v>288</v>
      </c>
      <c r="L302" s="59">
        <v>66.5</v>
      </c>
    </row>
    <row r="303" spans="8:12" x14ac:dyDescent="0.15">
      <c r="H303" s="59">
        <v>289</v>
      </c>
      <c r="I303" s="59">
        <v>51</v>
      </c>
      <c r="K303" s="59">
        <v>289</v>
      </c>
      <c r="L303" s="59">
        <v>90.5</v>
      </c>
    </row>
    <row r="304" spans="8:12" x14ac:dyDescent="0.15">
      <c r="H304" s="59">
        <v>290</v>
      </c>
      <c r="I304" s="59">
        <v>56</v>
      </c>
      <c r="K304" s="59">
        <v>290</v>
      </c>
      <c r="L304" s="59">
        <v>54</v>
      </c>
    </row>
    <row r="305" spans="8:12" x14ac:dyDescent="0.15">
      <c r="H305" s="59">
        <v>291</v>
      </c>
      <c r="I305" s="59">
        <v>69</v>
      </c>
      <c r="K305" s="59">
        <v>291</v>
      </c>
      <c r="L305" s="59">
        <v>70.5</v>
      </c>
    </row>
    <row r="306" spans="8:12" x14ac:dyDescent="0.15">
      <c r="H306" s="59">
        <v>292</v>
      </c>
      <c r="I306" s="59">
        <v>23</v>
      </c>
      <c r="K306" s="59">
        <v>292</v>
      </c>
      <c r="L306" s="59">
        <v>51.5</v>
      </c>
    </row>
    <row r="307" spans="8:12" x14ac:dyDescent="0.15">
      <c r="H307" s="59">
        <v>293</v>
      </c>
      <c r="I307" s="59">
        <v>67</v>
      </c>
      <c r="K307" s="59">
        <v>293</v>
      </c>
      <c r="L307" s="59">
        <v>72.5</v>
      </c>
    </row>
    <row r="308" spans="8:12" x14ac:dyDescent="0.15">
      <c r="H308" s="59">
        <v>294</v>
      </c>
      <c r="I308" s="59">
        <v>42</v>
      </c>
      <c r="K308" s="59">
        <v>294</v>
      </c>
      <c r="L308" s="59">
        <v>56</v>
      </c>
    </row>
    <row r="309" spans="8:12" x14ac:dyDescent="0.15">
      <c r="H309" s="59">
        <v>295</v>
      </c>
      <c r="I309" s="59">
        <v>26</v>
      </c>
      <c r="K309" s="59">
        <v>295</v>
      </c>
      <c r="L309" s="59">
        <v>80.5</v>
      </c>
    </row>
    <row r="310" spans="8:12" x14ac:dyDescent="0.15">
      <c r="H310" s="59">
        <v>296</v>
      </c>
      <c r="I310" s="59">
        <v>86</v>
      </c>
      <c r="K310" s="59">
        <v>296</v>
      </c>
      <c r="L310" s="59">
        <v>63.5</v>
      </c>
    </row>
    <row r="311" spans="8:12" x14ac:dyDescent="0.15">
      <c r="H311" s="59">
        <v>297</v>
      </c>
      <c r="I311" s="59">
        <v>85</v>
      </c>
      <c r="K311" s="59">
        <v>297</v>
      </c>
      <c r="L311" s="59">
        <v>48.5</v>
      </c>
    </row>
    <row r="312" spans="8:12" x14ac:dyDescent="0.15">
      <c r="H312" s="59">
        <v>298</v>
      </c>
      <c r="I312" s="59">
        <v>32</v>
      </c>
      <c r="K312" s="59">
        <v>298</v>
      </c>
      <c r="L312" s="59">
        <v>90.5</v>
      </c>
    </row>
    <row r="313" spans="8:12" x14ac:dyDescent="0.15">
      <c r="H313" s="59">
        <v>299</v>
      </c>
      <c r="I313" s="59">
        <v>36</v>
      </c>
      <c r="K313" s="59">
        <v>299</v>
      </c>
      <c r="L313" s="59">
        <v>58.5</v>
      </c>
    </row>
    <row r="314" spans="8:12" x14ac:dyDescent="0.15">
      <c r="H314" s="59">
        <v>300</v>
      </c>
      <c r="I314" s="59">
        <v>44</v>
      </c>
      <c r="K314" s="59">
        <v>300</v>
      </c>
      <c r="L314" s="59">
        <v>56</v>
      </c>
    </row>
    <row r="315" spans="8:12" x14ac:dyDescent="0.15">
      <c r="H315" s="59">
        <v>301</v>
      </c>
      <c r="I315" s="59">
        <v>19</v>
      </c>
      <c r="K315" s="59">
        <v>301</v>
      </c>
      <c r="L315" s="59">
        <v>58</v>
      </c>
    </row>
    <row r="316" spans="8:12" x14ac:dyDescent="0.15">
      <c r="H316" s="59">
        <v>302</v>
      </c>
      <c r="I316" s="59">
        <v>45</v>
      </c>
      <c r="K316" s="59">
        <v>302</v>
      </c>
      <c r="L316" s="59">
        <v>85.5</v>
      </c>
    </row>
    <row r="317" spans="8:12" x14ac:dyDescent="0.15">
      <c r="H317" s="59">
        <v>303</v>
      </c>
      <c r="I317" s="59">
        <v>53</v>
      </c>
      <c r="K317" s="59">
        <v>303</v>
      </c>
      <c r="L317" s="59">
        <v>59</v>
      </c>
    </row>
    <row r="318" spans="8:12" x14ac:dyDescent="0.15">
      <c r="H318" s="59">
        <v>304</v>
      </c>
      <c r="I318" s="59">
        <v>33</v>
      </c>
      <c r="K318" s="59">
        <v>304</v>
      </c>
      <c r="L318" s="59">
        <v>53.5</v>
      </c>
    </row>
    <row r="319" spans="8:12" x14ac:dyDescent="0.15">
      <c r="H319" s="59">
        <v>305</v>
      </c>
      <c r="I319" s="59">
        <v>5</v>
      </c>
      <c r="K319" s="59">
        <v>305</v>
      </c>
      <c r="L319" s="59">
        <v>86</v>
      </c>
    </row>
    <row r="320" spans="8:12" x14ac:dyDescent="0.15">
      <c r="H320" s="59">
        <v>306</v>
      </c>
      <c r="I320" s="59">
        <v>49</v>
      </c>
      <c r="K320" s="59">
        <v>306</v>
      </c>
      <c r="L320" s="59">
        <v>82.5</v>
      </c>
    </row>
    <row r="321" spans="8:12" x14ac:dyDescent="0.15">
      <c r="H321" s="59">
        <v>307</v>
      </c>
      <c r="I321" s="59">
        <v>38</v>
      </c>
      <c r="K321" s="59">
        <v>307</v>
      </c>
      <c r="L321" s="59">
        <v>81</v>
      </c>
    </row>
    <row r="322" spans="8:12" x14ac:dyDescent="0.15">
      <c r="H322" s="59">
        <v>308</v>
      </c>
      <c r="I322" s="59">
        <v>67</v>
      </c>
      <c r="K322" s="59">
        <v>308</v>
      </c>
      <c r="L322" s="59">
        <v>69.5</v>
      </c>
    </row>
    <row r="323" spans="8:12" x14ac:dyDescent="0.15">
      <c r="H323" s="59">
        <v>309</v>
      </c>
      <c r="I323" s="59">
        <v>89</v>
      </c>
      <c r="K323" s="59">
        <v>309</v>
      </c>
      <c r="L323" s="59">
        <v>65</v>
      </c>
    </row>
    <row r="324" spans="8:12" x14ac:dyDescent="0.15">
      <c r="H324" s="59">
        <v>310</v>
      </c>
      <c r="I324" s="59">
        <v>44</v>
      </c>
      <c r="K324" s="59">
        <v>310</v>
      </c>
      <c r="L324" s="59">
        <v>92.5</v>
      </c>
    </row>
    <row r="325" spans="8:12" x14ac:dyDescent="0.15">
      <c r="H325" s="59">
        <v>311</v>
      </c>
      <c r="I325" s="59">
        <v>49</v>
      </c>
      <c r="K325" s="59">
        <v>311</v>
      </c>
      <c r="L325" s="59">
        <v>89.5</v>
      </c>
    </row>
    <row r="326" spans="8:12" x14ac:dyDescent="0.15">
      <c r="H326" s="59">
        <v>312</v>
      </c>
      <c r="I326" s="59">
        <v>33</v>
      </c>
      <c r="K326" s="59">
        <v>312</v>
      </c>
      <c r="L326" s="59">
        <v>72</v>
      </c>
    </row>
    <row r="327" spans="8:12" x14ac:dyDescent="0.15">
      <c r="H327" s="59">
        <v>313</v>
      </c>
      <c r="I327" s="59">
        <v>66</v>
      </c>
      <c r="K327" s="59">
        <v>313</v>
      </c>
      <c r="L327" s="59">
        <v>66.5</v>
      </c>
    </row>
    <row r="328" spans="8:12" x14ac:dyDescent="0.15">
      <c r="H328" s="59">
        <v>314</v>
      </c>
      <c r="I328" s="59">
        <v>8</v>
      </c>
      <c r="K328" s="59">
        <v>314</v>
      </c>
      <c r="L328" s="59">
        <v>76.5</v>
      </c>
    </row>
    <row r="329" spans="8:12" x14ac:dyDescent="0.15">
      <c r="H329" s="59">
        <v>315</v>
      </c>
      <c r="I329" s="59">
        <v>32</v>
      </c>
      <c r="K329" s="59">
        <v>315</v>
      </c>
      <c r="L329" s="59">
        <v>66</v>
      </c>
    </row>
    <row r="330" spans="8:12" x14ac:dyDescent="0.15">
      <c r="H330" s="59">
        <v>316</v>
      </c>
      <c r="I330" s="59">
        <v>20</v>
      </c>
      <c r="K330" s="59">
        <v>316</v>
      </c>
      <c r="L330" s="59">
        <v>91</v>
      </c>
    </row>
    <row r="331" spans="8:12" x14ac:dyDescent="0.15">
      <c r="H331" s="59">
        <v>317</v>
      </c>
      <c r="I331" s="59">
        <v>71</v>
      </c>
      <c r="K331" s="59">
        <v>317</v>
      </c>
      <c r="L331" s="59">
        <v>56.5</v>
      </c>
    </row>
    <row r="332" spans="8:12" x14ac:dyDescent="0.15">
      <c r="H332" s="59">
        <v>318</v>
      </c>
      <c r="I332" s="59">
        <v>63</v>
      </c>
      <c r="K332" s="59">
        <v>318</v>
      </c>
      <c r="L332" s="59">
        <v>54</v>
      </c>
    </row>
    <row r="333" spans="8:12" x14ac:dyDescent="0.15">
      <c r="H333" s="59">
        <v>319</v>
      </c>
      <c r="I333" s="59">
        <v>49</v>
      </c>
      <c r="K333" s="59">
        <v>319</v>
      </c>
      <c r="L333" s="59">
        <v>66</v>
      </c>
    </row>
    <row r="334" spans="8:12" x14ac:dyDescent="0.15">
      <c r="H334" s="59">
        <v>320</v>
      </c>
      <c r="I334" s="59">
        <v>53</v>
      </c>
      <c r="K334" s="59">
        <v>320</v>
      </c>
      <c r="L334" s="59">
        <v>83.5</v>
      </c>
    </row>
    <row r="335" spans="8:12" x14ac:dyDescent="0.15">
      <c r="H335" s="59">
        <v>321</v>
      </c>
      <c r="I335" s="59">
        <v>57</v>
      </c>
      <c r="K335" s="59">
        <v>321</v>
      </c>
      <c r="L335" s="59">
        <v>88.5</v>
      </c>
    </row>
    <row r="336" spans="8:12" x14ac:dyDescent="0.15">
      <c r="H336" s="59">
        <v>322</v>
      </c>
      <c r="I336" s="59">
        <v>13</v>
      </c>
      <c r="K336" s="59">
        <v>322</v>
      </c>
      <c r="L336" s="59">
        <v>93.5</v>
      </c>
    </row>
    <row r="337" spans="8:12" x14ac:dyDescent="0.15">
      <c r="H337" s="59">
        <v>323</v>
      </c>
      <c r="I337" s="59">
        <v>21</v>
      </c>
      <c r="K337" s="59">
        <v>323</v>
      </c>
      <c r="L337" s="59">
        <v>81.5</v>
      </c>
    </row>
    <row r="338" spans="8:12" x14ac:dyDescent="0.15">
      <c r="H338" s="59">
        <v>324</v>
      </c>
      <c r="I338" s="59">
        <v>52</v>
      </c>
      <c r="K338" s="59">
        <v>324</v>
      </c>
      <c r="L338" s="59">
        <v>62.5</v>
      </c>
    </row>
    <row r="339" spans="8:12" x14ac:dyDescent="0.15">
      <c r="H339" s="59">
        <v>325</v>
      </c>
      <c r="I339" s="59">
        <v>53</v>
      </c>
      <c r="K339" s="59">
        <v>325</v>
      </c>
      <c r="L339" s="59">
        <v>83</v>
      </c>
    </row>
    <row r="340" spans="8:12" x14ac:dyDescent="0.15">
      <c r="H340" s="59">
        <v>326</v>
      </c>
      <c r="I340" s="59">
        <v>48</v>
      </c>
      <c r="K340" s="59">
        <v>326</v>
      </c>
      <c r="L340" s="59">
        <v>56.5</v>
      </c>
    </row>
    <row r="341" spans="8:12" x14ac:dyDescent="0.15">
      <c r="H341" s="59">
        <v>327</v>
      </c>
      <c r="I341" s="59">
        <v>71</v>
      </c>
      <c r="K341" s="59">
        <v>327</v>
      </c>
      <c r="L341" s="59">
        <v>93.5</v>
      </c>
    </row>
    <row r="342" spans="8:12" x14ac:dyDescent="0.15">
      <c r="H342" s="59">
        <v>328</v>
      </c>
      <c r="I342" s="59">
        <v>51</v>
      </c>
      <c r="K342" s="59">
        <v>328</v>
      </c>
      <c r="L342" s="59">
        <v>72.5</v>
      </c>
    </row>
    <row r="343" spans="8:12" x14ac:dyDescent="0.15">
      <c r="H343" s="59">
        <v>329</v>
      </c>
      <c r="I343" s="59">
        <v>60</v>
      </c>
      <c r="K343" s="59">
        <v>329</v>
      </c>
      <c r="L343" s="59">
        <v>81.5</v>
      </c>
    </row>
    <row r="344" spans="8:12" x14ac:dyDescent="0.15">
      <c r="H344" s="59">
        <v>330</v>
      </c>
      <c r="I344" s="59">
        <v>75</v>
      </c>
      <c r="K344" s="59">
        <v>330</v>
      </c>
      <c r="L344" s="59">
        <v>71.5</v>
      </c>
    </row>
    <row r="345" spans="8:12" x14ac:dyDescent="0.15">
      <c r="H345" s="59">
        <v>331</v>
      </c>
      <c r="I345" s="59">
        <v>39</v>
      </c>
      <c r="K345" s="59">
        <v>331</v>
      </c>
      <c r="L345" s="59">
        <v>49</v>
      </c>
    </row>
    <row r="346" spans="8:12" x14ac:dyDescent="0.15">
      <c r="H346" s="59">
        <v>332</v>
      </c>
      <c r="I346" s="59">
        <v>45</v>
      </c>
      <c r="K346" s="59">
        <v>332</v>
      </c>
      <c r="L346" s="59">
        <v>83</v>
      </c>
    </row>
    <row r="347" spans="8:12" x14ac:dyDescent="0.15">
      <c r="H347" s="59">
        <v>333</v>
      </c>
      <c r="I347" s="59">
        <v>15</v>
      </c>
      <c r="K347" s="59">
        <v>333</v>
      </c>
      <c r="L347" s="59">
        <v>59</v>
      </c>
    </row>
    <row r="348" spans="8:12" x14ac:dyDescent="0.15">
      <c r="H348" s="59">
        <v>334</v>
      </c>
      <c r="I348" s="59">
        <v>37</v>
      </c>
      <c r="K348" s="59">
        <v>334</v>
      </c>
      <c r="L348" s="59">
        <v>92.5</v>
      </c>
    </row>
    <row r="349" spans="8:12" x14ac:dyDescent="0.15">
      <c r="H349" s="59">
        <v>335</v>
      </c>
      <c r="I349" s="59">
        <v>59</v>
      </c>
      <c r="K349" s="59">
        <v>335</v>
      </c>
      <c r="L349" s="59">
        <v>88.5</v>
      </c>
    </row>
    <row r="350" spans="8:12" x14ac:dyDescent="0.15">
      <c r="H350" s="59">
        <v>336</v>
      </c>
      <c r="I350" s="59">
        <v>44</v>
      </c>
      <c r="K350" s="59">
        <v>336</v>
      </c>
      <c r="L350" s="59">
        <v>91.5</v>
      </c>
    </row>
    <row r="351" spans="8:12" x14ac:dyDescent="0.15">
      <c r="H351" s="59">
        <v>337</v>
      </c>
      <c r="I351" s="59">
        <v>18</v>
      </c>
      <c r="K351" s="59">
        <v>337</v>
      </c>
      <c r="L351" s="59">
        <v>68</v>
      </c>
    </row>
    <row r="352" spans="8:12" x14ac:dyDescent="0.15">
      <c r="H352" s="59">
        <v>338</v>
      </c>
      <c r="I352" s="59">
        <v>84</v>
      </c>
      <c r="K352" s="59">
        <v>338</v>
      </c>
      <c r="L352" s="59">
        <v>85.5</v>
      </c>
    </row>
    <row r="353" spans="8:12" x14ac:dyDescent="0.15">
      <c r="H353" s="59">
        <v>339</v>
      </c>
      <c r="I353" s="59">
        <v>80</v>
      </c>
      <c r="K353" s="59">
        <v>339</v>
      </c>
      <c r="L353" s="59">
        <v>95</v>
      </c>
    </row>
    <row r="354" spans="8:12" x14ac:dyDescent="0.15">
      <c r="H354" s="59">
        <v>340</v>
      </c>
      <c r="I354" s="59">
        <v>65</v>
      </c>
      <c r="K354" s="59">
        <v>340</v>
      </c>
      <c r="L354" s="59">
        <v>76.5</v>
      </c>
    </row>
    <row r="355" spans="8:12" x14ac:dyDescent="0.15">
      <c r="H355" s="59">
        <v>341</v>
      </c>
      <c r="I355" s="59">
        <v>78</v>
      </c>
      <c r="K355" s="59">
        <v>341</v>
      </c>
      <c r="L355" s="59">
        <v>64</v>
      </c>
    </row>
    <row r="356" spans="8:12" x14ac:dyDescent="0.15">
      <c r="H356" s="59">
        <v>342</v>
      </c>
      <c r="I356" s="59">
        <v>50</v>
      </c>
      <c r="K356" s="59">
        <v>342</v>
      </c>
      <c r="L356" s="59">
        <v>53.5</v>
      </c>
    </row>
    <row r="357" spans="8:12" x14ac:dyDescent="0.15">
      <c r="H357" s="59">
        <v>343</v>
      </c>
      <c r="I357" s="59">
        <v>58</v>
      </c>
      <c r="K357" s="59">
        <v>343</v>
      </c>
      <c r="L357" s="59">
        <v>92</v>
      </c>
    </row>
    <row r="358" spans="8:12" x14ac:dyDescent="0.15">
      <c r="H358" s="59">
        <v>344</v>
      </c>
      <c r="I358" s="59">
        <v>55</v>
      </c>
      <c r="K358" s="59">
        <v>344</v>
      </c>
      <c r="L358" s="59">
        <v>85.5</v>
      </c>
    </row>
    <row r="359" spans="8:12" x14ac:dyDescent="0.15">
      <c r="H359" s="59">
        <v>345</v>
      </c>
      <c r="I359" s="59">
        <v>37</v>
      </c>
      <c r="K359" s="59">
        <v>345</v>
      </c>
      <c r="L359" s="59">
        <v>55</v>
      </c>
    </row>
    <row r="360" spans="8:12" x14ac:dyDescent="0.15">
      <c r="H360" s="59">
        <v>346</v>
      </c>
      <c r="I360" s="59">
        <v>47</v>
      </c>
      <c r="K360" s="59">
        <v>346</v>
      </c>
      <c r="L360" s="59">
        <v>59.5</v>
      </c>
    </row>
    <row r="361" spans="8:12" x14ac:dyDescent="0.15">
      <c r="H361" s="59">
        <v>347</v>
      </c>
      <c r="I361" s="59">
        <v>47</v>
      </c>
      <c r="K361" s="59">
        <v>347</v>
      </c>
      <c r="L361" s="59">
        <v>69</v>
      </c>
    </row>
    <row r="362" spans="8:12" x14ac:dyDescent="0.15">
      <c r="H362" s="59">
        <v>348</v>
      </c>
      <c r="I362" s="59">
        <v>63</v>
      </c>
      <c r="K362" s="59">
        <v>348</v>
      </c>
      <c r="L362" s="59">
        <v>72</v>
      </c>
    </row>
    <row r="363" spans="8:12" x14ac:dyDescent="0.15">
      <c r="H363" s="59">
        <v>349</v>
      </c>
      <c r="I363" s="59">
        <v>91</v>
      </c>
      <c r="K363" s="59">
        <v>349</v>
      </c>
      <c r="L363" s="59">
        <v>88</v>
      </c>
    </row>
    <row r="364" spans="8:12" x14ac:dyDescent="0.15">
      <c r="H364" s="59">
        <v>350</v>
      </c>
      <c r="I364" s="59">
        <v>34</v>
      </c>
      <c r="K364" s="59">
        <v>350</v>
      </c>
      <c r="L364" s="59">
        <v>69.5</v>
      </c>
    </row>
    <row r="365" spans="8:12" x14ac:dyDescent="0.15">
      <c r="H365" s="59">
        <v>351</v>
      </c>
      <c r="I365" s="59">
        <v>58</v>
      </c>
      <c r="K365" s="59">
        <v>351</v>
      </c>
      <c r="L365" s="59">
        <v>64</v>
      </c>
    </row>
    <row r="366" spans="8:12" x14ac:dyDescent="0.15">
      <c r="H366" s="59">
        <v>352</v>
      </c>
      <c r="I366" s="59">
        <v>59</v>
      </c>
      <c r="K366" s="59">
        <v>352</v>
      </c>
      <c r="L366" s="59">
        <v>85.5</v>
      </c>
    </row>
    <row r="367" spans="8:12" x14ac:dyDescent="0.15">
      <c r="H367" s="59">
        <v>353</v>
      </c>
      <c r="I367" s="59">
        <v>55</v>
      </c>
      <c r="K367" s="59">
        <v>353</v>
      </c>
      <c r="L367" s="59">
        <v>74.5</v>
      </c>
    </row>
    <row r="368" spans="8:12" x14ac:dyDescent="0.15">
      <c r="H368" s="59">
        <v>354</v>
      </c>
      <c r="I368" s="59">
        <v>87</v>
      </c>
      <c r="K368" s="59">
        <v>354</v>
      </c>
      <c r="L368" s="59">
        <v>92</v>
      </c>
    </row>
    <row r="369" spans="8:12" x14ac:dyDescent="0.15">
      <c r="H369" s="59">
        <v>355</v>
      </c>
      <c r="I369" s="59">
        <v>49</v>
      </c>
      <c r="K369" s="59">
        <v>355</v>
      </c>
      <c r="L369" s="59">
        <v>68</v>
      </c>
    </row>
    <row r="370" spans="8:12" x14ac:dyDescent="0.15">
      <c r="H370" s="59">
        <v>356</v>
      </c>
      <c r="I370" s="59">
        <v>15</v>
      </c>
      <c r="K370" s="59">
        <v>356</v>
      </c>
      <c r="L370" s="59">
        <v>53</v>
      </c>
    </row>
    <row r="371" spans="8:12" x14ac:dyDescent="0.15">
      <c r="H371" s="59">
        <v>357</v>
      </c>
      <c r="I371" s="59">
        <v>77</v>
      </c>
      <c r="K371" s="59">
        <v>357</v>
      </c>
      <c r="L371" s="59">
        <v>81</v>
      </c>
    </row>
    <row r="372" spans="8:12" x14ac:dyDescent="0.15">
      <c r="H372" s="59">
        <v>358</v>
      </c>
      <c r="I372" s="59">
        <v>59</v>
      </c>
      <c r="K372" s="59">
        <v>358</v>
      </c>
      <c r="L372" s="59">
        <v>88.5</v>
      </c>
    </row>
    <row r="373" spans="8:12" x14ac:dyDescent="0.15">
      <c r="H373" s="59">
        <v>359</v>
      </c>
      <c r="I373" s="59">
        <v>52</v>
      </c>
      <c r="K373" s="59">
        <v>359</v>
      </c>
      <c r="L373" s="59">
        <v>67</v>
      </c>
    </row>
    <row r="374" spans="8:12" x14ac:dyDescent="0.15">
      <c r="H374" s="59">
        <v>360</v>
      </c>
      <c r="I374" s="59">
        <v>60</v>
      </c>
      <c r="K374" s="59">
        <v>360</v>
      </c>
      <c r="L374" s="59">
        <v>64</v>
      </c>
    </row>
    <row r="375" spans="8:12" x14ac:dyDescent="0.15">
      <c r="H375" s="59">
        <v>361</v>
      </c>
      <c r="I375" s="59">
        <v>56</v>
      </c>
      <c r="K375" s="59">
        <v>361</v>
      </c>
      <c r="L375" s="59">
        <v>88.5</v>
      </c>
    </row>
    <row r="376" spans="8:12" x14ac:dyDescent="0.15">
      <c r="H376" s="59">
        <v>362</v>
      </c>
      <c r="I376" s="59">
        <v>56</v>
      </c>
      <c r="K376" s="59">
        <v>362</v>
      </c>
      <c r="L376" s="59">
        <v>70.5</v>
      </c>
    </row>
    <row r="377" spans="8:12" x14ac:dyDescent="0.15">
      <c r="H377" s="59">
        <v>363</v>
      </c>
      <c r="I377" s="59">
        <v>90</v>
      </c>
      <c r="K377" s="59">
        <v>363</v>
      </c>
      <c r="L377" s="59">
        <v>72</v>
      </c>
    </row>
    <row r="378" spans="8:12" x14ac:dyDescent="0.15">
      <c r="H378" s="59">
        <v>364</v>
      </c>
      <c r="I378" s="59">
        <v>37</v>
      </c>
      <c r="K378" s="59">
        <v>364</v>
      </c>
      <c r="L378" s="59">
        <v>87.5</v>
      </c>
    </row>
    <row r="379" spans="8:12" x14ac:dyDescent="0.15">
      <c r="H379" s="59">
        <v>365</v>
      </c>
      <c r="I379" s="59">
        <v>44</v>
      </c>
      <c r="K379" s="59">
        <v>365</v>
      </c>
      <c r="L379" s="59">
        <v>72.5</v>
      </c>
    </row>
    <row r="380" spans="8:12" x14ac:dyDescent="0.15">
      <c r="H380" s="59">
        <v>366</v>
      </c>
      <c r="I380" s="59">
        <v>72</v>
      </c>
      <c r="K380" s="59">
        <v>366</v>
      </c>
      <c r="L380" s="59">
        <v>72</v>
      </c>
    </row>
    <row r="381" spans="8:12" x14ac:dyDescent="0.15">
      <c r="H381" s="59">
        <v>367</v>
      </c>
      <c r="I381" s="59">
        <v>14</v>
      </c>
      <c r="K381" s="59">
        <v>367</v>
      </c>
      <c r="L381" s="59">
        <v>81.5</v>
      </c>
    </row>
    <row r="382" spans="8:12" x14ac:dyDescent="0.15">
      <c r="H382" s="59">
        <v>368</v>
      </c>
      <c r="I382" s="59">
        <v>53</v>
      </c>
      <c r="K382" s="59">
        <v>368</v>
      </c>
      <c r="L382" s="59">
        <v>76</v>
      </c>
    </row>
    <row r="383" spans="8:12" x14ac:dyDescent="0.15">
      <c r="H383" s="59">
        <v>369</v>
      </c>
      <c r="I383" s="59">
        <v>23</v>
      </c>
      <c r="K383" s="59">
        <v>369</v>
      </c>
      <c r="L383" s="59">
        <v>94.5</v>
      </c>
    </row>
    <row r="384" spans="8:12" x14ac:dyDescent="0.15">
      <c r="H384" s="59">
        <v>370</v>
      </c>
      <c r="I384" s="59">
        <v>61</v>
      </c>
      <c r="K384" s="59">
        <v>370</v>
      </c>
      <c r="L384" s="59">
        <v>52.5</v>
      </c>
    </row>
    <row r="385" spans="8:12" x14ac:dyDescent="0.15">
      <c r="H385" s="59">
        <v>371</v>
      </c>
      <c r="I385" s="59">
        <v>40</v>
      </c>
      <c r="K385" s="59">
        <v>371</v>
      </c>
      <c r="L385" s="59">
        <v>96</v>
      </c>
    </row>
    <row r="386" spans="8:12" x14ac:dyDescent="0.15">
      <c r="H386" s="59">
        <v>372</v>
      </c>
      <c r="I386" s="59">
        <v>78</v>
      </c>
      <c r="K386" s="59">
        <v>372</v>
      </c>
      <c r="L386" s="59">
        <v>76.5</v>
      </c>
    </row>
    <row r="387" spans="8:12" x14ac:dyDescent="0.15">
      <c r="H387" s="59">
        <v>373</v>
      </c>
      <c r="I387" s="59">
        <v>54</v>
      </c>
      <c r="K387" s="59">
        <v>373</v>
      </c>
      <c r="L387" s="59">
        <v>63.5</v>
      </c>
    </row>
    <row r="388" spans="8:12" x14ac:dyDescent="0.15">
      <c r="H388" s="59">
        <v>374</v>
      </c>
      <c r="I388" s="59">
        <v>59</v>
      </c>
      <c r="K388" s="59">
        <v>374</v>
      </c>
      <c r="L388" s="59">
        <v>84</v>
      </c>
    </row>
    <row r="389" spans="8:12" x14ac:dyDescent="0.15">
      <c r="H389" s="59">
        <v>375</v>
      </c>
      <c r="I389" s="59">
        <v>22</v>
      </c>
      <c r="K389" s="59">
        <v>375</v>
      </c>
      <c r="L389" s="59">
        <v>50.5</v>
      </c>
    </row>
    <row r="390" spans="8:12" x14ac:dyDescent="0.15">
      <c r="H390" s="59">
        <v>376</v>
      </c>
      <c r="I390" s="59">
        <v>43</v>
      </c>
      <c r="K390" s="59">
        <v>376</v>
      </c>
      <c r="L390" s="59">
        <v>87</v>
      </c>
    </row>
    <row r="391" spans="8:12" x14ac:dyDescent="0.15">
      <c r="H391" s="59">
        <v>377</v>
      </c>
      <c r="I391" s="59">
        <v>18</v>
      </c>
      <c r="K391" s="59">
        <v>377</v>
      </c>
      <c r="L391" s="59">
        <v>90.5</v>
      </c>
    </row>
    <row r="392" spans="8:12" x14ac:dyDescent="0.15">
      <c r="H392" s="59">
        <v>378</v>
      </c>
      <c r="I392" s="59">
        <v>83</v>
      </c>
      <c r="K392" s="59">
        <v>378</v>
      </c>
      <c r="L392" s="59">
        <v>84</v>
      </c>
    </row>
    <row r="393" spans="8:12" x14ac:dyDescent="0.15">
      <c r="H393" s="59">
        <v>379</v>
      </c>
      <c r="I393" s="59">
        <v>37</v>
      </c>
      <c r="K393" s="59">
        <v>379</v>
      </c>
      <c r="L393" s="59">
        <v>56</v>
      </c>
    </row>
    <row r="394" spans="8:12" x14ac:dyDescent="0.15">
      <c r="H394" s="59">
        <v>380</v>
      </c>
      <c r="I394" s="59">
        <v>83</v>
      </c>
      <c r="K394" s="59">
        <v>380</v>
      </c>
      <c r="L394" s="59">
        <v>97.5</v>
      </c>
    </row>
    <row r="395" spans="8:12" x14ac:dyDescent="0.15">
      <c r="H395" s="59">
        <v>381</v>
      </c>
      <c r="I395" s="59">
        <v>53</v>
      </c>
      <c r="K395" s="59">
        <v>381</v>
      </c>
      <c r="L395" s="59">
        <v>85.5</v>
      </c>
    </row>
    <row r="396" spans="8:12" x14ac:dyDescent="0.15">
      <c r="H396" s="59">
        <v>382</v>
      </c>
      <c r="I396" s="59">
        <v>27</v>
      </c>
      <c r="K396" s="59">
        <v>382</v>
      </c>
      <c r="L396" s="59">
        <v>70.5</v>
      </c>
    </row>
    <row r="397" spans="8:12" x14ac:dyDescent="0.15">
      <c r="H397" s="59">
        <v>383</v>
      </c>
      <c r="I397" s="59">
        <v>26</v>
      </c>
      <c r="K397" s="59">
        <v>383</v>
      </c>
      <c r="L397" s="59">
        <v>60</v>
      </c>
    </row>
    <row r="398" spans="8:12" x14ac:dyDescent="0.15">
      <c r="H398" s="59">
        <v>384</v>
      </c>
      <c r="I398" s="59">
        <v>59</v>
      </c>
      <c r="K398" s="59">
        <v>384</v>
      </c>
      <c r="L398" s="59">
        <v>56</v>
      </c>
    </row>
    <row r="399" spans="8:12" x14ac:dyDescent="0.15">
      <c r="H399" s="59">
        <v>385</v>
      </c>
      <c r="I399" s="59">
        <v>19</v>
      </c>
      <c r="K399" s="59">
        <v>385</v>
      </c>
      <c r="L399" s="59">
        <v>96.5</v>
      </c>
    </row>
    <row r="400" spans="8:12" x14ac:dyDescent="0.15">
      <c r="H400" s="59">
        <v>386</v>
      </c>
      <c r="I400" s="59">
        <v>68</v>
      </c>
      <c r="K400" s="59">
        <v>386</v>
      </c>
      <c r="L400" s="59">
        <v>54</v>
      </c>
    </row>
    <row r="401" spans="8:12" x14ac:dyDescent="0.15">
      <c r="H401" s="59">
        <v>387</v>
      </c>
      <c r="I401" s="59">
        <v>59</v>
      </c>
      <c r="K401" s="59">
        <v>387</v>
      </c>
      <c r="L401" s="59">
        <v>93</v>
      </c>
    </row>
    <row r="402" spans="8:12" x14ac:dyDescent="0.15">
      <c r="H402" s="59">
        <v>388</v>
      </c>
      <c r="I402" s="59">
        <v>22</v>
      </c>
      <c r="K402" s="59">
        <v>388</v>
      </c>
      <c r="L402" s="59">
        <v>91</v>
      </c>
    </row>
    <row r="403" spans="8:12" x14ac:dyDescent="0.15">
      <c r="H403" s="59">
        <v>389</v>
      </c>
      <c r="I403" s="59">
        <v>80</v>
      </c>
      <c r="K403" s="59">
        <v>389</v>
      </c>
      <c r="L403" s="59">
        <v>51.5</v>
      </c>
    </row>
    <row r="404" spans="8:12" x14ac:dyDescent="0.15">
      <c r="H404" s="59">
        <v>390</v>
      </c>
      <c r="I404" s="59">
        <v>36</v>
      </c>
      <c r="K404" s="59">
        <v>390</v>
      </c>
      <c r="L404" s="59">
        <v>62</v>
      </c>
    </row>
    <row r="405" spans="8:12" x14ac:dyDescent="0.15">
      <c r="H405" s="59">
        <v>391</v>
      </c>
      <c r="I405" s="59">
        <v>62</v>
      </c>
      <c r="K405" s="59">
        <v>391</v>
      </c>
      <c r="L405" s="59">
        <v>85</v>
      </c>
    </row>
    <row r="406" spans="8:12" x14ac:dyDescent="0.15">
      <c r="H406" s="59">
        <v>392</v>
      </c>
      <c r="I406" s="59">
        <v>56</v>
      </c>
      <c r="K406" s="59">
        <v>392</v>
      </c>
      <c r="L406" s="59">
        <v>69</v>
      </c>
    </row>
    <row r="407" spans="8:12" x14ac:dyDescent="0.15">
      <c r="H407" s="59">
        <v>393</v>
      </c>
      <c r="I407" s="59">
        <v>26</v>
      </c>
      <c r="K407" s="59">
        <v>393</v>
      </c>
      <c r="L407" s="59">
        <v>59.5</v>
      </c>
    </row>
    <row r="408" spans="8:12" x14ac:dyDescent="0.15">
      <c r="H408" s="59">
        <v>394</v>
      </c>
      <c r="I408" s="59">
        <v>62</v>
      </c>
      <c r="K408" s="59">
        <v>394</v>
      </c>
      <c r="L408" s="59">
        <v>67</v>
      </c>
    </row>
    <row r="409" spans="8:12" x14ac:dyDescent="0.15">
      <c r="H409" s="59">
        <v>395</v>
      </c>
      <c r="I409" s="59">
        <v>33</v>
      </c>
      <c r="K409" s="59">
        <v>395</v>
      </c>
      <c r="L409" s="59">
        <v>95.5</v>
      </c>
    </row>
    <row r="410" spans="8:12" x14ac:dyDescent="0.15">
      <c r="H410" s="59">
        <v>396</v>
      </c>
      <c r="I410" s="59">
        <v>38</v>
      </c>
      <c r="K410" s="59">
        <v>396</v>
      </c>
      <c r="L410" s="59">
        <v>58</v>
      </c>
    </row>
    <row r="411" spans="8:12" x14ac:dyDescent="0.15">
      <c r="H411" s="59">
        <v>397</v>
      </c>
      <c r="I411" s="59">
        <v>59</v>
      </c>
      <c r="K411" s="59">
        <v>397</v>
      </c>
      <c r="L411" s="59">
        <v>65.5</v>
      </c>
    </row>
    <row r="412" spans="8:12" x14ac:dyDescent="0.15">
      <c r="H412" s="59">
        <v>398</v>
      </c>
      <c r="I412" s="59">
        <v>28</v>
      </c>
      <c r="K412" s="59">
        <v>398</v>
      </c>
      <c r="L412" s="59">
        <v>81.5</v>
      </c>
    </row>
    <row r="413" spans="8:12" x14ac:dyDescent="0.15">
      <c r="H413" s="59">
        <v>399</v>
      </c>
      <c r="I413" s="59">
        <v>59</v>
      </c>
      <c r="K413" s="59">
        <v>399</v>
      </c>
      <c r="L413" s="59">
        <v>65.5</v>
      </c>
    </row>
    <row r="414" spans="8:12" x14ac:dyDescent="0.15">
      <c r="H414" s="59">
        <v>400</v>
      </c>
      <c r="I414" s="59">
        <v>24</v>
      </c>
      <c r="K414" s="59">
        <v>400</v>
      </c>
      <c r="L414" s="59">
        <v>52</v>
      </c>
    </row>
    <row r="415" spans="8:12" x14ac:dyDescent="0.15">
      <c r="H415" s="59">
        <v>401</v>
      </c>
      <c r="I415" s="59">
        <v>16</v>
      </c>
      <c r="K415" s="59">
        <v>401</v>
      </c>
      <c r="L415" s="59">
        <v>78.5</v>
      </c>
    </row>
    <row r="416" spans="8:12" x14ac:dyDescent="0.15">
      <c r="H416" s="59">
        <v>402</v>
      </c>
      <c r="I416" s="59">
        <v>18</v>
      </c>
      <c r="K416" s="59">
        <v>402</v>
      </c>
      <c r="L416" s="59">
        <v>71</v>
      </c>
    </row>
    <row r="417" spans="8:12" x14ac:dyDescent="0.15">
      <c r="H417" s="59">
        <v>403</v>
      </c>
      <c r="I417" s="59">
        <v>6</v>
      </c>
      <c r="K417" s="59">
        <v>403</v>
      </c>
      <c r="L417" s="59">
        <v>92</v>
      </c>
    </row>
    <row r="418" spans="8:12" x14ac:dyDescent="0.15">
      <c r="H418" s="59">
        <v>404</v>
      </c>
      <c r="I418" s="59">
        <v>28</v>
      </c>
      <c r="K418" s="59">
        <v>404</v>
      </c>
      <c r="L418" s="59">
        <v>85</v>
      </c>
    </row>
    <row r="419" spans="8:12" x14ac:dyDescent="0.15">
      <c r="H419" s="59">
        <v>405</v>
      </c>
      <c r="I419" s="59">
        <v>40</v>
      </c>
      <c r="K419" s="59">
        <v>405</v>
      </c>
      <c r="L419" s="59">
        <v>81</v>
      </c>
    </row>
    <row r="420" spans="8:12" x14ac:dyDescent="0.15">
      <c r="H420" s="59">
        <v>406</v>
      </c>
      <c r="I420" s="59">
        <v>72</v>
      </c>
      <c r="K420" s="59">
        <v>406</v>
      </c>
      <c r="L420" s="59">
        <v>84</v>
      </c>
    </row>
    <row r="421" spans="8:12" x14ac:dyDescent="0.15">
      <c r="H421" s="59">
        <v>407</v>
      </c>
      <c r="I421" s="59">
        <v>53</v>
      </c>
      <c r="K421" s="59">
        <v>407</v>
      </c>
      <c r="L421" s="59">
        <v>56</v>
      </c>
    </row>
    <row r="422" spans="8:12" x14ac:dyDescent="0.15">
      <c r="H422" s="59">
        <v>408</v>
      </c>
      <c r="I422" s="59">
        <v>68</v>
      </c>
      <c r="K422" s="59">
        <v>408</v>
      </c>
      <c r="L422" s="59">
        <v>67.5</v>
      </c>
    </row>
    <row r="423" spans="8:12" x14ac:dyDescent="0.15">
      <c r="H423" s="59">
        <v>409</v>
      </c>
      <c r="I423" s="59">
        <v>83</v>
      </c>
      <c r="K423" s="59">
        <v>409</v>
      </c>
      <c r="L423" s="59">
        <v>69</v>
      </c>
    </row>
    <row r="424" spans="8:12" x14ac:dyDescent="0.15">
      <c r="H424" s="59">
        <v>410</v>
      </c>
      <c r="I424" s="59">
        <v>79</v>
      </c>
      <c r="K424" s="59">
        <v>410</v>
      </c>
      <c r="L424" s="59">
        <v>66.5</v>
      </c>
    </row>
    <row r="425" spans="8:12" x14ac:dyDescent="0.15">
      <c r="H425" s="59">
        <v>411</v>
      </c>
      <c r="I425" s="59">
        <v>78</v>
      </c>
      <c r="K425" s="59">
        <v>411</v>
      </c>
      <c r="L425" s="59">
        <v>91.5</v>
      </c>
    </row>
    <row r="426" spans="8:12" x14ac:dyDescent="0.15">
      <c r="H426" s="59">
        <v>412</v>
      </c>
      <c r="I426" s="59">
        <v>71</v>
      </c>
      <c r="K426" s="59">
        <v>412</v>
      </c>
      <c r="L426" s="59">
        <v>76</v>
      </c>
    </row>
    <row r="427" spans="8:12" x14ac:dyDescent="0.15">
      <c r="H427" s="59">
        <v>413</v>
      </c>
      <c r="I427" s="59">
        <v>79</v>
      </c>
      <c r="K427" s="59">
        <v>413</v>
      </c>
      <c r="L427" s="59">
        <v>52</v>
      </c>
    </row>
    <row r="428" spans="8:12" x14ac:dyDescent="0.15">
      <c r="H428" s="59">
        <v>414</v>
      </c>
      <c r="I428" s="59">
        <v>83</v>
      </c>
      <c r="K428" s="59">
        <v>414</v>
      </c>
      <c r="L428" s="59">
        <v>49.5</v>
      </c>
    </row>
    <row r="429" spans="8:12" x14ac:dyDescent="0.15">
      <c r="H429" s="59">
        <v>415</v>
      </c>
      <c r="I429" s="59">
        <v>31</v>
      </c>
      <c r="K429" s="59">
        <v>415</v>
      </c>
      <c r="L429" s="59">
        <v>97.5</v>
      </c>
    </row>
    <row r="430" spans="8:12" x14ac:dyDescent="0.15">
      <c r="H430" s="59">
        <v>416</v>
      </c>
      <c r="I430" s="59">
        <v>23</v>
      </c>
      <c r="K430" s="59">
        <v>416</v>
      </c>
      <c r="L430" s="59">
        <v>91.5</v>
      </c>
    </row>
    <row r="431" spans="8:12" x14ac:dyDescent="0.15">
      <c r="H431" s="59">
        <v>417</v>
      </c>
      <c r="I431" s="59">
        <v>46</v>
      </c>
      <c r="K431" s="59">
        <v>417</v>
      </c>
      <c r="L431" s="59">
        <v>69</v>
      </c>
    </row>
    <row r="432" spans="8:12" x14ac:dyDescent="0.15">
      <c r="H432" s="59">
        <v>418</v>
      </c>
      <c r="I432" s="59">
        <v>33</v>
      </c>
      <c r="K432" s="59">
        <v>418</v>
      </c>
      <c r="L432" s="59">
        <v>81</v>
      </c>
    </row>
    <row r="433" spans="8:12" x14ac:dyDescent="0.15">
      <c r="H433" s="59">
        <v>419</v>
      </c>
      <c r="I433" s="59">
        <v>34</v>
      </c>
      <c r="K433" s="59">
        <v>419</v>
      </c>
      <c r="L433" s="59">
        <v>66</v>
      </c>
    </row>
    <row r="434" spans="8:12" x14ac:dyDescent="0.15">
      <c r="H434" s="59">
        <v>420</v>
      </c>
      <c r="I434" s="59">
        <v>32</v>
      </c>
      <c r="K434" s="59">
        <v>420</v>
      </c>
      <c r="L434" s="59">
        <v>71</v>
      </c>
    </row>
    <row r="435" spans="8:12" x14ac:dyDescent="0.15">
      <c r="H435" s="59">
        <v>421</v>
      </c>
      <c r="I435" s="59">
        <v>9</v>
      </c>
      <c r="K435" s="59">
        <v>421</v>
      </c>
      <c r="L435" s="59">
        <v>71</v>
      </c>
    </row>
    <row r="436" spans="8:12" x14ac:dyDescent="0.15">
      <c r="H436" s="59">
        <v>422</v>
      </c>
      <c r="I436" s="59">
        <v>44</v>
      </c>
      <c r="K436" s="59">
        <v>422</v>
      </c>
      <c r="L436" s="59">
        <v>82.5</v>
      </c>
    </row>
    <row r="437" spans="8:12" x14ac:dyDescent="0.15">
      <c r="H437" s="59">
        <v>423</v>
      </c>
      <c r="I437" s="59">
        <v>6</v>
      </c>
      <c r="K437" s="59">
        <v>423</v>
      </c>
      <c r="L437" s="59">
        <v>60.5</v>
      </c>
    </row>
    <row r="438" spans="8:12" x14ac:dyDescent="0.15">
      <c r="H438" s="59">
        <v>424</v>
      </c>
      <c r="I438" s="59">
        <v>21</v>
      </c>
      <c r="K438" s="59">
        <v>424</v>
      </c>
      <c r="L438" s="59">
        <v>87</v>
      </c>
    </row>
    <row r="439" spans="8:12" x14ac:dyDescent="0.15">
      <c r="H439" s="59">
        <v>425</v>
      </c>
      <c r="I439" s="59">
        <v>16</v>
      </c>
      <c r="K439" s="59">
        <v>425</v>
      </c>
      <c r="L439" s="59">
        <v>65.5</v>
      </c>
    </row>
    <row r="440" spans="8:12" x14ac:dyDescent="0.15">
      <c r="H440" s="59">
        <v>426</v>
      </c>
      <c r="I440" s="59">
        <v>40</v>
      </c>
      <c r="K440" s="59">
        <v>426</v>
      </c>
      <c r="L440" s="59">
        <v>67.5</v>
      </c>
    </row>
    <row r="441" spans="8:12" x14ac:dyDescent="0.15">
      <c r="H441" s="59">
        <v>427</v>
      </c>
      <c r="I441" s="59">
        <v>49</v>
      </c>
      <c r="K441" s="59">
        <v>427</v>
      </c>
      <c r="L441" s="59">
        <v>92</v>
      </c>
    </row>
    <row r="442" spans="8:12" x14ac:dyDescent="0.15">
      <c r="H442" s="59">
        <v>428</v>
      </c>
      <c r="I442" s="59">
        <v>28</v>
      </c>
      <c r="K442" s="59">
        <v>428</v>
      </c>
      <c r="L442" s="59">
        <v>64</v>
      </c>
    </row>
    <row r="443" spans="8:12" x14ac:dyDescent="0.15">
      <c r="H443" s="59">
        <v>429</v>
      </c>
      <c r="I443" s="59">
        <v>74</v>
      </c>
      <c r="K443" s="59">
        <v>429</v>
      </c>
      <c r="L443" s="59">
        <v>60.5</v>
      </c>
    </row>
    <row r="444" spans="8:12" x14ac:dyDescent="0.15">
      <c r="H444" s="59">
        <v>430</v>
      </c>
      <c r="I444" s="59">
        <v>77</v>
      </c>
      <c r="K444" s="59">
        <v>430</v>
      </c>
      <c r="L444" s="59">
        <v>93</v>
      </c>
    </row>
    <row r="445" spans="8:12" x14ac:dyDescent="0.15">
      <c r="H445" s="59">
        <v>431</v>
      </c>
      <c r="I445" s="59">
        <v>60</v>
      </c>
      <c r="K445" s="59">
        <v>431</v>
      </c>
      <c r="L445" s="59">
        <v>58</v>
      </c>
    </row>
    <row r="446" spans="8:12" x14ac:dyDescent="0.15">
      <c r="H446" s="59">
        <v>432</v>
      </c>
      <c r="I446" s="59">
        <v>77</v>
      </c>
      <c r="K446" s="59">
        <v>432</v>
      </c>
      <c r="L446" s="59">
        <v>91.5</v>
      </c>
    </row>
    <row r="447" spans="8:12" x14ac:dyDescent="0.15">
      <c r="H447" s="59">
        <v>433</v>
      </c>
      <c r="I447" s="59">
        <v>59</v>
      </c>
      <c r="K447" s="59">
        <v>433</v>
      </c>
      <c r="L447" s="59">
        <v>94</v>
      </c>
    </row>
    <row r="448" spans="8:12" x14ac:dyDescent="0.15">
      <c r="H448" s="59">
        <v>434</v>
      </c>
      <c r="I448" s="59">
        <v>21</v>
      </c>
      <c r="K448" s="59">
        <v>434</v>
      </c>
      <c r="L448" s="59">
        <v>94</v>
      </c>
    </row>
    <row r="449" spans="8:12" x14ac:dyDescent="0.15">
      <c r="H449" s="59">
        <v>435</v>
      </c>
      <c r="I449" s="59">
        <v>60</v>
      </c>
      <c r="K449" s="59">
        <v>435</v>
      </c>
      <c r="L449" s="59">
        <v>65</v>
      </c>
    </row>
    <row r="450" spans="8:12" x14ac:dyDescent="0.15">
      <c r="H450" s="59">
        <v>436</v>
      </c>
      <c r="I450" s="59">
        <v>92</v>
      </c>
      <c r="K450" s="59">
        <v>436</v>
      </c>
      <c r="L450" s="59">
        <v>97</v>
      </c>
    </row>
    <row r="451" spans="8:12" x14ac:dyDescent="0.15">
      <c r="H451" s="59">
        <v>437</v>
      </c>
      <c r="I451" s="59">
        <v>24</v>
      </c>
      <c r="K451" s="59">
        <v>437</v>
      </c>
      <c r="L451" s="59">
        <v>50.5</v>
      </c>
    </row>
    <row r="452" spans="8:12" x14ac:dyDescent="0.15">
      <c r="H452" s="59">
        <v>438</v>
      </c>
      <c r="I452" s="59">
        <v>45</v>
      </c>
      <c r="K452" s="59">
        <v>438</v>
      </c>
      <c r="L452" s="59">
        <v>60.5</v>
      </c>
    </row>
    <row r="453" spans="8:12" x14ac:dyDescent="0.15">
      <c r="H453" s="59">
        <v>439</v>
      </c>
      <c r="I453" s="59">
        <v>43</v>
      </c>
      <c r="K453" s="59">
        <v>439</v>
      </c>
      <c r="L453" s="59">
        <v>58</v>
      </c>
    </row>
    <row r="454" spans="8:12" x14ac:dyDescent="0.15">
      <c r="H454" s="59">
        <v>440</v>
      </c>
      <c r="I454" s="59">
        <v>46</v>
      </c>
      <c r="K454" s="59">
        <v>440</v>
      </c>
      <c r="L454" s="59">
        <v>91</v>
      </c>
    </row>
    <row r="455" spans="8:12" x14ac:dyDescent="0.15">
      <c r="H455" s="59">
        <v>441</v>
      </c>
      <c r="I455" s="59">
        <v>69</v>
      </c>
      <c r="K455" s="59">
        <v>441</v>
      </c>
      <c r="L455" s="59">
        <v>90.5</v>
      </c>
    </row>
    <row r="456" spans="8:12" x14ac:dyDescent="0.15">
      <c r="H456" s="59">
        <v>442</v>
      </c>
      <c r="I456" s="59">
        <v>55</v>
      </c>
      <c r="K456" s="59">
        <v>442</v>
      </c>
      <c r="L456" s="59">
        <v>65</v>
      </c>
    </row>
    <row r="457" spans="8:12" x14ac:dyDescent="0.15">
      <c r="H457" s="59">
        <v>443</v>
      </c>
      <c r="I457" s="59">
        <v>54</v>
      </c>
      <c r="K457" s="59">
        <v>443</v>
      </c>
      <c r="L457" s="59">
        <v>69</v>
      </c>
    </row>
    <row r="458" spans="8:12" x14ac:dyDescent="0.15">
      <c r="H458" s="59">
        <v>444</v>
      </c>
      <c r="I458" s="59">
        <v>67</v>
      </c>
      <c r="K458" s="59">
        <v>444</v>
      </c>
      <c r="L458" s="59">
        <v>97.5</v>
      </c>
    </row>
    <row r="459" spans="8:12" x14ac:dyDescent="0.15">
      <c r="H459" s="59">
        <v>445</v>
      </c>
      <c r="I459" s="59">
        <v>20</v>
      </c>
      <c r="K459" s="59">
        <v>445</v>
      </c>
      <c r="L459" s="59">
        <v>86.5</v>
      </c>
    </row>
    <row r="460" spans="8:12" x14ac:dyDescent="0.15">
      <c r="H460" s="59">
        <v>446</v>
      </c>
      <c r="I460" s="59">
        <v>76</v>
      </c>
      <c r="K460" s="59">
        <v>446</v>
      </c>
      <c r="L460" s="59">
        <v>97.5</v>
      </c>
    </row>
    <row r="461" spans="8:12" x14ac:dyDescent="0.15">
      <c r="H461" s="59">
        <v>447</v>
      </c>
      <c r="I461" s="59">
        <v>27</v>
      </c>
      <c r="K461" s="59">
        <v>447</v>
      </c>
      <c r="L461" s="59">
        <v>80.5</v>
      </c>
    </row>
    <row r="462" spans="8:12" x14ac:dyDescent="0.15">
      <c r="H462" s="59">
        <v>448</v>
      </c>
      <c r="I462" s="59">
        <v>82</v>
      </c>
      <c r="K462" s="59">
        <v>448</v>
      </c>
      <c r="L462" s="59">
        <v>93</v>
      </c>
    </row>
    <row r="463" spans="8:12" x14ac:dyDescent="0.15">
      <c r="H463" s="59">
        <v>449</v>
      </c>
      <c r="I463" s="59">
        <v>73</v>
      </c>
      <c r="K463" s="59">
        <v>449</v>
      </c>
      <c r="L463" s="59">
        <v>77.5</v>
      </c>
    </row>
    <row r="464" spans="8:12" x14ac:dyDescent="0.15">
      <c r="H464" s="59">
        <v>450</v>
      </c>
      <c r="I464" s="59">
        <v>22</v>
      </c>
      <c r="K464" s="59">
        <v>450</v>
      </c>
      <c r="L464" s="59">
        <v>73</v>
      </c>
    </row>
    <row r="465" spans="8:12" x14ac:dyDescent="0.15">
      <c r="H465" s="59">
        <v>451</v>
      </c>
      <c r="I465" s="59">
        <v>45</v>
      </c>
      <c r="K465" s="59">
        <v>451</v>
      </c>
      <c r="L465" s="59">
        <v>82</v>
      </c>
    </row>
    <row r="466" spans="8:12" x14ac:dyDescent="0.15">
      <c r="H466" s="59">
        <v>452</v>
      </c>
      <c r="I466" s="59">
        <v>42</v>
      </c>
      <c r="K466" s="59">
        <v>452</v>
      </c>
      <c r="L466" s="59">
        <v>62</v>
      </c>
    </row>
    <row r="467" spans="8:12" x14ac:dyDescent="0.15">
      <c r="H467" s="59">
        <v>453</v>
      </c>
      <c r="I467" s="59">
        <v>64</v>
      </c>
      <c r="K467" s="59">
        <v>453</v>
      </c>
      <c r="L467" s="59">
        <v>54.5</v>
      </c>
    </row>
    <row r="468" spans="8:12" x14ac:dyDescent="0.15">
      <c r="H468" s="59">
        <v>454</v>
      </c>
      <c r="I468" s="59">
        <v>48</v>
      </c>
      <c r="K468" s="59">
        <v>454</v>
      </c>
      <c r="L468" s="59">
        <v>76</v>
      </c>
    </row>
    <row r="469" spans="8:12" x14ac:dyDescent="0.15">
      <c r="H469" s="59">
        <v>455</v>
      </c>
      <c r="I469" s="59">
        <v>72</v>
      </c>
      <c r="K469" s="59">
        <v>455</v>
      </c>
      <c r="L469" s="59">
        <v>91</v>
      </c>
    </row>
    <row r="470" spans="8:12" x14ac:dyDescent="0.15">
      <c r="H470" s="59">
        <v>456</v>
      </c>
      <c r="I470" s="59">
        <v>37</v>
      </c>
      <c r="K470" s="59">
        <v>456</v>
      </c>
      <c r="L470" s="59">
        <v>56</v>
      </c>
    </row>
    <row r="471" spans="8:12" x14ac:dyDescent="0.15">
      <c r="H471" s="59">
        <v>457</v>
      </c>
      <c r="I471" s="59">
        <v>80</v>
      </c>
      <c r="K471" s="59">
        <v>457</v>
      </c>
      <c r="L471" s="59">
        <v>74.5</v>
      </c>
    </row>
    <row r="472" spans="8:12" x14ac:dyDescent="0.15">
      <c r="H472" s="59">
        <v>458</v>
      </c>
      <c r="I472" s="59">
        <v>65</v>
      </c>
      <c r="K472" s="59">
        <v>458</v>
      </c>
      <c r="L472" s="59">
        <v>58.5</v>
      </c>
    </row>
    <row r="473" spans="8:12" x14ac:dyDescent="0.15">
      <c r="H473" s="59">
        <v>459</v>
      </c>
      <c r="I473" s="59">
        <v>52</v>
      </c>
      <c r="K473" s="59">
        <v>459</v>
      </c>
      <c r="L473" s="59">
        <v>62</v>
      </c>
    </row>
    <row r="474" spans="8:12" x14ac:dyDescent="0.15">
      <c r="H474" s="59">
        <v>460</v>
      </c>
      <c r="I474" s="59">
        <v>38</v>
      </c>
      <c r="K474" s="59">
        <v>460</v>
      </c>
      <c r="L474" s="59">
        <v>59</v>
      </c>
    </row>
    <row r="475" spans="8:12" x14ac:dyDescent="0.15">
      <c r="H475" s="59">
        <v>461</v>
      </c>
      <c r="I475" s="59">
        <v>76</v>
      </c>
      <c r="K475" s="59">
        <v>461</v>
      </c>
      <c r="L475" s="59">
        <v>61</v>
      </c>
    </row>
    <row r="476" spans="8:12" x14ac:dyDescent="0.15">
      <c r="H476" s="59">
        <v>462</v>
      </c>
      <c r="I476" s="59">
        <v>75</v>
      </c>
      <c r="K476" s="59">
        <v>462</v>
      </c>
      <c r="L476" s="59">
        <v>93.5</v>
      </c>
    </row>
    <row r="477" spans="8:12" x14ac:dyDescent="0.15">
      <c r="H477" s="59">
        <v>463</v>
      </c>
      <c r="I477" s="59">
        <v>80</v>
      </c>
      <c r="K477" s="59">
        <v>463</v>
      </c>
      <c r="L477" s="59">
        <v>95.5</v>
      </c>
    </row>
    <row r="478" spans="8:12" x14ac:dyDescent="0.15">
      <c r="H478" s="59">
        <v>464</v>
      </c>
      <c r="I478" s="59">
        <v>44</v>
      </c>
      <c r="K478" s="59">
        <v>464</v>
      </c>
      <c r="L478" s="59">
        <v>92</v>
      </c>
    </row>
    <row r="479" spans="8:12" x14ac:dyDescent="0.15">
      <c r="H479" s="59">
        <v>465</v>
      </c>
      <c r="I479" s="59">
        <v>74</v>
      </c>
      <c r="K479" s="59">
        <v>465</v>
      </c>
      <c r="L479" s="59">
        <v>90.5</v>
      </c>
    </row>
    <row r="480" spans="8:12" x14ac:dyDescent="0.15">
      <c r="H480" s="59">
        <v>466</v>
      </c>
      <c r="I480" s="59">
        <v>8</v>
      </c>
      <c r="K480" s="59">
        <v>466</v>
      </c>
      <c r="L480" s="59">
        <v>64.5</v>
      </c>
    </row>
    <row r="481" spans="8:12" x14ac:dyDescent="0.15">
      <c r="H481" s="59">
        <v>467</v>
      </c>
      <c r="I481" s="59">
        <v>44</v>
      </c>
      <c r="K481" s="59">
        <v>467</v>
      </c>
      <c r="L481" s="59">
        <v>80</v>
      </c>
    </row>
    <row r="482" spans="8:12" x14ac:dyDescent="0.15">
      <c r="H482" s="59">
        <v>468</v>
      </c>
      <c r="I482" s="59">
        <v>31</v>
      </c>
      <c r="K482" s="59">
        <v>468</v>
      </c>
      <c r="L482" s="59">
        <v>83.5</v>
      </c>
    </row>
    <row r="483" spans="8:12" x14ac:dyDescent="0.15">
      <c r="H483" s="59">
        <v>469</v>
      </c>
      <c r="I483" s="59">
        <v>27</v>
      </c>
      <c r="K483" s="59">
        <v>469</v>
      </c>
      <c r="L483" s="59">
        <v>72.5</v>
      </c>
    </row>
    <row r="484" spans="8:12" x14ac:dyDescent="0.15">
      <c r="H484" s="59">
        <v>470</v>
      </c>
      <c r="I484" s="59">
        <v>17</v>
      </c>
      <c r="K484" s="59">
        <v>470</v>
      </c>
      <c r="L484" s="59">
        <v>77.5</v>
      </c>
    </row>
    <row r="485" spans="8:12" x14ac:dyDescent="0.15">
      <c r="H485" s="59">
        <v>471</v>
      </c>
      <c r="I485" s="59">
        <v>24</v>
      </c>
      <c r="K485" s="59">
        <v>471</v>
      </c>
      <c r="L485" s="59">
        <v>96</v>
      </c>
    </row>
    <row r="486" spans="8:12" x14ac:dyDescent="0.15">
      <c r="H486" s="59">
        <v>472</v>
      </c>
      <c r="I486" s="59">
        <v>15</v>
      </c>
      <c r="K486" s="59">
        <v>472</v>
      </c>
      <c r="L486" s="59">
        <v>68.5</v>
      </c>
    </row>
    <row r="487" spans="8:12" x14ac:dyDescent="0.15">
      <c r="H487" s="59">
        <v>473</v>
      </c>
      <c r="I487" s="59">
        <v>28</v>
      </c>
      <c r="K487" s="59">
        <v>473</v>
      </c>
      <c r="L487" s="59">
        <v>48</v>
      </c>
    </row>
    <row r="488" spans="8:12" x14ac:dyDescent="0.15">
      <c r="H488" s="59">
        <v>474</v>
      </c>
      <c r="I488" s="59">
        <v>38</v>
      </c>
      <c r="K488" s="59">
        <v>474</v>
      </c>
      <c r="L488" s="59">
        <v>82</v>
      </c>
    </row>
    <row r="489" spans="8:12" x14ac:dyDescent="0.15">
      <c r="H489" s="59">
        <v>475</v>
      </c>
      <c r="I489" s="59">
        <v>38</v>
      </c>
      <c r="K489" s="59">
        <v>475</v>
      </c>
      <c r="L489" s="59">
        <v>84.5</v>
      </c>
    </row>
    <row r="490" spans="8:12" x14ac:dyDescent="0.15">
      <c r="H490" s="59">
        <v>476</v>
      </c>
      <c r="I490" s="59">
        <v>36</v>
      </c>
      <c r="K490" s="59">
        <v>476</v>
      </c>
      <c r="L490" s="59">
        <v>79.5</v>
      </c>
    </row>
    <row r="491" spans="8:12" x14ac:dyDescent="0.15">
      <c r="H491" s="59">
        <v>477</v>
      </c>
      <c r="I491" s="59">
        <v>55</v>
      </c>
      <c r="K491" s="59">
        <v>477</v>
      </c>
      <c r="L491" s="59">
        <v>87.5</v>
      </c>
    </row>
    <row r="492" spans="8:12" x14ac:dyDescent="0.15">
      <c r="H492" s="59">
        <v>478</v>
      </c>
      <c r="I492" s="59">
        <v>59</v>
      </c>
      <c r="K492" s="59">
        <v>478</v>
      </c>
      <c r="L492" s="59">
        <v>91</v>
      </c>
    </row>
    <row r="493" spans="8:12" x14ac:dyDescent="0.15">
      <c r="H493" s="59">
        <v>479</v>
      </c>
      <c r="I493" s="59">
        <v>41</v>
      </c>
      <c r="K493" s="59">
        <v>479</v>
      </c>
      <c r="L493" s="59">
        <v>54.5</v>
      </c>
    </row>
    <row r="494" spans="8:12" x14ac:dyDescent="0.15">
      <c r="H494" s="59">
        <v>480</v>
      </c>
      <c r="I494" s="59">
        <v>77</v>
      </c>
      <c r="K494" s="59">
        <v>480</v>
      </c>
      <c r="L494" s="59">
        <v>60</v>
      </c>
    </row>
    <row r="495" spans="8:12" x14ac:dyDescent="0.15">
      <c r="H495" s="59">
        <v>481</v>
      </c>
      <c r="I495" s="59">
        <v>76</v>
      </c>
      <c r="K495" s="59">
        <v>481</v>
      </c>
      <c r="L495" s="59">
        <v>90</v>
      </c>
    </row>
    <row r="496" spans="8:12" x14ac:dyDescent="0.15">
      <c r="H496" s="59">
        <v>482</v>
      </c>
      <c r="I496" s="59">
        <v>63</v>
      </c>
      <c r="K496" s="59">
        <v>482</v>
      </c>
      <c r="L496" s="59">
        <v>52.5</v>
      </c>
    </row>
    <row r="497" spans="8:12" x14ac:dyDescent="0.15">
      <c r="H497" s="59">
        <v>483</v>
      </c>
      <c r="I497" s="59">
        <v>80</v>
      </c>
      <c r="K497" s="59">
        <v>483</v>
      </c>
      <c r="L497" s="59">
        <v>66</v>
      </c>
    </row>
    <row r="498" spans="8:12" x14ac:dyDescent="0.15">
      <c r="H498" s="59">
        <v>484</v>
      </c>
      <c r="I498" s="59">
        <v>54</v>
      </c>
      <c r="K498" s="59">
        <v>484</v>
      </c>
      <c r="L498" s="59">
        <v>72.5</v>
      </c>
    </row>
    <row r="499" spans="8:12" x14ac:dyDescent="0.15">
      <c r="H499" s="59">
        <v>485</v>
      </c>
      <c r="I499" s="59">
        <v>49</v>
      </c>
      <c r="K499" s="59">
        <v>485</v>
      </c>
      <c r="L499" s="59">
        <v>51.5</v>
      </c>
    </row>
    <row r="500" spans="8:12" x14ac:dyDescent="0.15">
      <c r="H500" s="59">
        <v>486</v>
      </c>
      <c r="I500" s="59">
        <v>49</v>
      </c>
      <c r="K500" s="59">
        <v>486</v>
      </c>
      <c r="L500" s="59">
        <v>51</v>
      </c>
    </row>
    <row r="501" spans="8:12" x14ac:dyDescent="0.15">
      <c r="H501" s="59">
        <v>487</v>
      </c>
      <c r="I501" s="59">
        <v>66</v>
      </c>
      <c r="K501" s="59">
        <v>487</v>
      </c>
      <c r="L501" s="59">
        <v>48.5</v>
      </c>
    </row>
    <row r="502" spans="8:12" x14ac:dyDescent="0.15">
      <c r="H502" s="59">
        <v>488</v>
      </c>
      <c r="I502" s="59">
        <v>48</v>
      </c>
      <c r="K502" s="59">
        <v>488</v>
      </c>
      <c r="L502" s="59">
        <v>64</v>
      </c>
    </row>
    <row r="503" spans="8:12" x14ac:dyDescent="0.15">
      <c r="H503" s="59">
        <v>489</v>
      </c>
      <c r="I503" s="59">
        <v>23</v>
      </c>
      <c r="K503" s="59">
        <v>489</v>
      </c>
      <c r="L503" s="59">
        <v>56.5</v>
      </c>
    </row>
    <row r="504" spans="8:12" x14ac:dyDescent="0.15">
      <c r="H504" s="59">
        <v>490</v>
      </c>
      <c r="I504" s="59">
        <v>54</v>
      </c>
      <c r="K504" s="59">
        <v>490</v>
      </c>
      <c r="L504" s="59">
        <v>51.5</v>
      </c>
    </row>
    <row r="505" spans="8:12" x14ac:dyDescent="0.15">
      <c r="H505" s="59">
        <v>491</v>
      </c>
      <c r="I505" s="59">
        <v>29</v>
      </c>
      <c r="K505" s="59">
        <v>491</v>
      </c>
      <c r="L505" s="59">
        <v>91</v>
      </c>
    </row>
    <row r="506" spans="8:12" x14ac:dyDescent="0.15">
      <c r="H506" s="59">
        <v>492</v>
      </c>
      <c r="I506" s="59">
        <v>65</v>
      </c>
      <c r="K506" s="59">
        <v>492</v>
      </c>
      <c r="L506" s="59">
        <v>91</v>
      </c>
    </row>
    <row r="507" spans="8:12" x14ac:dyDescent="0.15">
      <c r="H507" s="59">
        <v>493</v>
      </c>
      <c r="I507" s="59">
        <v>23</v>
      </c>
      <c r="K507" s="59">
        <v>493</v>
      </c>
      <c r="L507" s="59">
        <v>66.5</v>
      </c>
    </row>
    <row r="508" spans="8:12" x14ac:dyDescent="0.15">
      <c r="H508" s="59">
        <v>494</v>
      </c>
      <c r="I508" s="59">
        <v>82</v>
      </c>
      <c r="K508" s="59">
        <v>494</v>
      </c>
      <c r="L508" s="59">
        <v>94.5</v>
      </c>
    </row>
    <row r="509" spans="8:12" x14ac:dyDescent="0.15">
      <c r="H509" s="59">
        <v>495</v>
      </c>
      <c r="I509" s="59">
        <v>35</v>
      </c>
      <c r="K509" s="59">
        <v>495</v>
      </c>
      <c r="L509" s="59">
        <v>83.5</v>
      </c>
    </row>
    <row r="510" spans="8:12" x14ac:dyDescent="0.15">
      <c r="H510" s="59">
        <v>496</v>
      </c>
      <c r="I510" s="59">
        <v>29</v>
      </c>
      <c r="K510" s="59">
        <v>496</v>
      </c>
      <c r="L510" s="59">
        <v>71.5</v>
      </c>
    </row>
    <row r="511" spans="8:12" x14ac:dyDescent="0.15">
      <c r="H511" s="59">
        <v>497</v>
      </c>
      <c r="I511" s="59">
        <v>35</v>
      </c>
      <c r="K511" s="59">
        <v>497</v>
      </c>
      <c r="L511" s="59">
        <v>94.5</v>
      </c>
    </row>
    <row r="512" spans="8:12" x14ac:dyDescent="0.15">
      <c r="H512" s="59">
        <v>498</v>
      </c>
      <c r="I512" s="59">
        <v>75</v>
      </c>
      <c r="K512" s="59">
        <v>498</v>
      </c>
      <c r="L512" s="59">
        <v>73.5</v>
      </c>
    </row>
    <row r="513" spans="8:12" x14ac:dyDescent="0.15">
      <c r="H513" s="59">
        <v>499</v>
      </c>
      <c r="I513" s="59">
        <v>44</v>
      </c>
      <c r="K513" s="59">
        <v>499</v>
      </c>
      <c r="L513" s="59">
        <v>77.5</v>
      </c>
    </row>
    <row r="514" spans="8:12" x14ac:dyDescent="0.15">
      <c r="H514" s="59">
        <v>500</v>
      </c>
      <c r="I514" s="59">
        <v>81</v>
      </c>
      <c r="K514" s="59">
        <v>500</v>
      </c>
      <c r="L514" s="59">
        <v>89.5</v>
      </c>
    </row>
    <row r="515" spans="8:12" x14ac:dyDescent="0.15">
      <c r="H515" s="59">
        <v>501</v>
      </c>
      <c r="I515" s="59">
        <v>88</v>
      </c>
      <c r="K515" s="59">
        <v>501</v>
      </c>
      <c r="L515" s="59">
        <v>95</v>
      </c>
    </row>
    <row r="516" spans="8:12" x14ac:dyDescent="0.15">
      <c r="H516" s="59">
        <v>502</v>
      </c>
      <c r="I516" s="59">
        <v>12</v>
      </c>
      <c r="K516" s="59">
        <v>502</v>
      </c>
      <c r="L516" s="59">
        <v>53</v>
      </c>
    </row>
    <row r="517" spans="8:12" x14ac:dyDescent="0.15">
      <c r="H517" s="59">
        <v>503</v>
      </c>
      <c r="I517" s="59">
        <v>19</v>
      </c>
      <c r="K517" s="59">
        <v>503</v>
      </c>
      <c r="L517" s="59">
        <v>75</v>
      </c>
    </row>
    <row r="518" spans="8:12" x14ac:dyDescent="0.15">
      <c r="H518" s="59">
        <v>504</v>
      </c>
      <c r="I518" s="59">
        <v>6</v>
      </c>
      <c r="K518" s="59">
        <v>504</v>
      </c>
      <c r="L518" s="59">
        <v>78.5</v>
      </c>
    </row>
    <row r="519" spans="8:12" x14ac:dyDescent="0.15">
      <c r="H519" s="59">
        <v>505</v>
      </c>
      <c r="I519" s="59">
        <v>71</v>
      </c>
      <c r="K519" s="59">
        <v>505</v>
      </c>
      <c r="L519" s="59">
        <v>82</v>
      </c>
    </row>
    <row r="520" spans="8:12" x14ac:dyDescent="0.15">
      <c r="H520" s="59">
        <v>506</v>
      </c>
      <c r="I520" s="59">
        <v>27</v>
      </c>
      <c r="K520" s="59">
        <v>506</v>
      </c>
      <c r="L520" s="59">
        <v>69</v>
      </c>
    </row>
    <row r="521" spans="8:12" x14ac:dyDescent="0.15">
      <c r="H521" s="59">
        <v>507</v>
      </c>
      <c r="I521" s="59">
        <v>78</v>
      </c>
      <c r="K521" s="59">
        <v>507</v>
      </c>
      <c r="L521" s="59">
        <v>53.5</v>
      </c>
    </row>
    <row r="522" spans="8:12" x14ac:dyDescent="0.15">
      <c r="H522" s="59">
        <v>508</v>
      </c>
      <c r="I522" s="59">
        <v>39</v>
      </c>
      <c r="K522" s="59">
        <v>508</v>
      </c>
      <c r="L522" s="59">
        <v>69</v>
      </c>
    </row>
    <row r="523" spans="8:12" x14ac:dyDescent="0.15">
      <c r="H523" s="59">
        <v>509</v>
      </c>
      <c r="I523" s="59">
        <v>42</v>
      </c>
      <c r="K523" s="59">
        <v>509</v>
      </c>
      <c r="L523" s="59">
        <v>92</v>
      </c>
    </row>
    <row r="524" spans="8:12" x14ac:dyDescent="0.15">
      <c r="H524" s="59">
        <v>510</v>
      </c>
      <c r="I524" s="59">
        <v>59</v>
      </c>
      <c r="K524" s="59">
        <v>510</v>
      </c>
      <c r="L524" s="59">
        <v>87</v>
      </c>
    </row>
    <row r="525" spans="8:12" x14ac:dyDescent="0.15">
      <c r="H525" s="59">
        <v>511</v>
      </c>
      <c r="I525" s="59">
        <v>68</v>
      </c>
      <c r="K525" s="59">
        <v>511</v>
      </c>
      <c r="L525" s="59">
        <v>70</v>
      </c>
    </row>
    <row r="526" spans="8:12" x14ac:dyDescent="0.15">
      <c r="H526" s="59">
        <v>512</v>
      </c>
      <c r="I526" s="59">
        <v>76</v>
      </c>
      <c r="K526" s="59">
        <v>512</v>
      </c>
      <c r="L526" s="59">
        <v>61</v>
      </c>
    </row>
    <row r="527" spans="8:12" x14ac:dyDescent="0.15">
      <c r="H527" s="59">
        <v>513</v>
      </c>
      <c r="I527" s="59">
        <v>35</v>
      </c>
      <c r="K527" s="59">
        <v>513</v>
      </c>
      <c r="L527" s="59">
        <v>94.5</v>
      </c>
    </row>
    <row r="528" spans="8:12" x14ac:dyDescent="0.15">
      <c r="H528" s="59">
        <v>514</v>
      </c>
      <c r="I528" s="59">
        <v>72</v>
      </c>
      <c r="K528" s="59">
        <v>514</v>
      </c>
      <c r="L528" s="59">
        <v>50</v>
      </c>
    </row>
    <row r="529" spans="8:12" x14ac:dyDescent="0.15">
      <c r="H529" s="59">
        <v>515</v>
      </c>
      <c r="I529" s="59">
        <v>24</v>
      </c>
      <c r="K529" s="59">
        <v>515</v>
      </c>
      <c r="L529" s="59">
        <v>84</v>
      </c>
    </row>
    <row r="530" spans="8:12" x14ac:dyDescent="0.15">
      <c r="H530" s="59">
        <v>516</v>
      </c>
      <c r="I530" s="59">
        <v>52</v>
      </c>
      <c r="K530" s="59">
        <v>516</v>
      </c>
      <c r="L530" s="59">
        <v>77</v>
      </c>
    </row>
    <row r="531" spans="8:12" x14ac:dyDescent="0.15">
      <c r="H531" s="59">
        <v>517</v>
      </c>
      <c r="I531" s="59">
        <v>90</v>
      </c>
      <c r="K531" s="59">
        <v>517</v>
      </c>
      <c r="L531" s="59">
        <v>65.5</v>
      </c>
    </row>
    <row r="532" spans="8:12" x14ac:dyDescent="0.15">
      <c r="H532" s="59">
        <v>518</v>
      </c>
      <c r="I532" s="59">
        <v>50</v>
      </c>
      <c r="K532" s="59">
        <v>518</v>
      </c>
      <c r="L532" s="59">
        <v>54.5</v>
      </c>
    </row>
    <row r="533" spans="8:12" x14ac:dyDescent="0.15">
      <c r="H533" s="59">
        <v>519</v>
      </c>
      <c r="I533" s="59">
        <v>38</v>
      </c>
      <c r="K533" s="59">
        <v>519</v>
      </c>
      <c r="L533" s="59">
        <v>90.5</v>
      </c>
    </row>
    <row r="534" spans="8:12" x14ac:dyDescent="0.15">
      <c r="H534" s="59">
        <v>520</v>
      </c>
      <c r="I534" s="59">
        <v>40</v>
      </c>
      <c r="K534" s="59">
        <v>520</v>
      </c>
      <c r="L534" s="59">
        <v>62.5</v>
      </c>
    </row>
    <row r="535" spans="8:12" x14ac:dyDescent="0.15">
      <c r="H535" s="59">
        <v>521</v>
      </c>
      <c r="I535" s="59">
        <v>67</v>
      </c>
      <c r="K535" s="59">
        <v>521</v>
      </c>
      <c r="L535" s="59">
        <v>76</v>
      </c>
    </row>
    <row r="536" spans="8:12" x14ac:dyDescent="0.15">
      <c r="H536" s="59">
        <v>522</v>
      </c>
      <c r="I536" s="59">
        <v>15</v>
      </c>
      <c r="K536" s="59">
        <v>522</v>
      </c>
      <c r="L536" s="59">
        <v>87</v>
      </c>
    </row>
    <row r="537" spans="8:12" x14ac:dyDescent="0.15">
      <c r="H537" s="59">
        <v>523</v>
      </c>
      <c r="I537" s="59">
        <v>38</v>
      </c>
      <c r="K537" s="59">
        <v>523</v>
      </c>
      <c r="L537" s="59">
        <v>89.5</v>
      </c>
    </row>
    <row r="538" spans="8:12" x14ac:dyDescent="0.15">
      <c r="H538" s="59">
        <v>524</v>
      </c>
      <c r="I538" s="59">
        <v>45</v>
      </c>
      <c r="K538" s="59">
        <v>524</v>
      </c>
      <c r="L538" s="59">
        <v>91</v>
      </c>
    </row>
    <row r="539" spans="8:12" x14ac:dyDescent="0.15">
      <c r="H539" s="59">
        <v>525</v>
      </c>
      <c r="I539" s="59">
        <v>54</v>
      </c>
      <c r="K539" s="59">
        <v>525</v>
      </c>
      <c r="L539" s="59">
        <v>53</v>
      </c>
    </row>
    <row r="540" spans="8:12" x14ac:dyDescent="0.15">
      <c r="H540" s="59">
        <v>526</v>
      </c>
      <c r="I540" s="59">
        <v>68</v>
      </c>
      <c r="K540" s="59">
        <v>526</v>
      </c>
      <c r="L540" s="59">
        <v>82.5</v>
      </c>
    </row>
    <row r="541" spans="8:12" x14ac:dyDescent="0.15">
      <c r="H541" s="59">
        <v>527</v>
      </c>
      <c r="I541" s="59">
        <v>67</v>
      </c>
      <c r="K541" s="59">
        <v>527</v>
      </c>
      <c r="L541" s="59">
        <v>54.5</v>
      </c>
    </row>
    <row r="542" spans="8:12" x14ac:dyDescent="0.15">
      <c r="H542" s="59">
        <v>528</v>
      </c>
      <c r="I542" s="59">
        <v>32</v>
      </c>
      <c r="K542" s="59">
        <v>528</v>
      </c>
      <c r="L542" s="59">
        <v>68</v>
      </c>
    </row>
    <row r="543" spans="8:12" x14ac:dyDescent="0.15">
      <c r="H543" s="59">
        <v>529</v>
      </c>
      <c r="I543" s="59">
        <v>53</v>
      </c>
      <c r="K543" s="59">
        <v>529</v>
      </c>
      <c r="L543" s="59">
        <v>51.5</v>
      </c>
    </row>
    <row r="544" spans="8:12" x14ac:dyDescent="0.15">
      <c r="H544" s="59">
        <v>530</v>
      </c>
      <c r="I544" s="59">
        <v>19</v>
      </c>
      <c r="K544" s="59">
        <v>530</v>
      </c>
      <c r="L544" s="59">
        <v>56</v>
      </c>
    </row>
    <row r="545" spans="8:12" x14ac:dyDescent="0.15">
      <c r="H545" s="59">
        <v>531</v>
      </c>
      <c r="I545" s="59">
        <v>51</v>
      </c>
      <c r="K545" s="59">
        <v>531</v>
      </c>
      <c r="L545" s="59">
        <v>51</v>
      </c>
    </row>
    <row r="546" spans="8:12" x14ac:dyDescent="0.15">
      <c r="H546" s="59">
        <v>532</v>
      </c>
      <c r="I546" s="59">
        <v>34</v>
      </c>
      <c r="K546" s="59">
        <v>532</v>
      </c>
      <c r="L546" s="59">
        <v>61</v>
      </c>
    </row>
    <row r="547" spans="8:12" x14ac:dyDescent="0.15">
      <c r="H547" s="59">
        <v>533</v>
      </c>
      <c r="I547" s="59">
        <v>7</v>
      </c>
      <c r="K547" s="59">
        <v>533</v>
      </c>
      <c r="L547" s="59">
        <v>50.5</v>
      </c>
    </row>
    <row r="548" spans="8:12" x14ac:dyDescent="0.15">
      <c r="H548" s="59">
        <v>534</v>
      </c>
      <c r="I548" s="59">
        <v>73</v>
      </c>
      <c r="K548" s="59">
        <v>534</v>
      </c>
      <c r="L548" s="59">
        <v>93.5</v>
      </c>
    </row>
    <row r="549" spans="8:12" x14ac:dyDescent="0.15">
      <c r="H549" s="59">
        <v>535</v>
      </c>
      <c r="I549" s="59">
        <v>71</v>
      </c>
      <c r="K549" s="59">
        <v>535</v>
      </c>
      <c r="L549" s="59">
        <v>92.5</v>
      </c>
    </row>
    <row r="550" spans="8:12" x14ac:dyDescent="0.15">
      <c r="H550" s="59">
        <v>536</v>
      </c>
      <c r="I550" s="59">
        <v>34</v>
      </c>
      <c r="K550" s="59">
        <v>536</v>
      </c>
      <c r="L550" s="59">
        <v>54</v>
      </c>
    </row>
    <row r="551" spans="8:12" x14ac:dyDescent="0.15">
      <c r="H551" s="59">
        <v>537</v>
      </c>
      <c r="I551" s="59">
        <v>51</v>
      </c>
      <c r="K551" s="59">
        <v>537</v>
      </c>
      <c r="L551" s="59">
        <v>62</v>
      </c>
    </row>
    <row r="552" spans="8:12" x14ac:dyDescent="0.15">
      <c r="H552" s="59">
        <v>538</v>
      </c>
      <c r="I552" s="59">
        <v>35</v>
      </c>
      <c r="K552" s="59">
        <v>538</v>
      </c>
      <c r="L552" s="59">
        <v>92</v>
      </c>
    </row>
    <row r="553" spans="8:12" x14ac:dyDescent="0.15">
      <c r="H553" s="59">
        <v>539</v>
      </c>
      <c r="I553" s="59">
        <v>37</v>
      </c>
      <c r="K553" s="59">
        <v>539</v>
      </c>
      <c r="L553" s="59">
        <v>60</v>
      </c>
    </row>
    <row r="554" spans="8:12" x14ac:dyDescent="0.15">
      <c r="H554" s="59">
        <v>540</v>
      </c>
      <c r="I554" s="59">
        <v>43</v>
      </c>
      <c r="K554" s="59">
        <v>540</v>
      </c>
      <c r="L554" s="59">
        <v>82.5</v>
      </c>
    </row>
    <row r="555" spans="8:12" x14ac:dyDescent="0.15">
      <c r="H555" s="59">
        <v>541</v>
      </c>
      <c r="I555" s="59">
        <v>70</v>
      </c>
      <c r="K555" s="59">
        <v>541</v>
      </c>
      <c r="L555" s="59">
        <v>73.5</v>
      </c>
    </row>
    <row r="556" spans="8:12" x14ac:dyDescent="0.15">
      <c r="H556" s="59">
        <v>542</v>
      </c>
      <c r="I556" s="59">
        <v>47</v>
      </c>
      <c r="K556" s="59">
        <v>542</v>
      </c>
      <c r="L556" s="59">
        <v>66.5</v>
      </c>
    </row>
    <row r="557" spans="8:12" x14ac:dyDescent="0.15">
      <c r="H557" s="59">
        <v>543</v>
      </c>
      <c r="I557" s="59">
        <v>11</v>
      </c>
      <c r="K557" s="59">
        <v>543</v>
      </c>
      <c r="L557" s="59">
        <v>75</v>
      </c>
    </row>
    <row r="558" spans="8:12" x14ac:dyDescent="0.15">
      <c r="H558" s="59">
        <v>544</v>
      </c>
      <c r="I558" s="59">
        <v>43</v>
      </c>
      <c r="K558" s="59">
        <v>544</v>
      </c>
      <c r="L558" s="59">
        <v>82</v>
      </c>
    </row>
    <row r="559" spans="8:12" x14ac:dyDescent="0.15">
      <c r="H559" s="59">
        <v>545</v>
      </c>
      <c r="I559" s="59">
        <v>57</v>
      </c>
      <c r="K559" s="59">
        <v>545</v>
      </c>
      <c r="L559" s="59">
        <v>55.5</v>
      </c>
    </row>
    <row r="560" spans="8:12" x14ac:dyDescent="0.15">
      <c r="H560" s="59">
        <v>546</v>
      </c>
      <c r="I560" s="59">
        <v>19</v>
      </c>
      <c r="K560" s="59">
        <v>546</v>
      </c>
      <c r="L560" s="59">
        <v>90</v>
      </c>
    </row>
    <row r="561" spans="8:12" x14ac:dyDescent="0.15">
      <c r="H561" s="59">
        <v>547</v>
      </c>
      <c r="I561" s="59">
        <v>53</v>
      </c>
      <c r="K561" s="59">
        <v>547</v>
      </c>
      <c r="L561" s="59">
        <v>74</v>
      </c>
    </row>
    <row r="562" spans="8:12" x14ac:dyDescent="0.15">
      <c r="H562" s="59">
        <v>548</v>
      </c>
      <c r="I562" s="59">
        <v>67</v>
      </c>
      <c r="K562" s="59">
        <v>548</v>
      </c>
      <c r="L562" s="59">
        <v>90.5</v>
      </c>
    </row>
    <row r="563" spans="8:12" x14ac:dyDescent="0.15">
      <c r="H563" s="59">
        <v>549</v>
      </c>
      <c r="I563" s="59">
        <v>41</v>
      </c>
      <c r="K563" s="59">
        <v>549</v>
      </c>
      <c r="L563" s="59">
        <v>63</v>
      </c>
    </row>
    <row r="564" spans="8:12" x14ac:dyDescent="0.15">
      <c r="H564" s="59">
        <v>550</v>
      </c>
      <c r="I564" s="59">
        <v>75</v>
      </c>
      <c r="K564" s="59">
        <v>550</v>
      </c>
      <c r="L564" s="59">
        <v>90</v>
      </c>
    </row>
    <row r="565" spans="8:12" x14ac:dyDescent="0.15">
      <c r="H565" s="59">
        <v>551</v>
      </c>
      <c r="I565" s="59">
        <v>39</v>
      </c>
      <c r="K565" s="59">
        <v>551</v>
      </c>
      <c r="L565" s="59">
        <v>66.5</v>
      </c>
    </row>
    <row r="566" spans="8:12" x14ac:dyDescent="0.15">
      <c r="H566" s="59">
        <v>552</v>
      </c>
      <c r="I566" s="59">
        <v>69</v>
      </c>
      <c r="K566" s="59">
        <v>552</v>
      </c>
      <c r="L566" s="59">
        <v>57</v>
      </c>
    </row>
    <row r="567" spans="8:12" x14ac:dyDescent="0.15">
      <c r="H567" s="59">
        <v>553</v>
      </c>
      <c r="I567" s="59">
        <v>86</v>
      </c>
      <c r="K567" s="59">
        <v>553</v>
      </c>
      <c r="L567" s="59">
        <v>80.5</v>
      </c>
    </row>
    <row r="568" spans="8:12" x14ac:dyDescent="0.15">
      <c r="H568" s="59">
        <v>554</v>
      </c>
      <c r="I568" s="59">
        <v>99</v>
      </c>
      <c r="K568" s="59">
        <v>554</v>
      </c>
      <c r="L568" s="59">
        <v>68.5</v>
      </c>
    </row>
    <row r="569" spans="8:12" x14ac:dyDescent="0.15">
      <c r="H569" s="59">
        <v>555</v>
      </c>
      <c r="I569" s="59">
        <v>40</v>
      </c>
      <c r="K569" s="59">
        <v>555</v>
      </c>
      <c r="L569" s="59">
        <v>95</v>
      </c>
    </row>
    <row r="570" spans="8:12" x14ac:dyDescent="0.15">
      <c r="H570" s="59">
        <v>556</v>
      </c>
      <c r="I570" s="59">
        <v>65</v>
      </c>
      <c r="K570" s="59">
        <v>556</v>
      </c>
      <c r="L570" s="59">
        <v>90</v>
      </c>
    </row>
    <row r="571" spans="8:12" x14ac:dyDescent="0.15">
      <c r="H571" s="59">
        <v>557</v>
      </c>
      <c r="I571" s="59">
        <v>65</v>
      </c>
      <c r="K571" s="59">
        <v>557</v>
      </c>
      <c r="L571" s="59">
        <v>95</v>
      </c>
    </row>
    <row r="572" spans="8:12" x14ac:dyDescent="0.15">
      <c r="H572" s="59">
        <v>558</v>
      </c>
      <c r="I572" s="59">
        <v>41</v>
      </c>
      <c r="K572" s="59">
        <v>558</v>
      </c>
      <c r="L572" s="59">
        <v>79.5</v>
      </c>
    </row>
    <row r="573" spans="8:12" x14ac:dyDescent="0.15">
      <c r="H573" s="59">
        <v>559</v>
      </c>
      <c r="I573" s="59">
        <v>37</v>
      </c>
      <c r="K573" s="59">
        <v>559</v>
      </c>
      <c r="L573" s="59">
        <v>71</v>
      </c>
    </row>
    <row r="574" spans="8:12" x14ac:dyDescent="0.15">
      <c r="H574" s="59">
        <v>560</v>
      </c>
      <c r="I574" s="59">
        <v>49</v>
      </c>
      <c r="K574" s="59">
        <v>560</v>
      </c>
      <c r="L574" s="59">
        <v>58</v>
      </c>
    </row>
    <row r="575" spans="8:12" x14ac:dyDescent="0.15">
      <c r="H575" s="59">
        <v>561</v>
      </c>
      <c r="I575" s="59">
        <v>58</v>
      </c>
      <c r="K575" s="59">
        <v>561</v>
      </c>
      <c r="L575" s="59">
        <v>84.5</v>
      </c>
    </row>
    <row r="576" spans="8:12" x14ac:dyDescent="0.15">
      <c r="H576" s="59">
        <v>562</v>
      </c>
      <c r="I576" s="59">
        <v>24</v>
      </c>
      <c r="K576" s="59">
        <v>562</v>
      </c>
      <c r="L576" s="59">
        <v>67</v>
      </c>
    </row>
    <row r="577" spans="8:12" x14ac:dyDescent="0.15">
      <c r="H577" s="59">
        <v>563</v>
      </c>
      <c r="I577" s="59">
        <v>84</v>
      </c>
      <c r="K577" s="59">
        <v>563</v>
      </c>
      <c r="L577" s="59">
        <v>63.5</v>
      </c>
    </row>
    <row r="578" spans="8:12" x14ac:dyDescent="0.15">
      <c r="H578" s="59">
        <v>564</v>
      </c>
      <c r="I578" s="59">
        <v>66</v>
      </c>
      <c r="K578" s="59">
        <v>564</v>
      </c>
      <c r="L578" s="59">
        <v>57</v>
      </c>
    </row>
    <row r="579" spans="8:12" x14ac:dyDescent="0.15">
      <c r="H579" s="59">
        <v>565</v>
      </c>
      <c r="I579" s="59">
        <v>48</v>
      </c>
      <c r="K579" s="59">
        <v>565</v>
      </c>
      <c r="L579" s="59">
        <v>66.5</v>
      </c>
    </row>
    <row r="580" spans="8:12" x14ac:dyDescent="0.15">
      <c r="H580" s="59">
        <v>566</v>
      </c>
      <c r="I580" s="59">
        <v>86</v>
      </c>
      <c r="K580" s="59">
        <v>566</v>
      </c>
      <c r="L580" s="59">
        <v>77</v>
      </c>
    </row>
    <row r="581" spans="8:12" x14ac:dyDescent="0.15">
      <c r="H581" s="59">
        <v>567</v>
      </c>
      <c r="I581" s="59">
        <v>66</v>
      </c>
      <c r="K581" s="59">
        <v>567</v>
      </c>
      <c r="L581" s="59">
        <v>78</v>
      </c>
    </row>
    <row r="582" spans="8:12" x14ac:dyDescent="0.15">
      <c r="H582" s="59">
        <v>568</v>
      </c>
      <c r="I582" s="59">
        <v>50</v>
      </c>
      <c r="K582" s="59">
        <v>568</v>
      </c>
      <c r="L582" s="59">
        <v>73.5</v>
      </c>
    </row>
    <row r="583" spans="8:12" x14ac:dyDescent="0.15">
      <c r="H583" s="59">
        <v>569</v>
      </c>
      <c r="I583" s="59">
        <v>57</v>
      </c>
      <c r="K583" s="59">
        <v>569</v>
      </c>
      <c r="L583" s="59">
        <v>57</v>
      </c>
    </row>
    <row r="584" spans="8:12" x14ac:dyDescent="0.15">
      <c r="H584" s="59">
        <v>570</v>
      </c>
      <c r="I584" s="59">
        <v>33</v>
      </c>
      <c r="K584" s="59">
        <v>570</v>
      </c>
      <c r="L584" s="59">
        <v>94.5</v>
      </c>
    </row>
    <row r="585" spans="8:12" x14ac:dyDescent="0.15">
      <c r="H585" s="59">
        <v>571</v>
      </c>
      <c r="I585" s="59">
        <v>40</v>
      </c>
      <c r="K585" s="59">
        <v>571</v>
      </c>
      <c r="L585" s="59">
        <v>82</v>
      </c>
    </row>
    <row r="586" spans="8:12" x14ac:dyDescent="0.15">
      <c r="H586" s="59">
        <v>572</v>
      </c>
      <c r="I586" s="59">
        <v>92</v>
      </c>
      <c r="K586" s="59">
        <v>572</v>
      </c>
      <c r="L586" s="59">
        <v>66</v>
      </c>
    </row>
    <row r="587" spans="8:12" x14ac:dyDescent="0.15">
      <c r="H587" s="59">
        <v>573</v>
      </c>
      <c r="I587" s="59">
        <v>50</v>
      </c>
      <c r="K587" s="59">
        <v>573</v>
      </c>
      <c r="L587" s="59">
        <v>92</v>
      </c>
    </row>
    <row r="588" spans="8:12" x14ac:dyDescent="0.15">
      <c r="H588" s="59">
        <v>574</v>
      </c>
      <c r="I588" s="59">
        <v>57</v>
      </c>
      <c r="K588" s="59">
        <v>574</v>
      </c>
      <c r="L588" s="59">
        <v>62.5</v>
      </c>
    </row>
    <row r="589" spans="8:12" x14ac:dyDescent="0.15">
      <c r="H589" s="59">
        <v>575</v>
      </c>
      <c r="I589" s="59">
        <v>46</v>
      </c>
      <c r="K589" s="59">
        <v>575</v>
      </c>
      <c r="L589" s="59">
        <v>95</v>
      </c>
    </row>
    <row r="590" spans="8:12" x14ac:dyDescent="0.15">
      <c r="H590" s="59">
        <v>576</v>
      </c>
      <c r="I590" s="59">
        <v>77</v>
      </c>
      <c r="K590" s="59">
        <v>576</v>
      </c>
      <c r="L590" s="59">
        <v>66</v>
      </c>
    </row>
    <row r="591" spans="8:12" x14ac:dyDescent="0.15">
      <c r="H591" s="59">
        <v>577</v>
      </c>
      <c r="I591" s="59">
        <v>77</v>
      </c>
      <c r="K591" s="59">
        <v>577</v>
      </c>
      <c r="L591" s="59">
        <v>70.5</v>
      </c>
    </row>
    <row r="592" spans="8:12" x14ac:dyDescent="0.15">
      <c r="H592" s="59">
        <v>578</v>
      </c>
      <c r="I592" s="59">
        <v>36</v>
      </c>
      <c r="K592" s="59">
        <v>578</v>
      </c>
      <c r="L592" s="59">
        <v>56.5</v>
      </c>
    </row>
    <row r="593" spans="8:12" x14ac:dyDescent="0.15">
      <c r="H593" s="59">
        <v>579</v>
      </c>
      <c r="I593" s="59">
        <v>51</v>
      </c>
      <c r="K593" s="59">
        <v>579</v>
      </c>
      <c r="L593" s="59">
        <v>93</v>
      </c>
    </row>
    <row r="594" spans="8:12" x14ac:dyDescent="0.15">
      <c r="H594" s="59">
        <v>580</v>
      </c>
      <c r="I594" s="59">
        <v>33</v>
      </c>
      <c r="K594" s="59">
        <v>580</v>
      </c>
      <c r="L594" s="59">
        <v>92</v>
      </c>
    </row>
    <row r="595" spans="8:12" x14ac:dyDescent="0.15">
      <c r="H595" s="59">
        <v>581</v>
      </c>
      <c r="I595" s="59">
        <v>52</v>
      </c>
      <c r="K595" s="59">
        <v>581</v>
      </c>
      <c r="L595" s="59">
        <v>93.5</v>
      </c>
    </row>
    <row r="596" spans="8:12" x14ac:dyDescent="0.15">
      <c r="H596" s="59">
        <v>582</v>
      </c>
      <c r="I596" s="59">
        <v>59</v>
      </c>
      <c r="K596" s="59">
        <v>582</v>
      </c>
      <c r="L596" s="59">
        <v>49</v>
      </c>
    </row>
    <row r="597" spans="8:12" x14ac:dyDescent="0.15">
      <c r="H597" s="59">
        <v>583</v>
      </c>
      <c r="I597" s="59">
        <v>75</v>
      </c>
      <c r="K597" s="59">
        <v>583</v>
      </c>
      <c r="L597" s="59">
        <v>79</v>
      </c>
    </row>
    <row r="598" spans="8:12" x14ac:dyDescent="0.15">
      <c r="H598" s="59">
        <v>584</v>
      </c>
      <c r="I598" s="59">
        <v>27</v>
      </c>
      <c r="K598" s="59">
        <v>584</v>
      </c>
      <c r="L598" s="59">
        <v>66.5</v>
      </c>
    </row>
    <row r="599" spans="8:12" x14ac:dyDescent="0.15">
      <c r="H599" s="59">
        <v>585</v>
      </c>
      <c r="I599" s="59">
        <v>27</v>
      </c>
      <c r="K599" s="59">
        <v>585</v>
      </c>
      <c r="L599" s="59">
        <v>55.5</v>
      </c>
    </row>
    <row r="600" spans="8:12" x14ac:dyDescent="0.15">
      <c r="H600" s="59">
        <v>586</v>
      </c>
      <c r="I600" s="59">
        <v>24</v>
      </c>
      <c r="K600" s="59">
        <v>586</v>
      </c>
      <c r="L600" s="59">
        <v>59.5</v>
      </c>
    </row>
    <row r="601" spans="8:12" x14ac:dyDescent="0.15">
      <c r="H601" s="59">
        <v>587</v>
      </c>
      <c r="I601" s="59">
        <v>55</v>
      </c>
      <c r="K601" s="59">
        <v>587</v>
      </c>
      <c r="L601" s="59">
        <v>70.5</v>
      </c>
    </row>
    <row r="602" spans="8:12" x14ac:dyDescent="0.15">
      <c r="H602" s="59">
        <v>588</v>
      </c>
      <c r="I602" s="59">
        <v>35</v>
      </c>
      <c r="K602" s="59">
        <v>588</v>
      </c>
      <c r="L602" s="59">
        <v>60.5</v>
      </c>
    </row>
    <row r="603" spans="8:12" x14ac:dyDescent="0.15">
      <c r="H603" s="59">
        <v>589</v>
      </c>
      <c r="I603" s="59">
        <v>33</v>
      </c>
      <c r="K603" s="59">
        <v>589</v>
      </c>
      <c r="L603" s="59">
        <v>93</v>
      </c>
    </row>
    <row r="604" spans="8:12" x14ac:dyDescent="0.15">
      <c r="H604" s="59">
        <v>590</v>
      </c>
      <c r="I604" s="59">
        <v>43</v>
      </c>
      <c r="K604" s="59">
        <v>590</v>
      </c>
      <c r="L604" s="59">
        <v>91.5</v>
      </c>
    </row>
    <row r="605" spans="8:12" x14ac:dyDescent="0.15">
      <c r="H605" s="59">
        <v>591</v>
      </c>
      <c r="I605" s="59">
        <v>50</v>
      </c>
      <c r="K605" s="59">
        <v>591</v>
      </c>
      <c r="L605" s="59">
        <v>96</v>
      </c>
    </row>
    <row r="606" spans="8:12" x14ac:dyDescent="0.15">
      <c r="H606" s="59">
        <v>592</v>
      </c>
      <c r="I606" s="59">
        <v>72</v>
      </c>
      <c r="K606" s="59">
        <v>592</v>
      </c>
      <c r="L606" s="59">
        <v>86.5</v>
      </c>
    </row>
    <row r="607" spans="8:12" x14ac:dyDescent="0.15">
      <c r="H607" s="59">
        <v>593</v>
      </c>
      <c r="I607" s="59">
        <v>63</v>
      </c>
      <c r="K607" s="59">
        <v>593</v>
      </c>
      <c r="L607" s="59">
        <v>52</v>
      </c>
    </row>
    <row r="608" spans="8:12" x14ac:dyDescent="0.15">
      <c r="H608" s="59">
        <v>594</v>
      </c>
      <c r="I608" s="59">
        <v>37</v>
      </c>
      <c r="K608" s="59">
        <v>594</v>
      </c>
      <c r="L608" s="59">
        <v>69</v>
      </c>
    </row>
    <row r="609" spans="8:12" x14ac:dyDescent="0.15">
      <c r="H609" s="59">
        <v>595</v>
      </c>
      <c r="I609" s="59">
        <v>19</v>
      </c>
      <c r="K609" s="59">
        <v>595</v>
      </c>
      <c r="L609" s="59">
        <v>56.5</v>
      </c>
    </row>
    <row r="610" spans="8:12" x14ac:dyDescent="0.15">
      <c r="H610" s="59">
        <v>596</v>
      </c>
      <c r="I610" s="59">
        <v>43</v>
      </c>
      <c r="K610" s="59">
        <v>596</v>
      </c>
      <c r="L610" s="59">
        <v>53</v>
      </c>
    </row>
    <row r="611" spans="8:12" x14ac:dyDescent="0.15">
      <c r="H611" s="59">
        <v>597</v>
      </c>
      <c r="I611" s="59">
        <v>72</v>
      </c>
      <c r="K611" s="59">
        <v>597</v>
      </c>
      <c r="L611" s="59">
        <v>48.5</v>
      </c>
    </row>
    <row r="612" spans="8:12" x14ac:dyDescent="0.15">
      <c r="H612" s="59">
        <v>598</v>
      </c>
      <c r="I612" s="59">
        <v>61</v>
      </c>
      <c r="K612" s="59">
        <v>598</v>
      </c>
      <c r="L612" s="59">
        <v>65</v>
      </c>
    </row>
    <row r="613" spans="8:12" x14ac:dyDescent="0.15">
      <c r="H613" s="59">
        <v>599</v>
      </c>
      <c r="I613" s="59">
        <v>82</v>
      </c>
      <c r="K613" s="59">
        <v>599</v>
      </c>
      <c r="L613" s="59">
        <v>87.5</v>
      </c>
    </row>
    <row r="614" spans="8:12" x14ac:dyDescent="0.15">
      <c r="H614" s="59">
        <v>600</v>
      </c>
      <c r="I614" s="59">
        <v>51</v>
      </c>
      <c r="K614" s="59">
        <v>600</v>
      </c>
      <c r="L614" s="59">
        <v>60.5</v>
      </c>
    </row>
    <row r="615" spans="8:12" x14ac:dyDescent="0.15">
      <c r="H615" s="59">
        <v>601</v>
      </c>
      <c r="I615" s="59">
        <v>65</v>
      </c>
      <c r="K615" s="59">
        <v>601</v>
      </c>
      <c r="L615" s="59">
        <v>85.5</v>
      </c>
    </row>
    <row r="616" spans="8:12" x14ac:dyDescent="0.15">
      <c r="H616" s="59">
        <v>602</v>
      </c>
      <c r="I616" s="59">
        <v>27</v>
      </c>
      <c r="K616" s="59">
        <v>602</v>
      </c>
      <c r="L616" s="59">
        <v>74</v>
      </c>
    </row>
    <row r="617" spans="8:12" x14ac:dyDescent="0.15">
      <c r="H617" s="59">
        <v>603</v>
      </c>
      <c r="I617" s="59">
        <v>49</v>
      </c>
      <c r="K617" s="59">
        <v>603</v>
      </c>
      <c r="L617" s="59">
        <v>66</v>
      </c>
    </row>
    <row r="618" spans="8:12" x14ac:dyDescent="0.15">
      <c r="H618" s="59">
        <v>604</v>
      </c>
      <c r="I618" s="59">
        <v>91</v>
      </c>
      <c r="K618" s="59">
        <v>604</v>
      </c>
      <c r="L618" s="59">
        <v>69.5</v>
      </c>
    </row>
    <row r="619" spans="8:12" x14ac:dyDescent="0.15">
      <c r="H619" s="59">
        <v>605</v>
      </c>
      <c r="I619" s="59">
        <v>84</v>
      </c>
      <c r="K619" s="59">
        <v>605</v>
      </c>
      <c r="L619" s="59">
        <v>56.5</v>
      </c>
    </row>
    <row r="620" spans="8:12" x14ac:dyDescent="0.15">
      <c r="H620" s="59">
        <v>606</v>
      </c>
      <c r="I620" s="59">
        <v>65</v>
      </c>
      <c r="K620" s="59">
        <v>606</v>
      </c>
      <c r="L620" s="59">
        <v>75</v>
      </c>
    </row>
    <row r="621" spans="8:12" x14ac:dyDescent="0.15">
      <c r="H621" s="59">
        <v>607</v>
      </c>
      <c r="I621" s="59">
        <v>10</v>
      </c>
      <c r="K621" s="59">
        <v>607</v>
      </c>
      <c r="L621" s="59">
        <v>78</v>
      </c>
    </row>
    <row r="622" spans="8:12" x14ac:dyDescent="0.15">
      <c r="H622" s="59">
        <v>608</v>
      </c>
      <c r="I622" s="59">
        <v>29</v>
      </c>
      <c r="K622" s="59">
        <v>608</v>
      </c>
      <c r="L622" s="59">
        <v>92</v>
      </c>
    </row>
    <row r="623" spans="8:12" x14ac:dyDescent="0.15">
      <c r="H623" s="59">
        <v>609</v>
      </c>
      <c r="I623" s="59">
        <v>79</v>
      </c>
      <c r="K623" s="59">
        <v>609</v>
      </c>
      <c r="L623" s="59">
        <v>91</v>
      </c>
    </row>
    <row r="624" spans="8:12" x14ac:dyDescent="0.15">
      <c r="H624" s="59">
        <v>610</v>
      </c>
      <c r="I624" s="59">
        <v>69</v>
      </c>
      <c r="K624" s="59">
        <v>610</v>
      </c>
      <c r="L624" s="59">
        <v>86</v>
      </c>
    </row>
    <row r="625" spans="8:12" x14ac:dyDescent="0.15">
      <c r="H625" s="59">
        <v>611</v>
      </c>
      <c r="I625" s="59">
        <v>27</v>
      </c>
      <c r="K625" s="59">
        <v>611</v>
      </c>
      <c r="L625" s="59">
        <v>86.5</v>
      </c>
    </row>
    <row r="626" spans="8:12" x14ac:dyDescent="0.15">
      <c r="H626" s="59">
        <v>612</v>
      </c>
      <c r="I626" s="59">
        <v>63</v>
      </c>
      <c r="K626" s="59">
        <v>612</v>
      </c>
      <c r="L626" s="59">
        <v>95.5</v>
      </c>
    </row>
    <row r="627" spans="8:12" x14ac:dyDescent="0.15">
      <c r="H627" s="59">
        <v>613</v>
      </c>
      <c r="I627" s="59">
        <v>12</v>
      </c>
      <c r="K627" s="59">
        <v>613</v>
      </c>
      <c r="L627" s="59">
        <v>87.5</v>
      </c>
    </row>
    <row r="628" spans="8:12" x14ac:dyDescent="0.15">
      <c r="H628" s="59">
        <v>614</v>
      </c>
      <c r="I628" s="59">
        <v>39</v>
      </c>
      <c r="K628" s="59">
        <v>614</v>
      </c>
      <c r="L628" s="59">
        <v>55.5</v>
      </c>
    </row>
    <row r="629" spans="8:12" x14ac:dyDescent="0.15">
      <c r="H629" s="59">
        <v>615</v>
      </c>
      <c r="I629" s="59">
        <v>55</v>
      </c>
      <c r="K629" s="59">
        <v>615</v>
      </c>
      <c r="L629" s="59">
        <v>56</v>
      </c>
    </row>
    <row r="630" spans="8:12" x14ac:dyDescent="0.15">
      <c r="H630" s="59">
        <v>616</v>
      </c>
      <c r="I630" s="59">
        <v>70</v>
      </c>
      <c r="K630" s="59">
        <v>616</v>
      </c>
      <c r="L630" s="59">
        <v>71</v>
      </c>
    </row>
    <row r="631" spans="8:12" x14ac:dyDescent="0.15">
      <c r="H631" s="59">
        <v>617</v>
      </c>
      <c r="I631" s="59">
        <v>48</v>
      </c>
      <c r="K631" s="59">
        <v>617</v>
      </c>
      <c r="L631" s="59">
        <v>58</v>
      </c>
    </row>
    <row r="632" spans="8:12" x14ac:dyDescent="0.15">
      <c r="H632" s="59">
        <v>618</v>
      </c>
      <c r="I632" s="59">
        <v>13</v>
      </c>
      <c r="K632" s="59">
        <v>618</v>
      </c>
      <c r="L632" s="59">
        <v>59</v>
      </c>
    </row>
    <row r="633" spans="8:12" x14ac:dyDescent="0.15">
      <c r="H633" s="59">
        <v>619</v>
      </c>
      <c r="I633" s="59">
        <v>58</v>
      </c>
      <c r="K633" s="59">
        <v>619</v>
      </c>
      <c r="L633" s="59">
        <v>93</v>
      </c>
    </row>
    <row r="634" spans="8:12" x14ac:dyDescent="0.15">
      <c r="H634" s="59">
        <v>620</v>
      </c>
      <c r="I634" s="59">
        <v>25</v>
      </c>
      <c r="K634" s="59">
        <v>620</v>
      </c>
      <c r="L634" s="59">
        <v>77.5</v>
      </c>
    </row>
    <row r="635" spans="8:12" x14ac:dyDescent="0.15">
      <c r="H635" s="59">
        <v>621</v>
      </c>
      <c r="I635" s="59">
        <v>41</v>
      </c>
      <c r="K635" s="59">
        <v>621</v>
      </c>
      <c r="L635" s="59">
        <v>88</v>
      </c>
    </row>
    <row r="636" spans="8:12" x14ac:dyDescent="0.15">
      <c r="H636" s="59">
        <v>622</v>
      </c>
      <c r="I636" s="59">
        <v>77</v>
      </c>
      <c r="K636" s="59">
        <v>622</v>
      </c>
      <c r="L636" s="59">
        <v>94.5</v>
      </c>
    </row>
    <row r="637" spans="8:12" x14ac:dyDescent="0.15">
      <c r="H637" s="59">
        <v>623</v>
      </c>
      <c r="I637" s="59">
        <v>93</v>
      </c>
      <c r="K637" s="59">
        <v>623</v>
      </c>
      <c r="L637" s="59">
        <v>80</v>
      </c>
    </row>
    <row r="638" spans="8:12" x14ac:dyDescent="0.15">
      <c r="H638" s="59">
        <v>624</v>
      </c>
      <c r="I638" s="59">
        <v>91</v>
      </c>
      <c r="K638" s="59">
        <v>624</v>
      </c>
      <c r="L638" s="59">
        <v>81</v>
      </c>
    </row>
    <row r="639" spans="8:12" x14ac:dyDescent="0.15">
      <c r="H639" s="59">
        <v>625</v>
      </c>
      <c r="I639" s="59">
        <v>9</v>
      </c>
      <c r="K639" s="59">
        <v>625</v>
      </c>
      <c r="L639" s="59">
        <v>57.5</v>
      </c>
    </row>
    <row r="640" spans="8:12" x14ac:dyDescent="0.15">
      <c r="H640" s="59">
        <v>626</v>
      </c>
      <c r="I640" s="59">
        <v>26</v>
      </c>
      <c r="K640" s="59">
        <v>626</v>
      </c>
      <c r="L640" s="59">
        <v>90</v>
      </c>
    </row>
    <row r="641" spans="8:12" x14ac:dyDescent="0.15">
      <c r="H641" s="59">
        <v>627</v>
      </c>
      <c r="I641" s="59">
        <v>34</v>
      </c>
      <c r="K641" s="59">
        <v>627</v>
      </c>
      <c r="L641" s="59">
        <v>81.5</v>
      </c>
    </row>
    <row r="642" spans="8:12" x14ac:dyDescent="0.15">
      <c r="H642" s="59">
        <v>628</v>
      </c>
      <c r="I642" s="59">
        <v>47</v>
      </c>
      <c r="K642" s="59">
        <v>628</v>
      </c>
      <c r="L642" s="59">
        <v>72.5</v>
      </c>
    </row>
    <row r="643" spans="8:12" x14ac:dyDescent="0.15">
      <c r="H643" s="59">
        <v>629</v>
      </c>
      <c r="I643" s="59">
        <v>63</v>
      </c>
      <c r="K643" s="59">
        <v>629</v>
      </c>
      <c r="L643" s="59">
        <v>68.5</v>
      </c>
    </row>
    <row r="644" spans="8:12" x14ac:dyDescent="0.15">
      <c r="H644" s="59">
        <v>630</v>
      </c>
      <c r="I644" s="59">
        <v>52</v>
      </c>
      <c r="K644" s="59">
        <v>630</v>
      </c>
      <c r="L644" s="59">
        <v>77</v>
      </c>
    </row>
    <row r="645" spans="8:12" x14ac:dyDescent="0.15">
      <c r="H645" s="59">
        <v>631</v>
      </c>
      <c r="I645" s="59">
        <v>80</v>
      </c>
      <c r="K645" s="59">
        <v>631</v>
      </c>
      <c r="L645" s="59">
        <v>96.5</v>
      </c>
    </row>
    <row r="646" spans="8:12" x14ac:dyDescent="0.15">
      <c r="H646" s="59">
        <v>632</v>
      </c>
      <c r="I646" s="59">
        <v>53</v>
      </c>
      <c r="K646" s="59">
        <v>632</v>
      </c>
      <c r="L646" s="59">
        <v>56</v>
      </c>
    </row>
    <row r="647" spans="8:12" x14ac:dyDescent="0.15">
      <c r="H647" s="59">
        <v>633</v>
      </c>
      <c r="I647" s="59">
        <v>39</v>
      </c>
      <c r="K647" s="59">
        <v>633</v>
      </c>
      <c r="L647" s="59">
        <v>75</v>
      </c>
    </row>
    <row r="648" spans="8:12" x14ac:dyDescent="0.15">
      <c r="H648" s="59">
        <v>634</v>
      </c>
      <c r="I648" s="59">
        <v>17</v>
      </c>
      <c r="K648" s="59">
        <v>634</v>
      </c>
      <c r="L648" s="59">
        <v>66.5</v>
      </c>
    </row>
    <row r="649" spans="8:12" x14ac:dyDescent="0.15">
      <c r="H649" s="59">
        <v>635</v>
      </c>
      <c r="I649" s="59">
        <v>38</v>
      </c>
      <c r="K649" s="59">
        <v>635</v>
      </c>
      <c r="L649" s="59">
        <v>56</v>
      </c>
    </row>
    <row r="650" spans="8:12" x14ac:dyDescent="0.15">
      <c r="H650" s="59">
        <v>636</v>
      </c>
      <c r="I650" s="59">
        <v>20</v>
      </c>
      <c r="K650" s="59">
        <v>636</v>
      </c>
      <c r="L650" s="59">
        <v>64.5</v>
      </c>
    </row>
    <row r="651" spans="8:12" x14ac:dyDescent="0.15">
      <c r="H651" s="59">
        <v>637</v>
      </c>
      <c r="I651" s="59">
        <v>46</v>
      </c>
      <c r="K651" s="59">
        <v>637</v>
      </c>
      <c r="L651" s="59">
        <v>48.5</v>
      </c>
    </row>
    <row r="652" spans="8:12" x14ac:dyDescent="0.15">
      <c r="H652" s="59">
        <v>638</v>
      </c>
      <c r="I652" s="59">
        <v>52</v>
      </c>
      <c r="K652" s="59">
        <v>638</v>
      </c>
      <c r="L652" s="59">
        <v>86.5</v>
      </c>
    </row>
    <row r="653" spans="8:12" x14ac:dyDescent="0.15">
      <c r="H653" s="59">
        <v>639</v>
      </c>
      <c r="I653" s="59">
        <v>53</v>
      </c>
      <c r="K653" s="59">
        <v>639</v>
      </c>
      <c r="L653" s="59">
        <v>79.5</v>
      </c>
    </row>
    <row r="654" spans="8:12" x14ac:dyDescent="0.15">
      <c r="H654" s="59">
        <v>640</v>
      </c>
      <c r="I654" s="59">
        <v>57</v>
      </c>
      <c r="K654" s="59">
        <v>640</v>
      </c>
      <c r="L654" s="59">
        <v>49</v>
      </c>
    </row>
    <row r="655" spans="8:12" x14ac:dyDescent="0.15">
      <c r="H655" s="59">
        <v>641</v>
      </c>
      <c r="I655" s="59">
        <v>60</v>
      </c>
      <c r="K655" s="59">
        <v>641</v>
      </c>
      <c r="L655" s="59">
        <v>90</v>
      </c>
    </row>
    <row r="656" spans="8:12" x14ac:dyDescent="0.15">
      <c r="H656" s="59">
        <v>642</v>
      </c>
      <c r="I656" s="59">
        <v>20</v>
      </c>
      <c r="K656" s="59">
        <v>642</v>
      </c>
      <c r="L656" s="59">
        <v>53</v>
      </c>
    </row>
    <row r="657" spans="8:12" x14ac:dyDescent="0.15">
      <c r="H657" s="59">
        <v>643</v>
      </c>
      <c r="I657" s="59">
        <v>60</v>
      </c>
      <c r="K657" s="59">
        <v>643</v>
      </c>
      <c r="L657" s="59">
        <v>82</v>
      </c>
    </row>
    <row r="658" spans="8:12" x14ac:dyDescent="0.15">
      <c r="H658" s="59">
        <v>644</v>
      </c>
      <c r="I658" s="59">
        <v>33</v>
      </c>
      <c r="K658" s="59">
        <v>644</v>
      </c>
      <c r="L658" s="59">
        <v>79</v>
      </c>
    </row>
    <row r="659" spans="8:12" x14ac:dyDescent="0.15">
      <c r="H659" s="59">
        <v>645</v>
      </c>
      <c r="I659" s="59">
        <v>30</v>
      </c>
      <c r="K659" s="59">
        <v>645</v>
      </c>
      <c r="L659" s="59">
        <v>69.5</v>
      </c>
    </row>
    <row r="660" spans="8:12" x14ac:dyDescent="0.15">
      <c r="H660" s="59">
        <v>646</v>
      </c>
      <c r="I660" s="59">
        <v>61</v>
      </c>
      <c r="K660" s="59">
        <v>646</v>
      </c>
      <c r="L660" s="59">
        <v>70.5</v>
      </c>
    </row>
    <row r="661" spans="8:12" x14ac:dyDescent="0.15">
      <c r="H661" s="59">
        <v>647</v>
      </c>
      <c r="I661" s="59">
        <v>28</v>
      </c>
      <c r="K661" s="59">
        <v>647</v>
      </c>
      <c r="L661" s="59">
        <v>70</v>
      </c>
    </row>
    <row r="662" spans="8:12" x14ac:dyDescent="0.15">
      <c r="H662" s="59">
        <v>648</v>
      </c>
      <c r="I662" s="59">
        <v>55</v>
      </c>
      <c r="K662" s="59">
        <v>648</v>
      </c>
      <c r="L662" s="59">
        <v>93</v>
      </c>
    </row>
    <row r="663" spans="8:12" x14ac:dyDescent="0.15">
      <c r="H663" s="59">
        <v>649</v>
      </c>
      <c r="I663" s="59">
        <v>31</v>
      </c>
      <c r="K663" s="59">
        <v>649</v>
      </c>
      <c r="L663" s="59">
        <v>88</v>
      </c>
    </row>
    <row r="664" spans="8:12" x14ac:dyDescent="0.15">
      <c r="H664" s="59">
        <v>650</v>
      </c>
      <c r="I664" s="59">
        <v>63</v>
      </c>
      <c r="K664" s="59">
        <v>650</v>
      </c>
      <c r="L664" s="59">
        <v>49.5</v>
      </c>
    </row>
    <row r="665" spans="8:12" x14ac:dyDescent="0.15">
      <c r="H665" s="59">
        <v>651</v>
      </c>
      <c r="I665" s="59">
        <v>66</v>
      </c>
      <c r="K665" s="59">
        <v>651</v>
      </c>
      <c r="L665" s="59">
        <v>68.5</v>
      </c>
    </row>
    <row r="666" spans="8:12" x14ac:dyDescent="0.15">
      <c r="H666" s="59">
        <v>652</v>
      </c>
      <c r="I666" s="59">
        <v>60</v>
      </c>
      <c r="K666" s="59">
        <v>652</v>
      </c>
      <c r="L666" s="59">
        <v>83.5</v>
      </c>
    </row>
    <row r="667" spans="8:12" x14ac:dyDescent="0.15">
      <c r="H667" s="59">
        <v>653</v>
      </c>
      <c r="I667" s="59">
        <v>58</v>
      </c>
      <c r="K667" s="59">
        <v>653</v>
      </c>
      <c r="L667" s="59">
        <v>95</v>
      </c>
    </row>
    <row r="668" spans="8:12" x14ac:dyDescent="0.15">
      <c r="H668" s="59">
        <v>654</v>
      </c>
      <c r="I668" s="59">
        <v>48</v>
      </c>
      <c r="K668" s="59">
        <v>654</v>
      </c>
      <c r="L668" s="59">
        <v>73.5</v>
      </c>
    </row>
    <row r="669" spans="8:12" x14ac:dyDescent="0.15">
      <c r="H669" s="59">
        <v>655</v>
      </c>
      <c r="I669" s="59">
        <v>79</v>
      </c>
      <c r="K669" s="59">
        <v>655</v>
      </c>
      <c r="L669" s="59">
        <v>91.5</v>
      </c>
    </row>
    <row r="670" spans="8:12" x14ac:dyDescent="0.15">
      <c r="H670" s="59">
        <v>656</v>
      </c>
      <c r="I670" s="59">
        <v>51</v>
      </c>
      <c r="K670" s="59">
        <v>656</v>
      </c>
      <c r="L670" s="59">
        <v>92.5</v>
      </c>
    </row>
    <row r="671" spans="8:12" x14ac:dyDescent="0.15">
      <c r="H671" s="59">
        <v>657</v>
      </c>
      <c r="I671" s="59">
        <v>66</v>
      </c>
      <c r="K671" s="59">
        <v>657</v>
      </c>
      <c r="L671" s="59">
        <v>85.5</v>
      </c>
    </row>
    <row r="672" spans="8:12" x14ac:dyDescent="0.15">
      <c r="H672" s="59">
        <v>658</v>
      </c>
      <c r="I672" s="59">
        <v>37</v>
      </c>
      <c r="K672" s="59">
        <v>658</v>
      </c>
      <c r="L672" s="59">
        <v>94.5</v>
      </c>
    </row>
    <row r="673" spans="8:12" x14ac:dyDescent="0.15">
      <c r="H673" s="59">
        <v>659</v>
      </c>
      <c r="I673" s="59">
        <v>89</v>
      </c>
      <c r="K673" s="59">
        <v>659</v>
      </c>
      <c r="L673" s="59">
        <v>78.5</v>
      </c>
    </row>
    <row r="674" spans="8:12" x14ac:dyDescent="0.15">
      <c r="H674" s="59">
        <v>660</v>
      </c>
      <c r="I674" s="59">
        <v>56</v>
      </c>
      <c r="K674" s="59">
        <v>660</v>
      </c>
      <c r="L674" s="59">
        <v>92</v>
      </c>
    </row>
    <row r="675" spans="8:12" x14ac:dyDescent="0.15">
      <c r="H675" s="59">
        <v>661</v>
      </c>
      <c r="I675" s="59">
        <v>34</v>
      </c>
      <c r="K675" s="59">
        <v>661</v>
      </c>
      <c r="L675" s="59">
        <v>51.5</v>
      </c>
    </row>
    <row r="676" spans="8:12" x14ac:dyDescent="0.15">
      <c r="H676" s="59">
        <v>662</v>
      </c>
      <c r="I676" s="59">
        <v>73</v>
      </c>
      <c r="K676" s="59">
        <v>662</v>
      </c>
      <c r="L676" s="59">
        <v>82.5</v>
      </c>
    </row>
    <row r="677" spans="8:12" x14ac:dyDescent="0.15">
      <c r="H677" s="59">
        <v>663</v>
      </c>
      <c r="I677" s="59">
        <v>51</v>
      </c>
      <c r="K677" s="59">
        <v>663</v>
      </c>
      <c r="L677" s="59">
        <v>77.5</v>
      </c>
    </row>
    <row r="678" spans="8:12" x14ac:dyDescent="0.15">
      <c r="H678" s="59">
        <v>664</v>
      </c>
      <c r="I678" s="59">
        <v>80</v>
      </c>
      <c r="K678" s="59">
        <v>664</v>
      </c>
      <c r="L678" s="59">
        <v>52.5</v>
      </c>
    </row>
    <row r="679" spans="8:12" x14ac:dyDescent="0.15">
      <c r="H679" s="59">
        <v>665</v>
      </c>
      <c r="I679" s="59">
        <v>38</v>
      </c>
      <c r="K679" s="59">
        <v>665</v>
      </c>
      <c r="L679" s="59">
        <v>84</v>
      </c>
    </row>
    <row r="680" spans="8:12" x14ac:dyDescent="0.15">
      <c r="H680" s="59">
        <v>666</v>
      </c>
      <c r="I680" s="59">
        <v>62</v>
      </c>
      <c r="K680" s="59">
        <v>666</v>
      </c>
      <c r="L680" s="59">
        <v>78</v>
      </c>
    </row>
    <row r="681" spans="8:12" x14ac:dyDescent="0.15">
      <c r="H681" s="59">
        <v>667</v>
      </c>
      <c r="I681" s="59">
        <v>50</v>
      </c>
      <c r="K681" s="59">
        <v>667</v>
      </c>
      <c r="L681" s="59">
        <v>87.5</v>
      </c>
    </row>
    <row r="682" spans="8:12" x14ac:dyDescent="0.15">
      <c r="H682" s="59">
        <v>668</v>
      </c>
      <c r="I682" s="59">
        <v>43</v>
      </c>
      <c r="K682" s="59">
        <v>668</v>
      </c>
      <c r="L682" s="59">
        <v>76.5</v>
      </c>
    </row>
    <row r="683" spans="8:12" x14ac:dyDescent="0.15">
      <c r="H683" s="59">
        <v>669</v>
      </c>
      <c r="I683" s="59">
        <v>21</v>
      </c>
      <c r="K683" s="59">
        <v>669</v>
      </c>
      <c r="L683" s="59">
        <v>76.5</v>
      </c>
    </row>
    <row r="684" spans="8:12" x14ac:dyDescent="0.15">
      <c r="H684" s="59">
        <v>670</v>
      </c>
      <c r="I684" s="59">
        <v>19</v>
      </c>
      <c r="K684" s="59">
        <v>670</v>
      </c>
      <c r="L684" s="59">
        <v>91</v>
      </c>
    </row>
    <row r="685" spans="8:12" x14ac:dyDescent="0.15">
      <c r="H685" s="59">
        <v>671</v>
      </c>
      <c r="I685" s="59">
        <v>33</v>
      </c>
      <c r="K685" s="59">
        <v>671</v>
      </c>
      <c r="L685" s="59">
        <v>84.5</v>
      </c>
    </row>
    <row r="686" spans="8:12" x14ac:dyDescent="0.15">
      <c r="H686" s="59">
        <v>672</v>
      </c>
      <c r="I686" s="59">
        <v>91</v>
      </c>
      <c r="K686" s="59">
        <v>672</v>
      </c>
      <c r="L686" s="59">
        <v>49.5</v>
      </c>
    </row>
    <row r="687" spans="8:12" x14ac:dyDescent="0.15">
      <c r="H687" s="59">
        <v>673</v>
      </c>
      <c r="I687" s="59">
        <v>54</v>
      </c>
      <c r="K687" s="59">
        <v>673</v>
      </c>
      <c r="L687" s="59">
        <v>71</v>
      </c>
    </row>
    <row r="688" spans="8:12" x14ac:dyDescent="0.15">
      <c r="H688" s="59">
        <v>674</v>
      </c>
      <c r="I688" s="59">
        <v>74</v>
      </c>
      <c r="K688" s="59">
        <v>674</v>
      </c>
      <c r="L688" s="59">
        <v>91</v>
      </c>
    </row>
    <row r="689" spans="8:12" x14ac:dyDescent="0.15">
      <c r="H689" s="59">
        <v>675</v>
      </c>
      <c r="I689" s="59">
        <v>19</v>
      </c>
      <c r="K689" s="59">
        <v>675</v>
      </c>
      <c r="L689" s="59">
        <v>78.5</v>
      </c>
    </row>
    <row r="690" spans="8:12" x14ac:dyDescent="0.15">
      <c r="H690" s="59">
        <v>676</v>
      </c>
      <c r="I690" s="59">
        <v>75</v>
      </c>
      <c r="K690" s="59">
        <v>676</v>
      </c>
      <c r="L690" s="59">
        <v>91.5</v>
      </c>
    </row>
    <row r="691" spans="8:12" x14ac:dyDescent="0.15">
      <c r="H691" s="59">
        <v>677</v>
      </c>
      <c r="I691" s="59">
        <v>21</v>
      </c>
      <c r="K691" s="59">
        <v>677</v>
      </c>
      <c r="L691" s="59">
        <v>90</v>
      </c>
    </row>
    <row r="692" spans="8:12" x14ac:dyDescent="0.15">
      <c r="H692" s="59">
        <v>678</v>
      </c>
      <c r="I692" s="59">
        <v>57</v>
      </c>
      <c r="K692" s="59">
        <v>678</v>
      </c>
      <c r="L692" s="59">
        <v>96</v>
      </c>
    </row>
    <row r="693" spans="8:12" x14ac:dyDescent="0.15">
      <c r="H693" s="59">
        <v>679</v>
      </c>
      <c r="I693" s="59">
        <v>56</v>
      </c>
      <c r="K693" s="59">
        <v>679</v>
      </c>
      <c r="L693" s="59">
        <v>79</v>
      </c>
    </row>
    <row r="694" spans="8:12" x14ac:dyDescent="0.15">
      <c r="H694" s="59">
        <v>680</v>
      </c>
      <c r="I694" s="59">
        <v>45</v>
      </c>
      <c r="K694" s="59">
        <v>680</v>
      </c>
      <c r="L694" s="59">
        <v>97</v>
      </c>
    </row>
    <row r="695" spans="8:12" x14ac:dyDescent="0.15">
      <c r="H695" s="59">
        <v>681</v>
      </c>
      <c r="I695" s="59">
        <v>86</v>
      </c>
      <c r="K695" s="59">
        <v>681</v>
      </c>
      <c r="L695" s="59">
        <v>52</v>
      </c>
    </row>
    <row r="696" spans="8:12" x14ac:dyDescent="0.15">
      <c r="H696" s="59">
        <v>682</v>
      </c>
      <c r="I696" s="59">
        <v>22</v>
      </c>
      <c r="K696" s="59">
        <v>682</v>
      </c>
      <c r="L696" s="59">
        <v>76.5</v>
      </c>
    </row>
    <row r="697" spans="8:12" x14ac:dyDescent="0.15">
      <c r="H697" s="59">
        <v>683</v>
      </c>
      <c r="I697" s="59">
        <v>18</v>
      </c>
      <c r="K697" s="59">
        <v>683</v>
      </c>
      <c r="L697" s="59">
        <v>54.5</v>
      </c>
    </row>
    <row r="698" spans="8:12" x14ac:dyDescent="0.15">
      <c r="H698" s="59">
        <v>684</v>
      </c>
      <c r="I698" s="59">
        <v>50</v>
      </c>
      <c r="K698" s="59">
        <v>684</v>
      </c>
      <c r="L698" s="59">
        <v>61</v>
      </c>
    </row>
    <row r="699" spans="8:12" x14ac:dyDescent="0.15">
      <c r="H699" s="59">
        <v>685</v>
      </c>
      <c r="I699" s="59">
        <v>44</v>
      </c>
      <c r="K699" s="59">
        <v>685</v>
      </c>
      <c r="L699" s="59">
        <v>62</v>
      </c>
    </row>
    <row r="700" spans="8:12" x14ac:dyDescent="0.15">
      <c r="H700" s="59">
        <v>686</v>
      </c>
      <c r="I700" s="59">
        <v>1</v>
      </c>
      <c r="K700" s="59">
        <v>686</v>
      </c>
      <c r="L700" s="59">
        <v>74.5</v>
      </c>
    </row>
    <row r="701" spans="8:12" x14ac:dyDescent="0.15">
      <c r="H701" s="59">
        <v>687</v>
      </c>
      <c r="I701" s="59">
        <v>90</v>
      </c>
      <c r="K701" s="59">
        <v>687</v>
      </c>
      <c r="L701" s="59">
        <v>83</v>
      </c>
    </row>
    <row r="702" spans="8:12" x14ac:dyDescent="0.15">
      <c r="H702" s="59">
        <v>688</v>
      </c>
      <c r="I702" s="59">
        <v>82</v>
      </c>
      <c r="K702" s="59">
        <v>688</v>
      </c>
      <c r="L702" s="59">
        <v>91.5</v>
      </c>
    </row>
    <row r="703" spans="8:12" x14ac:dyDescent="0.15">
      <c r="H703" s="59">
        <v>689</v>
      </c>
      <c r="I703" s="59">
        <v>81</v>
      </c>
      <c r="K703" s="59">
        <v>689</v>
      </c>
      <c r="L703" s="59">
        <v>72.5</v>
      </c>
    </row>
    <row r="704" spans="8:12" x14ac:dyDescent="0.15">
      <c r="H704" s="59">
        <v>690</v>
      </c>
      <c r="I704" s="59">
        <v>44</v>
      </c>
      <c r="K704" s="59">
        <v>690</v>
      </c>
      <c r="L704" s="59">
        <v>73.5</v>
      </c>
    </row>
    <row r="705" spans="8:12" x14ac:dyDescent="0.15">
      <c r="H705" s="59">
        <v>691</v>
      </c>
      <c r="I705" s="59">
        <v>40</v>
      </c>
      <c r="K705" s="59">
        <v>691</v>
      </c>
      <c r="L705" s="59">
        <v>76</v>
      </c>
    </row>
    <row r="706" spans="8:12" x14ac:dyDescent="0.15">
      <c r="H706" s="59">
        <v>692</v>
      </c>
      <c r="I706" s="59">
        <v>50</v>
      </c>
      <c r="K706" s="59">
        <v>692</v>
      </c>
      <c r="L706" s="59">
        <v>60</v>
      </c>
    </row>
    <row r="707" spans="8:12" x14ac:dyDescent="0.15">
      <c r="H707" s="59">
        <v>693</v>
      </c>
      <c r="I707" s="59">
        <v>26</v>
      </c>
      <c r="K707" s="59">
        <v>693</v>
      </c>
      <c r="L707" s="59">
        <v>94</v>
      </c>
    </row>
    <row r="708" spans="8:12" x14ac:dyDescent="0.15">
      <c r="H708" s="59">
        <v>694</v>
      </c>
      <c r="I708" s="59">
        <v>37</v>
      </c>
      <c r="K708" s="59">
        <v>694</v>
      </c>
      <c r="L708" s="59">
        <v>60</v>
      </c>
    </row>
    <row r="709" spans="8:12" x14ac:dyDescent="0.15">
      <c r="H709" s="59">
        <v>695</v>
      </c>
      <c r="I709" s="59">
        <v>64</v>
      </c>
      <c r="K709" s="59">
        <v>695</v>
      </c>
      <c r="L709" s="59">
        <v>74</v>
      </c>
    </row>
    <row r="710" spans="8:12" x14ac:dyDescent="0.15">
      <c r="H710" s="59">
        <v>696</v>
      </c>
      <c r="I710" s="59">
        <v>66</v>
      </c>
      <c r="K710" s="59">
        <v>696</v>
      </c>
      <c r="L710" s="59">
        <v>94</v>
      </c>
    </row>
    <row r="711" spans="8:12" x14ac:dyDescent="0.15">
      <c r="H711" s="59">
        <v>697</v>
      </c>
      <c r="I711" s="59">
        <v>18</v>
      </c>
      <c r="K711" s="59">
        <v>697</v>
      </c>
      <c r="L711" s="59">
        <v>86.5</v>
      </c>
    </row>
    <row r="712" spans="8:12" x14ac:dyDescent="0.15">
      <c r="H712" s="59">
        <v>698</v>
      </c>
      <c r="I712" s="59">
        <v>67</v>
      </c>
      <c r="K712" s="59">
        <v>698</v>
      </c>
      <c r="L712" s="59">
        <v>81</v>
      </c>
    </row>
    <row r="713" spans="8:12" x14ac:dyDescent="0.15">
      <c r="H713" s="59">
        <v>699</v>
      </c>
      <c r="I713" s="59">
        <v>11</v>
      </c>
      <c r="K713" s="59">
        <v>699</v>
      </c>
      <c r="L713" s="59">
        <v>85.5</v>
      </c>
    </row>
    <row r="714" spans="8:12" x14ac:dyDescent="0.15">
      <c r="H714" s="59">
        <v>700</v>
      </c>
      <c r="I714" s="59">
        <v>54</v>
      </c>
      <c r="K714" s="59">
        <v>700</v>
      </c>
      <c r="L714" s="59">
        <v>81.5</v>
      </c>
    </row>
    <row r="715" spans="8:12" x14ac:dyDescent="0.15">
      <c r="H715" s="59">
        <v>701</v>
      </c>
      <c r="I715" s="59">
        <v>92</v>
      </c>
      <c r="K715" s="59">
        <v>701</v>
      </c>
      <c r="L715" s="59">
        <v>61.5</v>
      </c>
    </row>
    <row r="716" spans="8:12" x14ac:dyDescent="0.15">
      <c r="H716" s="59">
        <v>702</v>
      </c>
      <c r="I716" s="59">
        <v>28</v>
      </c>
      <c r="K716" s="59">
        <v>702</v>
      </c>
      <c r="L716" s="59">
        <v>54</v>
      </c>
    </row>
    <row r="717" spans="8:12" x14ac:dyDescent="0.15">
      <c r="H717" s="59">
        <v>703</v>
      </c>
      <c r="I717" s="59">
        <v>14</v>
      </c>
      <c r="K717" s="59">
        <v>703</v>
      </c>
      <c r="L717" s="59">
        <v>57.5</v>
      </c>
    </row>
    <row r="718" spans="8:12" x14ac:dyDescent="0.15">
      <c r="H718" s="59">
        <v>704</v>
      </c>
      <c r="I718" s="59">
        <v>9</v>
      </c>
      <c r="K718" s="59">
        <v>704</v>
      </c>
      <c r="L718" s="59">
        <v>56.5</v>
      </c>
    </row>
    <row r="719" spans="8:12" x14ac:dyDescent="0.15">
      <c r="H719" s="59">
        <v>705</v>
      </c>
      <c r="I719" s="59">
        <v>14</v>
      </c>
      <c r="K719" s="59">
        <v>705</v>
      </c>
      <c r="L719" s="59">
        <v>97.5</v>
      </c>
    </row>
    <row r="720" spans="8:12" x14ac:dyDescent="0.15">
      <c r="H720" s="59">
        <v>706</v>
      </c>
      <c r="I720" s="59">
        <v>11</v>
      </c>
      <c r="K720" s="59">
        <v>706</v>
      </c>
      <c r="L720" s="59">
        <v>72.5</v>
      </c>
    </row>
    <row r="721" spans="8:12" x14ac:dyDescent="0.15">
      <c r="H721" s="59">
        <v>707</v>
      </c>
      <c r="I721" s="59">
        <v>43</v>
      </c>
      <c r="K721" s="59">
        <v>707</v>
      </c>
      <c r="L721" s="59">
        <v>51</v>
      </c>
    </row>
    <row r="722" spans="8:12" x14ac:dyDescent="0.15">
      <c r="H722" s="59">
        <v>708</v>
      </c>
      <c r="I722" s="59">
        <v>19</v>
      </c>
      <c r="K722" s="59">
        <v>708</v>
      </c>
      <c r="L722" s="59">
        <v>49.5</v>
      </c>
    </row>
    <row r="723" spans="8:12" x14ac:dyDescent="0.15">
      <c r="H723" s="59">
        <v>709</v>
      </c>
      <c r="I723" s="59">
        <v>42</v>
      </c>
      <c r="K723" s="59">
        <v>709</v>
      </c>
      <c r="L723" s="59">
        <v>66</v>
      </c>
    </row>
    <row r="724" spans="8:12" x14ac:dyDescent="0.15">
      <c r="H724" s="59">
        <v>710</v>
      </c>
      <c r="I724" s="59">
        <v>35</v>
      </c>
      <c r="K724" s="59">
        <v>710</v>
      </c>
      <c r="L724" s="59">
        <v>77.5</v>
      </c>
    </row>
    <row r="725" spans="8:12" x14ac:dyDescent="0.15">
      <c r="H725" s="59">
        <v>711</v>
      </c>
      <c r="I725" s="59">
        <v>45</v>
      </c>
      <c r="K725" s="59">
        <v>711</v>
      </c>
      <c r="L725" s="59">
        <v>67</v>
      </c>
    </row>
    <row r="726" spans="8:12" x14ac:dyDescent="0.15">
      <c r="H726" s="59">
        <v>712</v>
      </c>
      <c r="I726" s="59">
        <v>29</v>
      </c>
      <c r="K726" s="59">
        <v>712</v>
      </c>
      <c r="L726" s="59">
        <v>91</v>
      </c>
    </row>
    <row r="727" spans="8:12" x14ac:dyDescent="0.15">
      <c r="H727" s="59">
        <v>713</v>
      </c>
      <c r="I727" s="59">
        <v>28</v>
      </c>
      <c r="K727" s="59">
        <v>713</v>
      </c>
      <c r="L727" s="59">
        <v>53.5</v>
      </c>
    </row>
    <row r="728" spans="8:12" x14ac:dyDescent="0.15">
      <c r="H728" s="59">
        <v>714</v>
      </c>
      <c r="I728" s="59">
        <v>29</v>
      </c>
      <c r="K728" s="59">
        <v>714</v>
      </c>
      <c r="L728" s="59">
        <v>85.5</v>
      </c>
    </row>
    <row r="729" spans="8:12" x14ac:dyDescent="0.15">
      <c r="H729" s="59">
        <v>715</v>
      </c>
      <c r="I729" s="59">
        <v>22</v>
      </c>
      <c r="K729" s="59">
        <v>715</v>
      </c>
      <c r="L729" s="59">
        <v>86.5</v>
      </c>
    </row>
    <row r="730" spans="8:12" x14ac:dyDescent="0.15">
      <c r="H730" s="59">
        <v>716</v>
      </c>
      <c r="I730" s="59">
        <v>83</v>
      </c>
      <c r="K730" s="59">
        <v>716</v>
      </c>
      <c r="L730" s="59">
        <v>89</v>
      </c>
    </row>
    <row r="731" spans="8:12" x14ac:dyDescent="0.15">
      <c r="H731" s="59">
        <v>717</v>
      </c>
      <c r="I731" s="59">
        <v>46</v>
      </c>
      <c r="K731" s="59">
        <v>717</v>
      </c>
      <c r="L731" s="59">
        <v>88</v>
      </c>
    </row>
    <row r="732" spans="8:12" x14ac:dyDescent="0.15">
      <c r="H732" s="59">
        <v>718</v>
      </c>
      <c r="I732" s="59">
        <v>14</v>
      </c>
      <c r="K732" s="59">
        <v>718</v>
      </c>
      <c r="L732" s="59">
        <v>84.5</v>
      </c>
    </row>
    <row r="733" spans="8:12" x14ac:dyDescent="0.15">
      <c r="H733" s="59">
        <v>719</v>
      </c>
      <c r="I733" s="59">
        <v>24</v>
      </c>
      <c r="K733" s="59">
        <v>719</v>
      </c>
      <c r="L733" s="59">
        <v>85.5</v>
      </c>
    </row>
    <row r="734" spans="8:12" x14ac:dyDescent="0.15">
      <c r="H734" s="59">
        <v>720</v>
      </c>
      <c r="I734" s="59">
        <v>68</v>
      </c>
      <c r="K734" s="59">
        <v>720</v>
      </c>
      <c r="L734" s="59">
        <v>93.5</v>
      </c>
    </row>
    <row r="735" spans="8:12" x14ac:dyDescent="0.15">
      <c r="H735" s="59">
        <v>721</v>
      </c>
      <c r="I735" s="59">
        <v>41</v>
      </c>
      <c r="K735" s="59">
        <v>721</v>
      </c>
      <c r="L735" s="59">
        <v>62</v>
      </c>
    </row>
    <row r="736" spans="8:12" x14ac:dyDescent="0.15">
      <c r="H736" s="59">
        <v>722</v>
      </c>
      <c r="I736" s="59">
        <v>11</v>
      </c>
      <c r="K736" s="59">
        <v>722</v>
      </c>
      <c r="L736" s="59">
        <v>77.5</v>
      </c>
    </row>
    <row r="737" spans="8:12" x14ac:dyDescent="0.15">
      <c r="H737" s="59">
        <v>723</v>
      </c>
      <c r="I737" s="59">
        <v>35</v>
      </c>
      <c r="K737" s="59">
        <v>723</v>
      </c>
      <c r="L737" s="59">
        <v>48.5</v>
      </c>
    </row>
    <row r="738" spans="8:12" x14ac:dyDescent="0.15">
      <c r="H738" s="59">
        <v>724</v>
      </c>
      <c r="I738" s="59">
        <v>50</v>
      </c>
      <c r="K738" s="59">
        <v>724</v>
      </c>
      <c r="L738" s="59">
        <v>63</v>
      </c>
    </row>
    <row r="739" spans="8:12" x14ac:dyDescent="0.15">
      <c r="H739" s="59">
        <v>725</v>
      </c>
      <c r="I739" s="59">
        <v>66</v>
      </c>
      <c r="K739" s="59">
        <v>725</v>
      </c>
      <c r="L739" s="59">
        <v>54.5</v>
      </c>
    </row>
    <row r="740" spans="8:12" x14ac:dyDescent="0.15">
      <c r="H740" s="59">
        <v>726</v>
      </c>
      <c r="I740" s="59">
        <v>85</v>
      </c>
      <c r="K740" s="59">
        <v>726</v>
      </c>
      <c r="L740" s="59">
        <v>60.5</v>
      </c>
    </row>
    <row r="741" spans="8:12" x14ac:dyDescent="0.15">
      <c r="H741" s="59">
        <v>727</v>
      </c>
      <c r="I741" s="59">
        <v>31</v>
      </c>
      <c r="K741" s="59">
        <v>727</v>
      </c>
      <c r="L741" s="59">
        <v>97</v>
      </c>
    </row>
    <row r="742" spans="8:12" x14ac:dyDescent="0.15">
      <c r="H742" s="59">
        <v>728</v>
      </c>
      <c r="I742" s="59">
        <v>47</v>
      </c>
      <c r="K742" s="59">
        <v>728</v>
      </c>
      <c r="L742" s="59">
        <v>81</v>
      </c>
    </row>
    <row r="743" spans="8:12" x14ac:dyDescent="0.15">
      <c r="H743" s="59">
        <v>729</v>
      </c>
      <c r="I743" s="59">
        <v>30</v>
      </c>
      <c r="K743" s="59">
        <v>729</v>
      </c>
      <c r="L743" s="59">
        <v>85.5</v>
      </c>
    </row>
    <row r="744" spans="8:12" x14ac:dyDescent="0.15">
      <c r="H744" s="59">
        <v>730</v>
      </c>
      <c r="I744" s="59">
        <v>11</v>
      </c>
      <c r="K744" s="59">
        <v>730</v>
      </c>
      <c r="L744" s="59">
        <v>92</v>
      </c>
    </row>
    <row r="745" spans="8:12" x14ac:dyDescent="0.15">
      <c r="H745" s="59">
        <v>731</v>
      </c>
      <c r="I745" s="59">
        <v>80</v>
      </c>
      <c r="K745" s="59">
        <v>731</v>
      </c>
      <c r="L745" s="59">
        <v>58</v>
      </c>
    </row>
    <row r="746" spans="8:12" x14ac:dyDescent="0.15">
      <c r="H746" s="59">
        <v>732</v>
      </c>
      <c r="I746" s="59">
        <v>84</v>
      </c>
      <c r="K746" s="59">
        <v>732</v>
      </c>
      <c r="L746" s="59">
        <v>69.5</v>
      </c>
    </row>
    <row r="747" spans="8:12" x14ac:dyDescent="0.15">
      <c r="H747" s="59">
        <v>733</v>
      </c>
      <c r="I747" s="59">
        <v>57</v>
      </c>
      <c r="K747" s="59">
        <v>733</v>
      </c>
      <c r="L747" s="59">
        <v>63</v>
      </c>
    </row>
    <row r="748" spans="8:12" x14ac:dyDescent="0.15">
      <c r="H748" s="59">
        <v>734</v>
      </c>
      <c r="I748" s="59">
        <v>51</v>
      </c>
      <c r="K748" s="59">
        <v>734</v>
      </c>
      <c r="L748" s="59">
        <v>87</v>
      </c>
    </row>
    <row r="749" spans="8:12" x14ac:dyDescent="0.15">
      <c r="H749" s="59">
        <v>735</v>
      </c>
      <c r="I749" s="59">
        <v>31</v>
      </c>
      <c r="K749" s="59">
        <v>735</v>
      </c>
      <c r="L749" s="59">
        <v>57.5</v>
      </c>
    </row>
    <row r="750" spans="8:12" x14ac:dyDescent="0.15">
      <c r="H750" s="59">
        <v>736</v>
      </c>
      <c r="I750" s="59">
        <v>62</v>
      </c>
      <c r="K750" s="59">
        <v>736</v>
      </c>
      <c r="L750" s="59">
        <v>60</v>
      </c>
    </row>
    <row r="751" spans="8:12" x14ac:dyDescent="0.15">
      <c r="H751" s="59">
        <v>737</v>
      </c>
      <c r="I751" s="59">
        <v>39</v>
      </c>
      <c r="K751" s="59">
        <v>737</v>
      </c>
      <c r="L751" s="59">
        <v>74.5</v>
      </c>
    </row>
    <row r="752" spans="8:12" x14ac:dyDescent="0.15">
      <c r="H752" s="59">
        <v>738</v>
      </c>
      <c r="I752" s="59">
        <v>97</v>
      </c>
      <c r="K752" s="59">
        <v>738</v>
      </c>
      <c r="L752" s="59">
        <v>80.5</v>
      </c>
    </row>
    <row r="753" spans="8:12" x14ac:dyDescent="0.15">
      <c r="H753" s="59">
        <v>739</v>
      </c>
      <c r="I753" s="59">
        <v>68</v>
      </c>
      <c r="K753" s="59">
        <v>739</v>
      </c>
      <c r="L753" s="59">
        <v>74.5</v>
      </c>
    </row>
    <row r="754" spans="8:12" x14ac:dyDescent="0.15">
      <c r="H754" s="59">
        <v>740</v>
      </c>
      <c r="I754" s="59">
        <v>64</v>
      </c>
      <c r="K754" s="59">
        <v>740</v>
      </c>
      <c r="L754" s="59">
        <v>61</v>
      </c>
    </row>
    <row r="755" spans="8:12" x14ac:dyDescent="0.15">
      <c r="H755" s="59">
        <v>741</v>
      </c>
      <c r="I755" s="59">
        <v>54</v>
      </c>
      <c r="K755" s="59">
        <v>741</v>
      </c>
      <c r="L755" s="59">
        <v>55</v>
      </c>
    </row>
    <row r="756" spans="8:12" x14ac:dyDescent="0.15">
      <c r="H756" s="59">
        <v>742</v>
      </c>
      <c r="I756" s="59">
        <v>51</v>
      </c>
      <c r="K756" s="59">
        <v>742</v>
      </c>
      <c r="L756" s="59">
        <v>57</v>
      </c>
    </row>
    <row r="757" spans="8:12" x14ac:dyDescent="0.15">
      <c r="H757" s="59">
        <v>743</v>
      </c>
      <c r="I757" s="59">
        <v>72</v>
      </c>
      <c r="K757" s="59">
        <v>743</v>
      </c>
      <c r="L757" s="59">
        <v>96.5</v>
      </c>
    </row>
    <row r="758" spans="8:12" x14ac:dyDescent="0.15">
      <c r="H758" s="59">
        <v>744</v>
      </c>
      <c r="I758" s="59">
        <v>44</v>
      </c>
      <c r="K758" s="59">
        <v>744</v>
      </c>
      <c r="L758" s="59">
        <v>84</v>
      </c>
    </row>
    <row r="759" spans="8:12" x14ac:dyDescent="0.15">
      <c r="H759" s="59">
        <v>745</v>
      </c>
      <c r="I759" s="59">
        <v>28</v>
      </c>
      <c r="K759" s="59">
        <v>745</v>
      </c>
      <c r="L759" s="59">
        <v>92</v>
      </c>
    </row>
    <row r="760" spans="8:12" x14ac:dyDescent="0.15">
      <c r="H760" s="59">
        <v>746</v>
      </c>
      <c r="I760" s="59">
        <v>62</v>
      </c>
      <c r="K760" s="59">
        <v>746</v>
      </c>
      <c r="L760" s="59">
        <v>66</v>
      </c>
    </row>
    <row r="761" spans="8:12" x14ac:dyDescent="0.15">
      <c r="H761" s="59">
        <v>747</v>
      </c>
      <c r="I761" s="59">
        <v>19</v>
      </c>
      <c r="K761" s="59">
        <v>747</v>
      </c>
      <c r="L761" s="59">
        <v>87.5</v>
      </c>
    </row>
    <row r="762" spans="8:12" x14ac:dyDescent="0.15">
      <c r="H762" s="59">
        <v>748</v>
      </c>
      <c r="I762" s="59">
        <v>72</v>
      </c>
      <c r="K762" s="59">
        <v>748</v>
      </c>
      <c r="L762" s="59">
        <v>75.5</v>
      </c>
    </row>
    <row r="763" spans="8:12" x14ac:dyDescent="0.15">
      <c r="H763" s="59">
        <v>749</v>
      </c>
      <c r="I763" s="59">
        <v>66</v>
      </c>
      <c r="K763" s="59">
        <v>749</v>
      </c>
      <c r="L763" s="59">
        <v>64.5</v>
      </c>
    </row>
    <row r="764" spans="8:12" x14ac:dyDescent="0.15">
      <c r="H764" s="59">
        <v>750</v>
      </c>
      <c r="I764" s="59">
        <v>25</v>
      </c>
      <c r="K764" s="59">
        <v>750</v>
      </c>
      <c r="L764" s="59">
        <v>94</v>
      </c>
    </row>
    <row r="765" spans="8:12" x14ac:dyDescent="0.15">
      <c r="H765" s="59">
        <v>751</v>
      </c>
      <c r="I765" s="59">
        <v>66</v>
      </c>
      <c r="K765" s="59">
        <v>751</v>
      </c>
      <c r="L765" s="59">
        <v>49.5</v>
      </c>
    </row>
    <row r="766" spans="8:12" x14ac:dyDescent="0.15">
      <c r="H766" s="59">
        <v>752</v>
      </c>
      <c r="I766" s="59">
        <v>27</v>
      </c>
      <c r="K766" s="59">
        <v>752</v>
      </c>
      <c r="L766" s="59">
        <v>82</v>
      </c>
    </row>
    <row r="767" spans="8:12" x14ac:dyDescent="0.15">
      <c r="H767" s="59">
        <v>753</v>
      </c>
      <c r="I767" s="59">
        <v>67</v>
      </c>
      <c r="K767" s="59">
        <v>753</v>
      </c>
      <c r="L767" s="59">
        <v>53.5</v>
      </c>
    </row>
    <row r="768" spans="8:12" x14ac:dyDescent="0.15">
      <c r="H768" s="59">
        <v>754</v>
      </c>
      <c r="I768" s="59">
        <v>46</v>
      </c>
      <c r="K768" s="59">
        <v>754</v>
      </c>
      <c r="L768" s="59">
        <v>54.5</v>
      </c>
    </row>
    <row r="769" spans="8:12" x14ac:dyDescent="0.15">
      <c r="H769" s="59">
        <v>755</v>
      </c>
      <c r="I769" s="59">
        <v>63</v>
      </c>
      <c r="K769" s="59">
        <v>755</v>
      </c>
      <c r="L769" s="59">
        <v>74.5</v>
      </c>
    </row>
    <row r="770" spans="8:12" x14ac:dyDescent="0.15">
      <c r="H770" s="59">
        <v>756</v>
      </c>
      <c r="I770" s="59">
        <v>27</v>
      </c>
      <c r="K770" s="59">
        <v>756</v>
      </c>
      <c r="L770" s="59">
        <v>61.5</v>
      </c>
    </row>
    <row r="771" spans="8:12" x14ac:dyDescent="0.15">
      <c r="H771" s="59">
        <v>757</v>
      </c>
      <c r="I771" s="59">
        <v>32</v>
      </c>
      <c r="K771" s="59">
        <v>757</v>
      </c>
      <c r="L771" s="59">
        <v>65.5</v>
      </c>
    </row>
    <row r="772" spans="8:12" x14ac:dyDescent="0.15">
      <c r="H772" s="59">
        <v>758</v>
      </c>
      <c r="I772" s="59">
        <v>51</v>
      </c>
      <c r="K772" s="59">
        <v>758</v>
      </c>
      <c r="L772" s="59">
        <v>85</v>
      </c>
    </row>
    <row r="773" spans="8:12" x14ac:dyDescent="0.15">
      <c r="H773" s="59">
        <v>759</v>
      </c>
      <c r="I773" s="59">
        <v>54</v>
      </c>
      <c r="K773" s="59">
        <v>759</v>
      </c>
      <c r="L773" s="59">
        <v>50</v>
      </c>
    </row>
    <row r="774" spans="8:12" x14ac:dyDescent="0.15">
      <c r="H774" s="59">
        <v>760</v>
      </c>
      <c r="I774" s="59">
        <v>30</v>
      </c>
      <c r="K774" s="59">
        <v>760</v>
      </c>
      <c r="L774" s="59">
        <v>52</v>
      </c>
    </row>
    <row r="775" spans="8:12" x14ac:dyDescent="0.15">
      <c r="H775" s="59">
        <v>761</v>
      </c>
      <c r="I775" s="59">
        <v>75</v>
      </c>
      <c r="K775" s="59">
        <v>761</v>
      </c>
      <c r="L775" s="59">
        <v>90.5</v>
      </c>
    </row>
    <row r="776" spans="8:12" x14ac:dyDescent="0.15">
      <c r="H776" s="59">
        <v>762</v>
      </c>
      <c r="I776" s="59">
        <v>93</v>
      </c>
      <c r="K776" s="59">
        <v>762</v>
      </c>
      <c r="L776" s="59">
        <v>53</v>
      </c>
    </row>
    <row r="777" spans="8:12" x14ac:dyDescent="0.15">
      <c r="H777" s="59">
        <v>763</v>
      </c>
      <c r="I777" s="59">
        <v>69</v>
      </c>
      <c r="K777" s="59">
        <v>763</v>
      </c>
      <c r="L777" s="59">
        <v>83</v>
      </c>
    </row>
    <row r="778" spans="8:12" x14ac:dyDescent="0.15">
      <c r="H778" s="59">
        <v>764</v>
      </c>
      <c r="I778" s="59">
        <v>24</v>
      </c>
      <c r="K778" s="59">
        <v>764</v>
      </c>
      <c r="L778" s="59">
        <v>59.5</v>
      </c>
    </row>
    <row r="779" spans="8:12" x14ac:dyDescent="0.15">
      <c r="H779" s="59">
        <v>765</v>
      </c>
      <c r="I779" s="59">
        <v>84</v>
      </c>
      <c r="K779" s="59">
        <v>765</v>
      </c>
      <c r="L779" s="59">
        <v>49</v>
      </c>
    </row>
    <row r="780" spans="8:12" x14ac:dyDescent="0.15">
      <c r="H780" s="59">
        <v>766</v>
      </c>
      <c r="I780" s="59">
        <v>94</v>
      </c>
      <c r="K780" s="59">
        <v>766</v>
      </c>
      <c r="L780" s="59">
        <v>54.5</v>
      </c>
    </row>
    <row r="781" spans="8:12" x14ac:dyDescent="0.15">
      <c r="H781" s="59">
        <v>767</v>
      </c>
      <c r="I781" s="59">
        <v>31</v>
      </c>
      <c r="K781" s="59">
        <v>767</v>
      </c>
      <c r="L781" s="59">
        <v>62</v>
      </c>
    </row>
    <row r="782" spans="8:12" x14ac:dyDescent="0.15">
      <c r="H782" s="59">
        <v>768</v>
      </c>
      <c r="I782" s="59">
        <v>23</v>
      </c>
      <c r="K782" s="59">
        <v>768</v>
      </c>
      <c r="L782" s="59">
        <v>91.5</v>
      </c>
    </row>
    <row r="783" spans="8:12" x14ac:dyDescent="0.15">
      <c r="H783" s="59">
        <v>769</v>
      </c>
      <c r="I783" s="59">
        <v>41</v>
      </c>
      <c r="K783" s="59">
        <v>769</v>
      </c>
      <c r="L783" s="59">
        <v>55</v>
      </c>
    </row>
    <row r="784" spans="8:12" x14ac:dyDescent="0.15">
      <c r="H784" s="59">
        <v>770</v>
      </c>
      <c r="I784" s="59">
        <v>51</v>
      </c>
      <c r="K784" s="59">
        <v>770</v>
      </c>
      <c r="L784" s="59">
        <v>82</v>
      </c>
    </row>
    <row r="785" spans="8:12" x14ac:dyDescent="0.15">
      <c r="H785" s="59">
        <v>771</v>
      </c>
      <c r="I785" s="59">
        <v>25</v>
      </c>
      <c r="K785" s="59">
        <v>771</v>
      </c>
      <c r="L785" s="59">
        <v>72.5</v>
      </c>
    </row>
    <row r="786" spans="8:12" x14ac:dyDescent="0.15">
      <c r="H786" s="59">
        <v>772</v>
      </c>
      <c r="I786" s="59">
        <v>30</v>
      </c>
      <c r="K786" s="59">
        <v>772</v>
      </c>
      <c r="L786" s="59">
        <v>50</v>
      </c>
    </row>
    <row r="787" spans="8:12" x14ac:dyDescent="0.15">
      <c r="H787" s="59">
        <v>773</v>
      </c>
      <c r="I787" s="59">
        <v>68</v>
      </c>
      <c r="K787" s="59">
        <v>773</v>
      </c>
      <c r="L787" s="59">
        <v>56.5</v>
      </c>
    </row>
    <row r="788" spans="8:12" x14ac:dyDescent="0.15">
      <c r="H788" s="59">
        <v>774</v>
      </c>
      <c r="I788" s="59">
        <v>69</v>
      </c>
      <c r="K788" s="59">
        <v>774</v>
      </c>
      <c r="L788" s="59">
        <v>87</v>
      </c>
    </row>
    <row r="789" spans="8:12" x14ac:dyDescent="0.15">
      <c r="H789" s="59">
        <v>775</v>
      </c>
      <c r="I789" s="59">
        <v>51</v>
      </c>
      <c r="K789" s="59">
        <v>775</v>
      </c>
      <c r="L789" s="59">
        <v>79.5</v>
      </c>
    </row>
    <row r="790" spans="8:12" x14ac:dyDescent="0.15">
      <c r="H790" s="59">
        <v>776</v>
      </c>
      <c r="I790" s="59">
        <v>56</v>
      </c>
      <c r="K790" s="59">
        <v>776</v>
      </c>
      <c r="L790" s="59">
        <v>50</v>
      </c>
    </row>
    <row r="791" spans="8:12" x14ac:dyDescent="0.15">
      <c r="H791" s="59">
        <v>777</v>
      </c>
      <c r="I791" s="59">
        <v>51</v>
      </c>
      <c r="K791" s="59">
        <v>777</v>
      </c>
      <c r="L791" s="59">
        <v>60</v>
      </c>
    </row>
    <row r="792" spans="8:12" x14ac:dyDescent="0.15">
      <c r="H792" s="59">
        <v>778</v>
      </c>
      <c r="I792" s="59">
        <v>55</v>
      </c>
      <c r="K792" s="59">
        <v>778</v>
      </c>
      <c r="L792" s="59">
        <v>86.5</v>
      </c>
    </row>
    <row r="793" spans="8:12" x14ac:dyDescent="0.15">
      <c r="H793" s="59">
        <v>779</v>
      </c>
      <c r="I793" s="59">
        <v>58</v>
      </c>
      <c r="K793" s="59">
        <v>779</v>
      </c>
      <c r="L793" s="59">
        <v>74</v>
      </c>
    </row>
    <row r="794" spans="8:12" x14ac:dyDescent="0.15">
      <c r="H794" s="59">
        <v>780</v>
      </c>
      <c r="I794" s="59">
        <v>69</v>
      </c>
      <c r="K794" s="59">
        <v>780</v>
      </c>
      <c r="L794" s="59">
        <v>58.5</v>
      </c>
    </row>
    <row r="795" spans="8:12" x14ac:dyDescent="0.15">
      <c r="H795" s="59">
        <v>781</v>
      </c>
      <c r="I795" s="59">
        <v>63</v>
      </c>
      <c r="K795" s="59">
        <v>781</v>
      </c>
      <c r="L795" s="59">
        <v>67</v>
      </c>
    </row>
    <row r="796" spans="8:12" x14ac:dyDescent="0.15">
      <c r="H796" s="59">
        <v>782</v>
      </c>
      <c r="I796" s="59">
        <v>52</v>
      </c>
      <c r="K796" s="59">
        <v>782</v>
      </c>
      <c r="L796" s="59">
        <v>96.5</v>
      </c>
    </row>
    <row r="797" spans="8:12" x14ac:dyDescent="0.15">
      <c r="H797" s="59">
        <v>783</v>
      </c>
      <c r="I797" s="59">
        <v>60</v>
      </c>
      <c r="K797" s="59">
        <v>783</v>
      </c>
      <c r="L797" s="59">
        <v>71.5</v>
      </c>
    </row>
    <row r="798" spans="8:12" x14ac:dyDescent="0.15">
      <c r="H798" s="59">
        <v>784</v>
      </c>
      <c r="I798" s="59">
        <v>12</v>
      </c>
      <c r="K798" s="59">
        <v>784</v>
      </c>
      <c r="L798" s="59">
        <v>65</v>
      </c>
    </row>
    <row r="799" spans="8:12" x14ac:dyDescent="0.15">
      <c r="H799" s="59">
        <v>785</v>
      </c>
      <c r="I799" s="59">
        <v>77</v>
      </c>
      <c r="K799" s="59">
        <v>785</v>
      </c>
      <c r="L799" s="59">
        <v>49</v>
      </c>
    </row>
    <row r="800" spans="8:12" x14ac:dyDescent="0.15">
      <c r="H800" s="59">
        <v>786</v>
      </c>
      <c r="I800" s="59">
        <v>48</v>
      </c>
      <c r="K800" s="59">
        <v>786</v>
      </c>
      <c r="L800" s="59">
        <v>69</v>
      </c>
    </row>
    <row r="801" spans="8:12" x14ac:dyDescent="0.15">
      <c r="H801" s="59">
        <v>787</v>
      </c>
      <c r="I801" s="59">
        <v>70</v>
      </c>
      <c r="K801" s="59">
        <v>787</v>
      </c>
      <c r="L801" s="59">
        <v>54</v>
      </c>
    </row>
    <row r="802" spans="8:12" x14ac:dyDescent="0.15">
      <c r="H802" s="59">
        <v>788</v>
      </c>
      <c r="I802" s="59">
        <v>91</v>
      </c>
      <c r="K802" s="59">
        <v>788</v>
      </c>
      <c r="L802" s="59">
        <v>80</v>
      </c>
    </row>
    <row r="803" spans="8:12" x14ac:dyDescent="0.15">
      <c r="H803" s="59">
        <v>789</v>
      </c>
      <c r="I803" s="59">
        <v>82</v>
      </c>
      <c r="K803" s="59">
        <v>789</v>
      </c>
      <c r="L803" s="59">
        <v>83</v>
      </c>
    </row>
    <row r="804" spans="8:12" x14ac:dyDescent="0.15">
      <c r="H804" s="59">
        <v>790</v>
      </c>
      <c r="I804" s="59">
        <v>50</v>
      </c>
      <c r="K804" s="59">
        <v>790</v>
      </c>
      <c r="L804" s="59">
        <v>54.5</v>
      </c>
    </row>
    <row r="805" spans="8:12" x14ac:dyDescent="0.15">
      <c r="H805" s="59">
        <v>791</v>
      </c>
      <c r="I805" s="59">
        <v>79</v>
      </c>
      <c r="K805" s="59">
        <v>791</v>
      </c>
      <c r="L805" s="59">
        <v>85.5</v>
      </c>
    </row>
    <row r="806" spans="8:12" x14ac:dyDescent="0.15">
      <c r="H806" s="59">
        <v>792</v>
      </c>
      <c r="I806" s="59">
        <v>80</v>
      </c>
      <c r="K806" s="59">
        <v>792</v>
      </c>
      <c r="L806" s="59">
        <v>65.5</v>
      </c>
    </row>
    <row r="807" spans="8:12" x14ac:dyDescent="0.15">
      <c r="H807" s="59">
        <v>793</v>
      </c>
      <c r="I807" s="59">
        <v>4</v>
      </c>
      <c r="K807" s="59">
        <v>793</v>
      </c>
      <c r="L807" s="59">
        <v>79</v>
      </c>
    </row>
    <row r="808" spans="8:12" x14ac:dyDescent="0.15">
      <c r="H808" s="59">
        <v>794</v>
      </c>
      <c r="I808" s="59">
        <v>56</v>
      </c>
      <c r="K808" s="59">
        <v>794</v>
      </c>
      <c r="L808" s="59">
        <v>85.5</v>
      </c>
    </row>
    <row r="809" spans="8:12" x14ac:dyDescent="0.15">
      <c r="H809" s="59">
        <v>795</v>
      </c>
      <c r="I809" s="59">
        <v>67</v>
      </c>
      <c r="K809" s="59">
        <v>795</v>
      </c>
      <c r="L809" s="59">
        <v>53</v>
      </c>
    </row>
    <row r="810" spans="8:12" x14ac:dyDescent="0.15">
      <c r="H810" s="59">
        <v>796</v>
      </c>
      <c r="I810" s="59">
        <v>83</v>
      </c>
      <c r="K810" s="59">
        <v>796</v>
      </c>
      <c r="L810" s="59">
        <v>67</v>
      </c>
    </row>
    <row r="811" spans="8:12" x14ac:dyDescent="0.15">
      <c r="H811" s="59">
        <v>797</v>
      </c>
      <c r="I811" s="59">
        <v>74</v>
      </c>
      <c r="K811" s="59">
        <v>797</v>
      </c>
      <c r="L811" s="59">
        <v>76.5</v>
      </c>
    </row>
    <row r="812" spans="8:12" x14ac:dyDescent="0.15">
      <c r="H812" s="59">
        <v>798</v>
      </c>
      <c r="I812" s="59">
        <v>24</v>
      </c>
      <c r="K812" s="59">
        <v>798</v>
      </c>
      <c r="L812" s="59">
        <v>50.5</v>
      </c>
    </row>
    <row r="813" spans="8:12" x14ac:dyDescent="0.15">
      <c r="H813" s="59">
        <v>799</v>
      </c>
      <c r="I813" s="59">
        <v>41</v>
      </c>
      <c r="K813" s="59">
        <v>799</v>
      </c>
      <c r="L813" s="59">
        <v>80.5</v>
      </c>
    </row>
    <row r="814" spans="8:12" x14ac:dyDescent="0.15">
      <c r="H814" s="59">
        <v>800</v>
      </c>
      <c r="I814" s="59">
        <v>44</v>
      </c>
      <c r="K814" s="59">
        <v>800</v>
      </c>
      <c r="L814" s="59">
        <v>66.5</v>
      </c>
    </row>
    <row r="815" spans="8:12" x14ac:dyDescent="0.15">
      <c r="H815" s="59">
        <v>801</v>
      </c>
      <c r="I815" s="59">
        <v>76</v>
      </c>
      <c r="K815" s="59">
        <v>801</v>
      </c>
      <c r="L815" s="59">
        <v>83.5</v>
      </c>
    </row>
    <row r="816" spans="8:12" x14ac:dyDescent="0.15">
      <c r="H816" s="59">
        <v>802</v>
      </c>
      <c r="I816" s="59">
        <v>97</v>
      </c>
      <c r="K816" s="59">
        <v>802</v>
      </c>
      <c r="L816" s="59">
        <v>49.5</v>
      </c>
    </row>
    <row r="817" spans="8:12" x14ac:dyDescent="0.15">
      <c r="H817" s="59">
        <v>803</v>
      </c>
      <c r="I817" s="59">
        <v>75</v>
      </c>
      <c r="K817" s="59">
        <v>803</v>
      </c>
      <c r="L817" s="59">
        <v>92.5</v>
      </c>
    </row>
    <row r="818" spans="8:12" x14ac:dyDescent="0.15">
      <c r="H818" s="59">
        <v>804</v>
      </c>
      <c r="I818" s="59">
        <v>29</v>
      </c>
      <c r="K818" s="59">
        <v>804</v>
      </c>
      <c r="L818" s="59">
        <v>96</v>
      </c>
    </row>
    <row r="819" spans="8:12" x14ac:dyDescent="0.15">
      <c r="H819" s="59">
        <v>805</v>
      </c>
      <c r="I819" s="59">
        <v>40</v>
      </c>
      <c r="K819" s="59">
        <v>805</v>
      </c>
      <c r="L819" s="59">
        <v>56.5</v>
      </c>
    </row>
    <row r="820" spans="8:12" x14ac:dyDescent="0.15">
      <c r="H820" s="59">
        <v>806</v>
      </c>
      <c r="I820" s="59">
        <v>66</v>
      </c>
      <c r="K820" s="59">
        <v>806</v>
      </c>
      <c r="L820" s="59">
        <v>63</v>
      </c>
    </row>
    <row r="821" spans="8:12" x14ac:dyDescent="0.15">
      <c r="H821" s="59">
        <v>807</v>
      </c>
      <c r="I821" s="59">
        <v>16</v>
      </c>
      <c r="K821" s="59">
        <v>807</v>
      </c>
      <c r="L821" s="59">
        <v>76.5</v>
      </c>
    </row>
    <row r="822" spans="8:12" x14ac:dyDescent="0.15">
      <c r="H822" s="59">
        <v>808</v>
      </c>
      <c r="I822" s="59">
        <v>16</v>
      </c>
      <c r="K822" s="59">
        <v>808</v>
      </c>
      <c r="L822" s="59">
        <v>87</v>
      </c>
    </row>
    <row r="823" spans="8:12" x14ac:dyDescent="0.15">
      <c r="H823" s="59">
        <v>809</v>
      </c>
      <c r="I823" s="59">
        <v>22</v>
      </c>
      <c r="K823" s="59">
        <v>809</v>
      </c>
      <c r="L823" s="59">
        <v>88</v>
      </c>
    </row>
    <row r="824" spans="8:12" x14ac:dyDescent="0.15">
      <c r="H824" s="59">
        <v>810</v>
      </c>
      <c r="I824" s="59">
        <v>31</v>
      </c>
      <c r="K824" s="59">
        <v>810</v>
      </c>
      <c r="L824" s="59">
        <v>74.5</v>
      </c>
    </row>
    <row r="825" spans="8:12" x14ac:dyDescent="0.15">
      <c r="H825" s="59">
        <v>811</v>
      </c>
      <c r="I825" s="59">
        <v>77</v>
      </c>
      <c r="K825" s="59">
        <v>811</v>
      </c>
      <c r="L825" s="59">
        <v>70.5</v>
      </c>
    </row>
    <row r="826" spans="8:12" x14ac:dyDescent="0.15">
      <c r="H826" s="59">
        <v>812</v>
      </c>
      <c r="I826" s="59">
        <v>60</v>
      </c>
      <c r="K826" s="59">
        <v>812</v>
      </c>
      <c r="L826" s="59">
        <v>75.5</v>
      </c>
    </row>
    <row r="827" spans="8:12" x14ac:dyDescent="0.15">
      <c r="H827" s="59">
        <v>813</v>
      </c>
      <c r="I827" s="59">
        <v>29</v>
      </c>
      <c r="K827" s="59">
        <v>813</v>
      </c>
      <c r="L827" s="59">
        <v>58.5</v>
      </c>
    </row>
    <row r="828" spans="8:12" x14ac:dyDescent="0.15">
      <c r="H828" s="59">
        <v>814</v>
      </c>
      <c r="I828" s="59">
        <v>75</v>
      </c>
      <c r="K828" s="59">
        <v>814</v>
      </c>
      <c r="L828" s="59">
        <v>53.5</v>
      </c>
    </row>
    <row r="829" spans="8:12" x14ac:dyDescent="0.15">
      <c r="H829" s="59">
        <v>815</v>
      </c>
      <c r="I829" s="59">
        <v>47</v>
      </c>
      <c r="K829" s="59">
        <v>815</v>
      </c>
      <c r="L829" s="59">
        <v>93.5</v>
      </c>
    </row>
    <row r="830" spans="8:12" x14ac:dyDescent="0.15">
      <c r="H830" s="59">
        <v>816</v>
      </c>
      <c r="I830" s="59">
        <v>62</v>
      </c>
      <c r="K830" s="59">
        <v>816</v>
      </c>
      <c r="L830" s="59">
        <v>97.5</v>
      </c>
    </row>
    <row r="831" spans="8:12" x14ac:dyDescent="0.15">
      <c r="H831" s="59">
        <v>817</v>
      </c>
      <c r="I831" s="59">
        <v>26</v>
      </c>
      <c r="K831" s="59">
        <v>817</v>
      </c>
      <c r="L831" s="59">
        <v>54.5</v>
      </c>
    </row>
    <row r="832" spans="8:12" x14ac:dyDescent="0.15">
      <c r="H832" s="59">
        <v>818</v>
      </c>
      <c r="I832" s="59">
        <v>16</v>
      </c>
      <c r="K832" s="59">
        <v>818</v>
      </c>
      <c r="L832" s="59">
        <v>85.5</v>
      </c>
    </row>
    <row r="833" spans="8:12" x14ac:dyDescent="0.15">
      <c r="H833" s="59">
        <v>819</v>
      </c>
      <c r="I833" s="59">
        <v>78</v>
      </c>
      <c r="K833" s="59">
        <v>819</v>
      </c>
      <c r="L833" s="59">
        <v>53.5</v>
      </c>
    </row>
    <row r="834" spans="8:12" x14ac:dyDescent="0.15">
      <c r="H834" s="59">
        <v>820</v>
      </c>
      <c r="I834" s="59">
        <v>71</v>
      </c>
      <c r="K834" s="59">
        <v>820</v>
      </c>
      <c r="L834" s="59">
        <v>90.5</v>
      </c>
    </row>
    <row r="835" spans="8:12" x14ac:dyDescent="0.15">
      <c r="H835" s="59">
        <v>821</v>
      </c>
      <c r="I835" s="59">
        <v>68</v>
      </c>
      <c r="K835" s="59">
        <v>821</v>
      </c>
      <c r="L835" s="59">
        <v>62.5</v>
      </c>
    </row>
    <row r="836" spans="8:12" x14ac:dyDescent="0.15">
      <c r="H836" s="59">
        <v>822</v>
      </c>
      <c r="I836" s="59">
        <v>67</v>
      </c>
      <c r="K836" s="59">
        <v>822</v>
      </c>
      <c r="L836" s="59">
        <v>70.5</v>
      </c>
    </row>
    <row r="837" spans="8:12" x14ac:dyDescent="0.15">
      <c r="H837" s="59">
        <v>823</v>
      </c>
      <c r="I837" s="59">
        <v>68</v>
      </c>
      <c r="K837" s="59">
        <v>823</v>
      </c>
      <c r="L837" s="59">
        <v>97</v>
      </c>
    </row>
    <row r="838" spans="8:12" x14ac:dyDescent="0.15">
      <c r="H838" s="59">
        <v>824</v>
      </c>
      <c r="I838" s="59">
        <v>71</v>
      </c>
      <c r="K838" s="59">
        <v>824</v>
      </c>
      <c r="L838" s="59">
        <v>72</v>
      </c>
    </row>
    <row r="839" spans="8:12" x14ac:dyDescent="0.15">
      <c r="H839" s="59">
        <v>825</v>
      </c>
      <c r="I839" s="59">
        <v>37</v>
      </c>
      <c r="K839" s="59">
        <v>825</v>
      </c>
      <c r="L839" s="59">
        <v>76.5</v>
      </c>
    </row>
    <row r="840" spans="8:12" x14ac:dyDescent="0.15">
      <c r="H840" s="59">
        <v>826</v>
      </c>
      <c r="I840" s="59">
        <v>74</v>
      </c>
      <c r="K840" s="59">
        <v>826</v>
      </c>
      <c r="L840" s="59">
        <v>95</v>
      </c>
    </row>
    <row r="841" spans="8:12" x14ac:dyDescent="0.15">
      <c r="H841" s="59">
        <v>827</v>
      </c>
      <c r="I841" s="59">
        <v>66</v>
      </c>
      <c r="K841" s="59">
        <v>827</v>
      </c>
      <c r="L841" s="59">
        <v>81.5</v>
      </c>
    </row>
    <row r="842" spans="8:12" x14ac:dyDescent="0.15">
      <c r="H842" s="59">
        <v>828</v>
      </c>
      <c r="I842" s="59">
        <v>42</v>
      </c>
      <c r="K842" s="59">
        <v>828</v>
      </c>
      <c r="L842" s="59">
        <v>89.5</v>
      </c>
    </row>
    <row r="843" spans="8:12" x14ac:dyDescent="0.15">
      <c r="H843" s="59">
        <v>829</v>
      </c>
      <c r="I843" s="59">
        <v>68</v>
      </c>
      <c r="K843" s="59">
        <v>829</v>
      </c>
      <c r="L843" s="59">
        <v>75</v>
      </c>
    </row>
    <row r="844" spans="8:12" x14ac:dyDescent="0.15">
      <c r="H844" s="59">
        <v>830</v>
      </c>
      <c r="I844" s="59">
        <v>74</v>
      </c>
      <c r="K844" s="59">
        <v>830</v>
      </c>
      <c r="L844" s="59">
        <v>91</v>
      </c>
    </row>
    <row r="845" spans="8:12" x14ac:dyDescent="0.15">
      <c r="H845" s="59">
        <v>831</v>
      </c>
      <c r="I845" s="59">
        <v>74</v>
      </c>
      <c r="K845" s="59">
        <v>831</v>
      </c>
      <c r="L845" s="59">
        <v>63</v>
      </c>
    </row>
    <row r="846" spans="8:12" x14ac:dyDescent="0.15">
      <c r="H846" s="59">
        <v>832</v>
      </c>
      <c r="I846" s="59">
        <v>37</v>
      </c>
      <c r="K846" s="59">
        <v>832</v>
      </c>
      <c r="L846" s="59">
        <v>56.5</v>
      </c>
    </row>
    <row r="847" spans="8:12" x14ac:dyDescent="0.15">
      <c r="H847" s="59">
        <v>833</v>
      </c>
      <c r="I847" s="59">
        <v>82</v>
      </c>
      <c r="K847" s="59">
        <v>833</v>
      </c>
      <c r="L847" s="59">
        <v>78</v>
      </c>
    </row>
    <row r="848" spans="8:12" x14ac:dyDescent="0.15">
      <c r="H848" s="59">
        <v>834</v>
      </c>
      <c r="I848" s="59">
        <v>31</v>
      </c>
      <c r="K848" s="59">
        <v>834</v>
      </c>
      <c r="L848" s="59">
        <v>66</v>
      </c>
    </row>
    <row r="849" spans="8:12" x14ac:dyDescent="0.15">
      <c r="H849" s="59">
        <v>835</v>
      </c>
      <c r="I849" s="59">
        <v>43</v>
      </c>
      <c r="K849" s="59">
        <v>835</v>
      </c>
      <c r="L849" s="59">
        <v>70.5</v>
      </c>
    </row>
    <row r="850" spans="8:12" x14ac:dyDescent="0.15">
      <c r="H850" s="59">
        <v>836</v>
      </c>
      <c r="I850" s="59">
        <v>48</v>
      </c>
      <c r="K850" s="59">
        <v>836</v>
      </c>
      <c r="L850" s="59">
        <v>93.5</v>
      </c>
    </row>
    <row r="851" spans="8:12" x14ac:dyDescent="0.15">
      <c r="H851" s="59">
        <v>837</v>
      </c>
      <c r="I851" s="59">
        <v>94</v>
      </c>
      <c r="K851" s="59">
        <v>837</v>
      </c>
      <c r="L851" s="59">
        <v>76.5</v>
      </c>
    </row>
    <row r="852" spans="8:12" x14ac:dyDescent="0.15">
      <c r="H852" s="59">
        <v>838</v>
      </c>
      <c r="I852" s="59">
        <v>33</v>
      </c>
      <c r="K852" s="59">
        <v>838</v>
      </c>
      <c r="L852" s="59">
        <v>54.5</v>
      </c>
    </row>
    <row r="853" spans="8:12" x14ac:dyDescent="0.15">
      <c r="H853" s="59">
        <v>839</v>
      </c>
      <c r="I853" s="59">
        <v>13</v>
      </c>
      <c r="K853" s="59">
        <v>839</v>
      </c>
      <c r="L853" s="59">
        <v>48.5</v>
      </c>
    </row>
    <row r="854" spans="8:12" x14ac:dyDescent="0.15">
      <c r="H854" s="59">
        <v>840</v>
      </c>
      <c r="I854" s="59">
        <v>72</v>
      </c>
      <c r="K854" s="59">
        <v>840</v>
      </c>
      <c r="L854" s="59">
        <v>60</v>
      </c>
    </row>
    <row r="855" spans="8:12" x14ac:dyDescent="0.15">
      <c r="H855" s="59">
        <v>841</v>
      </c>
      <c r="I855" s="59">
        <v>54</v>
      </c>
      <c r="K855" s="59">
        <v>841</v>
      </c>
      <c r="L855" s="59">
        <v>51.5</v>
      </c>
    </row>
    <row r="856" spans="8:12" x14ac:dyDescent="0.15">
      <c r="H856" s="59">
        <v>842</v>
      </c>
      <c r="I856" s="59">
        <v>89</v>
      </c>
      <c r="K856" s="59">
        <v>842</v>
      </c>
      <c r="L856" s="59">
        <v>88.5</v>
      </c>
    </row>
    <row r="857" spans="8:12" x14ac:dyDescent="0.15">
      <c r="H857" s="59">
        <v>843</v>
      </c>
      <c r="I857" s="59">
        <v>31</v>
      </c>
      <c r="K857" s="59">
        <v>843</v>
      </c>
      <c r="L857" s="59">
        <v>92.5</v>
      </c>
    </row>
    <row r="858" spans="8:12" x14ac:dyDescent="0.15">
      <c r="H858" s="59">
        <v>844</v>
      </c>
      <c r="I858" s="59">
        <v>58</v>
      </c>
      <c r="K858" s="59">
        <v>844</v>
      </c>
      <c r="L858" s="59">
        <v>70.5</v>
      </c>
    </row>
    <row r="859" spans="8:12" x14ac:dyDescent="0.15">
      <c r="H859" s="59">
        <v>845</v>
      </c>
      <c r="I859" s="59">
        <v>63</v>
      </c>
      <c r="K859" s="59">
        <v>845</v>
      </c>
      <c r="L859" s="59">
        <v>89.5</v>
      </c>
    </row>
    <row r="860" spans="8:12" x14ac:dyDescent="0.15">
      <c r="H860" s="59">
        <v>846</v>
      </c>
      <c r="I860" s="59">
        <v>30</v>
      </c>
      <c r="K860" s="59">
        <v>846</v>
      </c>
      <c r="L860" s="59">
        <v>56</v>
      </c>
    </row>
    <row r="861" spans="8:12" x14ac:dyDescent="0.15">
      <c r="H861" s="59">
        <v>847</v>
      </c>
      <c r="I861" s="59">
        <v>86</v>
      </c>
      <c r="K861" s="59">
        <v>847</v>
      </c>
      <c r="L861" s="59">
        <v>53.5</v>
      </c>
    </row>
    <row r="862" spans="8:12" x14ac:dyDescent="0.15">
      <c r="H862" s="59">
        <v>848</v>
      </c>
      <c r="I862" s="59">
        <v>23</v>
      </c>
      <c r="K862" s="59">
        <v>848</v>
      </c>
      <c r="L862" s="59">
        <v>57.5</v>
      </c>
    </row>
    <row r="863" spans="8:12" x14ac:dyDescent="0.15">
      <c r="H863" s="59">
        <v>849</v>
      </c>
      <c r="I863" s="59">
        <v>38</v>
      </c>
      <c r="K863" s="59">
        <v>849</v>
      </c>
      <c r="L863" s="59">
        <v>81.5</v>
      </c>
    </row>
    <row r="864" spans="8:12" x14ac:dyDescent="0.15">
      <c r="H864" s="59">
        <v>850</v>
      </c>
      <c r="I864" s="59">
        <v>64</v>
      </c>
      <c r="K864" s="59">
        <v>850</v>
      </c>
      <c r="L864" s="59">
        <v>62</v>
      </c>
    </row>
    <row r="865" spans="8:12" x14ac:dyDescent="0.15">
      <c r="H865" s="59">
        <v>851</v>
      </c>
      <c r="I865" s="59">
        <v>51</v>
      </c>
      <c r="K865" s="59">
        <v>851</v>
      </c>
      <c r="L865" s="59">
        <v>95.5</v>
      </c>
    </row>
    <row r="866" spans="8:12" x14ac:dyDescent="0.15">
      <c r="H866" s="59">
        <v>852</v>
      </c>
      <c r="I866" s="59">
        <v>37</v>
      </c>
      <c r="K866" s="59">
        <v>852</v>
      </c>
      <c r="L866" s="59">
        <v>83</v>
      </c>
    </row>
    <row r="867" spans="8:12" x14ac:dyDescent="0.15">
      <c r="H867" s="59">
        <v>853</v>
      </c>
      <c r="I867" s="59">
        <v>34</v>
      </c>
      <c r="K867" s="59">
        <v>853</v>
      </c>
      <c r="L867" s="59">
        <v>61.5</v>
      </c>
    </row>
    <row r="868" spans="8:12" x14ac:dyDescent="0.15">
      <c r="H868" s="59">
        <v>854</v>
      </c>
      <c r="I868" s="59">
        <v>83</v>
      </c>
      <c r="K868" s="59">
        <v>854</v>
      </c>
      <c r="L868" s="59">
        <v>84</v>
      </c>
    </row>
    <row r="869" spans="8:12" x14ac:dyDescent="0.15">
      <c r="H869" s="59">
        <v>855</v>
      </c>
      <c r="I869" s="59">
        <v>68</v>
      </c>
      <c r="K869" s="59">
        <v>855</v>
      </c>
      <c r="L869" s="59">
        <v>71</v>
      </c>
    </row>
    <row r="870" spans="8:12" x14ac:dyDescent="0.15">
      <c r="H870" s="59">
        <v>856</v>
      </c>
      <c r="I870" s="59">
        <v>28</v>
      </c>
      <c r="K870" s="59">
        <v>856</v>
      </c>
      <c r="L870" s="59">
        <v>69.5</v>
      </c>
    </row>
    <row r="871" spans="8:12" x14ac:dyDescent="0.15">
      <c r="H871" s="59">
        <v>857</v>
      </c>
      <c r="I871" s="59">
        <v>82</v>
      </c>
      <c r="K871" s="59">
        <v>857</v>
      </c>
      <c r="L871" s="59">
        <v>90</v>
      </c>
    </row>
    <row r="872" spans="8:12" x14ac:dyDescent="0.15">
      <c r="H872" s="59">
        <v>858</v>
      </c>
      <c r="I872" s="59">
        <v>83</v>
      </c>
      <c r="K872" s="59">
        <v>858</v>
      </c>
      <c r="L872" s="59">
        <v>90</v>
      </c>
    </row>
    <row r="873" spans="8:12" x14ac:dyDescent="0.15">
      <c r="H873" s="59">
        <v>859</v>
      </c>
      <c r="I873" s="59">
        <v>9</v>
      </c>
      <c r="K873" s="59">
        <v>859</v>
      </c>
      <c r="L873" s="59">
        <v>96.5</v>
      </c>
    </row>
    <row r="874" spans="8:12" x14ac:dyDescent="0.15">
      <c r="H874" s="59">
        <v>860</v>
      </c>
      <c r="I874" s="59">
        <v>28</v>
      </c>
      <c r="K874" s="59">
        <v>860</v>
      </c>
      <c r="L874" s="59">
        <v>84.5</v>
      </c>
    </row>
    <row r="875" spans="8:12" x14ac:dyDescent="0.15">
      <c r="H875" s="59">
        <v>861</v>
      </c>
      <c r="I875" s="59">
        <v>95</v>
      </c>
      <c r="K875" s="59">
        <v>861</v>
      </c>
      <c r="L875" s="59">
        <v>61</v>
      </c>
    </row>
    <row r="876" spans="8:12" x14ac:dyDescent="0.15">
      <c r="H876" s="59">
        <v>862</v>
      </c>
      <c r="I876" s="59">
        <v>55</v>
      </c>
      <c r="K876" s="59">
        <v>862</v>
      </c>
      <c r="L876" s="59">
        <v>92.5</v>
      </c>
    </row>
    <row r="877" spans="8:12" x14ac:dyDescent="0.15">
      <c r="H877" s="59">
        <v>863</v>
      </c>
      <c r="I877" s="59">
        <v>4</v>
      </c>
      <c r="K877" s="59">
        <v>863</v>
      </c>
      <c r="L877" s="59">
        <v>56.5</v>
      </c>
    </row>
    <row r="878" spans="8:12" x14ac:dyDescent="0.15">
      <c r="H878" s="59">
        <v>864</v>
      </c>
      <c r="I878" s="59">
        <v>75</v>
      </c>
      <c r="K878" s="59">
        <v>864</v>
      </c>
      <c r="L878" s="59">
        <v>84</v>
      </c>
    </row>
    <row r="879" spans="8:12" x14ac:dyDescent="0.15">
      <c r="H879" s="59">
        <v>865</v>
      </c>
      <c r="I879" s="59">
        <v>4</v>
      </c>
      <c r="K879" s="59">
        <v>865</v>
      </c>
      <c r="L879" s="59">
        <v>49.5</v>
      </c>
    </row>
    <row r="880" spans="8:12" x14ac:dyDescent="0.15">
      <c r="H880" s="59">
        <v>866</v>
      </c>
      <c r="I880" s="59">
        <v>46</v>
      </c>
      <c r="K880" s="59">
        <v>866</v>
      </c>
      <c r="L880" s="59">
        <v>72.5</v>
      </c>
    </row>
    <row r="881" spans="8:12" x14ac:dyDescent="0.15">
      <c r="H881" s="59">
        <v>867</v>
      </c>
      <c r="I881" s="59">
        <v>61</v>
      </c>
      <c r="K881" s="59">
        <v>867</v>
      </c>
      <c r="L881" s="59">
        <v>62</v>
      </c>
    </row>
    <row r="882" spans="8:12" x14ac:dyDescent="0.15">
      <c r="H882" s="59">
        <v>868</v>
      </c>
      <c r="I882" s="59">
        <v>85</v>
      </c>
      <c r="K882" s="59">
        <v>868</v>
      </c>
      <c r="L882" s="59">
        <v>73</v>
      </c>
    </row>
    <row r="883" spans="8:12" x14ac:dyDescent="0.15">
      <c r="H883" s="59">
        <v>869</v>
      </c>
      <c r="I883" s="59">
        <v>43</v>
      </c>
      <c r="K883" s="59">
        <v>869</v>
      </c>
      <c r="L883" s="59">
        <v>81</v>
      </c>
    </row>
    <row r="884" spans="8:12" x14ac:dyDescent="0.15">
      <c r="H884" s="59">
        <v>870</v>
      </c>
      <c r="I884" s="59">
        <v>36</v>
      </c>
      <c r="K884" s="59">
        <v>870</v>
      </c>
      <c r="L884" s="59">
        <v>66.5</v>
      </c>
    </row>
    <row r="885" spans="8:12" x14ac:dyDescent="0.15">
      <c r="H885" s="59">
        <v>871</v>
      </c>
      <c r="I885" s="59">
        <v>66</v>
      </c>
      <c r="K885" s="59">
        <v>871</v>
      </c>
      <c r="L885" s="59">
        <v>81.5</v>
      </c>
    </row>
    <row r="886" spans="8:12" x14ac:dyDescent="0.15">
      <c r="H886" s="59">
        <v>872</v>
      </c>
      <c r="I886" s="59">
        <v>57</v>
      </c>
      <c r="K886" s="59">
        <v>872</v>
      </c>
      <c r="L886" s="59">
        <v>48</v>
      </c>
    </row>
    <row r="887" spans="8:12" x14ac:dyDescent="0.15">
      <c r="H887" s="59">
        <v>873</v>
      </c>
      <c r="I887" s="59">
        <v>59</v>
      </c>
      <c r="K887" s="59">
        <v>873</v>
      </c>
      <c r="L887" s="59">
        <v>71</v>
      </c>
    </row>
    <row r="888" spans="8:12" x14ac:dyDescent="0.15">
      <c r="H888" s="59">
        <v>874</v>
      </c>
      <c r="I888" s="59">
        <v>5</v>
      </c>
      <c r="K888" s="59">
        <v>874</v>
      </c>
      <c r="L888" s="59">
        <v>71</v>
      </c>
    </row>
    <row r="889" spans="8:12" x14ac:dyDescent="0.15">
      <c r="H889" s="59">
        <v>875</v>
      </c>
      <c r="I889" s="59">
        <v>78</v>
      </c>
      <c r="K889" s="59">
        <v>875</v>
      </c>
      <c r="L889" s="59">
        <v>83</v>
      </c>
    </row>
    <row r="890" spans="8:12" x14ac:dyDescent="0.15">
      <c r="H890" s="59">
        <v>876</v>
      </c>
      <c r="I890" s="59">
        <v>20</v>
      </c>
      <c r="K890" s="59">
        <v>876</v>
      </c>
      <c r="L890" s="59">
        <v>92</v>
      </c>
    </row>
    <row r="891" spans="8:12" x14ac:dyDescent="0.15">
      <c r="H891" s="59">
        <v>877</v>
      </c>
      <c r="I891" s="59">
        <v>77</v>
      </c>
      <c r="K891" s="59">
        <v>877</v>
      </c>
      <c r="L891" s="59">
        <v>84</v>
      </c>
    </row>
    <row r="892" spans="8:12" x14ac:dyDescent="0.15">
      <c r="H892" s="59">
        <v>878</v>
      </c>
      <c r="I892" s="59">
        <v>7</v>
      </c>
      <c r="K892" s="59">
        <v>878</v>
      </c>
      <c r="L892" s="59">
        <v>88</v>
      </c>
    </row>
    <row r="893" spans="8:12" x14ac:dyDescent="0.15">
      <c r="H893" s="59">
        <v>879</v>
      </c>
      <c r="I893" s="59">
        <v>88</v>
      </c>
      <c r="K893" s="59">
        <v>879</v>
      </c>
      <c r="L893" s="59">
        <v>79</v>
      </c>
    </row>
    <row r="894" spans="8:12" x14ac:dyDescent="0.15">
      <c r="H894" s="59">
        <v>880</v>
      </c>
      <c r="I894" s="59">
        <v>60</v>
      </c>
      <c r="K894" s="59">
        <v>880</v>
      </c>
      <c r="L894" s="59">
        <v>75.5</v>
      </c>
    </row>
    <row r="895" spans="8:12" x14ac:dyDescent="0.15">
      <c r="H895" s="59">
        <v>881</v>
      </c>
      <c r="I895" s="59">
        <v>55</v>
      </c>
      <c r="K895" s="59">
        <v>881</v>
      </c>
      <c r="L895" s="59">
        <v>60</v>
      </c>
    </row>
    <row r="896" spans="8:12" x14ac:dyDescent="0.15">
      <c r="H896" s="59">
        <v>882</v>
      </c>
      <c r="I896" s="59">
        <v>65</v>
      </c>
      <c r="K896" s="59">
        <v>882</v>
      </c>
      <c r="L896" s="59">
        <v>96.5</v>
      </c>
    </row>
    <row r="897" spans="8:12" x14ac:dyDescent="0.15">
      <c r="H897" s="59">
        <v>883</v>
      </c>
      <c r="I897" s="59">
        <v>39</v>
      </c>
      <c r="K897" s="59">
        <v>883</v>
      </c>
      <c r="L897" s="59">
        <v>85</v>
      </c>
    </row>
    <row r="898" spans="8:12" x14ac:dyDescent="0.15">
      <c r="H898" s="59">
        <v>884</v>
      </c>
      <c r="I898" s="59">
        <v>76</v>
      </c>
      <c r="K898" s="59">
        <v>884</v>
      </c>
      <c r="L898" s="59">
        <v>89.5</v>
      </c>
    </row>
    <row r="899" spans="8:12" x14ac:dyDescent="0.15">
      <c r="H899" s="59">
        <v>885</v>
      </c>
      <c r="I899" s="59">
        <v>78</v>
      </c>
      <c r="K899" s="59">
        <v>885</v>
      </c>
      <c r="L899" s="59">
        <v>70.5</v>
      </c>
    </row>
    <row r="900" spans="8:12" x14ac:dyDescent="0.15">
      <c r="H900" s="59">
        <v>886</v>
      </c>
      <c r="I900" s="59">
        <v>52</v>
      </c>
      <c r="K900" s="59">
        <v>886</v>
      </c>
      <c r="L900" s="59">
        <v>92</v>
      </c>
    </row>
    <row r="901" spans="8:12" x14ac:dyDescent="0.15">
      <c r="H901" s="59">
        <v>887</v>
      </c>
      <c r="I901" s="59">
        <v>71</v>
      </c>
      <c r="K901" s="59">
        <v>887</v>
      </c>
      <c r="L901" s="59">
        <v>90</v>
      </c>
    </row>
    <row r="902" spans="8:12" x14ac:dyDescent="0.15">
      <c r="H902" s="59">
        <v>888</v>
      </c>
      <c r="I902" s="59">
        <v>14</v>
      </c>
      <c r="K902" s="59">
        <v>888</v>
      </c>
      <c r="L902" s="59">
        <v>62</v>
      </c>
    </row>
    <row r="903" spans="8:12" x14ac:dyDescent="0.15">
      <c r="H903" s="59">
        <v>889</v>
      </c>
      <c r="I903" s="59">
        <v>88</v>
      </c>
      <c r="K903" s="59">
        <v>889</v>
      </c>
      <c r="L903" s="59">
        <v>60.5</v>
      </c>
    </row>
    <row r="904" spans="8:12" x14ac:dyDescent="0.15">
      <c r="H904" s="59">
        <v>890</v>
      </c>
      <c r="I904" s="59">
        <v>81</v>
      </c>
      <c r="K904" s="59">
        <v>890</v>
      </c>
      <c r="L904" s="59">
        <v>77</v>
      </c>
    </row>
    <row r="905" spans="8:12" x14ac:dyDescent="0.15">
      <c r="H905" s="59">
        <v>891</v>
      </c>
      <c r="I905" s="59">
        <v>29</v>
      </c>
      <c r="K905" s="59">
        <v>891</v>
      </c>
      <c r="L905" s="59">
        <v>56</v>
      </c>
    </row>
    <row r="906" spans="8:12" x14ac:dyDescent="0.15">
      <c r="H906" s="59">
        <v>892</v>
      </c>
      <c r="I906" s="59">
        <v>63</v>
      </c>
      <c r="K906" s="59">
        <v>892</v>
      </c>
      <c r="L906" s="59">
        <v>56.5</v>
      </c>
    </row>
    <row r="907" spans="8:12" x14ac:dyDescent="0.15">
      <c r="H907" s="59">
        <v>893</v>
      </c>
      <c r="I907" s="59">
        <v>33</v>
      </c>
      <c r="K907" s="59">
        <v>893</v>
      </c>
      <c r="L907" s="59">
        <v>76.5</v>
      </c>
    </row>
    <row r="908" spans="8:12" x14ac:dyDescent="0.15">
      <c r="H908" s="59">
        <v>894</v>
      </c>
      <c r="I908" s="59">
        <v>77</v>
      </c>
      <c r="K908" s="59">
        <v>894</v>
      </c>
      <c r="L908" s="59">
        <v>74.5</v>
      </c>
    </row>
    <row r="909" spans="8:12" x14ac:dyDescent="0.15">
      <c r="H909" s="59">
        <v>895</v>
      </c>
      <c r="I909" s="59">
        <v>67</v>
      </c>
      <c r="K909" s="59">
        <v>895</v>
      </c>
      <c r="L909" s="59">
        <v>54</v>
      </c>
    </row>
    <row r="910" spans="8:12" x14ac:dyDescent="0.15">
      <c r="H910" s="59">
        <v>896</v>
      </c>
      <c r="I910" s="59">
        <v>68</v>
      </c>
      <c r="K910" s="59">
        <v>896</v>
      </c>
      <c r="L910" s="59">
        <v>87</v>
      </c>
    </row>
    <row r="911" spans="8:12" x14ac:dyDescent="0.15">
      <c r="H911" s="59">
        <v>897</v>
      </c>
      <c r="I911" s="59">
        <v>26</v>
      </c>
      <c r="K911" s="59">
        <v>897</v>
      </c>
      <c r="L911" s="59">
        <v>79.5</v>
      </c>
    </row>
    <row r="912" spans="8:12" x14ac:dyDescent="0.15">
      <c r="H912" s="59">
        <v>898</v>
      </c>
      <c r="I912" s="59">
        <v>63</v>
      </c>
      <c r="K912" s="59">
        <v>898</v>
      </c>
      <c r="L912" s="59">
        <v>90.5</v>
      </c>
    </row>
    <row r="913" spans="8:12" x14ac:dyDescent="0.15">
      <c r="H913" s="59">
        <v>899</v>
      </c>
      <c r="I913" s="59">
        <v>17</v>
      </c>
      <c r="K913" s="59">
        <v>899</v>
      </c>
      <c r="L913" s="59">
        <v>85.5</v>
      </c>
    </row>
    <row r="914" spans="8:12" x14ac:dyDescent="0.15">
      <c r="H914" s="59">
        <v>900</v>
      </c>
      <c r="I914" s="59">
        <v>93</v>
      </c>
      <c r="K914" s="59">
        <v>900</v>
      </c>
      <c r="L914" s="59">
        <v>62</v>
      </c>
    </row>
    <row r="915" spans="8:12" x14ac:dyDescent="0.15">
      <c r="H915" s="59">
        <v>901</v>
      </c>
      <c r="I915" s="59">
        <v>20</v>
      </c>
      <c r="K915" s="59">
        <v>901</v>
      </c>
      <c r="L915" s="59">
        <v>53</v>
      </c>
    </row>
    <row r="916" spans="8:12" x14ac:dyDescent="0.15">
      <c r="H916" s="59">
        <v>902</v>
      </c>
      <c r="I916" s="59">
        <v>97</v>
      </c>
      <c r="K916" s="59">
        <v>902</v>
      </c>
      <c r="L916" s="59">
        <v>55.5</v>
      </c>
    </row>
    <row r="917" spans="8:12" x14ac:dyDescent="0.15">
      <c r="H917" s="59">
        <v>903</v>
      </c>
      <c r="I917" s="59">
        <v>60</v>
      </c>
      <c r="K917" s="59">
        <v>903</v>
      </c>
      <c r="L917" s="59">
        <v>50</v>
      </c>
    </row>
    <row r="918" spans="8:12" x14ac:dyDescent="0.15">
      <c r="H918" s="59">
        <v>904</v>
      </c>
      <c r="I918" s="59">
        <v>45</v>
      </c>
      <c r="K918" s="59">
        <v>904</v>
      </c>
      <c r="L918" s="59">
        <v>89</v>
      </c>
    </row>
    <row r="919" spans="8:12" x14ac:dyDescent="0.15">
      <c r="H919" s="59">
        <v>905</v>
      </c>
      <c r="I919" s="59">
        <v>78</v>
      </c>
      <c r="K919" s="59">
        <v>905</v>
      </c>
      <c r="L919" s="59">
        <v>64.5</v>
      </c>
    </row>
    <row r="920" spans="8:12" x14ac:dyDescent="0.15">
      <c r="H920" s="59">
        <v>906</v>
      </c>
      <c r="I920" s="59">
        <v>70</v>
      </c>
      <c r="K920" s="59">
        <v>906</v>
      </c>
      <c r="L920" s="59">
        <v>87.5</v>
      </c>
    </row>
    <row r="921" spans="8:12" x14ac:dyDescent="0.15">
      <c r="H921" s="59">
        <v>907</v>
      </c>
      <c r="I921" s="59">
        <v>24</v>
      </c>
      <c r="K921" s="59">
        <v>907</v>
      </c>
      <c r="L921" s="59">
        <v>59.5</v>
      </c>
    </row>
    <row r="922" spans="8:12" x14ac:dyDescent="0.15">
      <c r="H922" s="59">
        <v>908</v>
      </c>
      <c r="I922" s="59">
        <v>32</v>
      </c>
      <c r="K922" s="59">
        <v>908</v>
      </c>
      <c r="L922" s="59">
        <v>68.5</v>
      </c>
    </row>
    <row r="923" spans="8:12" x14ac:dyDescent="0.15">
      <c r="H923" s="59">
        <v>909</v>
      </c>
      <c r="I923" s="59">
        <v>65</v>
      </c>
      <c r="K923" s="59">
        <v>909</v>
      </c>
      <c r="L923" s="59">
        <v>86.5</v>
      </c>
    </row>
    <row r="924" spans="8:12" x14ac:dyDescent="0.15">
      <c r="H924" s="59">
        <v>910</v>
      </c>
      <c r="I924" s="59">
        <v>14</v>
      </c>
      <c r="K924" s="59">
        <v>910</v>
      </c>
      <c r="L924" s="59">
        <v>57</v>
      </c>
    </row>
    <row r="925" spans="8:12" x14ac:dyDescent="0.15">
      <c r="H925" s="59">
        <v>911</v>
      </c>
      <c r="I925" s="59">
        <v>89</v>
      </c>
      <c r="K925" s="59">
        <v>911</v>
      </c>
      <c r="L925" s="59">
        <v>72.5</v>
      </c>
    </row>
    <row r="926" spans="8:12" x14ac:dyDescent="0.15">
      <c r="H926" s="59">
        <v>912</v>
      </c>
      <c r="I926" s="59">
        <v>48</v>
      </c>
      <c r="K926" s="59">
        <v>912</v>
      </c>
      <c r="L926" s="59">
        <v>83</v>
      </c>
    </row>
    <row r="927" spans="8:12" x14ac:dyDescent="0.15">
      <c r="H927" s="59">
        <v>913</v>
      </c>
      <c r="I927" s="59">
        <v>52</v>
      </c>
      <c r="K927" s="59">
        <v>913</v>
      </c>
      <c r="L927" s="59">
        <v>95.5</v>
      </c>
    </row>
    <row r="928" spans="8:12" x14ac:dyDescent="0.15">
      <c r="H928" s="59">
        <v>914</v>
      </c>
      <c r="I928" s="59">
        <v>84</v>
      </c>
      <c r="K928" s="59">
        <v>914</v>
      </c>
      <c r="L928" s="59">
        <v>87.5</v>
      </c>
    </row>
    <row r="929" spans="8:12" x14ac:dyDescent="0.15">
      <c r="H929" s="59">
        <v>915</v>
      </c>
      <c r="I929" s="59">
        <v>79</v>
      </c>
      <c r="K929" s="59">
        <v>915</v>
      </c>
      <c r="L929" s="59">
        <v>58</v>
      </c>
    </row>
    <row r="930" spans="8:12" x14ac:dyDescent="0.15">
      <c r="H930" s="59">
        <v>916</v>
      </c>
      <c r="I930" s="59">
        <v>85</v>
      </c>
      <c r="K930" s="59">
        <v>916</v>
      </c>
      <c r="L930" s="59">
        <v>48</v>
      </c>
    </row>
    <row r="931" spans="8:12" x14ac:dyDescent="0.15">
      <c r="H931" s="59">
        <v>917</v>
      </c>
      <c r="I931" s="59">
        <v>41</v>
      </c>
      <c r="K931" s="59">
        <v>917</v>
      </c>
      <c r="L931" s="59">
        <v>60.5</v>
      </c>
    </row>
    <row r="932" spans="8:12" x14ac:dyDescent="0.15">
      <c r="H932" s="59">
        <v>918</v>
      </c>
      <c r="I932" s="59">
        <v>36</v>
      </c>
      <c r="K932" s="59">
        <v>918</v>
      </c>
      <c r="L932" s="59">
        <v>86.5</v>
      </c>
    </row>
    <row r="933" spans="8:12" x14ac:dyDescent="0.15">
      <c r="H933" s="59">
        <v>919</v>
      </c>
      <c r="I933" s="59">
        <v>80</v>
      </c>
      <c r="K933" s="59">
        <v>919</v>
      </c>
      <c r="L933" s="59">
        <v>76</v>
      </c>
    </row>
    <row r="934" spans="8:12" x14ac:dyDescent="0.15">
      <c r="H934" s="59">
        <v>920</v>
      </c>
      <c r="I934" s="59">
        <v>49</v>
      </c>
      <c r="K934" s="59">
        <v>920</v>
      </c>
      <c r="L934" s="59">
        <v>78.5</v>
      </c>
    </row>
    <row r="935" spans="8:12" x14ac:dyDescent="0.15">
      <c r="H935" s="59">
        <v>921</v>
      </c>
      <c r="I935" s="59">
        <v>71</v>
      </c>
      <c r="K935" s="59">
        <v>921</v>
      </c>
      <c r="L935" s="59">
        <v>67.5</v>
      </c>
    </row>
    <row r="936" spans="8:12" x14ac:dyDescent="0.15">
      <c r="H936" s="59">
        <v>922</v>
      </c>
      <c r="I936" s="59">
        <v>85</v>
      </c>
      <c r="K936" s="59">
        <v>922</v>
      </c>
      <c r="L936" s="59">
        <v>81</v>
      </c>
    </row>
    <row r="937" spans="8:12" x14ac:dyDescent="0.15">
      <c r="H937" s="59">
        <v>923</v>
      </c>
      <c r="I937" s="59">
        <v>55</v>
      </c>
      <c r="K937" s="59">
        <v>923</v>
      </c>
      <c r="L937" s="59">
        <v>60</v>
      </c>
    </row>
    <row r="938" spans="8:12" x14ac:dyDescent="0.15">
      <c r="H938" s="59">
        <v>924</v>
      </c>
      <c r="I938" s="59">
        <v>64</v>
      </c>
      <c r="K938" s="59">
        <v>924</v>
      </c>
      <c r="L938" s="59">
        <v>59</v>
      </c>
    </row>
    <row r="939" spans="8:12" x14ac:dyDescent="0.15">
      <c r="H939" s="59">
        <v>925</v>
      </c>
      <c r="I939" s="59">
        <v>51</v>
      </c>
      <c r="K939" s="59">
        <v>925</v>
      </c>
      <c r="L939" s="59">
        <v>54.5</v>
      </c>
    </row>
    <row r="940" spans="8:12" x14ac:dyDescent="0.15">
      <c r="H940" s="59">
        <v>926</v>
      </c>
      <c r="I940" s="59">
        <v>80</v>
      </c>
      <c r="K940" s="59">
        <v>926</v>
      </c>
      <c r="L940" s="59">
        <v>81</v>
      </c>
    </row>
    <row r="941" spans="8:12" x14ac:dyDescent="0.15">
      <c r="H941" s="59">
        <v>927</v>
      </c>
      <c r="I941" s="59">
        <v>57</v>
      </c>
      <c r="K941" s="59">
        <v>927</v>
      </c>
      <c r="L941" s="59">
        <v>83.5</v>
      </c>
    </row>
    <row r="942" spans="8:12" x14ac:dyDescent="0.15">
      <c r="H942" s="59">
        <v>928</v>
      </c>
      <c r="I942" s="59">
        <v>34</v>
      </c>
      <c r="K942" s="59">
        <v>928</v>
      </c>
      <c r="L942" s="59">
        <v>58</v>
      </c>
    </row>
    <row r="943" spans="8:12" x14ac:dyDescent="0.15">
      <c r="H943" s="59">
        <v>929</v>
      </c>
      <c r="I943" s="59">
        <v>35</v>
      </c>
      <c r="K943" s="59">
        <v>929</v>
      </c>
      <c r="L943" s="59">
        <v>65</v>
      </c>
    </row>
    <row r="944" spans="8:12" x14ac:dyDescent="0.15">
      <c r="H944" s="59">
        <v>930</v>
      </c>
      <c r="I944" s="59">
        <v>65</v>
      </c>
      <c r="K944" s="59">
        <v>930</v>
      </c>
      <c r="L944" s="59">
        <v>73</v>
      </c>
    </row>
    <row r="945" spans="8:12" x14ac:dyDescent="0.15">
      <c r="H945" s="59">
        <v>931</v>
      </c>
      <c r="I945" s="59">
        <v>53</v>
      </c>
      <c r="K945" s="59">
        <v>931</v>
      </c>
      <c r="L945" s="59">
        <v>73.5</v>
      </c>
    </row>
    <row r="946" spans="8:12" x14ac:dyDescent="0.15">
      <c r="H946" s="59">
        <v>932</v>
      </c>
      <c r="I946" s="59">
        <v>72</v>
      </c>
      <c r="K946" s="59">
        <v>932</v>
      </c>
      <c r="L946" s="59">
        <v>54.5</v>
      </c>
    </row>
    <row r="947" spans="8:12" x14ac:dyDescent="0.15">
      <c r="H947" s="59">
        <v>933</v>
      </c>
      <c r="I947" s="59">
        <v>29</v>
      </c>
      <c r="K947" s="59">
        <v>933</v>
      </c>
      <c r="L947" s="59">
        <v>77</v>
      </c>
    </row>
    <row r="948" spans="8:12" x14ac:dyDescent="0.15">
      <c r="H948" s="59">
        <v>934</v>
      </c>
      <c r="I948" s="59">
        <v>56</v>
      </c>
      <c r="K948" s="59">
        <v>934</v>
      </c>
      <c r="L948" s="59">
        <v>48</v>
      </c>
    </row>
    <row r="949" spans="8:12" x14ac:dyDescent="0.15">
      <c r="H949" s="59">
        <v>935</v>
      </c>
      <c r="I949" s="59">
        <v>21</v>
      </c>
      <c r="K949" s="59">
        <v>935</v>
      </c>
      <c r="L949" s="59">
        <v>96</v>
      </c>
    </row>
    <row r="950" spans="8:12" x14ac:dyDescent="0.15">
      <c r="H950" s="59">
        <v>936</v>
      </c>
      <c r="I950" s="59">
        <v>78</v>
      </c>
      <c r="K950" s="59">
        <v>936</v>
      </c>
      <c r="L950" s="59">
        <v>64</v>
      </c>
    </row>
    <row r="951" spans="8:12" x14ac:dyDescent="0.15">
      <c r="H951" s="59">
        <v>937</v>
      </c>
      <c r="I951" s="59">
        <v>73</v>
      </c>
      <c r="K951" s="59">
        <v>937</v>
      </c>
      <c r="L951" s="59">
        <v>50.5</v>
      </c>
    </row>
    <row r="952" spans="8:12" x14ac:dyDescent="0.15">
      <c r="H952" s="59">
        <v>938</v>
      </c>
      <c r="I952" s="59">
        <v>14</v>
      </c>
      <c r="K952" s="59">
        <v>938</v>
      </c>
      <c r="L952" s="59">
        <v>90.5</v>
      </c>
    </row>
    <row r="953" spans="8:12" x14ac:dyDescent="0.15">
      <c r="H953" s="59">
        <v>939</v>
      </c>
      <c r="I953" s="59">
        <v>4</v>
      </c>
      <c r="K953" s="59">
        <v>939</v>
      </c>
      <c r="L953" s="59">
        <v>76.5</v>
      </c>
    </row>
    <row r="954" spans="8:12" x14ac:dyDescent="0.15">
      <c r="H954" s="59">
        <v>940</v>
      </c>
      <c r="I954" s="59">
        <v>75</v>
      </c>
      <c r="K954" s="59">
        <v>940</v>
      </c>
      <c r="L954" s="59">
        <v>92</v>
      </c>
    </row>
    <row r="955" spans="8:12" x14ac:dyDescent="0.15">
      <c r="H955" s="59">
        <v>941</v>
      </c>
      <c r="I955" s="59">
        <v>36</v>
      </c>
      <c r="K955" s="59">
        <v>941</v>
      </c>
      <c r="L955" s="59">
        <v>82.5</v>
      </c>
    </row>
    <row r="956" spans="8:12" x14ac:dyDescent="0.15">
      <c r="H956" s="59">
        <v>942</v>
      </c>
      <c r="I956" s="59">
        <v>44</v>
      </c>
      <c r="K956" s="59">
        <v>942</v>
      </c>
      <c r="L956" s="59">
        <v>78</v>
      </c>
    </row>
    <row r="957" spans="8:12" x14ac:dyDescent="0.15">
      <c r="H957" s="59">
        <v>943</v>
      </c>
      <c r="I957" s="59">
        <v>28</v>
      </c>
      <c r="K957" s="59">
        <v>943</v>
      </c>
      <c r="L957" s="59">
        <v>76</v>
      </c>
    </row>
    <row r="958" spans="8:12" x14ac:dyDescent="0.15">
      <c r="H958" s="59">
        <v>944</v>
      </c>
      <c r="I958" s="59">
        <v>70</v>
      </c>
      <c r="K958" s="59">
        <v>944</v>
      </c>
      <c r="L958" s="59">
        <v>53</v>
      </c>
    </row>
    <row r="959" spans="8:12" x14ac:dyDescent="0.15">
      <c r="H959" s="59">
        <v>945</v>
      </c>
      <c r="I959" s="59">
        <v>64</v>
      </c>
      <c r="K959" s="59">
        <v>945</v>
      </c>
      <c r="L959" s="59">
        <v>94.5</v>
      </c>
    </row>
    <row r="960" spans="8:12" x14ac:dyDescent="0.15">
      <c r="H960" s="59">
        <v>946</v>
      </c>
      <c r="I960" s="59">
        <v>55</v>
      </c>
      <c r="K960" s="59">
        <v>946</v>
      </c>
      <c r="L960" s="59">
        <v>49</v>
      </c>
    </row>
    <row r="961" spans="8:12" x14ac:dyDescent="0.15">
      <c r="H961" s="59">
        <v>947</v>
      </c>
      <c r="I961" s="59">
        <v>54</v>
      </c>
      <c r="K961" s="59">
        <v>947</v>
      </c>
      <c r="L961" s="59">
        <v>87.5</v>
      </c>
    </row>
    <row r="962" spans="8:12" x14ac:dyDescent="0.15">
      <c r="H962" s="59">
        <v>948</v>
      </c>
      <c r="I962" s="59">
        <v>81</v>
      </c>
      <c r="K962" s="59">
        <v>948</v>
      </c>
      <c r="L962" s="59">
        <v>90.5</v>
      </c>
    </row>
    <row r="963" spans="8:12" x14ac:dyDescent="0.15">
      <c r="H963" s="59">
        <v>949</v>
      </c>
      <c r="I963" s="59">
        <v>33</v>
      </c>
      <c r="K963" s="59">
        <v>949</v>
      </c>
      <c r="L963" s="59">
        <v>92</v>
      </c>
    </row>
    <row r="964" spans="8:12" x14ac:dyDescent="0.15">
      <c r="H964" s="59">
        <v>950</v>
      </c>
      <c r="I964" s="59">
        <v>54</v>
      </c>
      <c r="K964" s="59">
        <v>950</v>
      </c>
      <c r="L964" s="59">
        <v>58</v>
      </c>
    </row>
    <row r="965" spans="8:12" x14ac:dyDescent="0.15">
      <c r="H965" s="59">
        <v>951</v>
      </c>
      <c r="I965" s="59">
        <v>59</v>
      </c>
      <c r="K965" s="59">
        <v>951</v>
      </c>
      <c r="L965" s="59">
        <v>97.5</v>
      </c>
    </row>
    <row r="966" spans="8:12" x14ac:dyDescent="0.15">
      <c r="H966" s="59">
        <v>952</v>
      </c>
      <c r="I966" s="59">
        <v>72</v>
      </c>
      <c r="K966" s="59">
        <v>952</v>
      </c>
      <c r="L966" s="59">
        <v>57.5</v>
      </c>
    </row>
    <row r="967" spans="8:12" x14ac:dyDescent="0.15">
      <c r="H967" s="59">
        <v>953</v>
      </c>
      <c r="I967" s="59">
        <v>67</v>
      </c>
      <c r="K967" s="59">
        <v>953</v>
      </c>
      <c r="L967" s="59">
        <v>59.5</v>
      </c>
    </row>
    <row r="968" spans="8:12" x14ac:dyDescent="0.15">
      <c r="H968" s="59">
        <v>954</v>
      </c>
      <c r="I968" s="59">
        <v>77</v>
      </c>
      <c r="K968" s="59">
        <v>954</v>
      </c>
      <c r="L968" s="59">
        <v>69</v>
      </c>
    </row>
    <row r="969" spans="8:12" x14ac:dyDescent="0.15">
      <c r="H969" s="59">
        <v>955</v>
      </c>
      <c r="I969" s="59">
        <v>47</v>
      </c>
      <c r="K969" s="59">
        <v>955</v>
      </c>
      <c r="L969" s="59">
        <v>56.5</v>
      </c>
    </row>
    <row r="970" spans="8:12" x14ac:dyDescent="0.15">
      <c r="H970" s="59">
        <v>956</v>
      </c>
      <c r="I970" s="59">
        <v>76</v>
      </c>
      <c r="K970" s="59">
        <v>956</v>
      </c>
      <c r="L970" s="59">
        <v>82</v>
      </c>
    </row>
    <row r="971" spans="8:12" x14ac:dyDescent="0.15">
      <c r="H971" s="59">
        <v>957</v>
      </c>
      <c r="I971" s="59">
        <v>6</v>
      </c>
      <c r="K971" s="59">
        <v>957</v>
      </c>
      <c r="L971" s="59">
        <v>89.5</v>
      </c>
    </row>
    <row r="972" spans="8:12" x14ac:dyDescent="0.15">
      <c r="H972" s="59">
        <v>958</v>
      </c>
      <c r="I972" s="59">
        <v>59</v>
      </c>
      <c r="K972" s="59">
        <v>958</v>
      </c>
      <c r="L972" s="59">
        <v>79</v>
      </c>
    </row>
    <row r="973" spans="8:12" x14ac:dyDescent="0.15">
      <c r="H973" s="59">
        <v>959</v>
      </c>
      <c r="I973" s="59">
        <v>19</v>
      </c>
      <c r="K973" s="59">
        <v>959</v>
      </c>
      <c r="L973" s="59">
        <v>62.5</v>
      </c>
    </row>
    <row r="974" spans="8:12" x14ac:dyDescent="0.15">
      <c r="H974" s="59">
        <v>960</v>
      </c>
      <c r="I974" s="59">
        <v>58</v>
      </c>
      <c r="K974" s="59">
        <v>960</v>
      </c>
      <c r="L974" s="59">
        <v>66</v>
      </c>
    </row>
    <row r="975" spans="8:12" x14ac:dyDescent="0.15">
      <c r="H975" s="59">
        <v>961</v>
      </c>
      <c r="I975" s="59">
        <v>57</v>
      </c>
      <c r="K975" s="59">
        <v>961</v>
      </c>
      <c r="L975" s="59">
        <v>58</v>
      </c>
    </row>
    <row r="976" spans="8:12" x14ac:dyDescent="0.15">
      <c r="H976" s="59">
        <v>962</v>
      </c>
      <c r="I976" s="59">
        <v>72</v>
      </c>
      <c r="K976" s="59">
        <v>962</v>
      </c>
      <c r="L976" s="59">
        <v>93</v>
      </c>
    </row>
    <row r="977" spans="8:12" x14ac:dyDescent="0.15">
      <c r="H977" s="59">
        <v>963</v>
      </c>
      <c r="I977" s="59">
        <v>6</v>
      </c>
      <c r="K977" s="59">
        <v>963</v>
      </c>
      <c r="L977" s="59">
        <v>95</v>
      </c>
    </row>
    <row r="978" spans="8:12" x14ac:dyDescent="0.15">
      <c r="H978" s="59">
        <v>964</v>
      </c>
      <c r="I978" s="59">
        <v>44</v>
      </c>
      <c r="K978" s="59">
        <v>964</v>
      </c>
      <c r="L978" s="59">
        <v>55.5</v>
      </c>
    </row>
    <row r="979" spans="8:12" x14ac:dyDescent="0.15">
      <c r="H979" s="59">
        <v>965</v>
      </c>
      <c r="I979" s="59">
        <v>49</v>
      </c>
      <c r="K979" s="59">
        <v>965</v>
      </c>
      <c r="L979" s="59">
        <v>79.5</v>
      </c>
    </row>
    <row r="980" spans="8:12" x14ac:dyDescent="0.15">
      <c r="H980" s="59">
        <v>966</v>
      </c>
      <c r="I980" s="59">
        <v>71</v>
      </c>
      <c r="K980" s="59">
        <v>966</v>
      </c>
      <c r="L980" s="59">
        <v>48.5</v>
      </c>
    </row>
    <row r="981" spans="8:12" x14ac:dyDescent="0.15">
      <c r="H981" s="59">
        <v>967</v>
      </c>
      <c r="I981" s="59">
        <v>61</v>
      </c>
      <c r="K981" s="59">
        <v>967</v>
      </c>
      <c r="L981" s="59">
        <v>88</v>
      </c>
    </row>
    <row r="982" spans="8:12" x14ac:dyDescent="0.15">
      <c r="H982" s="59">
        <v>968</v>
      </c>
      <c r="I982" s="59">
        <v>38</v>
      </c>
      <c r="K982" s="59">
        <v>968</v>
      </c>
      <c r="L982" s="59">
        <v>95.5</v>
      </c>
    </row>
    <row r="983" spans="8:12" x14ac:dyDescent="0.15">
      <c r="H983" s="59">
        <v>969</v>
      </c>
      <c r="I983" s="59">
        <v>44</v>
      </c>
      <c r="K983" s="59">
        <v>969</v>
      </c>
      <c r="L983" s="59">
        <v>85</v>
      </c>
    </row>
    <row r="984" spans="8:12" x14ac:dyDescent="0.15">
      <c r="H984" s="59">
        <v>970</v>
      </c>
      <c r="I984" s="59">
        <v>69</v>
      </c>
      <c r="K984" s="59">
        <v>970</v>
      </c>
      <c r="L984" s="59">
        <v>56.5</v>
      </c>
    </row>
    <row r="985" spans="8:12" x14ac:dyDescent="0.15">
      <c r="H985" s="59">
        <v>971</v>
      </c>
      <c r="I985" s="59">
        <v>57</v>
      </c>
      <c r="K985" s="59">
        <v>971</v>
      </c>
      <c r="L985" s="59">
        <v>88.5</v>
      </c>
    </row>
    <row r="986" spans="8:12" x14ac:dyDescent="0.15">
      <c r="H986" s="59">
        <v>972</v>
      </c>
      <c r="I986" s="59">
        <v>77</v>
      </c>
      <c r="K986" s="59">
        <v>972</v>
      </c>
      <c r="L986" s="59">
        <v>97.5</v>
      </c>
    </row>
    <row r="987" spans="8:12" x14ac:dyDescent="0.15">
      <c r="H987" s="59">
        <v>973</v>
      </c>
      <c r="I987" s="59">
        <v>81</v>
      </c>
      <c r="K987" s="59">
        <v>973</v>
      </c>
      <c r="L987" s="59">
        <v>60.5</v>
      </c>
    </row>
    <row r="988" spans="8:12" x14ac:dyDescent="0.15">
      <c r="H988" s="59">
        <v>974</v>
      </c>
      <c r="I988" s="59">
        <v>97</v>
      </c>
      <c r="K988" s="59">
        <v>974</v>
      </c>
      <c r="L988" s="59">
        <v>69</v>
      </c>
    </row>
    <row r="989" spans="8:12" x14ac:dyDescent="0.15">
      <c r="H989" s="59">
        <v>975</v>
      </c>
      <c r="I989" s="59">
        <v>10</v>
      </c>
      <c r="K989" s="59">
        <v>975</v>
      </c>
      <c r="L989" s="59">
        <v>64</v>
      </c>
    </row>
    <row r="990" spans="8:12" x14ac:dyDescent="0.15">
      <c r="H990" s="59">
        <v>976</v>
      </c>
      <c r="I990" s="59">
        <v>78</v>
      </c>
      <c r="K990" s="59">
        <v>976</v>
      </c>
      <c r="L990" s="59">
        <v>94.5</v>
      </c>
    </row>
    <row r="991" spans="8:12" x14ac:dyDescent="0.15">
      <c r="H991" s="59">
        <v>977</v>
      </c>
      <c r="I991" s="59">
        <v>89</v>
      </c>
      <c r="K991" s="59">
        <v>977</v>
      </c>
      <c r="L991" s="59">
        <v>66</v>
      </c>
    </row>
    <row r="992" spans="8:12" x14ac:dyDescent="0.15">
      <c r="H992" s="59">
        <v>978</v>
      </c>
      <c r="I992" s="59">
        <v>72</v>
      </c>
      <c r="K992" s="59">
        <v>978</v>
      </c>
      <c r="L992" s="59">
        <v>94</v>
      </c>
    </row>
    <row r="993" spans="8:12" x14ac:dyDescent="0.15">
      <c r="H993" s="59">
        <v>979</v>
      </c>
      <c r="I993" s="59">
        <v>64</v>
      </c>
      <c r="K993" s="59">
        <v>979</v>
      </c>
      <c r="L993" s="59">
        <v>93</v>
      </c>
    </row>
    <row r="994" spans="8:12" x14ac:dyDescent="0.15">
      <c r="H994" s="59">
        <v>980</v>
      </c>
      <c r="I994" s="59">
        <v>57</v>
      </c>
      <c r="K994" s="59">
        <v>980</v>
      </c>
      <c r="L994" s="59">
        <v>73.5</v>
      </c>
    </row>
    <row r="995" spans="8:12" x14ac:dyDescent="0.15">
      <c r="H995" s="59">
        <v>981</v>
      </c>
      <c r="I995" s="59">
        <v>31</v>
      </c>
      <c r="K995" s="59">
        <v>981</v>
      </c>
      <c r="L995" s="59">
        <v>78</v>
      </c>
    </row>
    <row r="996" spans="8:12" x14ac:dyDescent="0.15">
      <c r="H996" s="59">
        <v>982</v>
      </c>
      <c r="I996" s="59">
        <v>66</v>
      </c>
      <c r="K996" s="59">
        <v>982</v>
      </c>
      <c r="L996" s="59">
        <v>80.5</v>
      </c>
    </row>
    <row r="997" spans="8:12" x14ac:dyDescent="0.15">
      <c r="H997" s="59">
        <v>983</v>
      </c>
      <c r="I997" s="59">
        <v>79</v>
      </c>
      <c r="K997" s="59">
        <v>983</v>
      </c>
      <c r="L997" s="59">
        <v>62</v>
      </c>
    </row>
    <row r="998" spans="8:12" x14ac:dyDescent="0.15">
      <c r="H998" s="59">
        <v>984</v>
      </c>
      <c r="I998" s="59">
        <v>81</v>
      </c>
      <c r="K998" s="59">
        <v>984</v>
      </c>
      <c r="L998" s="59">
        <v>78.5</v>
      </c>
    </row>
    <row r="999" spans="8:12" x14ac:dyDescent="0.15">
      <c r="H999" s="59">
        <v>985</v>
      </c>
      <c r="I999" s="59">
        <v>34</v>
      </c>
      <c r="K999" s="59">
        <v>985</v>
      </c>
      <c r="L999" s="59">
        <v>93</v>
      </c>
    </row>
    <row r="1000" spans="8:12" x14ac:dyDescent="0.15">
      <c r="H1000" s="59">
        <v>986</v>
      </c>
      <c r="I1000" s="59">
        <v>63</v>
      </c>
      <c r="K1000" s="59">
        <v>986</v>
      </c>
      <c r="L1000" s="59">
        <v>73</v>
      </c>
    </row>
    <row r="1001" spans="8:12" x14ac:dyDescent="0.15">
      <c r="H1001" s="59">
        <v>987</v>
      </c>
      <c r="I1001" s="59">
        <v>41</v>
      </c>
      <c r="K1001" s="59">
        <v>987</v>
      </c>
      <c r="L1001" s="59">
        <v>79.5</v>
      </c>
    </row>
    <row r="1002" spans="8:12" x14ac:dyDescent="0.15">
      <c r="H1002" s="59">
        <v>988</v>
      </c>
      <c r="I1002" s="59">
        <v>69</v>
      </c>
      <c r="K1002" s="59">
        <v>988</v>
      </c>
      <c r="L1002" s="59">
        <v>68</v>
      </c>
    </row>
    <row r="1003" spans="8:12" x14ac:dyDescent="0.15">
      <c r="H1003" s="59">
        <v>989</v>
      </c>
      <c r="I1003" s="59">
        <v>68</v>
      </c>
      <c r="K1003" s="59">
        <v>989</v>
      </c>
      <c r="L1003" s="59">
        <v>69</v>
      </c>
    </row>
    <row r="1004" spans="8:12" x14ac:dyDescent="0.15">
      <c r="H1004" s="59">
        <v>990</v>
      </c>
      <c r="I1004" s="59">
        <v>14</v>
      </c>
      <c r="K1004" s="59">
        <v>990</v>
      </c>
      <c r="L1004" s="59">
        <v>89.5</v>
      </c>
    </row>
    <row r="1005" spans="8:12" x14ac:dyDescent="0.15">
      <c r="H1005" s="59">
        <v>991</v>
      </c>
      <c r="I1005" s="59">
        <v>22</v>
      </c>
      <c r="K1005" s="59">
        <v>991</v>
      </c>
      <c r="L1005" s="59">
        <v>85</v>
      </c>
    </row>
    <row r="1006" spans="8:12" x14ac:dyDescent="0.15">
      <c r="H1006" s="59">
        <v>992</v>
      </c>
      <c r="I1006" s="59">
        <v>43</v>
      </c>
      <c r="K1006" s="59">
        <v>992</v>
      </c>
      <c r="L1006" s="59">
        <v>91.5</v>
      </c>
    </row>
    <row r="1007" spans="8:12" x14ac:dyDescent="0.15">
      <c r="H1007" s="59">
        <v>993</v>
      </c>
      <c r="I1007" s="59">
        <v>22</v>
      </c>
      <c r="K1007" s="59">
        <v>993</v>
      </c>
      <c r="L1007" s="59">
        <v>89.5</v>
      </c>
    </row>
    <row r="1008" spans="8:12" x14ac:dyDescent="0.15">
      <c r="H1008" s="59">
        <v>994</v>
      </c>
      <c r="I1008" s="59">
        <v>59</v>
      </c>
      <c r="K1008" s="59">
        <v>994</v>
      </c>
      <c r="L1008" s="59">
        <v>97</v>
      </c>
    </row>
    <row r="1009" spans="8:12" x14ac:dyDescent="0.15">
      <c r="H1009" s="59">
        <v>995</v>
      </c>
      <c r="I1009" s="59">
        <v>86</v>
      </c>
      <c r="K1009" s="59">
        <v>995</v>
      </c>
      <c r="L1009" s="59">
        <v>62</v>
      </c>
    </row>
    <row r="1010" spans="8:12" x14ac:dyDescent="0.15">
      <c r="H1010" s="59">
        <v>996</v>
      </c>
      <c r="I1010" s="59">
        <v>43</v>
      </c>
      <c r="K1010" s="59">
        <v>996</v>
      </c>
      <c r="L1010" s="59">
        <v>62.5</v>
      </c>
    </row>
    <row r="1011" spans="8:12" x14ac:dyDescent="0.15">
      <c r="H1011" s="59">
        <v>997</v>
      </c>
      <c r="I1011" s="59">
        <v>19</v>
      </c>
      <c r="K1011" s="59">
        <v>997</v>
      </c>
      <c r="L1011" s="59">
        <v>80</v>
      </c>
    </row>
    <row r="1012" spans="8:12" x14ac:dyDescent="0.15">
      <c r="H1012" s="59">
        <v>998</v>
      </c>
      <c r="I1012" s="59">
        <v>28</v>
      </c>
      <c r="K1012" s="59">
        <v>998</v>
      </c>
      <c r="L1012" s="59">
        <v>89.5</v>
      </c>
    </row>
    <row r="1013" spans="8:12" x14ac:dyDescent="0.15">
      <c r="H1013" s="59">
        <v>999</v>
      </c>
      <c r="I1013" s="59">
        <v>71</v>
      </c>
      <c r="K1013" s="59">
        <v>999</v>
      </c>
      <c r="L1013" s="59">
        <v>60</v>
      </c>
    </row>
    <row r="1014" spans="8:12" x14ac:dyDescent="0.15">
      <c r="H1014" s="59">
        <v>1000</v>
      </c>
      <c r="I1014" s="59">
        <v>98</v>
      </c>
      <c r="K1014" s="59">
        <v>1000</v>
      </c>
      <c r="L1014" s="59">
        <v>70</v>
      </c>
    </row>
  </sheetData>
  <phoneticPr fontId="1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3" name="Spinner 1">
              <controlPr defaultSize="0" autoPict="0">
                <anchor moveWithCells="1" sizeWithCells="1">
                  <from>
                    <xdr:col>3</xdr:col>
                    <xdr:colOff>19050</xdr:colOff>
                    <xdr:row>7</xdr:row>
                    <xdr:rowOff>28575</xdr:rowOff>
                  </from>
                  <to>
                    <xdr:col>3</xdr:col>
                    <xdr:colOff>600075</xdr:colOff>
                    <xdr:row>8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3</vt:i4>
      </vt:variant>
    </vt:vector>
  </HeadingPairs>
  <TitlesOfParts>
    <vt:vector size="11" baseType="lpstr">
      <vt:lpstr>第1题答案</vt:lpstr>
      <vt:lpstr>第2题答案</vt:lpstr>
      <vt:lpstr>第3题答案</vt:lpstr>
      <vt:lpstr>第4题答案</vt:lpstr>
      <vt:lpstr>第5题答案</vt:lpstr>
      <vt:lpstr>第6题答案</vt:lpstr>
      <vt:lpstr>第7题答案</vt:lpstr>
      <vt:lpstr>第8题答案</vt:lpstr>
      <vt:lpstr>第2题答案!查询来自_abcsales</vt:lpstr>
      <vt:lpstr>第2题答案!查询来自_abcsales_1</vt:lpstr>
      <vt:lpstr>第1题答案!查询来自_NW</vt:lpstr>
    </vt:vector>
  </TitlesOfParts>
  <Company>上海财经大学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CaoFeng</dc:creator>
  <cp:lastModifiedBy>C02</cp:lastModifiedBy>
  <dcterms:created xsi:type="dcterms:W3CDTF">2010-12-28T07:11:34Z</dcterms:created>
  <dcterms:modified xsi:type="dcterms:W3CDTF">2019-12-17T02:50:11Z</dcterms:modified>
</cp:coreProperties>
</file>