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端木辰\Desktop\经管机\经管机-模拟试卷\经管机23-24-2期中卷_2\"/>
    </mc:Choice>
  </mc:AlternateContent>
  <xr:revisionPtr revIDLastSave="0" documentId="13_ncr:1_{15674F85-455D-412A-95C5-7C0FAD98D8B3}" xr6:coauthVersionLast="47" xr6:coauthVersionMax="47" xr10:uidLastSave="{00000000-0000-0000-0000-000000000000}"/>
  <bookViews>
    <workbookView xWindow="-108" yWindow="-108" windowWidth="23256" windowHeight="12456" activeTab="5" xr2:uid="{00000000-000D-0000-FFFF-FFFF00000000}"/>
  </bookViews>
  <sheets>
    <sheet name="考试须知" sheetId="17" r:id="rId1"/>
    <sheet name="Chart1" sheetId="29" r:id="rId2"/>
    <sheet name="第1题" sheetId="26" r:id="rId3"/>
    <sheet name="第2题" sheetId="16" r:id="rId4"/>
    <sheet name="第3题" sheetId="24" r:id="rId5"/>
    <sheet name="第4题" sheetId="25" r:id="rId6"/>
    <sheet name="第5题" sheetId="21" r:id="rId7"/>
    <sheet name="第6题" sheetId="22" r:id="rId8"/>
    <sheet name="第7题" sheetId="23" r:id="rId9"/>
    <sheet name="第8题" sheetId="28"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_jin01">#REF!</definedName>
    <definedName name="_____sj1">[1]第1套!$A$1:$C$73</definedName>
    <definedName name="_____sj2">[2]第2题解答!$A$1:$D$251</definedName>
    <definedName name="____jin01">#REF!</definedName>
    <definedName name="____sj1">[1]第1套!$A$1:$C$73</definedName>
    <definedName name="____sj2">[2]第2题解答!$A$1:$D$251</definedName>
    <definedName name="____sj3">[3]第2题!$A$1:$D$198</definedName>
    <definedName name="____sj5">[4]第1套!$A$1:$C$73</definedName>
    <definedName name="___jin01">#REF!</definedName>
    <definedName name="___sj1">[1]第1套!$A$1:$C$73</definedName>
    <definedName name="___sj2">[2]第2题解答!$A$1:$D$251</definedName>
    <definedName name="___sj3">[3]第2题!$A$1:$D$198</definedName>
    <definedName name="___sj5">[4]第1套!$A$1:$C$73</definedName>
    <definedName name="__jin01">#REF!</definedName>
    <definedName name="__sj1">[1]第1套!$A$1:$C$73</definedName>
    <definedName name="__sj2">[2]第2题解答!$A$1:$D$251</definedName>
    <definedName name="__sj3">[3]第2题!$A$1:$D$198</definedName>
    <definedName name="__sj5">[4]第1套!$A$1:$C$73</definedName>
    <definedName name="_xlnm._FilterDatabase" localSheetId="3" hidden="1">第2题!$G:$G</definedName>
    <definedName name="_jin01" localSheetId="0">#REF!</definedName>
    <definedName name="_jin01">#REF!</definedName>
    <definedName name="_sj1" localSheetId="0">[5]第1套!$A$1:$C$73</definedName>
    <definedName name="_sj1">[6]第1套!$A$1:$C$73</definedName>
    <definedName name="_sj2" localSheetId="0">#REF!</definedName>
    <definedName name="_sj2">[6]第2套!$A$1:$D$251</definedName>
    <definedName name="_sj3" localSheetId="0">[7]第2题!$A$1:$D$198</definedName>
    <definedName name="_sj3">[3]第2题!$A$1:$D$198</definedName>
    <definedName name="_sj5">[4]第1套!$A$1:$C$73</definedName>
    <definedName name="aaa" localSheetId="0">OFFSET([8]第4题!XFC1,0,-1,3,1)</definedName>
    <definedName name="aaa">OFFSET([8]第4题!#REF!,0,-1,3,1)</definedName>
    <definedName name="ahzixingche" localSheetId="0">#REF!</definedName>
    <definedName name="ahzixingche">#REF!</definedName>
    <definedName name="Average">'[9]Simulation (2)'!$K$3:$N$3</definedName>
    <definedName name="Biao1" localSheetId="0">#REF!</definedName>
    <definedName name="Biao1">#REF!</definedName>
    <definedName name="Biao2" localSheetId="0">#REF!</definedName>
    <definedName name="Biao2">#REF!</definedName>
    <definedName name="Biao3" localSheetId="0">#REF!</definedName>
    <definedName name="Biao3">#REF!</definedName>
    <definedName name="Biao4" localSheetId="0">#REF!</definedName>
    <definedName name="Biao4">#REF!</definedName>
    <definedName name="BudgetTab" localSheetId="0">#REF!</definedName>
    <definedName name="BudgetTab">#REF!</definedName>
    <definedName name="dd" localSheetId="0">#REF!</definedName>
    <definedName name="dd">#REF!</definedName>
    <definedName name="kk" localSheetId="0">#REF!</definedName>
    <definedName name="kk">#REF!</definedName>
    <definedName name="MaintTable" localSheetId="0">[10]第3题!#REF!</definedName>
    <definedName name="MaintTable">[10]第3题!#REF!</definedName>
    <definedName name="OrderQuantity">'[9]Simulation (2)'!$D$3</definedName>
    <definedName name="sj" localSheetId="0">#REF!</definedName>
    <definedName name="sj">[11]第7题解答!$A$1:$E$65536</definedName>
    <definedName name="solver_eng" localSheetId="7" hidden="1">1</definedName>
    <definedName name="solver_eng" localSheetId="8" hidden="1">1</definedName>
    <definedName name="solver_neg" localSheetId="7" hidden="1">1</definedName>
    <definedName name="solver_neg" localSheetId="8" hidden="1">1</definedName>
    <definedName name="solver_num" localSheetId="7" hidden="1">0</definedName>
    <definedName name="solver_num" localSheetId="8" hidden="1">0</definedName>
    <definedName name="solver_opt" localSheetId="7" hidden="1">第6题!$F$17</definedName>
    <definedName name="solver_typ" localSheetId="7" hidden="1">1</definedName>
    <definedName name="solver_typ" localSheetId="8" hidden="1">1</definedName>
    <definedName name="solver_val" localSheetId="7" hidden="1">0</definedName>
    <definedName name="solver_val" localSheetId="8" hidden="1">0</definedName>
    <definedName name="solver_ver" localSheetId="7" hidden="1">3</definedName>
    <definedName name="solver_ver" localSheetId="8" hidden="1">3</definedName>
    <definedName name="Table" localSheetId="0">'[12]经济订货量-折扣模型'!$K$3:$L$21</definedName>
    <definedName name="Table">[11]第8题解答!$K$3:$L$21</definedName>
    <definedName name="yssj">[13]D函数2!$A$1:$D$671</definedName>
    <definedName name="查询来自_northwind" localSheetId="2" hidden="1">第1题!$A$1:$D$2158</definedName>
    <definedName name="查询数据" localSheetId="0">[14]第2题!#REF!</definedName>
    <definedName name="查询数据">[14]第2题!#REF!</definedName>
    <definedName name="陈元忠">[15]第1题!$D$3:$D$11</definedName>
    <definedName name="第1季度不规则值">[16]季节指数计算模型!$E$2,[16]季节指数计算模型!$E$7,[16]季节指数计算模型!$E$12,[16]季节指数计算模型!$E$17</definedName>
    <definedName name="第2季度不规则值">[16]季节指数计算模型!$E$3,[16]季节指数计算模型!$E$8,[16]季节指数计算模型!$E$13,[16]季节指数计算模型!$E$18</definedName>
    <definedName name="第3季度不规则值">[16]季节指数计算模型!$E$5,[16]季节指数计算模型!$E$10,[16]季节指数计算模型!$E$15</definedName>
    <definedName name="第4季度不规则值">[16]季节指数计算模型!$E$6,[16]季节指数计算模型!$E$11,[16]季节指数计算模型!$E$16,[16]季节指数计算模型!$E$21</definedName>
    <definedName name="基行" localSheetId="0">#REF!</definedName>
    <definedName name="基行">#REF!</definedName>
    <definedName name="蒋传海">[15]第1题!$C$3:$C$11</definedName>
    <definedName name="切片器_年">#N/A</definedName>
    <definedName name="_xlnm.Extract" localSheetId="3">第2题!$N$1</definedName>
    <definedName name="原始数据" localSheetId="0">#REF!</definedName>
    <definedName name="原始数据">#REF!</definedName>
    <definedName name="张雪凤">[15]第1题!$F$3:$F$11</definedName>
    <definedName name="周新燕">[15]第1题!$E$3:$E$11</definedName>
  </definedNames>
  <calcPr calcId="191029"/>
  <pivotCaches>
    <pivotCache cacheId="5" r:id="rId27"/>
    <pivotCache cacheId="12" r:id="rId28"/>
  </pivotCaches>
  <extLs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asses_6f096ff7-2112-4372-8d55-987101c357d2" name="Classes" connection="Excel Student Data"/>
          <x15:modelTable id="Grades_e7fb759d-b21b-455c-bd83-05916f7c1740" name="Grades" connection="Excel Student Data"/>
          <x15:modelTable id="Semesters_80fe74ee-519f-475a-badb-4ea2c477cbd0" name="Semesters" connection="Excel Student Data"/>
          <x15:modelTable id="Student Details_e24b2a86-9016-4504-979e-ca1fd9acbc54" name="Student Details" connection="Excel Student Data"/>
        </x15:modelTables>
        <x15:modelRelationships>
          <x15:modelRelationship fromTable="Grades" fromColumn="Student ID" toTable="Student Details" toColumn="Stud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6" l="1" a="1"/>
  <c r="R3" i="16" s="1"/>
  <c r="P14" i="16" a="1"/>
  <c r="P14" i="16" s="1"/>
  <c r="P15" i="16" a="1"/>
  <c r="P15" i="16" s="1"/>
  <c r="P16" i="16" a="1"/>
  <c r="P16" i="16" s="1"/>
  <c r="P17" i="16" a="1"/>
  <c r="P17" i="16" s="1"/>
  <c r="P18" i="16" a="1"/>
  <c r="P18" i="16" s="1"/>
  <c r="P19" i="16" a="1"/>
  <c r="P19" i="16" s="1"/>
  <c r="P20" i="16" a="1"/>
  <c r="P20" i="16" s="1"/>
  <c r="P21" i="16" a="1"/>
  <c r="P21" i="16" s="1"/>
  <c r="P13" i="16" a="1"/>
  <c r="P13" i="16" s="1"/>
  <c r="M3" i="16"/>
  <c r="M4" i="16"/>
  <c r="M5" i="16"/>
  <c r="M6" i="16"/>
  <c r="M7" i="16"/>
  <c r="M8" i="16"/>
  <c r="M9" i="16"/>
  <c r="M10" i="16"/>
  <c r="M2" i="16"/>
  <c r="M12" i="16"/>
  <c r="E9" i="23"/>
  <c r="K15"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Excel Student Data" type="100" refreshedVersion="0">
    <extLst>
      <ext xmlns:x15="http://schemas.microsoft.com/office/spreadsheetml/2010/11/main" uri="{DE250136-89BD-433C-8126-D09CA5730AF9}">
        <x15:connection id="012d03ee-552d-41fb-b21d-3e069fe5f806"/>
      </ext>
    </extLst>
  </connection>
  <connection id="2" xr16:uid="{00000000-0015-0000-FFFF-FFFF01000000}" keepAlive="1" name="ThisWorkbookDataModel" description="数据模型"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B765DFC-9255-4FEB-B22D-22B3F53FCCF4}" keepAlive="1" name="查询 - 销售大区和省份对照" description="与工作簿中“销售大区和省份对照”查询的连接。" type="5" refreshedVersion="7" background="1" saveData="1">
    <dbPr connection="Provider=Microsoft.Mashup.OleDb.1;Data Source=$Workbook$;Location=销售大区和省份对照;Extended Properties=&quot;&quot;" command="SELECT * FROM [销售大区和省份对照]"/>
  </connection>
  <connection id="4" xr16:uid="{39C7C40F-0C51-4E9B-994A-24DC74F12B92}" keepAlive="1" name="查询 - 销售明细" description="与工作簿中“销售明细”查询的连接。" type="5" refreshedVersion="7" background="1" saveData="1">
    <dbPr connection="Provider=Microsoft.Mashup.OleDb.1;Data Source=$Workbook$;Location=销售明细;Extended Properties=&quot;&quot;" command="SELECT * FROM [销售明细]"/>
  </connection>
  <connection id="5" xr16:uid="{5D1AA2B4-E3B9-4C65-9A40-5230E50E4D5A}" keepAlive="1" name="查询 - 销售明细 (2)" description="与工作簿中“销售明细 (2)”查询的连接。" type="5" refreshedVersion="7" background="1" saveData="1">
    <dbPr connection="Provider=Microsoft.Mashup.OleDb.1;Data Source=$Workbook$;Location=&quot;销售明细 (2)&quot;;Extended Properties=&quot;&quot;" command="SELECT * FROM [销售明细 (2)]"/>
  </connection>
  <connection id="6" xr16:uid="{66C39C36-E622-4B1E-A096-BF0D8C1B6CBC}" keepAlive="1" name="查询 - 销售省份" description="与工作簿中“销售省份”查询的连接。" type="5" refreshedVersion="7" background="1" saveData="1">
    <dbPr connection="Provider=Microsoft.Mashup.OleDb.1;Data Source=$Workbook$;Location=销售省份;Extended Properties=&quot;&quot;" command="SELECT * FROM [销售省份]"/>
  </connection>
  <connection id="7" xr16:uid="{F92C323F-B30E-4851-834C-5275B8E38A6E}" name="查询来自 northwind" type="1" refreshedVersion="7" background="1" saveData="1">
    <dbPr connection="DBQ=C:\USERS\端木辰\Desktop\经管机\习题数据源\习题二数据源\习2-3_Northwind.accdb;DefaultDir=C:\USERS\端木辰\Desktop\经管机\习题数据源\习题二数据源;Driver={Microsoft Access Driver (*.mdb, *.accdb)};DriverId=25;FIL=MS Access;MaxBufferSize=2048;MaxScanRows=8;PageTimeout=5;SafeTransactions=0;Threads=3;UserCommitSync=Yes;" command="SELECT 类别.类别名称, 订单.订购日期, 雇员.姓氏+雇员.名字 AS '姓名', 订单明细.单价*订单明细.数量*(1-折扣) AS '销售额'_x000d__x000a_FROM 产品 产品, 订单 订单, 订单明细 订单明细, 雇员 雇员, 客户 客户, 类别 类别_x000d__x000a_WHERE 订单明细.订单ID = 订单.订单ID AND 客户.客户ID = 订单.客户ID AND 雇员.雇员ID = 订单.雇员ID AND 产品.产品ID = 订单明细.产品ID AND 类别.类别ID = 产品.类别I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<sst xmlns="http://schemas.openxmlformats.org/spreadsheetml/2006/main" count="17407" uniqueCount="122">
  <si>
    <t>学号</t>
    <phoneticPr fontId="1" type="noConversion"/>
  </si>
  <si>
    <t>姓名</t>
    <phoneticPr fontId="1" type="noConversion"/>
  </si>
  <si>
    <t>题目</t>
    <phoneticPr fontId="1" type="noConversion"/>
  </si>
  <si>
    <t>得分</t>
    <phoneticPr fontId="1" type="noConversion"/>
  </si>
  <si>
    <r>
      <t>第</t>
    </r>
    <r>
      <rPr>
        <sz val="12"/>
        <rFont val="Arial"/>
        <family val="2"/>
      </rPr>
      <t>1</t>
    </r>
    <r>
      <rPr>
        <sz val="12"/>
        <rFont val="宋体"/>
        <family val="3"/>
        <charset val="134"/>
      </rPr>
      <t>题</t>
    </r>
    <phoneticPr fontId="1" type="noConversion"/>
  </si>
  <si>
    <r>
      <t>第</t>
    </r>
    <r>
      <rPr>
        <sz val="12"/>
        <rFont val="Arial"/>
        <family val="2"/>
      </rPr>
      <t>2</t>
    </r>
    <r>
      <rPr>
        <sz val="12"/>
        <rFont val="宋体"/>
        <family val="3"/>
        <charset val="134"/>
      </rPr>
      <t>题</t>
    </r>
    <phoneticPr fontId="1" type="noConversion"/>
  </si>
  <si>
    <r>
      <t>第</t>
    </r>
    <r>
      <rPr>
        <sz val="12"/>
        <rFont val="Arial"/>
        <family val="2"/>
      </rPr>
      <t>3</t>
    </r>
    <r>
      <rPr>
        <sz val="12"/>
        <rFont val="宋体"/>
        <family val="3"/>
        <charset val="134"/>
      </rPr>
      <t>题</t>
    </r>
    <phoneticPr fontId="1" type="noConversion"/>
  </si>
  <si>
    <r>
      <t>第</t>
    </r>
    <r>
      <rPr>
        <sz val="12"/>
        <rFont val="Arial"/>
        <family val="2"/>
      </rPr>
      <t>4</t>
    </r>
    <r>
      <rPr>
        <sz val="12"/>
        <rFont val="宋体"/>
        <family val="3"/>
        <charset val="134"/>
      </rPr>
      <t>题</t>
    </r>
    <phoneticPr fontId="1" type="noConversion"/>
  </si>
  <si>
    <r>
      <t>第</t>
    </r>
    <r>
      <rPr>
        <sz val="12"/>
        <rFont val="Arial"/>
        <family val="2"/>
      </rPr>
      <t>5题</t>
    </r>
    <r>
      <rPr>
        <sz val="12"/>
        <rFont val="宋体"/>
        <family val="3"/>
        <charset val="134"/>
      </rPr>
      <t/>
    </r>
  </si>
  <si>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</si>
  <si>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</si>
  <si>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t>合计</t>
    <phoneticPr fontId="1" type="noConversion"/>
  </si>
  <si>
    <t>月份</t>
    <phoneticPr fontId="1" type="noConversion"/>
  </si>
  <si>
    <t>MSE</t>
    <phoneticPr fontId="14" type="noConversion"/>
  </si>
  <si>
    <r>
      <t>第</t>
    </r>
    <r>
      <rPr>
        <sz val="12"/>
        <rFont val="Arial"/>
        <family val="2"/>
      </rPr>
      <t>8题</t>
    </r>
    <r>
      <rPr>
        <sz val="12"/>
        <rFont val="宋体"/>
        <family val="3"/>
        <charset val="134"/>
      </rPr>
      <t/>
    </r>
  </si>
  <si>
    <t>《经济管理中的计算机应用》期中测验试卷</t>
    <phoneticPr fontId="1" type="noConversion"/>
  </si>
  <si>
    <t>订购日期</t>
  </si>
  <si>
    <t>地区</t>
  </si>
  <si>
    <t>省份</t>
    <phoneticPr fontId="12" type="noConversion"/>
  </si>
  <si>
    <t>类别名称</t>
  </si>
  <si>
    <t>产品名称</t>
  </si>
  <si>
    <t>姓名</t>
    <phoneticPr fontId="12" type="noConversion"/>
  </si>
  <si>
    <t>职务</t>
    <phoneticPr fontId="12" type="noConversion"/>
  </si>
  <si>
    <t>单价</t>
  </si>
  <si>
    <t>数量</t>
  </si>
  <si>
    <t>销售额</t>
    <phoneticPr fontId="12" type="noConversion"/>
  </si>
  <si>
    <t>直辖市</t>
  </si>
  <si>
    <t>上海</t>
    <phoneticPr fontId="12" type="noConversion"/>
  </si>
  <si>
    <t>肉/家禽</t>
  </si>
  <si>
    <t>猪肉干</t>
  </si>
  <si>
    <t>赵军</t>
  </si>
  <si>
    <t>销售A区代表</t>
  </si>
  <si>
    <t>北京</t>
    <phoneticPr fontId="12" type="noConversion"/>
  </si>
  <si>
    <t>黄鱼</t>
  </si>
  <si>
    <t>天津</t>
    <phoneticPr fontId="12" type="noConversion"/>
  </si>
  <si>
    <t>鸭肉</t>
  </si>
  <si>
    <t>重庆</t>
    <phoneticPr fontId="12" type="noConversion"/>
  </si>
  <si>
    <t>孙林</t>
  </si>
  <si>
    <t>销售B区代表</t>
  </si>
  <si>
    <t>非直辖</t>
  </si>
  <si>
    <t>河北</t>
    <phoneticPr fontId="12" type="noConversion"/>
  </si>
  <si>
    <t>黑龙江</t>
    <phoneticPr fontId="12" type="noConversion"/>
  </si>
  <si>
    <t>郑建杰</t>
  </si>
  <si>
    <t>销售C区代表</t>
  </si>
  <si>
    <t>吉林</t>
    <phoneticPr fontId="12" type="noConversion"/>
  </si>
  <si>
    <t>李芳</t>
  </si>
  <si>
    <t>湖南</t>
    <phoneticPr fontId="12" type="noConversion"/>
  </si>
  <si>
    <t>四川</t>
    <phoneticPr fontId="12" type="noConversion"/>
  </si>
  <si>
    <t>张雪眉</t>
  </si>
  <si>
    <t>张颖</t>
  </si>
  <si>
    <t>刘英玫</t>
  </si>
  <si>
    <t>王伟</t>
  </si>
  <si>
    <t>金士鹏</t>
  </si>
  <si>
    <t>日用品</t>
  </si>
  <si>
    <t>牛奶</t>
  </si>
  <si>
    <t>麻油</t>
  </si>
  <si>
    <t>盐</t>
  </si>
  <si>
    <t>白米</t>
  </si>
  <si>
    <t>序号</t>
  </si>
  <si>
    <t>销售额</t>
  </si>
  <si>
    <t>销售额估计值</t>
  </si>
  <si>
    <t>移动平均跨度</t>
  </si>
  <si>
    <t>MSE</t>
  </si>
  <si>
    <t>最优移动平均跨度</t>
  </si>
  <si>
    <r>
      <t>MSE</t>
    </r>
    <r>
      <rPr>
        <sz val="10"/>
        <rFont val="宋体"/>
        <family val="3"/>
        <charset val="134"/>
      </rPr>
      <t>极小值</t>
    </r>
  </si>
  <si>
    <r>
      <rPr>
        <sz val="10"/>
        <rFont val="宋体"/>
        <family val="3"/>
        <charset val="134"/>
      </rPr>
      <t>第</t>
    </r>
    <r>
      <rPr>
        <sz val="10"/>
        <rFont val="Times New Roman"/>
        <family val="1"/>
      </rPr>
      <t>25</t>
    </r>
    <r>
      <rPr>
        <sz val="10"/>
        <rFont val="宋体"/>
        <family val="3"/>
        <charset val="134"/>
      </rPr>
      <t>个月的销售额预测值</t>
    </r>
    <phoneticPr fontId="14" type="noConversion"/>
  </si>
  <si>
    <t>月份</t>
  </si>
  <si>
    <t>债券利率</t>
  </si>
  <si>
    <t>预测值</t>
  </si>
  <si>
    <t>平滑常数</t>
  </si>
  <si>
    <t>最优平滑常数</t>
  </si>
  <si>
    <t>第25月的预测值</t>
    <phoneticPr fontId="14" type="noConversion"/>
  </si>
  <si>
    <t>周</t>
    <phoneticPr fontId="1" type="noConversion"/>
  </si>
  <si>
    <t>销量</t>
    <phoneticPr fontId="1" type="noConversion"/>
  </si>
  <si>
    <t>季节指数</t>
    <phoneticPr fontId="14" type="noConversion"/>
  </si>
  <si>
    <t>预测结果</t>
    <phoneticPr fontId="14" type="noConversion"/>
  </si>
  <si>
    <t>第13月</t>
    <phoneticPr fontId="14" type="noConversion"/>
  </si>
  <si>
    <t>第1周</t>
    <phoneticPr fontId="14" type="noConversion"/>
  </si>
  <si>
    <t>第2周</t>
    <phoneticPr fontId="14" type="noConversion"/>
  </si>
  <si>
    <t>第3周</t>
  </si>
  <si>
    <t>第4周</t>
  </si>
  <si>
    <t>人均年能量消耗量</t>
    <phoneticPr fontId="14" type="noConversion"/>
  </si>
  <si>
    <t>变换法：</t>
    <phoneticPr fontId="14" type="noConversion"/>
  </si>
  <si>
    <t>a</t>
    <phoneticPr fontId="14" type="noConversion"/>
  </si>
  <si>
    <t>b1</t>
    <phoneticPr fontId="14" type="noConversion"/>
  </si>
  <si>
    <t>b2</t>
    <phoneticPr fontId="14" type="noConversion"/>
  </si>
  <si>
    <t>人均年生产总值</t>
  </si>
  <si>
    <t>预测值</t>
    <phoneticPr fontId="14" type="noConversion"/>
  </si>
  <si>
    <r>
      <t>月序号</t>
    </r>
    <r>
      <rPr>
        <b/>
        <sz val="11"/>
        <rFont val="Arial"/>
        <family val="2"/>
      </rPr>
      <t>X</t>
    </r>
    <phoneticPr fontId="1" type="noConversion"/>
  </si>
  <si>
    <r>
      <t>月销售额</t>
    </r>
    <r>
      <rPr>
        <b/>
        <sz val="11"/>
        <rFont val="Arial"/>
        <family val="2"/>
      </rPr>
      <t>Y</t>
    </r>
    <phoneticPr fontId="1" type="noConversion"/>
  </si>
  <si>
    <t>预测值</t>
    <phoneticPr fontId="1" type="noConversion"/>
  </si>
  <si>
    <t>a</t>
    <phoneticPr fontId="1" type="noConversion"/>
  </si>
  <si>
    <t>b</t>
    <phoneticPr fontId="1" type="noConversion"/>
  </si>
  <si>
    <r>
      <t>判定系数</t>
    </r>
    <r>
      <rPr>
        <b/>
        <sz val="11"/>
        <rFont val="Arial"/>
        <family val="2"/>
      </rPr>
      <t>R</t>
    </r>
    <r>
      <rPr>
        <b/>
        <vertAlign val="superscript"/>
        <sz val="11"/>
        <rFont val="Arial"/>
        <family val="2"/>
      </rPr>
      <t>2</t>
    </r>
    <phoneticPr fontId="23" type="noConversion"/>
  </si>
  <si>
    <t>预测年</t>
    <phoneticPr fontId="1" type="noConversion"/>
  </si>
  <si>
    <r>
      <t>2018</t>
    </r>
    <r>
      <rPr>
        <b/>
        <sz val="11"/>
        <rFont val="宋体"/>
        <family val="3"/>
        <charset val="134"/>
      </rPr>
      <t>年</t>
    </r>
    <r>
      <rPr>
        <b/>
        <sz val="11"/>
        <rFont val="Arial"/>
        <family val="2"/>
      </rPr>
      <t>11</t>
    </r>
    <r>
      <rPr>
        <b/>
        <sz val="11"/>
        <rFont val="宋体"/>
        <family val="3"/>
        <charset val="134"/>
      </rPr>
      <t>月销售额</t>
    </r>
    <phoneticPr fontId="1" type="noConversion"/>
  </si>
  <si>
    <t>人均年生产总值</t>
    <phoneticPr fontId="14" type="noConversion"/>
  </si>
  <si>
    <t>2022222222</t>
  </si>
  <si>
    <t>宫胁咲良</t>
  </si>
  <si>
    <t>已考</t>
  </si>
  <si>
    <t>'姓名'</t>
  </si>
  <si>
    <t>'销售额'</t>
  </si>
  <si>
    <t>饮料</t>
  </si>
  <si>
    <t>调味品</t>
  </si>
  <si>
    <t>点心</t>
  </si>
  <si>
    <t>谷类/麦片</t>
  </si>
  <si>
    <t>特制品</t>
  </si>
  <si>
    <t>海鲜</t>
  </si>
  <si>
    <t>行标签</t>
  </si>
  <si>
    <t>总计</t>
  </si>
  <si>
    <t>销售额总计值</t>
  </si>
  <si>
    <t>销售额平均值</t>
  </si>
  <si>
    <t>1997年</t>
  </si>
  <si>
    <t>职务</t>
    <phoneticPr fontId="1" type="noConversion"/>
  </si>
  <si>
    <t>数量</t>
    <phoneticPr fontId="1" type="noConversion"/>
  </si>
  <si>
    <t>销售额</t>
    <phoneticPr fontId="1" type="noConversion"/>
  </si>
  <si>
    <t>赵军</t>
    <phoneticPr fontId="1" type="noConversion"/>
  </si>
  <si>
    <t>华北大区</t>
  </si>
  <si>
    <t>南方大区</t>
  </si>
  <si>
    <t>(空白)</t>
  </si>
  <si>
    <t>求和项:销售明细.净销售额</t>
  </si>
  <si>
    <t>计数项:年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</si>
</sst>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_ "/>
    <numFmt numFmtId="178" formatCode="0.0000"/>
    <numFmt numFmtId="179" formatCode="0.0_);[Red]\(0.0\)"/>
    <numFmt numFmtId="180" formatCode="0.000"/>
    <numFmt numFmtId="181" formatCode="0.000_ "/>
  </numFmts>
  <fonts count="24">
    <font>
      <sz val="11"/>
      <color theme="1"/>
      <name val="宋体"/>
      <family val="3"/>
      <charset val="134"/>
      <scheme val="minor"/>
    </font>
    <font>
      <sz val="9"/>
      <name val="宋体"/>
      <family val="3"/>
      <charset val="134"/>
    </font>
    <font>
      <sz val="12"/>
      <name val="宋体"/>
      <family val="3"/>
      <charset val="134"/>
    </font>
    <font>
      <b/>
      <sz val="12"/>
      <name val="宋体"/>
      <family val="3"/>
      <charset val="134"/>
    </font>
    <font>
      <sz val="11"/>
      <name val="黑体"/>
      <family val="3"/>
      <charset val="134"/>
    </font>
    <font>
      <b/>
      <sz val="11"/>
      <name val="Arial"/>
      <family val="2"/>
    </font>
    <font>
      <sz val="11"/>
      <name val="宋体"/>
      <family val="3"/>
      <charset val="134"/>
    </font>
    <font>
      <b/>
      <sz val="11"/>
      <name val="黑体"/>
      <family val="3"/>
      <charset val="134"/>
    </font>
    <font>
      <b/>
      <sz val="11"/>
      <color indexed="10"/>
      <name val="黑体"/>
      <family val="3"/>
      <charset val="134"/>
    </font>
    <font>
      <sz val="11"/>
      <color indexed="10"/>
      <name val="黑体"/>
      <family val="3"/>
      <charset val="134"/>
    </font>
    <font>
      <b/>
      <sz val="18"/>
      <color indexed="12"/>
      <name val="楷体_GB2312"/>
      <family val="3"/>
      <charset val="134"/>
    </font>
    <font>
      <sz val="12"/>
      <name val="Arial"/>
      <family val="2"/>
    </font>
    <font>
      <sz val="9"/>
      <name val="宋体"/>
      <family val="3"/>
      <charset val="134"/>
      <scheme val="minor"/>
    </font>
    <font>
      <sz val="10"/>
      <name val="Arial"/>
      <family val="2"/>
    </font>
    <font>
      <sz val="9"/>
      <name val="宋体"/>
      <family val="2"/>
      <charset val="134"/>
      <scheme val="minor"/>
    </font>
    <font>
      <sz val="11"/>
      <color theme="1"/>
      <name val="宋体"/>
      <family val="3"/>
      <charset val="134"/>
      <scheme val="minor"/>
    </font>
    <font>
      <sz val="10"/>
      <name val="宋体"/>
      <family val="3"/>
      <charset val="134"/>
    </font>
    <font>
      <sz val="10"/>
      <name val="Times New Roman"/>
      <family val="3"/>
      <charset val="134"/>
    </font>
    <font>
      <sz val="10"/>
      <name val="Times New Roman"/>
      <family val="1"/>
    </font>
    <font>
      <sz val="11"/>
      <name val="Arial"/>
      <family val="2"/>
    </font>
    <font>
      <sz val="11"/>
      <color rgb="FF000000"/>
      <name val="宋体"/>
      <family val="3"/>
      <charset val="134"/>
      <scheme val="minor"/>
    </font>
    <font>
      <b/>
      <sz val="11"/>
      <name val="宋体"/>
      <family val="3"/>
      <charset val="134"/>
    </font>
    <font>
      <b/>
      <vertAlign val="superscript"/>
      <sz val="11"/>
      <name val="Arial"/>
      <family val="2"/>
    </font>
    <font>
      <u/>
      <sz val="7.5"/>
      <color indexed="12"/>
      <name val="Arial"/>
      <family val="2"/>
    </font>
  </fonts>
  <fills count="1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42"/>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indexed="4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7">
    <xf numFmtId="0" fontId="0" fillId="0" borderId="0">
      <alignment vertical="center"/>
    </xf>
    <xf numFmtId="9" fontId="2" fillId="0" borderId="0" applyFont="0" applyFill="0" applyBorder="0" applyAlignment="0" applyProtection="0">
      <alignment vertical="center"/>
    </xf>
    <xf numFmtId="0" fontId="2" fillId="0" borderId="0"/>
    <xf numFmtId="0" fontId="2" fillId="0" borderId="0">
      <alignment vertical="center"/>
    </xf>
    <xf numFmtId="0" fontId="2" fillId="0" borderId="0"/>
    <xf numFmtId="0" fontId="13" fillId="0" borderId="0"/>
    <xf numFmtId="0" fontId="2" fillId="0" borderId="0">
      <alignment vertical="center"/>
    </xf>
  </cellStyleXfs>
  <cellXfs count="77">
    <xf numFmtId="0" fontId="0" fillId="0" borderId="0" xfId="0">
      <alignment vertical="center"/>
    </xf>
    <xf numFmtId="0" fontId="4" fillId="0" borderId="0" xfId="4" applyFont="1" applyProtection="1">
      <protection hidden="1"/>
    </xf>
    <xf numFmtId="49" fontId="5" fillId="2" borderId="1" xfId="4" applyNumberFormat="1" applyFont="1" applyFill="1" applyBorder="1" applyProtection="1">
      <protection hidden="1"/>
    </xf>
    <xf numFmtId="0" fontId="6" fillId="0" borderId="0" xfId="4" applyFont="1" applyProtection="1">
      <protection hidden="1"/>
    </xf>
    <xf numFmtId="49" fontId="7" fillId="2" borderId="1" xfId="4" applyNumberFormat="1" applyFont="1" applyFill="1" applyBorder="1" applyProtection="1">
      <protection hidden="1"/>
    </xf>
    <xf numFmtId="0" fontId="8" fillId="0" borderId="0" xfId="4" applyFont="1" applyProtection="1">
      <protection hidden="1"/>
    </xf>
    <xf numFmtId="0" fontId="9" fillId="0" borderId="0" xfId="4" applyFont="1" applyProtection="1">
      <protection hidden="1"/>
    </xf>
    <xf numFmtId="0" fontId="10" fillId="0" borderId="0" xfId="4" applyFont="1" applyProtection="1">
      <protection hidden="1"/>
    </xf>
    <xf numFmtId="0" fontId="3" fillId="3" borderId="1" xfId="4" applyFont="1" applyFill="1" applyBorder="1" applyAlignment="1" applyProtection="1">
      <alignment horizontal="center"/>
      <protection hidden="1"/>
    </xf>
    <xf numFmtId="0" fontId="2" fillId="4" borderId="1" xfId="4" applyFill="1" applyBorder="1" applyAlignment="1" applyProtection="1">
      <alignment horizontal="center"/>
      <protection hidden="1"/>
    </xf>
    <xf numFmtId="0" fontId="11" fillId="4" borderId="1" xfId="4" applyFont="1" applyFill="1" applyBorder="1" applyAlignment="1" applyProtection="1">
      <alignment horizontal="center"/>
      <protection hidden="1"/>
    </xf>
    <xf numFmtId="0" fontId="2" fillId="3" borderId="1" xfId="4" applyFill="1" applyBorder="1" applyAlignment="1" applyProtection="1">
      <alignment horizontal="center"/>
      <protection hidden="1"/>
    </xf>
    <xf numFmtId="0" fontId="11" fillId="3" borderId="1" xfId="4" applyFont="1" applyFill="1" applyBorder="1" applyAlignment="1" applyProtection="1">
      <alignment horizontal="center"/>
      <protection hidden="1"/>
    </xf>
    <xf numFmtId="0" fontId="5" fillId="0" borderId="0" xfId="0" applyFont="1">
      <alignment vertical="center"/>
    </xf>
    <xf numFmtId="0" fontId="5" fillId="0" borderId="0" xfId="0" applyFont="1" applyAlignment="1">
      <alignment horizontal="center" vertical="center" wrapText="1"/>
    </xf>
    <xf numFmtId="0" fontId="3" fillId="5" borderId="1" xfId="4" applyFont="1" applyFill="1" applyBorder="1" applyAlignment="1" applyProtection="1">
      <alignment horizontal="center"/>
      <protection hidden="1"/>
    </xf>
    <xf numFmtId="0" fontId="11" fillId="5" borderId="1" xfId="4" applyFont="1" applyFill="1" applyBorder="1" applyAlignment="1" applyProtection="1">
      <alignment horizontal="center"/>
      <protection hidden="1"/>
    </xf>
    <xf numFmtId="0" fontId="0" fillId="0" borderId="0" xfId="0" applyAlignment="1">
      <alignment horizontal="center" vertical="center"/>
    </xf>
    <xf numFmtId="0" fontId="0" fillId="0" borderId="0" xfId="0" applyAlignment="1"/>
    <xf numFmtId="14" fontId="15" fillId="0" borderId="0" xfId="0" applyNumberFormat="1" applyFont="1" applyAlignment="1"/>
    <xf numFmtId="176" fontId="0" fillId="0" borderId="0" xfId="0" applyNumberFormat="1" applyAlignment="1"/>
    <xf numFmtId="2" fontId="15" fillId="0" borderId="0" xfId="0" applyNumberFormat="1" applyFont="1" applyAlignment="1"/>
    <xf numFmtId="0" fontId="0" fillId="0" borderId="1" xfId="0" applyBorder="1" applyAlignment="1">
      <alignment horizontal="center"/>
    </xf>
    <xf numFmtId="0" fontId="0" fillId="0" borderId="4" xfId="0" applyBorder="1" applyAlignment="1">
      <alignment horizontal="center"/>
    </xf>
    <xf numFmtId="0" fontId="16" fillId="6" borderId="1" xfId="5" applyFont="1" applyFill="1" applyBorder="1" applyAlignment="1">
      <alignment horizontal="center"/>
    </xf>
    <xf numFmtId="0" fontId="0" fillId="0" borderId="1" xfId="0" applyBorder="1" applyAlignment="1"/>
    <xf numFmtId="0" fontId="16" fillId="6" borderId="1" xfId="5" applyFont="1" applyFill="1" applyBorder="1"/>
    <xf numFmtId="0" fontId="13" fillId="7" borderId="1" xfId="5" applyFill="1" applyBorder="1"/>
    <xf numFmtId="0" fontId="13" fillId="6" borderId="1" xfId="5" applyFill="1" applyBorder="1"/>
    <xf numFmtId="0" fontId="13" fillId="0" borderId="1" xfId="5" applyBorder="1"/>
    <xf numFmtId="0" fontId="13" fillId="0" borderId="0" xfId="5"/>
    <xf numFmtId="0" fontId="17" fillId="6" borderId="1" xfId="5" applyFont="1" applyFill="1" applyBorder="1"/>
    <xf numFmtId="178" fontId="13" fillId="0" borderId="1" xfId="5" applyNumberFormat="1" applyBorder="1"/>
    <xf numFmtId="0" fontId="0" fillId="0" borderId="0" xfId="0" applyAlignment="1">
      <alignment horizontal="center"/>
    </xf>
    <xf numFmtId="0" fontId="16" fillId="6" borderId="1" xfId="3" applyFont="1" applyFill="1" applyBorder="1" applyAlignment="1">
      <alignment horizontal="center" vertical="center"/>
    </xf>
    <xf numFmtId="0" fontId="2" fillId="0" borderId="0" xfId="3">
      <alignment vertical="center"/>
    </xf>
    <xf numFmtId="0" fontId="16" fillId="6" borderId="1" xfId="3" applyFont="1" applyFill="1" applyBorder="1">
      <alignment vertical="center"/>
    </xf>
    <xf numFmtId="0" fontId="2" fillId="7" borderId="1" xfId="3" applyFill="1" applyBorder="1">
      <alignment vertical="center"/>
    </xf>
    <xf numFmtId="177" fontId="2" fillId="6" borderId="1" xfId="3" applyNumberFormat="1" applyFill="1" applyBorder="1" applyAlignment="1">
      <alignment horizontal="center" vertical="center"/>
    </xf>
    <xf numFmtId="0" fontId="2" fillId="0" borderId="1" xfId="2" applyBorder="1" applyAlignment="1">
      <alignment horizontal="center" vertical="center"/>
    </xf>
    <xf numFmtId="0" fontId="2" fillId="6" borderId="1" xfId="3" applyFill="1" applyBorder="1">
      <alignment vertical="center"/>
    </xf>
    <xf numFmtId="177" fontId="2" fillId="0" borderId="1" xfId="2" applyNumberFormat="1" applyBorder="1" applyAlignment="1">
      <alignment horizontal="center" vertical="center"/>
    </xf>
    <xf numFmtId="0" fontId="2" fillId="6" borderId="0" xfId="3" applyFill="1">
      <alignment vertical="center"/>
    </xf>
    <xf numFmtId="0" fontId="2" fillId="0" borderId="0" xfId="2" applyAlignment="1">
      <alignment vertical="center"/>
    </xf>
    <xf numFmtId="0" fontId="19" fillId="0" borderId="0" xfId="2" applyFont="1" applyAlignment="1">
      <alignment vertical="center"/>
    </xf>
    <xf numFmtId="0" fontId="16" fillId="0" borderId="1" xfId="3" applyFont="1" applyBorder="1" applyAlignment="1">
      <alignment horizontal="center" vertical="center"/>
    </xf>
    <xf numFmtId="0" fontId="6" fillId="0" borderId="1" xfId="2" applyFont="1" applyBorder="1" applyAlignment="1">
      <alignment horizontal="center" vertical="center"/>
    </xf>
    <xf numFmtId="14" fontId="19" fillId="0" borderId="0" xfId="2" applyNumberFormat="1" applyFont="1" applyAlignment="1">
      <alignment horizontal="center"/>
    </xf>
    <xf numFmtId="0" fontId="6" fillId="0" borderId="0" xfId="2" applyFont="1" applyAlignment="1">
      <alignment horizontal="center" vertical="center"/>
    </xf>
    <xf numFmtId="0" fontId="2" fillId="0" borderId="0" xfId="2" applyAlignment="1">
      <alignment horizontal="center" vertical="center"/>
    </xf>
    <xf numFmtId="0" fontId="16" fillId="6" borderId="1" xfId="2" applyFont="1" applyFill="1" applyBorder="1" applyAlignment="1">
      <alignment horizontal="center"/>
    </xf>
    <xf numFmtId="0" fontId="16" fillId="6" borderId="2" xfId="2" applyFont="1" applyFill="1" applyBorder="1" applyAlignment="1">
      <alignment horizontal="center"/>
    </xf>
    <xf numFmtId="0" fontId="16" fillId="6" borderId="3" xfId="2" applyFont="1" applyFill="1" applyBorder="1" applyAlignment="1">
      <alignment horizontal="center"/>
    </xf>
    <xf numFmtId="0" fontId="2" fillId="7" borderId="1" xfId="2" applyFill="1" applyBorder="1" applyAlignment="1">
      <alignment vertical="center"/>
    </xf>
    <xf numFmtId="0" fontId="2" fillId="8" borderId="1" xfId="2" applyFill="1" applyBorder="1" applyAlignment="1">
      <alignment horizontal="center" vertical="center" wrapText="1"/>
    </xf>
    <xf numFmtId="0" fontId="2" fillId="8" borderId="1" xfId="2" applyFill="1" applyBorder="1" applyAlignment="1">
      <alignment vertical="center"/>
    </xf>
    <xf numFmtId="0" fontId="2" fillId="9" borderId="1" xfId="2" applyFill="1" applyBorder="1" applyAlignment="1">
      <alignment horizontal="center" vertical="center"/>
    </xf>
    <xf numFmtId="0" fontId="2" fillId="0" borderId="1" xfId="2" applyBorder="1" applyAlignment="1">
      <alignment vertical="center"/>
    </xf>
    <xf numFmtId="0" fontId="20" fillId="8" borderId="1" xfId="2" applyFont="1" applyFill="1" applyBorder="1" applyAlignment="1">
      <alignment vertical="center"/>
    </xf>
    <xf numFmtId="0" fontId="21" fillId="3" borderId="1" xfId="0" applyFont="1" applyFill="1" applyBorder="1" applyAlignment="1">
      <alignment horizontal="center"/>
    </xf>
    <xf numFmtId="0" fontId="5" fillId="0" borderId="1" xfId="0" applyFont="1" applyBorder="1" applyAlignment="1">
      <alignment horizontal="center"/>
    </xf>
    <xf numFmtId="57" fontId="5" fillId="0" borderId="1" xfId="0" applyNumberFormat="1" applyFont="1" applyBorder="1" applyAlignment="1">
      <alignment horizontal="left"/>
    </xf>
    <xf numFmtId="179" fontId="5" fillId="10" borderId="1" xfId="0" applyNumberFormat="1" applyFont="1" applyFill="1" applyBorder="1" applyAlignment="1">
      <alignment horizontal="center"/>
    </xf>
    <xf numFmtId="177" fontId="5" fillId="4" borderId="1" xfId="0" applyNumberFormat="1" applyFont="1" applyFill="1" applyBorder="1">
      <alignment vertical="center"/>
    </xf>
    <xf numFmtId="0" fontId="5" fillId="3" borderId="1" xfId="0" applyFont="1" applyFill="1" applyBorder="1">
      <alignment vertical="center"/>
    </xf>
    <xf numFmtId="180" fontId="5" fillId="4" borderId="1" xfId="0" applyNumberFormat="1" applyFont="1" applyFill="1" applyBorder="1" applyAlignment="1">
      <alignment horizontal="center"/>
    </xf>
    <xf numFmtId="0" fontId="21" fillId="3" borderId="1" xfId="6" applyFont="1" applyFill="1" applyBorder="1">
      <alignment vertical="center"/>
    </xf>
    <xf numFmtId="0" fontId="21" fillId="3" borderId="1" xfId="0" applyFont="1" applyFill="1" applyBorder="1" applyAlignment="1">
      <alignment horizontal="left"/>
    </xf>
    <xf numFmtId="0" fontId="5" fillId="10" borderId="1" xfId="0" applyFont="1" applyFill="1" applyBorder="1" applyAlignment="1">
      <alignment horizontal="center"/>
    </xf>
    <xf numFmtId="181" fontId="5" fillId="4" borderId="1" xfId="0" applyNumberFormat="1" applyFont="1" applyFill="1" applyBorder="1" applyAlignment="1">
      <alignment horizontal="center"/>
    </xf>
    <xf numFmtId="0" fontId="16" fillId="6" borderId="1" xfId="2" applyFont="1" applyFill="1" applyBorder="1" applyAlignment="1">
      <alignment horizontal="center" vertical="center" wrapText="1"/>
    </xf>
    <xf numFmtId="2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0" fillId="0" borderId="0" xfId="0" applyAlignment="1">
      <alignment horizontal="left" vertical="center" indent="1"/>
    </xf>
    <xf numFmtId="0" fontId="0" fillId="0" borderId="1" xfId="0" applyBorder="1">
      <alignment vertical="center"/>
    </xf>
  </cellXfs>
  <cellStyles count="7">
    <cellStyle name="百分比 2" xfId="1" xr:uid="{00000000-0005-0000-0000-000000000000}"/>
    <cellStyle name="常规" xfId="0" builtinId="0"/>
    <cellStyle name="常规 2" xfId="2" xr:uid="{00000000-0005-0000-0000-000002000000}"/>
    <cellStyle name="常规 3" xfId="3" xr:uid="{00000000-0005-0000-0000-000003000000}"/>
    <cellStyle name="常规_ks1" xfId="4" xr:uid="{00000000-0005-0000-0000-000004000000}"/>
    <cellStyle name="常规_第4第5章_ks" xfId="6" xr:uid="{00000000-0005-0000-0000-000005000000}"/>
    <cellStyle name="常规_移动平均2" xfId="5" xr:uid="{00000000-0005-0000-0000-000006000000}"/>
  </cellStyles>
  <dxfs count="1">
    <dxf>
      <numFmt numFmtId="27" formatCode="yyyy/m/d\ 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customXml" Target="../customXml/item3.xml"/><Relationship Id="rId21" Type="http://schemas.openxmlformats.org/officeDocument/2006/relationships/externalLink" Target="externalLinks/externalLink11.xml"/><Relationship Id="rId34" Type="http://schemas.openxmlformats.org/officeDocument/2006/relationships/sheetMetadata" Target="metadata.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6.xml"/><Relationship Id="rId2" Type="http://schemas.openxmlformats.org/officeDocument/2006/relationships/chartsheet" Target="chartsheets/sheet1.xml"/><Relationship Id="rId16" Type="http://schemas.openxmlformats.org/officeDocument/2006/relationships/externalLink" Target="externalLinks/externalLink6.xml"/><Relationship Id="rId29" Type="http://schemas.microsoft.com/office/2007/relationships/slicerCache" Target="slicerCaches/slicerCache1.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4.xml"/><Relationship Id="rId19" Type="http://schemas.openxmlformats.org/officeDocument/2006/relationships/externalLink" Target="externalLinks/externalLink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pivotCacheDefinition" Target="pivotCache/pivotCacheDefinition1.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7.xml"/><Relationship Id="rId51" Type="http://schemas.openxmlformats.org/officeDocument/2006/relationships/customXml" Target="../customXml/item15.xml"/><Relationship Id="rId3" Type="http://schemas.openxmlformats.org/officeDocument/2006/relationships/worksheet" Target="worksheets/sheet2.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externalLink" Target="externalLinks/externalLink10.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pivotCacheDefinition" Target="pivotCache/pivotCacheDefinition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9.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[2022222222宫胁咲良.xlsx]第1题!数据透视表1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第1题!$G$2</c:f>
              <c:strCache>
                <c:ptCount val="1"/>
                <c:pt idx="0">
                  <c:v>销售额总计值</c:v>
                </c:pt>
              </c:strCache>
            </c:strRef>
          </c:tx>
          <c:spPr>
            <a:solidFill>
              <a:schemeClr val="accent1"/>
            </a:solidFill>
            <a:ln>
              <a:noFill/>
            </a:ln>
            <a:effectLst/>
          </c:spPr>
          <c:invertIfNegative val="0"/>
          <c:cat>
            <c:multiLvlStrRef>
              <c:f>第1题!$F$3:$F$19</c:f>
              <c:multiLvlStrCache>
                <c:ptCount val="8"/>
                <c:lvl>
                  <c:pt idx="0">
                    <c:v>1997年</c:v>
                  </c:pt>
                  <c:pt idx="1">
                    <c:v>1997年</c:v>
                  </c:pt>
                  <c:pt idx="2">
                    <c:v>1997年</c:v>
                  </c:pt>
                  <c:pt idx="3">
                    <c:v>1997年</c:v>
                  </c:pt>
                  <c:pt idx="4">
                    <c:v>1997年</c:v>
                  </c:pt>
                  <c:pt idx="5">
                    <c:v>1997年</c:v>
                  </c:pt>
                  <c:pt idx="6">
                    <c:v>1997年</c:v>
                  </c:pt>
                  <c:pt idx="7">
                    <c:v>1997年</c:v>
                  </c:pt>
                </c:lvl>
                <c:lvl>
                  <c:pt idx="0">
                    <c:v>点心</c:v>
                  </c:pt>
                  <c:pt idx="1">
                    <c:v>调味品</c:v>
                  </c:pt>
                  <c:pt idx="2">
                    <c:v>谷类/麦片</c:v>
                  </c:pt>
                  <c:pt idx="3">
                    <c:v>海鲜</c:v>
                  </c:pt>
                  <c:pt idx="4">
                    <c:v>日用品</c:v>
                  </c:pt>
                  <c:pt idx="5">
                    <c:v>肉/家禽</c:v>
                  </c:pt>
                  <c:pt idx="6">
                    <c:v>特制品</c:v>
                  </c:pt>
                  <c:pt idx="7">
                    <c:v>饮料</c:v>
                  </c:pt>
                </c:lvl>
              </c:multiLvlStrCache>
            </c:multiLvlStrRef>
          </c:cat>
          <c:val>
            <c:numRef>
              <c:f>第1题!$G$3:$G$19</c:f>
              <c:numCache>
                <c:formatCode>General</c:formatCode>
                <c:ptCount val="8"/>
                <c:pt idx="0">
                  <c:v>83535.750412821944</c:v>
                </c:pt>
                <c:pt idx="1">
                  <c:v>54490.589937388344</c:v>
                </c:pt>
                <c:pt idx="2">
                  <c:v>56871.82494773603</c:v>
                </c:pt>
                <c:pt idx="3">
                  <c:v>66959.217435966988</c:v>
                </c:pt>
                <c:pt idx="4">
                  <c:v>115387.63983488345</c:v>
                </c:pt>
                <c:pt idx="5">
                  <c:v>80975.107943136099</c:v>
                </c:pt>
                <c:pt idx="6">
                  <c:v>54940.767450851759</c:v>
                </c:pt>
                <c:pt idx="7">
                  <c:v>103924.3049071975</c:v>
                </c:pt>
              </c:numCache>
            </c:numRef>
          </c:val>
          <c:extLst>
            <c:ext xmlns:c16="http://schemas.microsoft.com/office/drawing/2014/chart" uri="{C3380CC4-5D6E-409C-BE32-E72D297353CC}">
              <c16:uniqueId val="{00000000-D43F-4670-AB95-A0E23B4B6F28}"/>
            </c:ext>
          </c:extLst>
        </c:ser>
        <c:ser>
          <c:idx val="1"/>
          <c:order val="1"/>
          <c:tx>
            <c:strRef>
              <c:f>第1题!$H$2</c:f>
              <c:strCache>
                <c:ptCount val="1"/>
                <c:pt idx="0">
                  <c:v>销售额平均值</c:v>
                </c:pt>
              </c:strCache>
            </c:strRef>
          </c:tx>
          <c:spPr>
            <a:solidFill>
              <a:schemeClr val="accent2"/>
            </a:solidFill>
            <a:ln>
              <a:noFill/>
            </a:ln>
            <a:effectLst/>
          </c:spPr>
          <c:invertIfNegative val="0"/>
          <c:cat>
            <c:multiLvlStrRef>
              <c:f>第1题!$F$3:$F$19</c:f>
              <c:multiLvlStrCache>
                <c:ptCount val="8"/>
                <c:lvl>
                  <c:pt idx="0">
                    <c:v>1997年</c:v>
                  </c:pt>
                  <c:pt idx="1">
                    <c:v>1997年</c:v>
                  </c:pt>
                  <c:pt idx="2">
                    <c:v>1997年</c:v>
                  </c:pt>
                  <c:pt idx="3">
                    <c:v>1997年</c:v>
                  </c:pt>
                  <c:pt idx="4">
                    <c:v>1997年</c:v>
                  </c:pt>
                  <c:pt idx="5">
                    <c:v>1997年</c:v>
                  </c:pt>
                  <c:pt idx="6">
                    <c:v>1997年</c:v>
                  </c:pt>
                  <c:pt idx="7">
                    <c:v>1997年</c:v>
                  </c:pt>
                </c:lvl>
                <c:lvl>
                  <c:pt idx="0">
                    <c:v>点心</c:v>
                  </c:pt>
                  <c:pt idx="1">
                    <c:v>调味品</c:v>
                  </c:pt>
                  <c:pt idx="2">
                    <c:v>谷类/麦片</c:v>
                  </c:pt>
                  <c:pt idx="3">
                    <c:v>海鲜</c:v>
                  </c:pt>
                  <c:pt idx="4">
                    <c:v>日用品</c:v>
                  </c:pt>
                  <c:pt idx="5">
                    <c:v>肉/家禽</c:v>
                  </c:pt>
                  <c:pt idx="6">
                    <c:v>特制品</c:v>
                  </c:pt>
                  <c:pt idx="7">
                    <c:v>饮料</c:v>
                  </c:pt>
                </c:lvl>
              </c:multiLvlStrCache>
            </c:multiLvlStrRef>
          </c:cat>
          <c:val>
            <c:numRef>
              <c:f>第1题!$H$3:$H$19</c:f>
              <c:numCache>
                <c:formatCode>General</c:formatCode>
                <c:ptCount val="8"/>
                <c:pt idx="0">
                  <c:v>485.67296751640663</c:v>
                </c:pt>
                <c:pt idx="1">
                  <c:v>518.95799940369852</c:v>
                </c:pt>
                <c:pt idx="2">
                  <c:v>541.63642807367648</c:v>
                </c:pt>
                <c:pt idx="3">
                  <c:v>413.32850269115426</c:v>
                </c:pt>
                <c:pt idx="4">
                  <c:v>633.99802107078813</c:v>
                </c:pt>
                <c:pt idx="5">
                  <c:v>899.72342159040113</c:v>
                </c:pt>
                <c:pt idx="6">
                  <c:v>820.01145449032481</c:v>
                </c:pt>
                <c:pt idx="7">
                  <c:v>590.47900515453125</c:v>
                </c:pt>
              </c:numCache>
            </c:numRef>
          </c:val>
          <c:extLst>
            <c:ext xmlns:c16="http://schemas.microsoft.com/office/drawing/2014/chart" uri="{C3380CC4-5D6E-409C-BE32-E72D297353CC}">
              <c16:uniqueId val="{00000001-D43F-4670-AB95-A0E23B4B6F28}"/>
            </c:ext>
          </c:extLst>
        </c:ser>
        <c:dLbls>
          <c:showLegendKey val="0"/>
          <c:showVal val="0"/>
          <c:showCatName val="0"/>
          <c:showSerName val="0"/>
          <c:showPercent val="0"/>
          <c:showBubbleSize val="0"/>
        </c:dLbls>
        <c:gapWidth val="219"/>
        <c:overlap val="-27"/>
        <c:axId val="1074671632"/>
        <c:axId val="1074670384"/>
      </c:barChart>
      <c:catAx>
        <c:axId val="107467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74670384"/>
        <c:crosses val="autoZero"/>
        <c:auto val="1"/>
        <c:lblAlgn val="ctr"/>
        <c:lblOffset val="100"/>
        <c:noMultiLvlLbl val="0"/>
      </c:catAx>
      <c:valAx>
        <c:axId val="107467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7467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第2题!$R$3</c:f>
          <c:strCache>
            <c:ptCount val="1"/>
            <c:pt idx="0">
              <c:v>数量统计图</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1"/>
          <c:order val="1"/>
          <c:spPr>
            <a:solidFill>
              <a:schemeClr val="accent2"/>
            </a:solidFill>
            <a:ln>
              <a:noFill/>
            </a:ln>
            <a:effectLst/>
          </c:spPr>
          <c:invertIfNegative val="0"/>
          <c:val>
            <c:numRef>
              <c:f>第2题!$P$13:$P$21</c:f>
              <c:numCache>
                <c:formatCode>General</c:formatCode>
                <c:ptCount val="9"/>
                <c:pt idx="0">
                  <c:v>0</c:v>
                </c:pt>
                <c:pt idx="1">
                  <c:v>0</c:v>
                </c:pt>
                <c:pt idx="2">
                  <c:v>0</c:v>
                </c:pt>
                <c:pt idx="3">
                  <c:v>0</c:v>
                </c:pt>
                <c:pt idx="4">
                  <c:v>241</c:v>
                </c:pt>
                <c:pt idx="5">
                  <c:v>0</c:v>
                </c:pt>
                <c:pt idx="6">
                  <c:v>0</c:v>
                </c:pt>
                <c:pt idx="7">
                  <c:v>0</c:v>
                </c:pt>
                <c:pt idx="8">
                  <c:v>417</c:v>
                </c:pt>
              </c:numCache>
            </c:numRef>
          </c:val>
          <c:extLst>
            <c:ext xmlns:c16="http://schemas.microsoft.com/office/drawing/2014/chart" uri="{C3380CC4-5D6E-409C-BE32-E72D297353CC}">
              <c16:uniqueId val="{00000002-8E87-4025-82FE-E921823DD69D}"/>
            </c:ext>
          </c:extLst>
        </c:ser>
        <c:dLbls>
          <c:showLegendKey val="0"/>
          <c:showVal val="0"/>
          <c:showCatName val="0"/>
          <c:showSerName val="0"/>
          <c:showPercent val="0"/>
          <c:showBubbleSize val="0"/>
        </c:dLbls>
        <c:gapWidth val="219"/>
        <c:axId val="1739025552"/>
        <c:axId val="1739028048"/>
      </c:barChar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第2题!$L$13:$L$21</c:f>
              <c:strCache>
                <c:ptCount val="9"/>
                <c:pt idx="0">
                  <c:v>金士鹏</c:v>
                </c:pt>
                <c:pt idx="1">
                  <c:v>李芳</c:v>
                </c:pt>
                <c:pt idx="2">
                  <c:v>刘英玫</c:v>
                </c:pt>
                <c:pt idx="3">
                  <c:v>孙林</c:v>
                </c:pt>
                <c:pt idx="4">
                  <c:v>王伟</c:v>
                </c:pt>
                <c:pt idx="5">
                  <c:v>张雪眉</c:v>
                </c:pt>
                <c:pt idx="6">
                  <c:v>张颖</c:v>
                </c:pt>
                <c:pt idx="7">
                  <c:v>赵军</c:v>
                </c:pt>
                <c:pt idx="8">
                  <c:v>郑建杰</c:v>
                </c:pt>
              </c:strCache>
            </c:strRef>
          </c:cat>
          <c:val>
            <c:numRef>
              <c:f>第2题!$M$13:$M$21</c:f>
              <c:numCache>
                <c:formatCode>General</c:formatCode>
                <c:ptCount val="9"/>
                <c:pt idx="0">
                  <c:v>176</c:v>
                </c:pt>
                <c:pt idx="1">
                  <c:v>321</c:v>
                </c:pt>
                <c:pt idx="2">
                  <c:v>260</c:v>
                </c:pt>
                <c:pt idx="3">
                  <c:v>168</c:v>
                </c:pt>
                <c:pt idx="4">
                  <c:v>241</c:v>
                </c:pt>
                <c:pt idx="5">
                  <c:v>108</c:v>
                </c:pt>
                <c:pt idx="6">
                  <c:v>349</c:v>
                </c:pt>
                <c:pt idx="7">
                  <c:v>117</c:v>
                </c:pt>
                <c:pt idx="8">
                  <c:v>417</c:v>
                </c:pt>
              </c:numCache>
            </c:numRef>
          </c:val>
          <c:smooth val="0"/>
          <c:extLst>
            <c:ext xmlns:c16="http://schemas.microsoft.com/office/drawing/2014/chart" uri="{C3380CC4-5D6E-409C-BE32-E72D297353CC}">
              <c16:uniqueId val="{00000000-8E87-4025-82FE-E921823DD69D}"/>
            </c:ext>
          </c:extLst>
        </c:ser>
        <c:dLbls>
          <c:showLegendKey val="0"/>
          <c:showVal val="0"/>
          <c:showCatName val="0"/>
          <c:showSerName val="0"/>
          <c:showPercent val="0"/>
          <c:showBubbleSize val="0"/>
        </c:dLbls>
        <c:marker val="1"/>
        <c:smooth val="0"/>
        <c:axId val="1739025552"/>
        <c:axId val="1739028048"/>
      </c:lineChart>
      <c:catAx>
        <c:axId val="173902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39028048"/>
        <c:crosses val="autoZero"/>
        <c:auto val="1"/>
        <c:lblAlgn val="ctr"/>
        <c:lblOffset val="100"/>
        <c:noMultiLvlLbl val="0"/>
      </c:catAx>
      <c:valAx>
        <c:axId val="173902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3902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86A1D9-7F2C-4980-940F-5E6A0C698D50}">
  <sheetPr/>
  <sheetViews>
    <sheetView zoomScale="76" workbookViewId="0" zoomToFit="1"/>
  </sheetViews>
  <pageMargins left="0.7" right="0.7" top="0.75" bottom="0.75" header="0.3" footer="0.3"/>
  <drawing r:id="rId1"/>
</chartsheet>
</file>

<file path=xl/ctrlProps/ctrlProp1.xml><?xml version="1.0" encoding="utf-8"?>
<formControlPr xmlns="http://schemas.microsoft.com/office/spreadsheetml/2009/9/main" objectType="List" dx="26" fmlaLink="$P$6" fmlaRange="$P$4:$P$5" noThreeD="1" sel="1" val="0"/>
</file>

<file path=xl/ctrlProps/ctrlProp2.xml><?xml version="1.0" encoding="utf-8"?>
<formControlPr xmlns="http://schemas.microsoft.com/office/spreadsheetml/2009/9/main" objectType="List" dx="26" fmlaLink="$N$5" fmlaRange="$N$2:$N$4" noThreeD="1" sel="3" val="0"/>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171450</xdr:colOff>
      <xdr:row>4</xdr:row>
      <xdr:rowOff>76200</xdr:rowOff>
    </xdr:from>
    <xdr:to>
      <xdr:col>8</xdr:col>
      <xdr:colOff>107576</xdr:colOff>
      <xdr:row>16</xdr:row>
      <xdr:rowOff>47625</xdr:rowOff>
    </xdr:to>
    <xdr:sp macro="" textlink="">
      <xdr:nvSpPr>
        <xdr:cNvPr id="15361" name="Text Box 1">
          <a:extLst>
            <a:ext uri="{FF2B5EF4-FFF2-40B4-BE49-F238E27FC236}">
              <a16:creationId xmlns:a16="http://schemas.microsoft.com/office/drawing/2014/main" id="{00000000-0008-0000-0000-0000013C0000}"/>
            </a:ext>
          </a:extLst>
        </xdr:cNvPr>
        <xdr:cNvSpPr txBox="1">
          <a:spLocks noChangeArrowheads="1"/>
        </xdr:cNvSpPr>
      </xdr:nvSpPr>
      <xdr:spPr bwMode="auto">
        <a:xfrm>
          <a:off x="171450" y="913760"/>
          <a:ext cx="5837464" cy="2338107"/>
        </a:xfrm>
        <a:prstGeom prst="rect">
          <a:avLst/>
        </a:prstGeom>
        <a:solidFill>
          <a:srgbClr val="CCFFCC"/>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0" bIns="0" anchor="t" upright="1"/>
        <a:lstStyle/>
        <a:p>
          <a:pPr algn="l" rtl="0">
            <a:lnSpc>
              <a:spcPts val="2000"/>
            </a:lnSpc>
            <a:defRPr sz="1000"/>
          </a:pPr>
          <a:r>
            <a:rPr lang="zh-CN" altLang="en-US" sz="1600" b="1" i="0" strike="noStrike">
              <a:solidFill>
                <a:srgbClr val="0000FF"/>
              </a:solidFill>
              <a:latin typeface="宋体"/>
              <a:ea typeface="宋体"/>
            </a:rPr>
            <a:t>考试注意事项：</a:t>
          </a:r>
          <a:endParaRPr lang="zh-CN" altLang="en-US" sz="1200" b="0" i="0" strike="noStrike">
            <a:solidFill>
              <a:srgbClr val="000000"/>
            </a:solidFill>
            <a:latin typeface="宋体"/>
            <a:ea typeface="宋体"/>
          </a:endParaRPr>
        </a:p>
        <a:p>
          <a:pPr algn="l" rtl="0">
            <a:lnSpc>
              <a:spcPts val="1500"/>
            </a:lnSpc>
            <a:defRPr sz="1000"/>
          </a:pPr>
          <a:r>
            <a:rPr lang="en-US" altLang="zh-CN" sz="1200" b="0" i="0" strike="noStrike">
              <a:solidFill>
                <a:srgbClr val="000000"/>
              </a:solidFill>
              <a:latin typeface="Arial"/>
              <a:cs typeface="Arial"/>
            </a:rPr>
            <a:t>1</a:t>
          </a:r>
          <a:r>
            <a:rPr lang="zh-CN" altLang="en-US" sz="1200" b="0" i="0" strike="noStrike">
              <a:solidFill>
                <a:srgbClr val="000000"/>
              </a:solidFill>
              <a:latin typeface="宋体"/>
              <a:ea typeface="宋体"/>
            </a:rPr>
            <a:t>、</a:t>
          </a:r>
          <a:r>
            <a:rPr lang="zh-CN" altLang="en-US" sz="1200" b="0" i="0" strike="noStrike">
              <a:solidFill>
                <a:srgbClr val="000000"/>
              </a:solidFill>
              <a:latin typeface="Arial"/>
              <a:cs typeface="Arial"/>
            </a:rPr>
            <a:t> </a:t>
          </a:r>
          <a:r>
            <a:rPr lang="zh-CN" altLang="en-US" sz="1200" b="0" i="0" strike="noStrike">
              <a:solidFill>
                <a:srgbClr val="000000"/>
              </a:solidFill>
              <a:latin typeface="宋体"/>
              <a:ea typeface="宋体"/>
            </a:rPr>
            <a:t>严格遵守考试纪律，一旦发现任何违犯考试纪律的情况立即取消考生考试资格。</a:t>
          </a:r>
          <a:endParaRPr lang="zh-CN" altLang="en-US" sz="1200" b="0" i="0" strike="noStrike">
            <a:solidFill>
              <a:srgbClr val="000000"/>
            </a:solidFill>
            <a:latin typeface="Arial"/>
            <a:cs typeface="Arial"/>
          </a:endParaRPr>
        </a:p>
        <a:p>
          <a:pPr algn="l" rtl="0">
            <a:lnSpc>
              <a:spcPts val="1500"/>
            </a:lnSpc>
            <a:defRPr sz="1000"/>
          </a:pPr>
          <a:r>
            <a:rPr lang="en-US" altLang="zh-CN" sz="1200" b="0" i="0" strike="noStrike">
              <a:solidFill>
                <a:srgbClr val="000000"/>
              </a:solidFill>
              <a:latin typeface="Arial"/>
              <a:cs typeface="Arial"/>
            </a:rPr>
            <a:t>2</a:t>
          </a:r>
          <a:r>
            <a:rPr lang="zh-CN" altLang="en-US" sz="1200" b="0" i="0" strike="noStrike">
              <a:solidFill>
                <a:srgbClr val="000000"/>
              </a:solidFill>
              <a:latin typeface="宋体"/>
              <a:ea typeface="宋体"/>
            </a:rPr>
            <a:t>、每位同学完成操作后必须存盘，提交作业时必须先将此文件关闭，才能正确提交。</a:t>
          </a:r>
        </a:p>
        <a:p>
          <a:pPr algn="l" rtl="0">
            <a:defRPr sz="1000"/>
          </a:pPr>
          <a:r>
            <a:rPr lang="en-US" altLang="zh-CN" sz="1200" b="0" i="0" strike="noStrike">
              <a:solidFill>
                <a:srgbClr val="000000"/>
              </a:solidFill>
              <a:latin typeface="Arial"/>
              <a:cs typeface="Arial"/>
            </a:rPr>
            <a:t>3</a:t>
          </a:r>
          <a:r>
            <a:rPr lang="zh-CN" altLang="en-US" sz="1200" b="0" i="0" strike="noStrike">
              <a:solidFill>
                <a:srgbClr val="000000"/>
              </a:solidFill>
              <a:latin typeface="宋体"/>
              <a:ea typeface="宋体"/>
            </a:rPr>
            <a:t>、切记</a:t>
          </a:r>
          <a:r>
            <a:rPr lang="zh-CN" altLang="en-US" sz="1600" b="1" i="0" strike="noStrike">
              <a:solidFill>
                <a:srgbClr val="FF0000"/>
              </a:solidFill>
              <a:latin typeface="宋体"/>
              <a:ea typeface="宋体"/>
            </a:rPr>
            <a:t>经常存盘</a:t>
          </a:r>
          <a:r>
            <a:rPr lang="zh-CN" altLang="en-US" sz="1200" b="0" i="0" strike="noStrike">
              <a:solidFill>
                <a:srgbClr val="000000"/>
              </a:solidFill>
              <a:latin typeface="宋体"/>
              <a:ea typeface="宋体"/>
            </a:rPr>
            <a:t>。由于没有经常存盘而发生在死机时丢失答题结果的情况时后果由考生自负。</a:t>
          </a:r>
        </a:p>
        <a:p>
          <a:pPr algn="l" rtl="0">
            <a:lnSpc>
              <a:spcPts val="1500"/>
            </a:lnSpc>
            <a:defRPr sz="1000"/>
          </a:pPr>
          <a:r>
            <a:rPr lang="en-US" altLang="zh-CN" sz="1200" b="0" i="0" strike="noStrike">
              <a:solidFill>
                <a:srgbClr val="000000"/>
              </a:solidFill>
              <a:latin typeface="Arial"/>
              <a:cs typeface="Arial"/>
            </a:rPr>
            <a:t>4</a:t>
          </a:r>
          <a:r>
            <a:rPr lang="zh-CN" altLang="en-US" sz="1200" b="0" i="0" strike="noStrike">
              <a:solidFill>
                <a:srgbClr val="000000"/>
              </a:solidFill>
              <a:latin typeface="宋体"/>
              <a:ea typeface="宋体"/>
            </a:rPr>
            <a:t>、随时查看在硬盘上保存的文件的体积是否变得太大，如果太大了那一定是自己操作上发生了问题，应立即设法加以解决，不要等到最后交卷时才发现此类问题。</a:t>
          </a:r>
        </a:p>
        <a:p>
          <a:pPr algn="l" rtl="0">
            <a:lnSpc>
              <a:spcPts val="1500"/>
            </a:lnSpc>
            <a:defRPr sz="1000"/>
          </a:pPr>
          <a:r>
            <a:rPr lang="en-US" altLang="zh-CN" sz="1200" b="0" i="0" strike="noStrike">
              <a:solidFill>
                <a:srgbClr val="000000"/>
              </a:solidFill>
              <a:latin typeface="Arial"/>
              <a:cs typeface="Arial"/>
            </a:rPr>
            <a:t>5</a:t>
          </a:r>
          <a:r>
            <a:rPr lang="zh-CN" altLang="en-US" sz="1200" b="0" i="0" strike="noStrike">
              <a:solidFill>
                <a:srgbClr val="000000"/>
              </a:solidFill>
              <a:latin typeface="宋体"/>
              <a:ea typeface="宋体"/>
            </a:rPr>
            <a:t>、每个工作表中的题目文字框如果妨碍做题，可以将它移开。</a:t>
          </a:r>
        </a:p>
        <a:p>
          <a:pPr algn="l" rtl="0">
            <a:lnSpc>
              <a:spcPts val="1500"/>
            </a:lnSpc>
            <a:defRPr sz="1000"/>
          </a:pPr>
          <a:r>
            <a:rPr lang="en-US" altLang="zh-CN" sz="1200" b="0" i="0" strike="noStrike">
              <a:solidFill>
                <a:srgbClr val="000000"/>
              </a:solidFill>
              <a:latin typeface="Arial"/>
              <a:cs typeface="Arial"/>
            </a:rPr>
            <a:t>6</a:t>
          </a:r>
          <a:r>
            <a:rPr lang="zh-CN" altLang="en-US" sz="1200" b="0" i="0" strike="noStrike">
              <a:solidFill>
                <a:srgbClr val="000000"/>
              </a:solidFill>
              <a:latin typeface="宋体"/>
              <a:ea typeface="宋体"/>
            </a:rPr>
            <a:t>、绘制图形以实现功能为主，字体、大小和颜色等不同不扣分。</a:t>
          </a:r>
        </a:p>
        <a:p>
          <a:pPr algn="l" rtl="0">
            <a:lnSpc>
              <a:spcPts val="1400"/>
            </a:lnSpc>
            <a:defRPr sz="1000"/>
          </a:pPr>
          <a:r>
            <a:rPr lang="en-US" altLang="zh-CN" sz="1200" b="0" i="0" strike="noStrike">
              <a:solidFill>
                <a:srgbClr val="000000"/>
              </a:solidFill>
              <a:latin typeface="Arial"/>
              <a:cs typeface="Arial"/>
            </a:rPr>
            <a:t>7</a:t>
          </a:r>
          <a:r>
            <a:rPr lang="zh-CN" altLang="en-US" sz="1200" b="0" i="0" strike="noStrike">
              <a:solidFill>
                <a:srgbClr val="000000"/>
              </a:solidFill>
              <a:latin typeface="宋体"/>
              <a:ea typeface="宋体"/>
            </a:rPr>
            <a:t>、若删除此工作表按零分计。</a:t>
          </a:r>
        </a:p>
        <a:p>
          <a:pPr algn="l" rtl="0">
            <a:lnSpc>
              <a:spcPts val="1400"/>
            </a:lnSpc>
            <a:defRPr sz="1000"/>
          </a:pPr>
          <a:endParaRPr lang="zh-CN" altLang="en-US" sz="1200" b="0" i="0" strike="noStrike">
            <a:solidFill>
              <a:srgbClr val="000000"/>
            </a:solidFill>
            <a:latin typeface="宋体"/>
            <a:ea typeface="宋体"/>
          </a:endParaRPr>
        </a:p>
      </xdr:txBody>
    </xdr:sp>
    <xdr:clientData/>
  </xdr:twoCellAnchor>
  <xdr:twoCellAnchor>
    <xdr:from>
      <xdr:col>0</xdr:col>
      <xdr:colOff>438150</xdr:colOff>
      <xdr:row>17</xdr:row>
      <xdr:rowOff>57150</xdr:rowOff>
    </xdr:from>
    <xdr:to>
      <xdr:col>7</xdr:col>
      <xdr:colOff>47625</xdr:colOff>
      <xdr:row>21</xdr:row>
      <xdr:rowOff>57150</xdr:rowOff>
    </xdr:to>
    <xdr:sp macro="" textlink="">
      <xdr:nvSpPr>
        <xdr:cNvPr id="15362" name="Text Box 2">
          <a:extLst>
            <a:ext uri="{FF2B5EF4-FFF2-40B4-BE49-F238E27FC236}">
              <a16:creationId xmlns:a16="http://schemas.microsoft.com/office/drawing/2014/main" id="{00000000-0008-0000-0000-0000023C0000}"/>
            </a:ext>
          </a:extLst>
        </xdr:cNvPr>
        <xdr:cNvSpPr txBox="1">
          <a:spLocks noChangeArrowheads="1"/>
        </xdr:cNvSpPr>
      </xdr:nvSpPr>
      <xdr:spPr bwMode="auto">
        <a:xfrm>
          <a:off x="438150" y="3238500"/>
          <a:ext cx="5305425" cy="685800"/>
        </a:xfrm>
        <a:prstGeom prst="rect">
          <a:avLst/>
        </a:prstGeom>
        <a:solidFill>
          <a:srgbClr val="FFCCFF"/>
        </a:solidFill>
        <a:ln w="9525">
          <a:solidFill>
            <a:srgbClr val="000000"/>
          </a:solidFill>
          <a:miter lim="800000"/>
          <a:headEnd/>
          <a:tailEnd/>
        </a:ln>
        <a:effectLst>
          <a:outerShdw dist="35921" dir="2700000" algn="ctr" rotWithShape="0">
            <a:srgbClr val="808080"/>
          </a:outerShdw>
        </a:effectLst>
      </xdr:spPr>
      <xdr:txBody>
        <a:bodyPr vertOverflow="clip" wrap="square" lIns="45720" tIns="32004" rIns="45720" bIns="32004" anchor="ctr" upright="1"/>
        <a:lstStyle/>
        <a:p>
          <a:pPr algn="ctr" rtl="1">
            <a:defRPr sz="1000"/>
          </a:pPr>
          <a:r>
            <a:rPr lang="zh-CN" altLang="en-US" sz="2000" b="1" i="0" strike="noStrike">
              <a:solidFill>
                <a:srgbClr val="FF0000"/>
              </a:solidFill>
              <a:latin typeface="黑体"/>
              <a:ea typeface="黑体"/>
            </a:rPr>
            <a:t>诚实考试吾心不虚 ，公平竞争方显实力，</a:t>
          </a:r>
        </a:p>
        <a:p>
          <a:pPr algn="ctr" rtl="1">
            <a:defRPr sz="1000"/>
          </a:pPr>
          <a:r>
            <a:rPr lang="zh-CN" altLang="en-US" sz="2000" b="1" i="0" strike="noStrike">
              <a:solidFill>
                <a:srgbClr val="FF0000"/>
              </a:solidFill>
              <a:latin typeface="黑体"/>
              <a:ea typeface="黑体"/>
            </a:rPr>
            <a:t>考试失败尚有机会 ，考试舞弊前功尽弃。</a:t>
          </a:r>
        </a:p>
        <a:p>
          <a:pPr algn="ctr" rtl="1">
            <a:defRPr sz="1000"/>
          </a:pPr>
          <a:endParaRPr lang="zh-CN" altLang="en-US" sz="2000" b="1" i="0" strike="noStrike">
            <a:solidFill>
              <a:srgbClr val="FF0000"/>
            </a:solidFill>
            <a:latin typeface="黑体"/>
            <a:ea typeface="黑体"/>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294395" cy="6075947"/>
    <xdr:graphicFrame macro="">
      <xdr:nvGraphicFramePr>
        <xdr:cNvPr id="2" name="图表 1">
          <a:extLst>
            <a:ext uri="{FF2B5EF4-FFF2-40B4-BE49-F238E27FC236}">
              <a16:creationId xmlns:a16="http://schemas.microsoft.com/office/drawing/2014/main" id="{376B668A-134F-40D8-AD10-EF28563B7FA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4</xdr:col>
      <xdr:colOff>502920</xdr:colOff>
      <xdr:row>22</xdr:row>
      <xdr:rowOff>152400</xdr:rowOff>
    </xdr:from>
    <xdr:to>
      <xdr:col>14</xdr:col>
      <xdr:colOff>477307</xdr:colOff>
      <xdr:row>40</xdr:row>
      <xdr:rowOff>73295</xdr:rowOff>
    </xdr:to>
    <xdr:grpSp>
      <xdr:nvGrpSpPr>
        <xdr:cNvPr id="8" name="组合 7">
          <a:extLst>
            <a:ext uri="{FF2B5EF4-FFF2-40B4-BE49-F238E27FC236}">
              <a16:creationId xmlns:a16="http://schemas.microsoft.com/office/drawing/2014/main" id="{00000000-0008-0000-0100-000008000000}"/>
            </a:ext>
          </a:extLst>
        </xdr:cNvPr>
        <xdr:cNvGrpSpPr/>
      </xdr:nvGrpSpPr>
      <xdr:grpSpPr>
        <a:xfrm>
          <a:off x="4099560" y="4175760"/>
          <a:ext cx="8036347" cy="3212735"/>
          <a:chOff x="5800367" y="533561"/>
          <a:chExt cx="6127569" cy="3311242"/>
        </a:xfrm>
        <a:solidFill>
          <a:schemeClr val="accent1">
            <a:lumMod val="20000"/>
            <a:lumOff val="80000"/>
          </a:schemeClr>
        </a:solidFill>
      </xdr:grpSpPr>
      <xdr:sp macro="" textlink="">
        <xdr:nvSpPr>
          <xdr:cNvPr id="9" name="文本框 8">
            <a:extLst>
              <a:ext uri="{FF2B5EF4-FFF2-40B4-BE49-F238E27FC236}">
                <a16:creationId xmlns:a16="http://schemas.microsoft.com/office/drawing/2014/main" id="{00000000-0008-0000-0100-000009000000}"/>
              </a:ext>
            </a:extLst>
          </xdr:cNvPr>
          <xdr:cNvSpPr txBox="1"/>
        </xdr:nvSpPr>
        <xdr:spPr>
          <a:xfrm>
            <a:off x="5800367" y="533561"/>
            <a:ext cx="6127569" cy="3311242"/>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a:t>
            </a:r>
            <a:r>
              <a:rPr lang="en-US" altLang="zh-CN" sz="1200" b="1">
                <a:latin typeface="宋体" panose="02010600030101010101" pitchFamily="2" charset="-122"/>
                <a:ea typeface="宋体" panose="02010600030101010101" pitchFamily="2" charset="-122"/>
              </a:rPr>
              <a:t>10</a:t>
            </a:r>
            <a:r>
              <a:rPr lang="zh-CN" altLang="en-US" sz="1200" b="1">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利用数据透视表，使用</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数据库中数据，制作如下图所示的</a:t>
            </a:r>
            <a:r>
              <a:rPr lang="zh-CN" altLang="en-US" sz="1200" b="1">
                <a:solidFill>
                  <a:sysClr val="windowText" lastClr="000000"/>
                </a:solidFill>
                <a:latin typeface="宋体" panose="02010600030101010101" pitchFamily="2" charset="-122"/>
                <a:ea typeface="宋体" panose="02010600030101010101" pitchFamily="2" charset="-122"/>
              </a:rPr>
              <a:t>两个数据透视表</a:t>
            </a:r>
            <a:r>
              <a:rPr lang="zh-CN" altLang="en-US" sz="1200">
                <a:latin typeface="宋体" panose="02010600030101010101" pitchFamily="2" charset="-122"/>
                <a:ea typeface="宋体" panose="02010600030101010101" pitchFamily="2" charset="-122"/>
              </a:rPr>
              <a:t>。汇总各类别商品的和各销售人员实现的销售额总计值和销售额平均值。并添加</a:t>
            </a:r>
            <a:r>
              <a:rPr lang="zh-CN" altLang="en-US" sz="1200" b="1">
                <a:solidFill>
                  <a:sysClr val="windowText" lastClr="000000"/>
                </a:solidFill>
                <a:latin typeface="宋体" panose="02010600030101010101" pitchFamily="2" charset="-122"/>
                <a:ea typeface="宋体" panose="02010600030101010101" pitchFamily="2" charset="-122"/>
              </a:rPr>
              <a:t>年份切片器</a:t>
            </a:r>
            <a:r>
              <a:rPr lang="zh-CN" altLang="en-US" sz="1200">
                <a:latin typeface="宋体" panose="02010600030101010101" pitchFamily="2" charset="-122"/>
                <a:ea typeface="宋体" panose="02010600030101010101" pitchFamily="2" charset="-122"/>
              </a:rPr>
              <a:t>，当选中</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年时，两个透视表均显示</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年的销售情况。</a:t>
            </a:r>
            <a:endParaRPr lang="en-US" altLang="zh-CN" sz="1200">
              <a:latin typeface="宋体" panose="02010600030101010101" pitchFamily="2" charset="-122"/>
              <a:ea typeface="宋体" panose="02010600030101010101" pitchFamily="2" charset="-122"/>
            </a:endParaRPr>
          </a:p>
        </xdr:txBody>
      </xdr:sp>
      <xdr:pic>
        <xdr:nvPicPr>
          <xdr:cNvPr id="10" name="图片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8606" y="1429721"/>
            <a:ext cx="4194957" cy="2000250"/>
          </a:xfrm>
          <a:prstGeom prst="rect">
            <a:avLst/>
          </a:prstGeom>
          <a:grpFill/>
          <a:ln>
            <a:solidFill>
              <a:schemeClr val="tx1"/>
            </a:solidFill>
          </a:ln>
        </xdr:spPr>
      </xdr:pic>
    </xdr:grpSp>
    <xdr:clientData/>
  </xdr:twoCellAnchor>
  <xdr:twoCellAnchor editAs="oneCell">
    <xdr:from>
      <xdr:col>11</xdr:col>
      <xdr:colOff>841724</xdr:colOff>
      <xdr:row>28</xdr:row>
      <xdr:rowOff>54236</xdr:rowOff>
    </xdr:from>
    <xdr:to>
      <xdr:col>13</xdr:col>
      <xdr:colOff>456229</xdr:colOff>
      <xdr:row>37</xdr:row>
      <xdr:rowOff>5625</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0275284" y="5174876"/>
          <a:ext cx="1229945" cy="1597309"/>
        </a:xfrm>
        <a:prstGeom prst="rect">
          <a:avLst/>
        </a:prstGeom>
      </xdr:spPr>
    </xdr:pic>
    <xdr:clientData/>
  </xdr:twoCellAnchor>
  <xdr:twoCellAnchor editAs="oneCell">
    <xdr:from>
      <xdr:col>12</xdr:col>
      <xdr:colOff>350520</xdr:colOff>
      <xdr:row>0</xdr:row>
      <xdr:rowOff>129540</xdr:rowOff>
    </xdr:from>
    <xdr:to>
      <xdr:col>15</xdr:col>
      <xdr:colOff>350520</xdr:colOff>
      <xdr:row>12</xdr:row>
      <xdr:rowOff>173355</xdr:rowOff>
    </xdr:to>
    <mc:AlternateContent xmlns:mc="http://schemas.openxmlformats.org/markup-compatibility/2006">
      <mc:Choice xmlns:a14="http://schemas.microsoft.com/office/drawing/2010/main" Requires="a14">
        <xdr:graphicFrame macro="">
          <xdr:nvGraphicFramePr>
            <xdr:cNvPr id="7" name="年">
              <a:extLst>
                <a:ext uri="{FF2B5EF4-FFF2-40B4-BE49-F238E27FC236}">
                  <a16:creationId xmlns:a16="http://schemas.microsoft.com/office/drawing/2014/main" id="{7A6E8F75-2348-4DA2-9842-3FC45788E9AB}"/>
                </a:ext>
              </a:extLst>
            </xdr:cNvPr>
            <xdr:cNvGraphicFramePr/>
          </xdr:nvGraphicFramePr>
          <xdr:xfrm>
            <a:off x="0" y="0"/>
            <a:ext cx="0" cy="0"/>
          </xdr:xfrm>
          <a:graphic>
            <a:graphicData uri="http://schemas.microsoft.com/office/drawing/2010/slicer">
              <sle:slicer xmlns:sle="http://schemas.microsoft.com/office/drawing/2010/slicer" name="年"/>
            </a:graphicData>
          </a:graphic>
        </xdr:graphicFrame>
      </mc:Choice>
      <mc:Fallback>
        <xdr:sp macro="" textlink="">
          <xdr:nvSpPr>
            <xdr:cNvPr id="0" name=""/>
            <xdr:cNvSpPr>
              <a:spLocks noTextEdit="1"/>
            </xdr:cNvSpPr>
          </xdr:nvSpPr>
          <xdr:spPr>
            <a:xfrm>
              <a:off x="10789920" y="129540"/>
              <a:ext cx="1828800" cy="2238375"/>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335280</xdr:colOff>
      <xdr:row>10</xdr:row>
      <xdr:rowOff>60960</xdr:rowOff>
    </xdr:from>
    <xdr:to>
      <xdr:col>21</xdr:col>
      <xdr:colOff>289560</xdr:colOff>
      <xdr:row>25</xdr:row>
      <xdr:rowOff>60960</xdr:rowOff>
    </xdr:to>
    <xdr:graphicFrame macro="">
      <xdr:nvGraphicFramePr>
        <xdr:cNvPr id="2" name="图表 1">
          <a:extLst>
            <a:ext uri="{FF2B5EF4-FFF2-40B4-BE49-F238E27FC236}">
              <a16:creationId xmlns:a16="http://schemas.microsoft.com/office/drawing/2014/main" id="{F842FDD4-17D5-44BB-9B1F-1ED47B759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175900</xdr:colOff>
      <xdr:row>7</xdr:row>
      <xdr:rowOff>123136</xdr:rowOff>
    </xdr:from>
    <xdr:to>
      <xdr:col>6</xdr:col>
      <xdr:colOff>943616</xdr:colOff>
      <xdr:row>24</xdr:row>
      <xdr:rowOff>40132</xdr:rowOff>
    </xdr:to>
    <xdr:grpSp>
      <xdr:nvGrpSpPr>
        <xdr:cNvPr id="9" name="组合 8">
          <a:extLst>
            <a:ext uri="{FF2B5EF4-FFF2-40B4-BE49-F238E27FC236}">
              <a16:creationId xmlns:a16="http://schemas.microsoft.com/office/drawing/2014/main" id="{00000000-0008-0000-0200-000009000000}"/>
            </a:ext>
          </a:extLst>
        </xdr:cNvPr>
        <xdr:cNvGrpSpPr/>
      </xdr:nvGrpSpPr>
      <xdr:grpSpPr>
        <a:xfrm>
          <a:off x="175900" y="1403296"/>
          <a:ext cx="4676776" cy="3025956"/>
          <a:chOff x="8572500" y="904877"/>
          <a:chExt cx="7401195" cy="4054718"/>
        </a:xfrm>
        <a:solidFill>
          <a:schemeClr val="accent6">
            <a:lumMod val="20000"/>
            <a:lumOff val="80000"/>
          </a:schemeClr>
        </a:solidFill>
      </xdr:grpSpPr>
      <xdr:sp macro="" textlink="">
        <xdr:nvSpPr>
          <xdr:cNvPr id="10" name="Text Box 2">
            <a:extLst>
              <a:ext uri="{FF2B5EF4-FFF2-40B4-BE49-F238E27FC236}">
                <a16:creationId xmlns:a16="http://schemas.microsoft.com/office/drawing/2014/main" id="{00000000-0008-0000-0200-00000A000000}"/>
              </a:ext>
            </a:extLst>
          </xdr:cNvPr>
          <xdr:cNvSpPr txBox="1">
            <a:spLocks noChangeArrowheads="1"/>
          </xdr:cNvSpPr>
        </xdr:nvSpPr>
        <xdr:spPr bwMode="auto">
          <a:xfrm>
            <a:off x="8572500" y="904877"/>
            <a:ext cx="7401195" cy="4054718"/>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endParaRPr lang="en-US" altLang="zh-CN" sz="1200" b="1" i="0" u="none" strike="noStrike" baseline="0">
              <a:solidFill>
                <a:srgbClr val="000000"/>
              </a:solidFill>
              <a:latin typeface="宋体" panose="02010600030101010101" pitchFamily="2" charset="-122"/>
              <a:ea typeface="宋体" panose="02010600030101010101" pitchFamily="2" charset="-122"/>
            </a:endParaRPr>
          </a:p>
          <a:p>
            <a:pPr algn="l" rtl="0">
              <a:lnSpc>
                <a:spcPts val="1200"/>
              </a:lnSpc>
              <a:defRPr sz="1000"/>
            </a:pPr>
            <a:r>
              <a:rPr lang="zh-CN" altLang="en-US" sz="1200" b="1" i="0" u="none" strike="noStrike" baseline="0">
                <a:solidFill>
                  <a:srgbClr val="000000"/>
                </a:solidFill>
                <a:latin typeface="宋体" panose="02010600030101010101" pitchFamily="2" charset="-122"/>
                <a:ea typeface="宋体" panose="02010600030101010101" pitchFamily="2" charset="-122"/>
              </a:rPr>
              <a:t>第</a:t>
            </a:r>
            <a:r>
              <a:rPr lang="en-US" altLang="zh-CN" sz="1200" b="1" i="0" u="none" strike="noStrike" baseline="0">
                <a:solidFill>
                  <a:srgbClr val="000000"/>
                </a:solidFill>
                <a:latin typeface="宋体" panose="02010600030101010101" pitchFamily="2" charset="-122"/>
                <a:ea typeface="宋体" panose="02010600030101010101" pitchFamily="2" charset="-122"/>
              </a:rPr>
              <a:t>2</a:t>
            </a:r>
            <a:r>
              <a:rPr lang="zh-CN" altLang="en-US" sz="1200" b="1" i="0" u="none" strike="noStrike" baseline="0">
                <a:solidFill>
                  <a:srgbClr val="000000"/>
                </a:solidFill>
                <a:latin typeface="宋体" panose="02010600030101010101" pitchFamily="2" charset="-122"/>
                <a:ea typeface="宋体" panose="02010600030101010101" pitchFamily="2" charset="-122"/>
              </a:rPr>
              <a:t>题 </a:t>
            </a:r>
            <a:r>
              <a:rPr lang="en-US" altLang="zh-CN" sz="1200" b="1" i="0" u="none" strike="noStrike" baseline="0">
                <a:solidFill>
                  <a:srgbClr val="000000"/>
                </a:solidFill>
                <a:latin typeface="宋体" panose="02010600030101010101" pitchFamily="2" charset="-122"/>
                <a:ea typeface="宋体" panose="02010600030101010101" pitchFamily="2" charset="-122"/>
              </a:rPr>
              <a:t>(15</a:t>
            </a:r>
            <a:r>
              <a:rPr lang="zh-CN" altLang="en-US" sz="1200" b="1" i="0" u="none" strike="noStrike" baseline="0">
                <a:solidFill>
                  <a:srgbClr val="000000"/>
                </a:solidFill>
                <a:latin typeface="宋体" panose="02010600030101010101" pitchFamily="2" charset="-122"/>
                <a:ea typeface="宋体" panose="02010600030101010101" pitchFamily="2" charset="-122"/>
              </a:rPr>
              <a:t>分</a:t>
            </a:r>
            <a:r>
              <a:rPr lang="en-US" altLang="zh-CN" sz="1200" b="1" i="0" u="none" strike="noStrike" baseline="0">
                <a:solidFill>
                  <a:srgbClr val="000000"/>
                </a:solidFill>
                <a:latin typeface="宋体" panose="02010600030101010101" pitchFamily="2" charset="-122"/>
                <a:ea typeface="宋体" panose="02010600030101010101" pitchFamily="2" charset="-122"/>
              </a:rPr>
              <a:t>)</a:t>
            </a:r>
            <a:r>
              <a:rPr lang="zh-CN" altLang="en-US" sz="1200" b="0" i="0" u="none" strike="noStrike" baseline="0">
                <a:solidFill>
                  <a:srgbClr val="000000"/>
                </a:solidFill>
                <a:latin typeface="宋体" panose="02010600030101010101" pitchFamily="2" charset="-122"/>
                <a:ea typeface="宋体" panose="02010600030101010101" pitchFamily="2" charset="-122"/>
              </a:rPr>
              <a:t>根据本工作表数据，利用DSUM()函数及模拟运算表，按姓名对数量或销售额进行总计计算。创建二个列表框并绘制如图所示折线图图形。使用列表框对销售地区代表进行</a:t>
            </a:r>
            <a:r>
              <a:rPr lang="zh-CN" altLang="zh-CN" sz="1200" b="0" i="0" baseline="0">
                <a:effectLst/>
                <a:latin typeface="宋体" panose="02010600030101010101" pitchFamily="2" charset="-122"/>
                <a:ea typeface="宋体" panose="02010600030101010101" pitchFamily="2" charset="-122"/>
                <a:cs typeface="+mn-cs"/>
              </a:rPr>
              <a:t>控制</a:t>
            </a:r>
            <a:r>
              <a:rPr lang="zh-CN" altLang="en-US" sz="1200" b="0" i="0" baseline="0">
                <a:effectLst/>
                <a:latin typeface="宋体" panose="02010600030101010101" pitchFamily="2" charset="-122"/>
                <a:ea typeface="宋体" panose="02010600030101010101" pitchFamily="2" charset="-122"/>
                <a:cs typeface="+mn-cs"/>
              </a:rPr>
              <a:t>，选择</a:t>
            </a:r>
            <a:r>
              <a:rPr lang="zh-CN" altLang="en-US" sz="1200" b="0" i="0" u="none" strike="noStrike" baseline="0">
                <a:solidFill>
                  <a:srgbClr val="000000"/>
                </a:solidFill>
                <a:latin typeface="宋体" panose="02010600030101010101" pitchFamily="2" charset="-122"/>
                <a:ea typeface="宋体" panose="02010600030101010101" pitchFamily="2" charset="-122"/>
              </a:rPr>
              <a:t>各个地区的销售代表</a:t>
            </a:r>
            <a:r>
              <a:rPr lang="zh-CN" altLang="en-US" sz="1200" b="0" i="0" baseline="0">
                <a:effectLst/>
                <a:latin typeface="宋体" panose="02010600030101010101" pitchFamily="2" charset="-122"/>
                <a:ea typeface="宋体" panose="02010600030101010101" pitchFamily="2" charset="-122"/>
                <a:cs typeface="+mn-cs"/>
              </a:rPr>
              <a:t>时</a:t>
            </a:r>
            <a:r>
              <a:rPr lang="zh-CN" altLang="en-US" sz="1200" b="0" i="0" u="none" strike="noStrike" baseline="0">
                <a:solidFill>
                  <a:srgbClr val="000000"/>
                </a:solidFill>
                <a:latin typeface="宋体" panose="02010600030101010101" pitchFamily="2" charset="-122"/>
                <a:ea typeface="宋体" panose="02010600030101010101" pitchFamily="2" charset="-122"/>
              </a:rPr>
              <a:t>，属于所选销售地区代表的姓名的数据用红色柱子表示。如样图所示。</a:t>
            </a:r>
            <a:endParaRPr lang="zh-CN" altLang="en-US" sz="1200">
              <a:latin typeface="宋体" panose="02010600030101010101" pitchFamily="2" charset="-122"/>
              <a:ea typeface="宋体" panose="02010600030101010101" pitchFamily="2" charset="-122"/>
            </a:endParaRPr>
          </a:p>
        </xdr:txBody>
      </xdr:sp>
      <xdr:pic>
        <xdr:nvPicPr>
          <xdr:cNvPr id="11" name="图片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9610329" y="2221811"/>
            <a:ext cx="5743034" cy="2600624"/>
          </a:xfrm>
          <a:prstGeom prst="rect">
            <a:avLst/>
          </a:prstGeom>
          <a:grpFill/>
          <a:ln>
            <a:solidFill>
              <a:schemeClr val="tx1"/>
            </a:solidFill>
          </a:ln>
        </xdr:spPr>
      </xdr:pic>
    </xdr:grpSp>
    <xdr:clientData/>
  </xdr:twoCellAnchor>
  <mc:AlternateContent xmlns:mc="http://schemas.openxmlformats.org/markup-compatibility/2006">
    <mc:Choice xmlns:a14="http://schemas.microsoft.com/office/drawing/2010/main" Requires="a14">
      <xdr:twoCellAnchor editAs="oneCell">
        <xdr:from>
          <xdr:col>18</xdr:col>
          <xdr:colOff>213360</xdr:colOff>
          <xdr:row>12</xdr:row>
          <xdr:rowOff>68580</xdr:rowOff>
        </xdr:from>
        <xdr:to>
          <xdr:col>19</xdr:col>
          <xdr:colOff>434340</xdr:colOff>
          <xdr:row>14</xdr:row>
          <xdr:rowOff>22860</xdr:rowOff>
        </xdr:to>
        <xdr:sp macro="" textlink="">
          <xdr:nvSpPr>
            <xdr:cNvPr id="3074" name="List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106680</xdr:colOff>
          <xdr:row>11</xdr:row>
          <xdr:rowOff>83820</xdr:rowOff>
        </xdr:from>
        <xdr:to>
          <xdr:col>15</xdr:col>
          <xdr:colOff>472440</xdr:colOff>
          <xdr:row>14</xdr:row>
          <xdr:rowOff>22860</xdr:rowOff>
        </xdr:to>
        <xdr:sp macro="" textlink="">
          <xdr:nvSpPr>
            <xdr:cNvPr id="3075" name="List Box 3" hidden="1">
              <a:extLst>
                <a:ext uri="{63B3BB69-23CF-44E3-9099-C40C66FF867C}">
                  <a14:compatExt spid="_x0000_s3075"/>
                </a:ext>
                <a:ext uri="{FF2B5EF4-FFF2-40B4-BE49-F238E27FC236}">
                  <a16:creationId xmlns:a16="http://schemas.microsoft.com/office/drawing/2014/main" id="{00000000-0008-0000-03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11</xdr:col>
      <xdr:colOff>30735</xdr:colOff>
      <xdr:row>4</xdr:row>
      <xdr:rowOff>7684</xdr:rowOff>
    </xdr:from>
    <xdr:to>
      <xdr:col>19</xdr:col>
      <xdr:colOff>367040</xdr:colOff>
      <xdr:row>26</xdr:row>
      <xdr:rowOff>61473</xdr:rowOff>
    </xdr:to>
    <xdr:grpSp>
      <xdr:nvGrpSpPr>
        <xdr:cNvPr id="6" name="组合 5">
          <a:extLst>
            <a:ext uri="{FF2B5EF4-FFF2-40B4-BE49-F238E27FC236}">
              <a16:creationId xmlns:a16="http://schemas.microsoft.com/office/drawing/2014/main" id="{00000000-0008-0000-0300-000006000000}"/>
            </a:ext>
          </a:extLst>
        </xdr:cNvPr>
        <xdr:cNvGrpSpPr/>
      </xdr:nvGrpSpPr>
      <xdr:grpSpPr>
        <a:xfrm>
          <a:off x="11216895" y="739204"/>
          <a:ext cx="5213105" cy="4077149"/>
          <a:chOff x="4810856" y="1165860"/>
          <a:chExt cx="5090160" cy="3188894"/>
        </a:xfrm>
      </xdr:grpSpPr>
      <xdr:sp macro="" textlink="">
        <xdr:nvSpPr>
          <xdr:cNvPr id="7" name="文本框 6">
            <a:extLst>
              <a:ext uri="{FF2B5EF4-FFF2-40B4-BE49-F238E27FC236}">
                <a16:creationId xmlns:a16="http://schemas.microsoft.com/office/drawing/2014/main" id="{00000000-0008-0000-0300-000007000000}"/>
              </a:ext>
            </a:extLst>
          </xdr:cNvPr>
          <xdr:cNvSpPr txBox="1"/>
        </xdr:nvSpPr>
        <xdr:spPr>
          <a:xfrm>
            <a:off x="4810856" y="1165860"/>
            <a:ext cx="5090160" cy="3188894"/>
          </a:xfrm>
          <a:prstGeom prst="rect">
            <a:avLst/>
          </a:prstGeom>
          <a:solidFill>
            <a:schemeClr val="accent1">
              <a:lumMod val="20000"/>
              <a:lumOff val="80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200" b="1">
                <a:solidFill>
                  <a:schemeClr val="dk1"/>
                </a:solidFill>
                <a:effectLst/>
                <a:latin typeface="+mn-ea"/>
                <a:ea typeface="+mn-ea"/>
                <a:cs typeface="+mn-cs"/>
              </a:rPr>
              <a:t>第</a:t>
            </a:r>
            <a:r>
              <a:rPr lang="en-US" altLang="zh-CN" sz="1200" b="1">
                <a:solidFill>
                  <a:schemeClr val="dk1"/>
                </a:solidFill>
                <a:effectLst/>
                <a:latin typeface="+mn-ea"/>
                <a:ea typeface="+mn-ea"/>
                <a:cs typeface="+mn-cs"/>
              </a:rPr>
              <a:t>3</a:t>
            </a:r>
            <a:r>
              <a:rPr lang="zh-CN" altLang="zh-CN" sz="1200" b="1">
                <a:solidFill>
                  <a:schemeClr val="dk1"/>
                </a:solidFill>
                <a:effectLst/>
                <a:latin typeface="+mn-ea"/>
                <a:ea typeface="+mn-ea"/>
                <a:cs typeface="+mn-cs"/>
              </a:rPr>
              <a:t>题（</a:t>
            </a:r>
            <a:r>
              <a:rPr lang="en-US" altLang="zh-CN" sz="1200" b="1">
                <a:solidFill>
                  <a:schemeClr val="dk1"/>
                </a:solidFill>
                <a:effectLst/>
                <a:latin typeface="+mn-ea"/>
                <a:ea typeface="+mn-ea"/>
                <a:cs typeface="+mn-cs"/>
              </a:rPr>
              <a:t>15</a:t>
            </a:r>
            <a:r>
              <a:rPr lang="zh-CN" altLang="zh-CN" sz="1200" b="1">
                <a:solidFill>
                  <a:schemeClr val="dk1"/>
                </a:solidFill>
                <a:effectLst/>
                <a:latin typeface="+mn-ea"/>
                <a:ea typeface="+mn-ea"/>
                <a:cs typeface="+mn-cs"/>
              </a:rPr>
              <a:t>分）</a:t>
            </a:r>
            <a:r>
              <a:rPr lang="zh-CN" altLang="en-US" sz="1200">
                <a:solidFill>
                  <a:sysClr val="windowText" lastClr="000000"/>
                </a:solidFill>
                <a:effectLst/>
                <a:latin typeface="+mn-ea"/>
                <a:ea typeface="+mn-ea"/>
                <a:cs typeface="+mn-cs"/>
              </a:rPr>
              <a:t>利用“</a:t>
            </a:r>
            <a:r>
              <a:rPr lang="en-US" altLang="zh-CN" sz="1200" i="1">
                <a:solidFill>
                  <a:sysClr val="windowText" lastClr="000000"/>
                </a:solidFill>
                <a:effectLst/>
                <a:latin typeface="+mn-ea"/>
                <a:ea typeface="+mn-ea"/>
                <a:cs typeface="+mn-cs"/>
              </a:rPr>
              <a:t>ABC</a:t>
            </a:r>
            <a:r>
              <a:rPr lang="zh-CN" altLang="en-US" sz="1200" i="1">
                <a:solidFill>
                  <a:sysClr val="windowText" lastClr="000000"/>
                </a:solidFill>
                <a:effectLst/>
                <a:latin typeface="+mn-ea"/>
                <a:ea typeface="+mn-ea"/>
                <a:cs typeface="+mn-cs"/>
              </a:rPr>
              <a:t>公司销售数据</a:t>
            </a:r>
            <a:r>
              <a:rPr lang="en-US" altLang="zh-CN" sz="1200" i="1">
                <a:solidFill>
                  <a:sysClr val="windowText" lastClr="000000"/>
                </a:solidFill>
                <a:effectLst/>
                <a:latin typeface="+mn-ea"/>
                <a:ea typeface="+mn-ea"/>
                <a:cs typeface="+mn-cs"/>
              </a:rPr>
              <a:t>.xlsx</a:t>
            </a:r>
            <a:r>
              <a:rPr lang="zh-CN" altLang="en-US" sz="1200">
                <a:solidFill>
                  <a:sysClr val="windowText" lastClr="000000"/>
                </a:solidFill>
                <a:effectLst/>
                <a:latin typeface="+mn-ea"/>
                <a:ea typeface="+mn-ea"/>
                <a:cs typeface="+mn-cs"/>
              </a:rPr>
              <a:t>”和</a:t>
            </a:r>
            <a:r>
              <a:rPr lang="zh-CN" altLang="zh-CN" sz="1200">
                <a:solidFill>
                  <a:sysClr val="windowText" lastClr="000000"/>
                </a:solidFill>
                <a:effectLst/>
                <a:latin typeface="+mn-ea"/>
                <a:ea typeface="+mn-ea"/>
                <a:cs typeface="+mn-cs"/>
              </a:rPr>
              <a:t>“</a:t>
            </a:r>
            <a:r>
              <a:rPr lang="en-US" altLang="zh-CN" sz="1200" i="1">
                <a:solidFill>
                  <a:sysClr val="windowText" lastClr="000000"/>
                </a:solidFill>
                <a:effectLst/>
                <a:latin typeface="+mn-ea"/>
                <a:ea typeface="+mn-ea"/>
                <a:cs typeface="+mn-cs"/>
              </a:rPr>
              <a:t>ABC</a:t>
            </a:r>
            <a:r>
              <a:rPr lang="zh-CN" altLang="en-US" sz="1200" i="1">
                <a:solidFill>
                  <a:sysClr val="windowText" lastClr="000000"/>
                </a:solidFill>
                <a:effectLst/>
                <a:latin typeface="+mn-ea"/>
                <a:ea typeface="+mn-ea"/>
                <a:cs typeface="+mn-cs"/>
              </a:rPr>
              <a:t>公司销售大区和省份对照表</a:t>
            </a:r>
            <a:r>
              <a:rPr lang="en-US" altLang="zh-CN" sz="1200" i="1">
                <a:solidFill>
                  <a:sysClr val="windowText" lastClr="000000"/>
                </a:solidFill>
                <a:effectLst/>
                <a:latin typeface="+mn-ea"/>
                <a:ea typeface="+mn-ea"/>
                <a:cs typeface="+mn-cs"/>
              </a:rPr>
              <a:t>.xlsx</a:t>
            </a:r>
            <a:r>
              <a:rPr lang="zh-CN" altLang="zh-CN" sz="1200">
                <a:solidFill>
                  <a:sysClr val="windowText" lastClr="000000"/>
                </a:solidFill>
                <a:effectLst/>
                <a:latin typeface="+mn-ea"/>
                <a:ea typeface="+mn-ea"/>
                <a:cs typeface="+mn-cs"/>
              </a:rPr>
              <a:t>”</a:t>
            </a:r>
            <a:r>
              <a:rPr lang="zh-CN" altLang="en-US" sz="1200">
                <a:solidFill>
                  <a:sysClr val="windowText" lastClr="000000"/>
                </a:solidFill>
                <a:effectLst/>
                <a:latin typeface="+mn-ea"/>
                <a:ea typeface="+mn-ea"/>
                <a:cs typeface="+mn-cs"/>
              </a:rPr>
              <a:t>文件中的数据，在不导入详细数据的情况下，使用</a:t>
            </a:r>
            <a:r>
              <a:rPr lang="en-US" altLang="zh-CN" sz="1200" b="1">
                <a:solidFill>
                  <a:sysClr val="windowText" lastClr="000000"/>
                </a:solidFill>
                <a:effectLst/>
                <a:latin typeface="+mn-ea"/>
                <a:ea typeface="+mn-ea"/>
                <a:cs typeface="+mn-cs"/>
              </a:rPr>
              <a:t>Power Pivot</a:t>
            </a:r>
            <a:r>
              <a:rPr lang="zh-CN" altLang="en-US" sz="1200">
                <a:solidFill>
                  <a:sysClr val="windowText" lastClr="000000"/>
                </a:solidFill>
                <a:effectLst/>
                <a:latin typeface="+mn-ea"/>
                <a:ea typeface="+mn-ea"/>
                <a:cs typeface="+mn-cs"/>
              </a:rPr>
              <a:t>和</a:t>
            </a:r>
            <a:r>
              <a:rPr lang="zh-CN" altLang="zh-CN" sz="1200" b="1">
                <a:solidFill>
                  <a:sysClr val="windowText" lastClr="000000"/>
                </a:solidFill>
                <a:effectLst/>
                <a:latin typeface="+mn-ea"/>
                <a:ea typeface="+mn-ea"/>
                <a:cs typeface="+mn-cs"/>
              </a:rPr>
              <a:t>数据透视表</a:t>
            </a:r>
            <a:r>
              <a:rPr lang="zh-CN" altLang="en-US" sz="1200">
                <a:solidFill>
                  <a:sysClr val="windowText" lastClr="000000"/>
                </a:solidFill>
                <a:effectLst/>
                <a:latin typeface="+mn-ea"/>
                <a:ea typeface="+mn-ea"/>
                <a:cs typeface="+mn-cs"/>
              </a:rPr>
              <a:t>对数据进行汇总。</a:t>
            </a:r>
            <a:r>
              <a:rPr lang="zh-CN" altLang="zh-CN" sz="1200">
                <a:solidFill>
                  <a:sysClr val="windowText" lastClr="000000"/>
                </a:solidFill>
                <a:effectLst/>
                <a:latin typeface="+mn-ea"/>
                <a:ea typeface="+mn-ea"/>
                <a:cs typeface="+mn-cs"/>
              </a:rPr>
              <a:t>“</a:t>
            </a:r>
            <a:r>
              <a:rPr lang="en-US" altLang="zh-CN" sz="1200" i="1">
                <a:solidFill>
                  <a:sysClr val="windowText" lastClr="000000"/>
                </a:solidFill>
                <a:effectLst/>
                <a:latin typeface="+mn-ea"/>
                <a:ea typeface="+mn-ea"/>
                <a:cs typeface="+mn-cs"/>
              </a:rPr>
              <a:t>ABC</a:t>
            </a:r>
            <a:r>
              <a:rPr lang="zh-CN" altLang="zh-CN" sz="1200" i="1">
                <a:solidFill>
                  <a:sysClr val="windowText" lastClr="000000"/>
                </a:solidFill>
                <a:effectLst/>
                <a:latin typeface="+mn-ea"/>
                <a:ea typeface="+mn-ea"/>
                <a:cs typeface="+mn-cs"/>
              </a:rPr>
              <a:t>公司销售大区和省份对照表</a:t>
            </a:r>
            <a:r>
              <a:rPr lang="en-US" altLang="zh-CN" sz="1200" i="1">
                <a:solidFill>
                  <a:sysClr val="windowText" lastClr="000000"/>
                </a:solidFill>
                <a:effectLst/>
                <a:latin typeface="+mn-ea"/>
                <a:ea typeface="+mn-ea"/>
                <a:cs typeface="+mn-cs"/>
              </a:rPr>
              <a:t>.xlsx</a:t>
            </a:r>
            <a:r>
              <a:rPr lang="zh-CN" altLang="zh-CN" sz="1200">
                <a:solidFill>
                  <a:sysClr val="windowText" lastClr="000000"/>
                </a:solidFill>
                <a:effectLst/>
                <a:latin typeface="+mn-ea"/>
                <a:ea typeface="+mn-ea"/>
                <a:cs typeface="+mn-cs"/>
              </a:rPr>
              <a:t>”</a:t>
            </a:r>
            <a:r>
              <a:rPr lang="zh-CN" altLang="en-US" sz="1200">
                <a:solidFill>
                  <a:sysClr val="windowText" lastClr="000000"/>
                </a:solidFill>
                <a:effectLst/>
                <a:latin typeface="+mn-ea"/>
                <a:ea typeface="+mn-ea"/>
                <a:cs typeface="+mn-cs"/>
              </a:rPr>
              <a:t>中“对照表”工作表中的数据如下图所示，反映出</a:t>
            </a:r>
            <a:r>
              <a:rPr lang="en-US" altLang="zh-CN" sz="1200">
                <a:solidFill>
                  <a:sysClr val="windowText" lastClr="000000"/>
                </a:solidFill>
                <a:effectLst/>
                <a:latin typeface="+mn-ea"/>
                <a:ea typeface="+mn-ea"/>
                <a:cs typeface="+mn-cs"/>
              </a:rPr>
              <a:t>ABC</a:t>
            </a:r>
            <a:r>
              <a:rPr lang="zh-CN" altLang="en-US" sz="1200">
                <a:solidFill>
                  <a:sysClr val="windowText" lastClr="000000"/>
                </a:solidFill>
                <a:effectLst/>
                <a:latin typeface="+mn-ea"/>
                <a:ea typeface="+mn-ea"/>
                <a:cs typeface="+mn-cs"/>
              </a:rPr>
              <a:t>公司对销售大区的划分。</a:t>
            </a:r>
            <a:endParaRPr lang="en-US" altLang="zh-CN" sz="1200">
              <a:solidFill>
                <a:sysClr val="windowText" lastClr="000000"/>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endParaRPr lang="en-US" altLang="zh-CN" sz="1200">
              <a:solidFill>
                <a:schemeClr val="dk1"/>
              </a:solidFill>
              <a:effectLst/>
              <a:latin typeface="+mn-ea"/>
              <a:ea typeface="+mn-ea"/>
              <a:cs typeface="+mn-cs"/>
            </a:endParaRPr>
          </a:p>
          <a:p>
            <a:r>
              <a:rPr lang="en-US" altLang="zh-CN" sz="1200">
                <a:solidFill>
                  <a:schemeClr val="dk1"/>
                </a:solidFill>
                <a:effectLst/>
                <a:latin typeface="+mn-ea"/>
                <a:ea typeface="+mn-ea"/>
                <a:cs typeface="+mn-cs"/>
              </a:rPr>
              <a:t> </a:t>
            </a:r>
            <a:r>
              <a:rPr lang="zh-CN" altLang="en-US" sz="1200">
                <a:solidFill>
                  <a:schemeClr val="dk1"/>
                </a:solidFill>
                <a:effectLst/>
                <a:latin typeface="+mn-ea"/>
                <a:ea typeface="+mn-ea"/>
                <a:cs typeface="+mn-cs"/>
              </a:rPr>
              <a:t>要求：汇总两个销售大区</a:t>
            </a:r>
            <a:r>
              <a:rPr lang="en-US" altLang="zh-CN" sz="1200">
                <a:solidFill>
                  <a:schemeClr val="dk1"/>
                </a:solidFill>
                <a:effectLst/>
                <a:latin typeface="+mn-ea"/>
                <a:ea typeface="+mn-ea"/>
                <a:cs typeface="+mn-cs"/>
              </a:rPr>
              <a:t>2018</a:t>
            </a:r>
            <a:r>
              <a:rPr lang="zh-CN" altLang="en-US" sz="1200">
                <a:solidFill>
                  <a:schemeClr val="dk1"/>
                </a:solidFill>
                <a:effectLst/>
                <a:latin typeface="+mn-ea"/>
                <a:ea typeface="+mn-ea"/>
                <a:cs typeface="+mn-cs"/>
              </a:rPr>
              <a:t>年和</a:t>
            </a:r>
            <a:r>
              <a:rPr lang="en-US" altLang="zh-CN" sz="1200">
                <a:solidFill>
                  <a:schemeClr val="dk1"/>
                </a:solidFill>
                <a:effectLst/>
                <a:latin typeface="+mn-ea"/>
                <a:ea typeface="+mn-ea"/>
                <a:cs typeface="+mn-cs"/>
              </a:rPr>
              <a:t>2019</a:t>
            </a:r>
            <a:r>
              <a:rPr lang="zh-CN" altLang="en-US" sz="1200">
                <a:solidFill>
                  <a:schemeClr val="dk1"/>
                </a:solidFill>
                <a:effectLst/>
                <a:latin typeface="+mn-ea"/>
                <a:ea typeface="+mn-ea"/>
                <a:cs typeface="+mn-cs"/>
              </a:rPr>
              <a:t>年的净销售额，以及两年的差值。制作的数据透视表应如下图所示，其开始位置应设为单元格</a:t>
            </a:r>
            <a:r>
              <a:rPr lang="en-US" altLang="zh-CN" sz="1200">
                <a:solidFill>
                  <a:schemeClr val="dk1"/>
                </a:solidFill>
                <a:effectLst/>
                <a:latin typeface="+mn-ea"/>
                <a:ea typeface="+mn-ea"/>
                <a:cs typeface="+mn-cs"/>
              </a:rPr>
              <a:t>A1</a:t>
            </a:r>
            <a:r>
              <a:rPr lang="zh-CN" altLang="en-US" sz="1200">
                <a:solidFill>
                  <a:schemeClr val="dk1"/>
                </a:solidFill>
                <a:effectLst/>
                <a:latin typeface="+mn-ea"/>
                <a:ea typeface="+mn-ea"/>
                <a:cs typeface="+mn-cs"/>
              </a:rPr>
              <a:t>。</a:t>
            </a:r>
          </a:p>
        </xdr:txBody>
      </xdr:sp>
      <xdr:pic>
        <xdr:nvPicPr>
          <xdr:cNvPr id="8" name="图片 7">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4468" y="1960002"/>
            <a:ext cx="2066871" cy="1173308"/>
          </a:xfrm>
          <a:prstGeom prst="rect">
            <a:avLst/>
          </a:prstGeom>
          <a:solidFill>
            <a:schemeClr val="bg1">
              <a:lumMod val="95000"/>
            </a:schemeClr>
          </a:solidFill>
        </xdr:spPr>
      </xdr:pic>
      <xdr:pic>
        <xdr:nvPicPr>
          <xdr:cNvPr id="9" name="图片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2889" y="3585921"/>
            <a:ext cx="3334549" cy="631741"/>
          </a:xfrm>
          <a:prstGeom prst="rect">
            <a:avLst/>
          </a:prstGeom>
          <a:solidFill>
            <a:schemeClr val="bg1"/>
          </a:solidFill>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122945</xdr:colOff>
      <xdr:row>1</xdr:row>
      <xdr:rowOff>38420</xdr:rowOff>
    </xdr:from>
    <xdr:to>
      <xdr:col>18</xdr:col>
      <xdr:colOff>283918</xdr:colOff>
      <xdr:row>14</xdr:row>
      <xdr:rowOff>104783</xdr:rowOff>
    </xdr:to>
    <xdr:sp macro="" textlink="">
      <xdr:nvSpPr>
        <xdr:cNvPr id="3" name="Text Box 1">
          <a:extLst>
            <a:ext uri="{FF2B5EF4-FFF2-40B4-BE49-F238E27FC236}">
              <a16:creationId xmlns:a16="http://schemas.microsoft.com/office/drawing/2014/main" id="{00000000-0008-0000-0400-000003000000}"/>
            </a:ext>
          </a:extLst>
        </xdr:cNvPr>
        <xdr:cNvSpPr txBox="1">
          <a:spLocks noChangeArrowheads="1"/>
        </xdr:cNvSpPr>
      </xdr:nvSpPr>
      <xdr:spPr bwMode="auto">
        <a:xfrm>
          <a:off x="6154911" y="222837"/>
          <a:ext cx="5693478" cy="2463781"/>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82800" tIns="82800" rIns="90000" bIns="46800" anchor="t" upright="1"/>
        <a:lstStyle/>
        <a:p>
          <a:pPr algn="l" rtl="0">
            <a:lnSpc>
              <a:spcPts val="1900"/>
            </a:lnSpc>
            <a:defRPr sz="1000"/>
          </a:pPr>
          <a:r>
            <a:rPr lang="zh-CN" altLang="zh-CN" sz="1200" b="1" i="0" baseline="0">
              <a:effectLst/>
              <a:latin typeface="宋体" panose="02010600030101010101" pitchFamily="2" charset="-122"/>
              <a:ea typeface="宋体" panose="02010600030101010101" pitchFamily="2" charset="-122"/>
              <a:cs typeface="+mn-cs"/>
            </a:rPr>
            <a:t>第</a:t>
          </a:r>
          <a:r>
            <a:rPr lang="en-US" altLang="zh-CN" sz="1200" b="1" i="0" baseline="0">
              <a:effectLst/>
              <a:latin typeface="宋体" panose="02010600030101010101" pitchFamily="2" charset="-122"/>
              <a:ea typeface="宋体" panose="02010600030101010101" pitchFamily="2" charset="-122"/>
              <a:cs typeface="+mn-cs"/>
            </a:rPr>
            <a:t>4</a:t>
          </a:r>
          <a:r>
            <a:rPr lang="zh-CN" altLang="zh-CN" sz="1200" b="1" i="0" baseline="0">
              <a:effectLst/>
              <a:latin typeface="宋体" panose="02010600030101010101" pitchFamily="2" charset="-122"/>
              <a:ea typeface="宋体" panose="02010600030101010101" pitchFamily="2" charset="-122"/>
              <a:cs typeface="+mn-cs"/>
            </a:rPr>
            <a:t>题</a:t>
          </a:r>
          <a:r>
            <a:rPr lang="zh-CN" altLang="en-US" sz="1200" b="1" i="0" baseline="0">
              <a:effectLst/>
              <a:latin typeface="宋体" panose="02010600030101010101" pitchFamily="2" charset="-122"/>
              <a:ea typeface="宋体" panose="02010600030101010101" pitchFamily="2" charset="-122"/>
              <a:cs typeface="+mn-cs"/>
            </a:rPr>
            <a:t>（</a:t>
          </a:r>
          <a:r>
            <a:rPr lang="en-US" altLang="zh-CN" sz="1200" b="1" i="0" baseline="0">
              <a:effectLst/>
              <a:latin typeface="宋体" panose="02010600030101010101" pitchFamily="2" charset="-122"/>
              <a:ea typeface="宋体" panose="02010600030101010101" pitchFamily="2" charset="-122"/>
              <a:cs typeface="+mn-cs"/>
            </a:rPr>
            <a:t>12</a:t>
          </a:r>
          <a:r>
            <a:rPr lang="zh-CN" altLang="zh-CN" sz="1200" b="1" i="0" baseline="0">
              <a:effectLst/>
              <a:latin typeface="宋体" panose="02010600030101010101" pitchFamily="2" charset="-122"/>
              <a:ea typeface="宋体" panose="02010600030101010101" pitchFamily="2" charset="-122"/>
              <a:cs typeface="+mn-cs"/>
            </a:rPr>
            <a:t>分</a:t>
          </a:r>
          <a:r>
            <a:rPr lang="zh-CN" altLang="en-US" sz="1200" b="1" i="0" baseline="0">
              <a:effectLst/>
              <a:latin typeface="宋体" panose="02010600030101010101" pitchFamily="2" charset="-122"/>
              <a:ea typeface="宋体" panose="02010600030101010101" pitchFamily="2" charset="-122"/>
              <a:cs typeface="+mn-cs"/>
            </a:rPr>
            <a:t>）</a:t>
          </a:r>
          <a:r>
            <a:rPr lang="en-US" altLang="zh-CN" sz="1200" b="1" i="0" baseline="0">
              <a:effectLst/>
              <a:latin typeface="宋体" panose="02010600030101010101" pitchFamily="2" charset="-122"/>
              <a:ea typeface="宋体" panose="02010600030101010101" pitchFamily="2" charset="-122"/>
              <a:cs typeface="+mn-cs"/>
            </a:rPr>
            <a:t> </a:t>
          </a:r>
          <a:r>
            <a:rPr lang="zh-CN" altLang="en-US" sz="1200" b="0" i="0" u="none" strike="noStrike" baseline="0">
              <a:solidFill>
                <a:srgbClr val="000000"/>
              </a:solidFill>
              <a:latin typeface="宋体" panose="02010600030101010101" pitchFamily="2" charset="-122"/>
              <a:ea typeface="宋体" panose="02010600030101010101" pitchFamily="2" charset="-122"/>
            </a:rPr>
            <a:t>本工作表中A1:B2</a:t>
          </a:r>
          <a:r>
            <a:rPr lang="en-US" altLang="zh-CN" sz="1200" b="0" i="0" u="none" strike="noStrike" baseline="0">
              <a:solidFill>
                <a:srgbClr val="000000"/>
              </a:solidFill>
              <a:latin typeface="宋体" panose="02010600030101010101" pitchFamily="2" charset="-122"/>
              <a:ea typeface="宋体" panose="02010600030101010101" pitchFamily="2" charset="-122"/>
            </a:rPr>
            <a:t>5</a:t>
          </a:r>
          <a:r>
            <a:rPr lang="zh-CN" altLang="en-US" sz="1200" b="0" i="0" u="none" strike="noStrike" baseline="0">
              <a:solidFill>
                <a:srgbClr val="000000"/>
              </a:solidFill>
              <a:latin typeface="宋体" panose="02010600030101010101" pitchFamily="2" charset="-122"/>
              <a:ea typeface="宋体" panose="02010600030101010101" pitchFamily="2" charset="-122"/>
            </a:rPr>
            <a:t>区域的数据是某公司在过去二年的销售额观测值，经观察发现这些数据大体上在一个水平位置附近上下波动。要求建立移动平均模型：</a:t>
          </a:r>
        </a:p>
        <a:p>
          <a:pPr algn="l" rtl="0">
            <a:lnSpc>
              <a:spcPts val="19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1、针对在单元格</a:t>
          </a:r>
          <a:r>
            <a:rPr lang="en-US" altLang="zh-CN" sz="1200" b="0" i="0" u="none" strike="noStrike" baseline="0">
              <a:solidFill>
                <a:srgbClr val="000000"/>
              </a:solidFill>
              <a:latin typeface="宋体" panose="02010600030101010101" pitchFamily="2" charset="-122"/>
              <a:ea typeface="宋体" panose="02010600030101010101" pitchFamily="2" charset="-122"/>
              <a:cs typeface="Arial"/>
            </a:rPr>
            <a:t>G</a:t>
          </a: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3中的任意移动平均跨度值（它可以是在</a:t>
          </a:r>
          <a:r>
            <a:rPr lang="zh-CN" altLang="en-US" sz="1200" b="1" i="0" u="none" strike="noStrike" baseline="0">
              <a:solidFill>
                <a:srgbClr val="000000"/>
              </a:solidFill>
              <a:latin typeface="宋体" panose="02010600030101010101" pitchFamily="2" charset="-122"/>
              <a:ea typeface="宋体" panose="02010600030101010101" pitchFamily="2" charset="-122"/>
              <a:cs typeface="Arial"/>
            </a:rPr>
            <a:t>2~8</a:t>
          </a: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之间改变的任何整数）求出各个月销售额的移动平均估计值；</a:t>
          </a:r>
        </a:p>
        <a:p>
          <a:pPr algn="l" rtl="0">
            <a:lnSpc>
              <a:spcPts val="19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2、求出这些估计值与对应的销售额实际值之间的均方误差MSE；</a:t>
          </a:r>
        </a:p>
        <a:p>
          <a:pPr algn="l" rtl="0">
            <a:lnSpc>
              <a:spcPts val="19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3、用灵敏度分析方法求出使MSE达到极小的最优移动平均跨度及该MSE极小值；</a:t>
          </a:r>
        </a:p>
        <a:p>
          <a:pPr algn="l" rtl="0">
            <a:lnSpc>
              <a:spcPts val="19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4、用最优移动平均跨度求出未来第</a:t>
          </a:r>
          <a:r>
            <a:rPr lang="en-US" altLang="zh-CN" sz="1200" b="0" i="0" u="none" strike="noStrike" baseline="0">
              <a:solidFill>
                <a:srgbClr val="000000"/>
              </a:solidFill>
              <a:latin typeface="宋体" panose="02010600030101010101" pitchFamily="2" charset="-122"/>
              <a:ea typeface="宋体" panose="02010600030101010101" pitchFamily="2" charset="-122"/>
              <a:cs typeface="Arial"/>
            </a:rPr>
            <a:t>25</a:t>
          </a:r>
          <a:r>
            <a:rPr lang="zh-CN" altLang="en-US" sz="1200" b="0" i="0" u="none" strike="noStrike" baseline="0">
              <a:solidFill>
                <a:srgbClr val="000000"/>
              </a:solidFill>
              <a:latin typeface="宋体" panose="02010600030101010101" pitchFamily="2" charset="-122"/>
              <a:ea typeface="宋体" panose="02010600030101010101" pitchFamily="2" charset="-122"/>
              <a:cs typeface="Arial"/>
            </a:rPr>
            <a:t>个月的销售额预测值。</a:t>
          </a:r>
          <a:endParaRPr lang="zh-CN" altLang="en-US" sz="1200" b="0" i="0" u="none" strike="noStrike" baseline="0">
            <a:solidFill>
              <a:srgbClr val="000000"/>
            </a:solidFill>
            <a:latin typeface="宋体" panose="02010600030101010101" pitchFamily="2" charset="-122"/>
            <a:ea typeface="宋体" panose="02010600030101010101" pitchFamily="2" charset="-122"/>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69155</xdr:colOff>
      <xdr:row>1</xdr:row>
      <xdr:rowOff>145997</xdr:rowOff>
    </xdr:from>
    <xdr:to>
      <xdr:col>15</xdr:col>
      <xdr:colOff>391886</xdr:colOff>
      <xdr:row>15</xdr:row>
      <xdr:rowOff>4553</xdr:rowOff>
    </xdr:to>
    <xdr:sp macro="" textlink="">
      <xdr:nvSpPr>
        <xdr:cNvPr id="3" name="Text Box 1">
          <a:extLst>
            <a:ext uri="{FF2B5EF4-FFF2-40B4-BE49-F238E27FC236}">
              <a16:creationId xmlns:a16="http://schemas.microsoft.com/office/drawing/2014/main" id="{00000000-0008-0000-0500-000003000000}"/>
            </a:ext>
          </a:extLst>
        </xdr:cNvPr>
        <xdr:cNvSpPr txBox="1">
          <a:spLocks noChangeArrowheads="1"/>
        </xdr:cNvSpPr>
      </xdr:nvSpPr>
      <xdr:spPr bwMode="auto">
        <a:xfrm>
          <a:off x="5040725" y="345782"/>
          <a:ext cx="5163672" cy="2655544"/>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800"/>
            </a:lnSpc>
            <a:defRPr sz="1000"/>
          </a:pPr>
          <a:r>
            <a:rPr lang="zh-CN" altLang="zh-CN" sz="1200" b="1" i="0" baseline="0">
              <a:effectLst/>
              <a:latin typeface="宋体" panose="02010600030101010101" pitchFamily="2" charset="-122"/>
              <a:ea typeface="宋体" panose="02010600030101010101" pitchFamily="2" charset="-122"/>
              <a:cs typeface="+mn-cs"/>
            </a:rPr>
            <a:t>第</a:t>
          </a:r>
          <a:r>
            <a:rPr lang="en-US" altLang="zh-CN" sz="1200" b="1" i="0" baseline="0">
              <a:effectLst/>
              <a:latin typeface="宋体" panose="02010600030101010101" pitchFamily="2" charset="-122"/>
              <a:ea typeface="宋体" panose="02010600030101010101" pitchFamily="2" charset="-122"/>
              <a:cs typeface="+mn-cs"/>
            </a:rPr>
            <a:t>5</a:t>
          </a:r>
          <a:r>
            <a:rPr lang="zh-CN" altLang="zh-CN" sz="1200" b="1" i="0" baseline="0">
              <a:effectLst/>
              <a:latin typeface="宋体" panose="02010600030101010101" pitchFamily="2" charset="-122"/>
              <a:ea typeface="宋体" panose="02010600030101010101" pitchFamily="2" charset="-122"/>
              <a:cs typeface="+mn-cs"/>
            </a:rPr>
            <a:t>题</a:t>
          </a:r>
          <a:r>
            <a:rPr lang="zh-CN" altLang="en-US" sz="1200" b="1" i="0" baseline="0">
              <a:effectLst/>
              <a:latin typeface="宋体" panose="02010600030101010101" pitchFamily="2" charset="-122"/>
              <a:ea typeface="宋体" panose="02010600030101010101" pitchFamily="2" charset="-122"/>
              <a:cs typeface="+mn-cs"/>
            </a:rPr>
            <a:t>（</a:t>
          </a:r>
          <a:r>
            <a:rPr lang="en-US" altLang="zh-CN" sz="1200" b="1" i="0" baseline="0">
              <a:effectLst/>
              <a:latin typeface="宋体" panose="02010600030101010101" pitchFamily="2" charset="-122"/>
              <a:ea typeface="宋体" panose="02010600030101010101" pitchFamily="2" charset="-122"/>
              <a:cs typeface="+mn-cs"/>
            </a:rPr>
            <a:t>12</a:t>
          </a:r>
          <a:r>
            <a:rPr lang="zh-CN" altLang="en-US" sz="1200" b="1" i="0" baseline="0">
              <a:effectLst/>
              <a:latin typeface="宋体" panose="02010600030101010101" pitchFamily="2" charset="-122"/>
              <a:ea typeface="宋体" panose="02010600030101010101" pitchFamily="2" charset="-122"/>
              <a:cs typeface="+mn-cs"/>
            </a:rPr>
            <a:t>分）</a:t>
          </a:r>
          <a:r>
            <a:rPr lang="en-US" altLang="zh-CN" sz="1200" b="1" i="0" baseline="0">
              <a:effectLst/>
              <a:latin typeface="宋体" panose="02010600030101010101" pitchFamily="2" charset="-122"/>
              <a:ea typeface="宋体" panose="02010600030101010101" pitchFamily="2" charset="-122"/>
              <a:cs typeface="+mn-cs"/>
            </a:rPr>
            <a:t>  </a:t>
          </a:r>
          <a:r>
            <a:rPr lang="zh-CN" altLang="en-US" sz="1200" b="0" i="0" u="none" strike="noStrike" baseline="0">
              <a:solidFill>
                <a:srgbClr val="000000"/>
              </a:solidFill>
              <a:latin typeface="宋体" panose="02010600030101010101" pitchFamily="2" charset="-122"/>
              <a:ea typeface="宋体" panose="02010600030101010101" pitchFamily="2" charset="-122"/>
            </a:rPr>
            <a:t>在单元格A1:B</a:t>
          </a:r>
          <a:r>
            <a:rPr lang="en-US" altLang="zh-CN" sz="1200" b="0" i="0" u="none" strike="noStrike" baseline="0">
              <a:solidFill>
                <a:srgbClr val="000000"/>
              </a:solidFill>
              <a:latin typeface="宋体" panose="02010600030101010101" pitchFamily="2" charset="-122"/>
              <a:ea typeface="宋体" panose="02010600030101010101" pitchFamily="2" charset="-122"/>
            </a:rPr>
            <a:t>25</a:t>
          </a:r>
          <a:r>
            <a:rPr lang="zh-CN" altLang="en-US" sz="1200" b="0" i="0" u="none" strike="noStrike" baseline="0">
              <a:solidFill>
                <a:srgbClr val="000000"/>
              </a:solidFill>
              <a:latin typeface="宋体" panose="02010600030101010101" pitchFamily="2" charset="-122"/>
              <a:ea typeface="宋体" panose="02010600030101010101" pitchFamily="2" charset="-122"/>
            </a:rPr>
            <a:t>中给出了过去</a:t>
          </a:r>
          <a:r>
            <a:rPr lang="en-US" altLang="zh-CN" sz="1200" b="0" i="0" u="none" strike="noStrike" baseline="0">
              <a:solidFill>
                <a:srgbClr val="000000"/>
              </a:solidFill>
              <a:latin typeface="宋体" panose="02010600030101010101" pitchFamily="2" charset="-122"/>
              <a:ea typeface="宋体" panose="02010600030101010101" pitchFamily="2" charset="-122"/>
            </a:rPr>
            <a:t>24</a:t>
          </a:r>
          <a:r>
            <a:rPr lang="zh-CN" altLang="en-US" sz="1200" b="0" i="0" u="none" strike="noStrike" baseline="0">
              <a:solidFill>
                <a:srgbClr val="000000"/>
              </a:solidFill>
              <a:latin typeface="宋体" panose="02010600030101010101" pitchFamily="2" charset="-122"/>
              <a:ea typeface="宋体" panose="02010600030101010101" pitchFamily="2" charset="-122"/>
            </a:rPr>
            <a:t>个月中债券利率,现要求建立指数平滑模型：</a:t>
          </a:r>
        </a:p>
        <a:p>
          <a:pPr algn="l" rtl="0">
            <a:lnSpc>
              <a:spcPts val="18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rPr>
            <a:t>1、针对在F1中键入的任意的平滑常数（它可以是在0.1~0.5之间改变的任何正数）在C2:C</a:t>
          </a:r>
          <a:r>
            <a:rPr lang="en-US" altLang="zh-CN" sz="1200" b="0" i="0" u="none" strike="noStrike" baseline="0">
              <a:solidFill>
                <a:srgbClr val="000000"/>
              </a:solidFill>
              <a:latin typeface="宋体" panose="02010600030101010101" pitchFamily="2" charset="-122"/>
              <a:ea typeface="宋体" panose="02010600030101010101" pitchFamily="2" charset="-122"/>
            </a:rPr>
            <a:t>26</a:t>
          </a:r>
          <a:r>
            <a:rPr lang="zh-CN" altLang="en-US" sz="1200" b="0" i="0" u="none" strike="noStrike" baseline="0">
              <a:solidFill>
                <a:srgbClr val="000000"/>
              </a:solidFill>
              <a:latin typeface="宋体" panose="02010600030101010101" pitchFamily="2" charset="-122"/>
              <a:ea typeface="宋体" panose="02010600030101010101" pitchFamily="2" charset="-122"/>
            </a:rPr>
            <a:t>中正确的位置上求出各月的指数平滑预测值；</a:t>
          </a:r>
        </a:p>
        <a:p>
          <a:pPr algn="l" rtl="0">
            <a:lnSpc>
              <a:spcPts val="18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rPr>
            <a:t>2、在单元格F2中求出这些预测值与对应的汇率实际值之间的均方误差；</a:t>
          </a:r>
        </a:p>
        <a:p>
          <a:pPr algn="l" rtl="0">
            <a:lnSpc>
              <a:spcPts val="18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rPr>
            <a:t>3、利用灵敏度分析操作（模拟运算表）所得数据在F4中求出使均方误差达到极小的最优平滑常数；</a:t>
          </a:r>
        </a:p>
        <a:p>
          <a:pPr algn="l" rtl="0">
            <a:lnSpc>
              <a:spcPts val="1800"/>
            </a:lnSpc>
            <a:defRPr sz="1000"/>
          </a:pPr>
          <a:r>
            <a:rPr lang="zh-CN" altLang="en-US" sz="1200" b="0" i="0" u="none" strike="noStrike" baseline="0">
              <a:solidFill>
                <a:srgbClr val="000000"/>
              </a:solidFill>
              <a:latin typeface="宋体" panose="02010600030101010101" pitchFamily="2" charset="-122"/>
              <a:ea typeface="宋体" panose="02010600030101010101" pitchFamily="2" charset="-122"/>
            </a:rPr>
            <a:t>4、利用最优平滑常数在F5中求出按照指数平滑模型计算的第</a:t>
          </a:r>
          <a:r>
            <a:rPr lang="en-US" altLang="zh-CN" sz="1200" b="0" i="0" u="none" strike="noStrike" baseline="0">
              <a:solidFill>
                <a:srgbClr val="000000"/>
              </a:solidFill>
              <a:latin typeface="宋体" panose="02010600030101010101" pitchFamily="2" charset="-122"/>
              <a:ea typeface="宋体" panose="02010600030101010101" pitchFamily="2" charset="-122"/>
            </a:rPr>
            <a:t>25</a:t>
          </a:r>
          <a:r>
            <a:rPr lang="zh-CN" altLang="en-US" sz="1200" b="0" i="0" u="none" strike="noStrike" baseline="0">
              <a:solidFill>
                <a:srgbClr val="000000"/>
              </a:solidFill>
              <a:latin typeface="宋体" panose="02010600030101010101" pitchFamily="2" charset="-122"/>
              <a:ea typeface="宋体" panose="02010600030101010101" pitchFamily="2" charset="-122"/>
            </a:rPr>
            <a:t>个月的</a:t>
          </a:r>
          <a:r>
            <a:rPr lang="zh-CN" altLang="zh-CN" sz="1200" b="0" i="0" baseline="0">
              <a:effectLst/>
              <a:latin typeface="宋体" panose="02010600030101010101" pitchFamily="2" charset="-122"/>
              <a:ea typeface="宋体" panose="02010600030101010101" pitchFamily="2" charset="-122"/>
              <a:cs typeface="+mn-cs"/>
            </a:rPr>
            <a:t>债券利率</a:t>
          </a:r>
          <a:r>
            <a:rPr lang="zh-CN" altLang="en-US" sz="1200" b="0" i="0" baseline="0">
              <a:effectLst/>
              <a:latin typeface="宋体" panose="02010600030101010101" pitchFamily="2" charset="-122"/>
              <a:ea typeface="宋体" panose="02010600030101010101" pitchFamily="2" charset="-122"/>
              <a:cs typeface="+mn-cs"/>
            </a:rPr>
            <a:t>的</a:t>
          </a:r>
          <a:r>
            <a:rPr lang="zh-CN" altLang="en-US" sz="1200" b="0" i="0" u="none" strike="noStrike" baseline="0">
              <a:solidFill>
                <a:srgbClr val="000000"/>
              </a:solidFill>
              <a:latin typeface="宋体" panose="02010600030101010101" pitchFamily="2" charset="-122"/>
              <a:ea typeface="宋体" panose="02010600030101010101" pitchFamily="2" charset="-122"/>
            </a:rPr>
            <a:t>预测值。</a:t>
          </a:r>
        </a:p>
        <a:p>
          <a:pPr algn="l" rtl="0">
            <a:lnSpc>
              <a:spcPts val="1100"/>
            </a:lnSpc>
            <a:defRPr sz="1000"/>
          </a:pPr>
          <a:endParaRPr lang="zh-CN" altLang="en-US" sz="1200" b="0" i="0" u="none" strike="noStrike" baseline="0">
            <a:solidFill>
              <a:srgbClr val="000000"/>
            </a:solidFill>
            <a:latin typeface="宋体" panose="02010600030101010101" pitchFamily="2" charset="-122"/>
            <a:ea typeface="宋体" panose="02010600030101010101" pitchFamily="2" charset="-122"/>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560935</xdr:colOff>
      <xdr:row>3</xdr:row>
      <xdr:rowOff>107577</xdr:rowOff>
    </xdr:from>
    <xdr:to>
      <xdr:col>16</xdr:col>
      <xdr:colOff>544752</xdr:colOff>
      <xdr:row>13</xdr:row>
      <xdr:rowOff>30736</xdr:rowOff>
    </xdr:to>
    <xdr:sp macro="" textlink="">
      <xdr:nvSpPr>
        <xdr:cNvPr id="4" name="文本框 3">
          <a:extLst>
            <a:ext uri="{FF2B5EF4-FFF2-40B4-BE49-F238E27FC236}">
              <a16:creationId xmlns:a16="http://schemas.microsoft.com/office/drawing/2014/main" id="{00000000-0008-0000-0600-000004000000}"/>
            </a:ext>
          </a:extLst>
        </xdr:cNvPr>
        <xdr:cNvSpPr txBox="1"/>
      </xdr:nvSpPr>
      <xdr:spPr>
        <a:xfrm>
          <a:off x="6139543" y="660827"/>
          <a:ext cx="4340664" cy="1921008"/>
        </a:xfrm>
        <a:prstGeom prst="rect">
          <a:avLst/>
        </a:prstGeom>
        <a:solidFill>
          <a:schemeClr val="accent1">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en-US" sz="1200" b="1">
              <a:solidFill>
                <a:schemeClr val="dk1"/>
              </a:solidFill>
              <a:effectLst/>
              <a:latin typeface="宋体" panose="02010600030101010101" pitchFamily="2" charset="-122"/>
              <a:ea typeface="宋体" panose="02010600030101010101" pitchFamily="2" charset="-122"/>
              <a:cs typeface="+mn-cs"/>
            </a:rPr>
            <a:t>第</a:t>
          </a:r>
          <a:r>
            <a:rPr lang="en-US" altLang="zh-CN" sz="1200" b="1">
              <a:solidFill>
                <a:schemeClr val="dk1"/>
              </a:solidFill>
              <a:effectLst/>
              <a:latin typeface="宋体" panose="02010600030101010101" pitchFamily="2" charset="-122"/>
              <a:ea typeface="宋体" panose="02010600030101010101" pitchFamily="2" charset="-122"/>
              <a:cs typeface="+mn-cs"/>
            </a:rPr>
            <a:t>6</a:t>
          </a:r>
          <a:r>
            <a:rPr lang="zh-CN" altLang="en-US" sz="1200" b="1">
              <a:solidFill>
                <a:schemeClr val="dk1"/>
              </a:solidFill>
              <a:effectLst/>
              <a:latin typeface="宋体" panose="02010600030101010101" pitchFamily="2" charset="-122"/>
              <a:ea typeface="宋体" panose="02010600030101010101" pitchFamily="2" charset="-122"/>
              <a:cs typeface="+mn-cs"/>
            </a:rPr>
            <a:t>题（</a:t>
          </a:r>
          <a:r>
            <a:rPr lang="en-US" altLang="zh-CN" sz="1200" b="1">
              <a:solidFill>
                <a:schemeClr val="dk1"/>
              </a:solidFill>
              <a:effectLst/>
              <a:latin typeface="宋体" panose="02010600030101010101" pitchFamily="2" charset="-122"/>
              <a:ea typeface="宋体" panose="02010600030101010101" pitchFamily="2" charset="-122"/>
              <a:cs typeface="+mn-cs"/>
            </a:rPr>
            <a:t>12</a:t>
          </a:r>
          <a:r>
            <a:rPr lang="zh-CN" altLang="en-US" sz="1200" b="1">
              <a:solidFill>
                <a:schemeClr val="dk1"/>
              </a:solidFill>
              <a:effectLst/>
              <a:latin typeface="宋体" panose="02010600030101010101" pitchFamily="2" charset="-122"/>
              <a:ea typeface="宋体" panose="02010600030101010101" pitchFamily="2" charset="-122"/>
              <a:cs typeface="+mn-cs"/>
            </a:rPr>
            <a:t>分）</a:t>
          </a:r>
          <a:r>
            <a:rPr lang="zh-CN" altLang="zh-CN" sz="1200">
              <a:solidFill>
                <a:schemeClr val="dk1"/>
              </a:solidFill>
              <a:effectLst/>
              <a:latin typeface="宋体" panose="02010600030101010101" pitchFamily="2" charset="-122"/>
              <a:ea typeface="宋体" panose="02010600030101010101" pitchFamily="2" charset="-122"/>
              <a:cs typeface="+mn-cs"/>
            </a:rPr>
            <a:t>本工作表</a:t>
          </a:r>
          <a:r>
            <a:rPr lang="en-US" altLang="zh-CN" sz="1200">
              <a:solidFill>
                <a:schemeClr val="dk1"/>
              </a:solidFill>
              <a:effectLst/>
              <a:latin typeface="宋体" panose="02010600030101010101" pitchFamily="2" charset="-122"/>
              <a:ea typeface="宋体" panose="02010600030101010101" pitchFamily="2" charset="-122"/>
              <a:cs typeface="+mn-cs"/>
            </a:rPr>
            <a:t>A1:C49</a:t>
          </a:r>
          <a:r>
            <a:rPr lang="zh-CN" altLang="en-US" sz="1200">
              <a:solidFill>
                <a:schemeClr val="dk1"/>
              </a:solidFill>
              <a:effectLst/>
              <a:latin typeface="宋体" panose="02010600030101010101" pitchFamily="2" charset="-122"/>
              <a:ea typeface="宋体" panose="02010600030101010101" pitchFamily="2" charset="-122"/>
              <a:cs typeface="+mn-cs"/>
            </a:rPr>
            <a:t>是某公司近</a:t>
          </a:r>
          <a:r>
            <a:rPr lang="en-US" altLang="zh-CN" sz="1200">
              <a:solidFill>
                <a:schemeClr val="dk1"/>
              </a:solidFill>
              <a:effectLst/>
              <a:latin typeface="宋体" panose="02010600030101010101" pitchFamily="2" charset="-122"/>
              <a:ea typeface="宋体" panose="02010600030101010101" pitchFamily="2" charset="-122"/>
              <a:cs typeface="+mn-cs"/>
            </a:rPr>
            <a:t>12</a:t>
          </a:r>
          <a:r>
            <a:rPr lang="zh-CN" altLang="en-US" sz="1200">
              <a:solidFill>
                <a:schemeClr val="dk1"/>
              </a:solidFill>
              <a:effectLst/>
              <a:latin typeface="宋体" panose="02010600030101010101" pitchFamily="2" charset="-122"/>
              <a:ea typeface="宋体" panose="02010600030101010101" pitchFamily="2" charset="-122"/>
              <a:cs typeface="+mn-cs"/>
            </a:rPr>
            <a:t>个月冰箱销售数据库，</a:t>
          </a:r>
          <a:r>
            <a:rPr lang="zh-CN" altLang="zh-CN" sz="1200">
              <a:solidFill>
                <a:schemeClr val="dk1"/>
              </a:solidFill>
              <a:effectLst/>
              <a:latin typeface="宋体" panose="02010600030101010101" pitchFamily="2" charset="-122"/>
              <a:ea typeface="宋体" panose="02010600030101010101" pitchFamily="2" charset="-122"/>
              <a:cs typeface="+mn-cs"/>
            </a:rPr>
            <a:t>负责</a:t>
          </a:r>
          <a:r>
            <a:rPr lang="zh-CN" altLang="en-US" sz="1200">
              <a:solidFill>
                <a:schemeClr val="dk1"/>
              </a:solidFill>
              <a:effectLst/>
              <a:latin typeface="宋体" panose="02010600030101010101" pitchFamily="2" charset="-122"/>
              <a:ea typeface="宋体" panose="02010600030101010101" pitchFamily="2" charset="-122"/>
              <a:cs typeface="+mn-cs"/>
            </a:rPr>
            <a:t>冰箱</a:t>
          </a:r>
          <a:r>
            <a:rPr lang="zh-CN" altLang="zh-CN" sz="1200">
              <a:solidFill>
                <a:schemeClr val="dk1"/>
              </a:solidFill>
              <a:effectLst/>
              <a:latin typeface="宋体" panose="02010600030101010101" pitchFamily="2" charset="-122"/>
              <a:ea typeface="宋体" panose="02010600030101010101" pitchFamily="2" charset="-122"/>
              <a:cs typeface="+mn-cs"/>
            </a:rPr>
            <a:t>销售的经理，发现</a:t>
          </a:r>
          <a:r>
            <a:rPr lang="zh-CN" altLang="en-US" sz="1200">
              <a:solidFill>
                <a:schemeClr val="dk1"/>
              </a:solidFill>
              <a:effectLst/>
              <a:latin typeface="宋体" panose="02010600030101010101" pitchFamily="2" charset="-122"/>
              <a:ea typeface="宋体" panose="02010600030101010101" pitchFamily="2" charset="-122"/>
              <a:cs typeface="+mn-cs"/>
            </a:rPr>
            <a:t>本工作表</a:t>
          </a:r>
          <a:r>
            <a:rPr lang="en-US" altLang="zh-CN" sz="1200">
              <a:solidFill>
                <a:schemeClr val="dk1"/>
              </a:solidFill>
              <a:effectLst/>
              <a:latin typeface="宋体" panose="02010600030101010101" pitchFamily="2" charset="-122"/>
              <a:ea typeface="宋体" panose="02010600030101010101" pitchFamily="2" charset="-122"/>
              <a:cs typeface="+mn-cs"/>
            </a:rPr>
            <a:t>A1:C49</a:t>
          </a:r>
          <a:r>
            <a:rPr lang="zh-CN" altLang="zh-CN" sz="1200">
              <a:solidFill>
                <a:schemeClr val="dk1"/>
              </a:solidFill>
              <a:effectLst/>
              <a:latin typeface="宋体" panose="02010600030101010101" pitchFamily="2" charset="-122"/>
              <a:ea typeface="宋体" panose="02010600030101010101" pitchFamily="2" charset="-122"/>
              <a:cs typeface="+mn-cs"/>
            </a:rPr>
            <a:t>销售数据整体上有增长趋势，但他不仅想预测第</a:t>
          </a:r>
          <a:r>
            <a:rPr lang="en-US" altLang="zh-CN" sz="1200">
              <a:solidFill>
                <a:schemeClr val="dk1"/>
              </a:solidFill>
              <a:effectLst/>
              <a:latin typeface="宋体" panose="02010600030101010101" pitchFamily="2" charset="-122"/>
              <a:ea typeface="宋体" panose="02010600030101010101" pitchFamily="2" charset="-122"/>
              <a:cs typeface="+mn-cs"/>
            </a:rPr>
            <a:t>13</a:t>
          </a:r>
          <a:r>
            <a:rPr lang="zh-CN" altLang="zh-CN" sz="1200">
              <a:solidFill>
                <a:schemeClr val="dk1"/>
              </a:solidFill>
              <a:effectLst/>
              <a:latin typeface="宋体" panose="02010600030101010101" pitchFamily="2" charset="-122"/>
              <a:ea typeface="宋体" panose="02010600030101010101" pitchFamily="2" charset="-122"/>
              <a:cs typeface="+mn-cs"/>
            </a:rPr>
            <a:t>个月的销量，还想预测第</a:t>
          </a:r>
          <a:r>
            <a:rPr lang="en-US" altLang="zh-CN" sz="1200">
              <a:solidFill>
                <a:schemeClr val="dk1"/>
              </a:solidFill>
              <a:effectLst/>
              <a:latin typeface="宋体" panose="02010600030101010101" pitchFamily="2" charset="-122"/>
              <a:ea typeface="宋体" panose="02010600030101010101" pitchFamily="2" charset="-122"/>
              <a:cs typeface="+mn-cs"/>
            </a:rPr>
            <a:t>13</a:t>
          </a:r>
          <a:r>
            <a:rPr lang="zh-CN" altLang="zh-CN" sz="1200">
              <a:solidFill>
                <a:schemeClr val="dk1"/>
              </a:solidFill>
              <a:effectLst/>
              <a:latin typeface="宋体" panose="02010600030101010101" pitchFamily="2" charset="-122"/>
              <a:ea typeface="宋体" panose="02010600030101010101" pitchFamily="2" charset="-122"/>
              <a:cs typeface="+mn-cs"/>
            </a:rPr>
            <a:t>个月每周的销量，为此他收集了过去</a:t>
          </a:r>
          <a:r>
            <a:rPr lang="en-US" altLang="zh-CN" sz="1200">
              <a:solidFill>
                <a:schemeClr val="dk1"/>
              </a:solidFill>
              <a:effectLst/>
              <a:latin typeface="宋体" panose="02010600030101010101" pitchFamily="2" charset="-122"/>
              <a:ea typeface="宋体" panose="02010600030101010101" pitchFamily="2" charset="-122"/>
              <a:cs typeface="+mn-cs"/>
            </a:rPr>
            <a:t>12</a:t>
          </a:r>
          <a:r>
            <a:rPr lang="zh-CN" altLang="zh-CN" sz="1200">
              <a:solidFill>
                <a:schemeClr val="dk1"/>
              </a:solidFill>
              <a:effectLst/>
              <a:latin typeface="宋体" panose="02010600030101010101" pitchFamily="2" charset="-122"/>
              <a:ea typeface="宋体" panose="02010600030101010101" pitchFamily="2" charset="-122"/>
              <a:cs typeface="+mn-cs"/>
            </a:rPr>
            <a:t>个月每周的销量的明细数据，数据显示每周的销量既有规律的变化，具有明显的季节成分。</a:t>
          </a:r>
          <a:r>
            <a:rPr lang="zh-CN" altLang="en-US" sz="1200">
              <a:solidFill>
                <a:schemeClr val="dk1"/>
              </a:solidFill>
              <a:effectLst/>
              <a:latin typeface="宋体" panose="02010600030101010101" pitchFamily="2" charset="-122"/>
              <a:ea typeface="宋体" panose="02010600030101010101" pitchFamily="2" charset="-122"/>
              <a:cs typeface="+mn-cs"/>
            </a:rPr>
            <a:t>请</a:t>
          </a:r>
          <a:r>
            <a:rPr lang="zh-CN" altLang="zh-CN" sz="1200">
              <a:solidFill>
                <a:schemeClr val="dk1"/>
              </a:solidFill>
              <a:effectLst/>
              <a:latin typeface="宋体" panose="02010600030101010101" pitchFamily="2" charset="-122"/>
              <a:ea typeface="宋体" panose="02010600030101010101" pitchFamily="2" charset="-122"/>
              <a:cs typeface="+mn-cs"/>
            </a:rPr>
            <a:t>用季节指数预测模型</a:t>
          </a:r>
          <a:r>
            <a:rPr lang="zh-CN" altLang="en-US" sz="1200">
              <a:solidFill>
                <a:schemeClr val="dk1"/>
              </a:solidFill>
              <a:effectLst/>
              <a:latin typeface="宋体" panose="02010600030101010101" pitchFamily="2" charset="-122"/>
              <a:ea typeface="宋体" panose="02010600030101010101" pitchFamily="2" charset="-122"/>
              <a:cs typeface="+mn-cs"/>
            </a:rPr>
            <a:t>计算季节指数并预测未来第</a:t>
          </a:r>
          <a:r>
            <a:rPr lang="en-US" altLang="zh-CN" sz="1200">
              <a:solidFill>
                <a:schemeClr val="dk1"/>
              </a:solidFill>
              <a:effectLst/>
              <a:latin typeface="宋体" panose="02010600030101010101" pitchFamily="2" charset="-122"/>
              <a:ea typeface="宋体" panose="02010600030101010101" pitchFamily="2" charset="-122"/>
              <a:cs typeface="+mn-cs"/>
            </a:rPr>
            <a:t>13</a:t>
          </a:r>
          <a:r>
            <a:rPr lang="zh-CN" altLang="en-US" sz="1200">
              <a:solidFill>
                <a:schemeClr val="dk1"/>
              </a:solidFill>
              <a:effectLst/>
              <a:latin typeface="宋体" panose="02010600030101010101" pitchFamily="2" charset="-122"/>
              <a:ea typeface="宋体" panose="02010600030101010101" pitchFamily="2" charset="-122"/>
              <a:cs typeface="+mn-cs"/>
            </a:rPr>
            <a:t>月各周的销量。</a:t>
          </a:r>
          <a:endParaRPr lang="zh-CN" altLang="zh-CN" sz="1200">
            <a:effectLst/>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3</xdr:row>
      <xdr:rowOff>0</xdr:rowOff>
    </xdr:from>
    <xdr:to>
      <xdr:col>13</xdr:col>
      <xdr:colOff>354827</xdr:colOff>
      <xdr:row>12</xdr:row>
      <xdr:rowOff>120143</xdr:rowOff>
    </xdr:to>
    <xdr:grpSp>
      <xdr:nvGrpSpPr>
        <xdr:cNvPr id="4" name="组合 3">
          <a:extLst>
            <a:ext uri="{FF2B5EF4-FFF2-40B4-BE49-F238E27FC236}">
              <a16:creationId xmlns:a16="http://schemas.microsoft.com/office/drawing/2014/main" id="{00000000-0008-0000-0700-000004000000}"/>
            </a:ext>
          </a:extLst>
        </xdr:cNvPr>
        <xdr:cNvGrpSpPr/>
      </xdr:nvGrpSpPr>
      <xdr:grpSpPr>
        <a:xfrm>
          <a:off x="6743700" y="586740"/>
          <a:ext cx="4492487" cy="1857503"/>
          <a:chOff x="1181099" y="2942573"/>
          <a:chExt cx="4333875" cy="2057400"/>
        </a:xfrm>
        <a:solidFill>
          <a:schemeClr val="accent6">
            <a:lumMod val="20000"/>
            <a:lumOff val="80000"/>
          </a:schemeClr>
        </a:solidFill>
      </xdr:grpSpPr>
      <mc:AlternateContent xmlns:mc="http://schemas.openxmlformats.org/markup-compatibility/2006" xmlns:a14="http://schemas.microsoft.com/office/drawing/2010/main">
        <mc:Choice Requires="a14">
          <xdr:sp macro="" textlink="">
            <xdr:nvSpPr>
              <xdr:cNvPr id="5" name="文本框 4">
                <a:extLst>
                  <a:ext uri="{FF2B5EF4-FFF2-40B4-BE49-F238E27FC236}">
                    <a16:creationId xmlns:a16="http://schemas.microsoft.com/office/drawing/2014/main" id="{00000000-0008-0000-0700-000005000000}"/>
                  </a:ext>
                </a:extLst>
              </xdr:cNvPr>
              <xdr:cNvSpPr txBox="1"/>
            </xdr:nvSpPr>
            <xdr:spPr>
              <a:xfrm>
                <a:off x="1181099" y="2942573"/>
                <a:ext cx="4333875" cy="205740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7</a:t>
                </a:r>
                <a:r>
                  <a:rPr lang="zh-CN" altLang="en-US" sz="1200" b="1">
                    <a:latin typeface="宋体" panose="02010600030101010101" pitchFamily="2" charset="-122"/>
                    <a:ea typeface="宋体" panose="02010600030101010101" pitchFamily="2" charset="-122"/>
                  </a:rPr>
                  <a:t>题（</a:t>
                </a:r>
                <a:r>
                  <a:rPr lang="en-US" altLang="zh-CN" sz="1200" b="1">
                    <a:latin typeface="宋体" panose="02010600030101010101" pitchFamily="2" charset="-122"/>
                    <a:ea typeface="宋体" panose="02010600030101010101" pitchFamily="2" charset="-122"/>
                  </a:rPr>
                  <a:t>12</a:t>
                </a:r>
                <a:r>
                  <a:rPr lang="zh-CN" altLang="en-US" sz="1200" b="1">
                    <a:latin typeface="宋体" panose="02010600030101010101" pitchFamily="2" charset="-122"/>
                    <a:ea typeface="宋体" panose="02010600030101010101" pitchFamily="2" charset="-122"/>
                  </a:rPr>
                  <a:t>分）</a:t>
                </a:r>
                <a:r>
                  <a:rPr lang="en-US" altLang="zh-CN" sz="1200">
                    <a:latin typeface="宋体" panose="02010600030101010101" pitchFamily="2" charset="-122"/>
                    <a:ea typeface="宋体" panose="02010600030101010101" pitchFamily="2" charset="-122"/>
                  </a:rPr>
                  <a:t>A1:B9</a:t>
                </a:r>
                <a:r>
                  <a:rPr lang="zh-CN" altLang="en-US" sz="1200">
                    <a:latin typeface="宋体" panose="02010600030101010101" pitchFamily="2" charset="-122"/>
                    <a:ea typeface="宋体" panose="02010600030101010101" pitchFamily="2" charset="-122"/>
                  </a:rPr>
                  <a:t>是</a:t>
                </a:r>
                <a:r>
                  <a:rPr lang="en-US" altLang="zh-CN" sz="1200">
                    <a:latin typeface="宋体" panose="02010600030101010101" pitchFamily="2" charset="-122"/>
                    <a:ea typeface="宋体" panose="02010600030101010101" pitchFamily="2" charset="-122"/>
                  </a:rPr>
                  <a:t>8</a:t>
                </a:r>
                <a:r>
                  <a:rPr lang="zh-CN" altLang="en-US" sz="1200">
                    <a:latin typeface="宋体" panose="02010600030101010101" pitchFamily="2" charset="-122"/>
                    <a:ea typeface="宋体" panose="02010600030101010101" pitchFamily="2" charset="-122"/>
                  </a:rPr>
                  <a:t>个不同经济发展水平地区的人均年能量消耗量（折合成标准煤，单位：</a:t>
                </a:r>
                <a:r>
                  <a:rPr lang="en-US" altLang="zh-CN" sz="1200">
                    <a:latin typeface="宋体" panose="02010600030101010101" pitchFamily="2" charset="-122"/>
                    <a:ea typeface="宋体" panose="02010600030101010101" pitchFamily="2" charset="-122"/>
                  </a:rPr>
                  <a:t>kg)</a:t>
                </a:r>
                <a:r>
                  <a:rPr lang="zh-CN" altLang="en-US" sz="1200">
                    <a:latin typeface="宋体" panose="02010600030101010101" pitchFamily="2" charset="-122"/>
                    <a:ea typeface="宋体" panose="02010600030101010101" pitchFamily="2" charset="-122"/>
                  </a:rPr>
                  <a:t>和人均国民生产总值（单位：美元）的数据，根据这些数据建立模型</a:t>
                </a:r>
                <a:r>
                  <a:rPr lang="en-US" altLang="zh-CN" sz="1200">
                    <a:latin typeface="宋体" panose="02010600030101010101" pitchFamily="2" charset="-122"/>
                    <a:ea typeface="宋体" panose="02010600030101010101" pitchFamily="2" charset="-122"/>
                  </a:rPr>
                  <a:t>:</a:t>
                </a: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）利用变换法计算模型参数</a:t>
                </a:r>
                <a:r>
                  <a:rPr lang="en-US" altLang="zh-CN" sz="1200">
                    <a:latin typeface="宋体" panose="02010600030101010101" pitchFamily="2" charset="-122"/>
                    <a:ea typeface="宋体" panose="02010600030101010101" pitchFamily="2" charset="-122"/>
                  </a:rPr>
                  <a:t>a</a:t>
                </a:r>
                <a:r>
                  <a:rPr lang="zh-CN" altLang="en-US" sz="1200">
                    <a:latin typeface="宋体" panose="02010600030101010101" pitchFamily="2" charset="-122"/>
                    <a:ea typeface="宋体" panose="02010600030101010101" pitchFamily="2" charset="-122"/>
                  </a:rPr>
                  <a:t>、</a:t>
                </a:r>
                <a14:m>
                  <m:oMath xmlns:m="http://schemas.openxmlformats.org/officeDocument/2006/math">
                    <m:sSub>
                      <m:sSubPr>
                        <m:ctrlPr>
                          <a:rPr lang="en-US" altLang="zh-CN" sz="1200" b="0" i="1">
                            <a:solidFill>
                              <a:schemeClr val="dk1"/>
                            </a:solidFill>
                            <a:effectLst/>
                            <a:latin typeface="Cambria Math" panose="02040503050406030204" pitchFamily="18" charset="0"/>
                            <a:ea typeface="+mn-ea"/>
                            <a:cs typeface="+mn-cs"/>
                          </a:rPr>
                        </m:ctrlPr>
                      </m:sSubPr>
                      <m:e>
                        <m:r>
                          <a:rPr lang="en-US" altLang="zh-CN" sz="1200" b="0" i="1">
                            <a:solidFill>
                              <a:schemeClr val="dk1"/>
                            </a:solidFill>
                            <a:effectLst/>
                            <a:latin typeface="Cambria Math" panose="02040503050406030204" pitchFamily="18" charset="0"/>
                            <a:ea typeface="+mn-ea"/>
                            <a:cs typeface="+mn-cs"/>
                          </a:rPr>
                          <m:t>𝑏</m:t>
                        </m:r>
                      </m:e>
                      <m:sub>
                        <m:r>
                          <a:rPr lang="en-US" altLang="zh-CN" sz="1200" b="0" i="1">
                            <a:solidFill>
                              <a:schemeClr val="dk1"/>
                            </a:solidFill>
                            <a:effectLst/>
                            <a:latin typeface="Cambria Math" panose="02040503050406030204" pitchFamily="18" charset="0"/>
                            <a:ea typeface="+mn-ea"/>
                            <a:cs typeface="+mn-cs"/>
                          </a:rPr>
                          <m:t>1</m:t>
                        </m:r>
                      </m:sub>
                    </m:sSub>
                  </m:oMath>
                </a14:m>
                <a:r>
                  <a:rPr lang="zh-CN" altLang="en-US" sz="1200">
                    <a:latin typeface="宋体" panose="02010600030101010101" pitchFamily="2" charset="-122"/>
                    <a:ea typeface="宋体" panose="02010600030101010101" pitchFamily="2" charset="-122"/>
                  </a:rPr>
                  <a:t>、</a:t>
                </a:r>
                <a14:m>
                  <m:oMath xmlns:m="http://schemas.openxmlformats.org/officeDocument/2006/math">
                    <m:sSub>
                      <m:sSubPr>
                        <m:ctrlPr>
                          <a:rPr lang="en-US" altLang="zh-CN" sz="1200" b="0" i="1">
                            <a:solidFill>
                              <a:schemeClr val="dk1"/>
                            </a:solidFill>
                            <a:effectLst/>
                            <a:latin typeface="Cambria Math" panose="02040503050406030204" pitchFamily="18" charset="0"/>
                            <a:ea typeface="+mn-ea"/>
                            <a:cs typeface="+mn-cs"/>
                          </a:rPr>
                        </m:ctrlPr>
                      </m:sSubPr>
                      <m:e>
                        <m:r>
                          <a:rPr lang="en-US" altLang="zh-CN" sz="1200" b="0" i="1">
                            <a:solidFill>
                              <a:schemeClr val="dk1"/>
                            </a:solidFill>
                            <a:effectLst/>
                            <a:latin typeface="Cambria Math" panose="02040503050406030204" pitchFamily="18" charset="0"/>
                            <a:ea typeface="+mn-ea"/>
                            <a:cs typeface="+mn-cs"/>
                          </a:rPr>
                          <m:t>𝑏</m:t>
                        </m:r>
                      </m:e>
                      <m:sub>
                        <m:r>
                          <a:rPr lang="en-US" altLang="zh-CN" sz="1200" b="0" i="1">
                            <a:solidFill>
                              <a:schemeClr val="dk1"/>
                            </a:solidFill>
                            <a:effectLst/>
                            <a:latin typeface="Cambria Math" panose="02040503050406030204" pitchFamily="18" charset="0"/>
                            <a:ea typeface="+mn-ea"/>
                            <a:cs typeface="+mn-cs"/>
                          </a:rPr>
                          <m:t>2</m:t>
                        </m:r>
                      </m:sub>
                    </m:sSub>
                  </m:oMath>
                </a14:m>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）预测人均年生产总值为</a:t>
                </a:r>
                <a:r>
                  <a:rPr lang="en-US" altLang="zh-CN" sz="1200">
                    <a:latin typeface="宋体" panose="02010600030101010101" pitchFamily="2" charset="-122"/>
                    <a:ea typeface="宋体" panose="02010600030101010101" pitchFamily="2" charset="-122"/>
                  </a:rPr>
                  <a:t>3000</a:t>
                </a:r>
                <a:r>
                  <a:rPr lang="zh-CN" altLang="en-US" sz="1200">
                    <a:latin typeface="宋体" panose="02010600030101010101" pitchFamily="2" charset="-122"/>
                    <a:ea typeface="宋体" panose="02010600030101010101" pitchFamily="2" charset="-122"/>
                  </a:rPr>
                  <a:t>美元时的人均年耗能。</a:t>
                </a:r>
              </a:p>
            </xdr:txBody>
          </xdr:sp>
        </mc:Choice>
        <mc:Fallback xmlns="">
          <xdr:sp macro="" textlink="">
            <xdr:nvSpPr>
              <xdr:cNvPr id="5" name="文本框 4">
                <a:extLst>
                  <a:ext uri="{FF2B5EF4-FFF2-40B4-BE49-F238E27FC236}">
                    <a16:creationId xmlns:a16="http://schemas.microsoft.com/office/drawing/2014/main" id="{00000000-0008-0000-0700-000005000000}"/>
                  </a:ext>
                </a:extLst>
              </xdr:cNvPr>
              <xdr:cNvSpPr txBox="1"/>
            </xdr:nvSpPr>
            <xdr:spPr>
              <a:xfrm>
                <a:off x="1181099" y="2942573"/>
                <a:ext cx="4333875" cy="205740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7</a:t>
                </a:r>
                <a:r>
                  <a:rPr lang="zh-CN" altLang="en-US" sz="1200" b="1">
                    <a:latin typeface="宋体" panose="02010600030101010101" pitchFamily="2" charset="-122"/>
                    <a:ea typeface="宋体" panose="02010600030101010101" pitchFamily="2" charset="-122"/>
                  </a:rPr>
                  <a:t>题（</a:t>
                </a:r>
                <a:r>
                  <a:rPr lang="en-US" altLang="zh-CN" sz="1200" b="1">
                    <a:latin typeface="宋体" panose="02010600030101010101" pitchFamily="2" charset="-122"/>
                    <a:ea typeface="宋体" panose="02010600030101010101" pitchFamily="2" charset="-122"/>
                  </a:rPr>
                  <a:t>12</a:t>
                </a:r>
                <a:r>
                  <a:rPr lang="zh-CN" altLang="en-US" sz="1200" b="1">
                    <a:latin typeface="宋体" panose="02010600030101010101" pitchFamily="2" charset="-122"/>
                    <a:ea typeface="宋体" panose="02010600030101010101" pitchFamily="2" charset="-122"/>
                  </a:rPr>
                  <a:t>分）</a:t>
                </a:r>
                <a:r>
                  <a:rPr lang="en-US" altLang="zh-CN" sz="1200">
                    <a:latin typeface="宋体" panose="02010600030101010101" pitchFamily="2" charset="-122"/>
                    <a:ea typeface="宋体" panose="02010600030101010101" pitchFamily="2" charset="-122"/>
                  </a:rPr>
                  <a:t>A1:B9</a:t>
                </a:r>
                <a:r>
                  <a:rPr lang="zh-CN" altLang="en-US" sz="1200">
                    <a:latin typeface="宋体" panose="02010600030101010101" pitchFamily="2" charset="-122"/>
                    <a:ea typeface="宋体" panose="02010600030101010101" pitchFamily="2" charset="-122"/>
                  </a:rPr>
                  <a:t>是</a:t>
                </a:r>
                <a:r>
                  <a:rPr lang="en-US" altLang="zh-CN" sz="1200">
                    <a:latin typeface="宋体" panose="02010600030101010101" pitchFamily="2" charset="-122"/>
                    <a:ea typeface="宋体" panose="02010600030101010101" pitchFamily="2" charset="-122"/>
                  </a:rPr>
                  <a:t>8</a:t>
                </a:r>
                <a:r>
                  <a:rPr lang="zh-CN" altLang="en-US" sz="1200">
                    <a:latin typeface="宋体" panose="02010600030101010101" pitchFamily="2" charset="-122"/>
                    <a:ea typeface="宋体" panose="02010600030101010101" pitchFamily="2" charset="-122"/>
                  </a:rPr>
                  <a:t>个不同经济发展水平地区的人均年能量消耗量（折合成标准煤，单位：</a:t>
                </a:r>
                <a:r>
                  <a:rPr lang="en-US" altLang="zh-CN" sz="1200">
                    <a:latin typeface="宋体" panose="02010600030101010101" pitchFamily="2" charset="-122"/>
                    <a:ea typeface="宋体" panose="02010600030101010101" pitchFamily="2" charset="-122"/>
                  </a:rPr>
                  <a:t>kg)</a:t>
                </a:r>
                <a:r>
                  <a:rPr lang="zh-CN" altLang="en-US" sz="1200">
                    <a:latin typeface="宋体" panose="02010600030101010101" pitchFamily="2" charset="-122"/>
                    <a:ea typeface="宋体" panose="02010600030101010101" pitchFamily="2" charset="-122"/>
                  </a:rPr>
                  <a:t>和人均国民生产总值（单位：美元）的数据，根据这些数据建立模型</a:t>
                </a:r>
                <a:r>
                  <a:rPr lang="en-US" altLang="zh-CN" sz="1200">
                    <a:latin typeface="宋体" panose="02010600030101010101" pitchFamily="2" charset="-122"/>
                    <a:ea typeface="宋体" panose="02010600030101010101" pitchFamily="2" charset="-122"/>
                  </a:rPr>
                  <a:t>:</a:t>
                </a: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）利用变换法计算模型参数</a:t>
                </a:r>
                <a:r>
                  <a:rPr lang="en-US" altLang="zh-CN" sz="1200">
                    <a:latin typeface="宋体" panose="02010600030101010101" pitchFamily="2" charset="-122"/>
                    <a:ea typeface="宋体" panose="02010600030101010101" pitchFamily="2" charset="-122"/>
                  </a:rPr>
                  <a:t>a</a:t>
                </a:r>
                <a:r>
                  <a:rPr lang="zh-CN" altLang="en-US" sz="1200">
                    <a:latin typeface="宋体" panose="02010600030101010101" pitchFamily="2" charset="-122"/>
                    <a:ea typeface="宋体" panose="02010600030101010101" pitchFamily="2" charset="-122"/>
                  </a:rPr>
                  <a:t>、</a:t>
                </a:r>
                <a:r>
                  <a:rPr lang="en-US" altLang="zh-CN" sz="1200" b="0" i="0">
                    <a:solidFill>
                      <a:schemeClr val="dk1"/>
                    </a:solidFill>
                    <a:effectLst/>
                    <a:latin typeface="Cambria Math" panose="02040503050406030204" pitchFamily="18" charset="0"/>
                    <a:ea typeface="+mn-ea"/>
                    <a:cs typeface="+mn-cs"/>
                  </a:rPr>
                  <a:t>𝑏_1</a:t>
                </a:r>
                <a:r>
                  <a:rPr lang="zh-CN" altLang="en-US" sz="1200">
                    <a:latin typeface="宋体" panose="02010600030101010101" pitchFamily="2" charset="-122"/>
                    <a:ea typeface="宋体" panose="02010600030101010101" pitchFamily="2" charset="-122"/>
                  </a:rPr>
                  <a:t>、</a:t>
                </a:r>
                <a:r>
                  <a:rPr lang="en-US" altLang="zh-CN" sz="1200" b="0" i="0">
                    <a:solidFill>
                      <a:schemeClr val="dk1"/>
                    </a:solidFill>
                    <a:effectLst/>
                    <a:latin typeface="Cambria Math" panose="02040503050406030204" pitchFamily="18" charset="0"/>
                    <a:ea typeface="+mn-ea"/>
                    <a:cs typeface="+mn-cs"/>
                  </a:rPr>
                  <a:t>𝑏_2</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）预测人均年生产总值为</a:t>
                </a:r>
                <a:r>
                  <a:rPr lang="en-US" altLang="zh-CN" sz="1200">
                    <a:latin typeface="宋体" panose="02010600030101010101" pitchFamily="2" charset="-122"/>
                    <a:ea typeface="宋体" panose="02010600030101010101" pitchFamily="2" charset="-122"/>
                  </a:rPr>
                  <a:t>3000</a:t>
                </a:r>
                <a:r>
                  <a:rPr lang="zh-CN" altLang="en-US" sz="1200">
                    <a:latin typeface="宋体" panose="02010600030101010101" pitchFamily="2" charset="-122"/>
                    <a:ea typeface="宋体" panose="02010600030101010101" pitchFamily="2" charset="-122"/>
                  </a:rPr>
                  <a:t>美元时的人均年耗能。</a:t>
                </a:r>
              </a:p>
            </xdr:txBody>
          </xdr:sp>
        </mc:Fallback>
      </mc:AlternateContent>
      <mc:AlternateContent xmlns:mc="http://schemas.openxmlformats.org/markup-compatibility/2006" xmlns:a14="http://schemas.microsoft.com/office/drawing/2010/main">
        <mc:Choice Requires="a14">
          <xdr:sp macro="" textlink="">
            <xdr:nvSpPr>
              <xdr:cNvPr id="6" name="文本框 5">
                <a:extLst>
                  <a:ext uri="{FF2B5EF4-FFF2-40B4-BE49-F238E27FC236}">
                    <a16:creationId xmlns:a16="http://schemas.microsoft.com/office/drawing/2014/main" id="{00000000-0008-0000-0700-000006000000}"/>
                  </a:ext>
                </a:extLst>
              </xdr:cNvPr>
              <xdr:cNvSpPr txBox="1"/>
            </xdr:nvSpPr>
            <xdr:spPr>
              <a:xfrm>
                <a:off x="2315938" y="3762083"/>
                <a:ext cx="2205540" cy="33239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CN" sz="1400" b="1" i="1">
                          <a:latin typeface="Cambria Math" panose="02040503050406030204" pitchFamily="18" charset="0"/>
                        </a:rPr>
                        <m:t>𝒚</m:t>
                      </m:r>
                      <m:r>
                        <a:rPr lang="en-US" altLang="zh-CN" sz="1400" b="1" i="1">
                          <a:latin typeface="Cambria Math" panose="02040503050406030204" pitchFamily="18" charset="0"/>
                        </a:rPr>
                        <m:t>=</m:t>
                      </m:r>
                      <m:r>
                        <a:rPr lang="en-US" altLang="zh-CN" sz="1400" b="1" i="1">
                          <a:latin typeface="Cambria Math" panose="02040503050406030204" pitchFamily="18" charset="0"/>
                        </a:rPr>
                        <m:t>𝒂</m:t>
                      </m:r>
                      <m:r>
                        <a:rPr lang="en-US" altLang="zh-CN" sz="1400" b="1" i="1">
                          <a:latin typeface="Cambria Math" panose="02040503050406030204" pitchFamily="18" charset="0"/>
                        </a:rPr>
                        <m:t>+</m:t>
                      </m:r>
                      <m:sSub>
                        <m:sSubPr>
                          <m:ctrlPr>
                            <a:rPr lang="en-US" altLang="zh-CN" sz="1400" b="1" i="1">
                              <a:latin typeface="Cambria Math" panose="02040503050406030204" pitchFamily="18" charset="0"/>
                            </a:rPr>
                          </m:ctrlPr>
                        </m:sSubPr>
                        <m:e>
                          <m:r>
                            <a:rPr lang="en-US" altLang="zh-CN" sz="1400" b="1" i="1">
                              <a:latin typeface="Cambria Math" panose="02040503050406030204" pitchFamily="18" charset="0"/>
                            </a:rPr>
                            <m:t>𝒃</m:t>
                          </m:r>
                        </m:e>
                        <m:sub>
                          <m:r>
                            <a:rPr lang="en-US" altLang="zh-CN" sz="1400" b="1" i="1">
                              <a:latin typeface="Cambria Math" panose="02040503050406030204" pitchFamily="18" charset="0"/>
                            </a:rPr>
                            <m:t>𝟏</m:t>
                          </m:r>
                        </m:sub>
                      </m:sSub>
                      <m:r>
                        <a:rPr lang="en-US" altLang="zh-CN" sz="1400" b="1" i="1">
                          <a:latin typeface="Cambria Math" panose="02040503050406030204" pitchFamily="18" charset="0"/>
                        </a:rPr>
                        <m:t>∗</m:t>
                      </m:r>
                      <m:rad>
                        <m:radPr>
                          <m:degHide m:val="on"/>
                          <m:ctrlPr>
                            <a:rPr lang="en-US" altLang="zh-CN" sz="1400" b="1" i="1">
                              <a:latin typeface="Cambria Math" panose="02040503050406030204" pitchFamily="18" charset="0"/>
                            </a:rPr>
                          </m:ctrlPr>
                        </m:radPr>
                        <m:deg/>
                        <m:e>
                          <m:r>
                            <a:rPr lang="en-US" altLang="zh-CN" sz="1400" b="1" i="1">
                              <a:latin typeface="Cambria Math" panose="02040503050406030204" pitchFamily="18" charset="0"/>
                            </a:rPr>
                            <m:t>𝒙</m:t>
                          </m:r>
                        </m:e>
                      </m:rad>
                      <m:r>
                        <a:rPr lang="en-US" altLang="zh-CN" sz="1400" b="1" i="1">
                          <a:latin typeface="Cambria Math" panose="02040503050406030204" pitchFamily="18" charset="0"/>
                        </a:rPr>
                        <m:t>+</m:t>
                      </m:r>
                      <m:sSub>
                        <m:sSubPr>
                          <m:ctrlPr>
                            <a:rPr lang="en-US" altLang="zh-CN" sz="1400" b="1" i="1">
                              <a:latin typeface="Cambria Math" panose="02040503050406030204" pitchFamily="18" charset="0"/>
                            </a:rPr>
                          </m:ctrlPr>
                        </m:sSubPr>
                        <m:e>
                          <m:r>
                            <a:rPr lang="en-US" altLang="zh-CN" sz="1400" b="1" i="1">
                              <a:latin typeface="Cambria Math" panose="02040503050406030204" pitchFamily="18" charset="0"/>
                            </a:rPr>
                            <m:t>𝒃</m:t>
                          </m:r>
                        </m:e>
                        <m:sub>
                          <m:r>
                            <a:rPr lang="en-US" altLang="zh-CN" sz="1400" b="1" i="1">
                              <a:latin typeface="Cambria Math" panose="02040503050406030204" pitchFamily="18" charset="0"/>
                            </a:rPr>
                            <m:t>𝟐</m:t>
                          </m:r>
                        </m:sub>
                      </m:sSub>
                      <m:r>
                        <a:rPr lang="en-US" altLang="zh-CN" sz="1400" b="1" i="1">
                          <a:latin typeface="Cambria Math" panose="02040503050406030204" pitchFamily="18" charset="0"/>
                        </a:rPr>
                        <m:t>∗</m:t>
                      </m:r>
                      <m:r>
                        <a:rPr lang="en-US" altLang="zh-CN" sz="1400" b="1" i="0">
                          <a:latin typeface="Cambria Math" panose="02040503050406030204" pitchFamily="18" charset="0"/>
                        </a:rPr>
                        <m:t>𝐥𝐧</m:t>
                      </m:r>
                      <m:r>
                        <a:rPr lang="en-US" altLang="zh-CN" sz="1400" b="1" i="1">
                          <a:latin typeface="Cambria Math" panose="02040503050406030204" pitchFamily="18" charset="0"/>
                        </a:rPr>
                        <m:t>⁡(</m:t>
                      </m:r>
                      <m:r>
                        <a:rPr lang="en-US" altLang="zh-CN" sz="1400" b="1" i="1">
                          <a:latin typeface="Cambria Math" panose="02040503050406030204" pitchFamily="18" charset="0"/>
                        </a:rPr>
                        <m:t>𝒙</m:t>
                      </m:r>
                      <m:r>
                        <a:rPr lang="en-US" altLang="zh-CN" sz="1400" b="1" i="1">
                          <a:latin typeface="Cambria Math" panose="02040503050406030204" pitchFamily="18" charset="0"/>
                        </a:rPr>
                        <m:t>)</m:t>
                      </m:r>
                    </m:oMath>
                  </m:oMathPara>
                </a14:m>
                <a:endParaRPr lang="zh-CN" altLang="en-US" sz="1400" b="1">
                  <a:latin typeface="宋体" panose="02010600030101010101" pitchFamily="2" charset="-122"/>
                  <a:ea typeface="宋体" panose="02010600030101010101" pitchFamily="2" charset="-122"/>
                </a:endParaRPr>
              </a:p>
            </xdr:txBody>
          </xdr:sp>
        </mc:Choice>
        <mc:Fallback xmlns="">
          <xdr:sp macro="" textlink="">
            <xdr:nvSpPr>
              <xdr:cNvPr id="6" name="文本框 5">
                <a:extLst>
                  <a:ext uri="{FF2B5EF4-FFF2-40B4-BE49-F238E27FC236}">
                    <a16:creationId xmlns:a16="http://schemas.microsoft.com/office/drawing/2014/main" id="{A5B09D3F-AEE2-C2AB-587E-B32E91FBF103}"/>
                  </a:ext>
                </a:extLst>
              </xdr:cNvPr>
              <xdr:cNvSpPr txBox="1"/>
            </xdr:nvSpPr>
            <xdr:spPr>
              <a:xfrm>
                <a:off x="2315938" y="3762083"/>
                <a:ext cx="2205540" cy="33239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CN" sz="1400" b="1" i="0">
                    <a:latin typeface="Cambria Math" panose="02040503050406030204" pitchFamily="18" charset="0"/>
                  </a:rPr>
                  <a:t>𝒚=𝒂+𝒃_𝟏∗√𝒙+𝒃_𝟐∗𝐥𝐧⁡(𝒙)</a:t>
                </a:r>
                <a:endParaRPr lang="zh-CN" altLang="en-US" sz="1400" b="1">
                  <a:latin typeface="宋体" panose="02010600030101010101" pitchFamily="2" charset="-122"/>
                  <a:ea typeface="宋体" panose="02010600030101010101" pitchFamily="2" charset="-122"/>
                </a:endParaRPr>
              </a:p>
            </xdr:txBody>
          </xdr:sp>
        </mc:Fallback>
      </mc:AlternateContent>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614722</xdr:colOff>
      <xdr:row>4</xdr:row>
      <xdr:rowOff>0</xdr:rowOff>
    </xdr:from>
    <xdr:to>
      <xdr:col>15</xdr:col>
      <xdr:colOff>61472</xdr:colOff>
      <xdr:row>11</xdr:row>
      <xdr:rowOff>145998</xdr:rowOff>
    </xdr:to>
    <xdr:sp macro="" textlink="">
      <xdr:nvSpPr>
        <xdr:cNvPr id="2" name="Text Box 6">
          <a:extLst>
            <a:ext uri="{FF2B5EF4-FFF2-40B4-BE49-F238E27FC236}">
              <a16:creationId xmlns:a16="http://schemas.microsoft.com/office/drawing/2014/main" id="{00000000-0008-0000-0800-000002000000}"/>
            </a:ext>
          </a:extLst>
        </xdr:cNvPr>
        <xdr:cNvSpPr txBox="1">
          <a:spLocks noChangeArrowheads="1"/>
        </xdr:cNvSpPr>
      </xdr:nvSpPr>
      <xdr:spPr bwMode="auto">
        <a:xfrm>
          <a:off x="6070386" y="760719"/>
          <a:ext cx="4364531" cy="1436916"/>
        </a:xfrm>
        <a:prstGeom prst="rect">
          <a:avLst/>
        </a:prstGeom>
        <a:solidFill>
          <a:srgbClr xmlns:mc="http://schemas.openxmlformats.org/markup-compatibility/2006" xmlns:a14="http://schemas.microsoft.com/office/drawing/2010/main" val="CCFFFF" mc:Ignorable="a14" a14:legacySpreadsheetColorIndex="41"/>
        </a:solidFill>
        <a:ln w="31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82800" tIns="82800" rIns="90000" bIns="4680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Arial"/>
              <a:ea typeface="宋体"/>
              <a:cs typeface="Arial"/>
            </a:rPr>
            <a:t>8</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ysClr val="windowText" lastClr="000000"/>
              </a:solidFill>
              <a:latin typeface="宋体"/>
              <a:ea typeface="宋体"/>
              <a:cs typeface="Arial"/>
            </a:rPr>
            <a:t>（</a:t>
          </a:r>
          <a:r>
            <a:rPr lang="en-US" altLang="zh-CN" sz="1100" b="1" i="0" u="none" strike="noStrike" baseline="0">
              <a:solidFill>
                <a:sysClr val="windowText" lastClr="000000"/>
              </a:solidFill>
              <a:latin typeface="Arial"/>
              <a:ea typeface="宋体"/>
              <a:cs typeface="Arial"/>
            </a:rPr>
            <a:t>12</a:t>
          </a:r>
          <a:r>
            <a:rPr lang="zh-CN" altLang="en-US" sz="1100" b="1" i="0" u="none" strike="noStrike" baseline="0">
              <a:solidFill>
                <a:sysClr val="windowText" lastClr="000000"/>
              </a:solidFill>
              <a:latin typeface="宋体"/>
              <a:ea typeface="宋体"/>
              <a:cs typeface="Arial"/>
            </a:rPr>
            <a:t>分）</a:t>
          </a:r>
          <a:r>
            <a:rPr lang="zh-CN" altLang="en-US" sz="1100" b="0" i="0" u="none" strike="noStrike" baseline="0">
              <a:solidFill>
                <a:sysClr val="windowText" lastClr="000000"/>
              </a:solidFill>
              <a:latin typeface="Arial"/>
              <a:ea typeface="宋体"/>
              <a:cs typeface="Arial"/>
            </a:rPr>
            <a:t> </a:t>
          </a:r>
          <a:r>
            <a:rPr lang="zh-CN" altLang="en-US" sz="1100" b="0" i="0" u="none" strike="noStrike" baseline="0">
              <a:solidFill>
                <a:srgbClr val="000000"/>
              </a:solidFill>
              <a:latin typeface="宋体"/>
              <a:ea typeface="宋体"/>
              <a:cs typeface="Arial"/>
            </a:rPr>
            <a:t>本工作表</a:t>
          </a:r>
          <a:r>
            <a:rPr lang="zh-CN" altLang="en-US" sz="1100" b="0" i="0" u="none" strike="noStrike" baseline="0">
              <a:solidFill>
                <a:srgbClr val="000000"/>
              </a:solidFill>
              <a:latin typeface="Arial"/>
              <a:ea typeface="宋体"/>
              <a:cs typeface="Arial"/>
            </a:rPr>
            <a:t>B2:C16</a:t>
          </a:r>
          <a:r>
            <a:rPr lang="zh-CN" altLang="en-US" sz="1100" b="0" i="0" u="none" strike="noStrike" baseline="0">
              <a:solidFill>
                <a:srgbClr val="000000"/>
              </a:solidFill>
              <a:latin typeface="宋体"/>
              <a:ea typeface="宋体"/>
              <a:cs typeface="Arial"/>
            </a:rPr>
            <a:t>范围内列出了</a:t>
          </a:r>
          <a:r>
            <a:rPr lang="zh-CN" altLang="en-US" sz="1100" b="0" i="0" u="none" strike="noStrike" baseline="0">
              <a:solidFill>
                <a:srgbClr val="000000"/>
              </a:solidFill>
              <a:latin typeface="Arial"/>
              <a:ea typeface="宋体"/>
              <a:cs typeface="Arial"/>
            </a:rPr>
            <a:t>20</a:t>
          </a:r>
          <a:r>
            <a:rPr lang="en-US" altLang="zh-CN" sz="1100" b="0" i="0" u="none" strike="noStrike" baseline="0">
              <a:solidFill>
                <a:srgbClr val="000000"/>
              </a:solidFill>
              <a:latin typeface="Arial"/>
              <a:ea typeface="宋体"/>
              <a:cs typeface="Arial"/>
            </a:rPr>
            <a:t>17</a:t>
          </a:r>
          <a:r>
            <a:rPr lang="zh-CN" altLang="en-US" sz="1100" b="0" i="0" u="none" strike="noStrike" baseline="0">
              <a:solidFill>
                <a:srgbClr val="000000"/>
              </a:solidFill>
              <a:latin typeface="宋体"/>
              <a:ea typeface="宋体"/>
              <a:cs typeface="Arial"/>
            </a:rPr>
            <a:t>年</a:t>
          </a:r>
          <a:r>
            <a:rPr lang="en-US" altLang="zh-CN" sz="1100" b="0" i="0" u="none" strike="noStrike" baseline="0">
              <a:solidFill>
                <a:srgbClr val="000000"/>
              </a:solidFill>
              <a:latin typeface="Arial"/>
              <a:ea typeface="宋体"/>
              <a:cs typeface="Arial"/>
            </a:rPr>
            <a:t>8</a:t>
          </a:r>
          <a:r>
            <a:rPr lang="zh-CN" altLang="en-US" sz="1100" b="0" i="0" u="none" strike="noStrike" baseline="0">
              <a:solidFill>
                <a:srgbClr val="000000"/>
              </a:solidFill>
              <a:latin typeface="宋体"/>
              <a:ea typeface="宋体"/>
              <a:cs typeface="Arial"/>
            </a:rPr>
            <a:t>月</a:t>
          </a:r>
          <a:r>
            <a:rPr lang="zh-CN" altLang="en-US" sz="1100" b="0" i="0" u="none" strike="noStrike" baseline="0">
              <a:solidFill>
                <a:srgbClr val="000000"/>
              </a:solidFill>
              <a:latin typeface="Arial"/>
              <a:ea typeface="宋体"/>
              <a:cs typeface="Arial"/>
            </a:rPr>
            <a:t>~20</a:t>
          </a:r>
          <a:r>
            <a:rPr lang="en-US" altLang="zh-CN" sz="1100" b="0" i="0" u="none" strike="noStrike" baseline="0">
              <a:solidFill>
                <a:srgbClr val="000000"/>
              </a:solidFill>
              <a:latin typeface="Arial"/>
              <a:ea typeface="宋体"/>
              <a:cs typeface="Arial"/>
            </a:rPr>
            <a:t>18</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1</a:t>
          </a:r>
          <a:r>
            <a:rPr lang="en-US" altLang="zh-CN" sz="1100" b="0" i="0" u="none" strike="noStrike" baseline="0">
              <a:solidFill>
                <a:srgbClr val="000000"/>
              </a:solidFill>
              <a:latin typeface="Arial"/>
              <a:ea typeface="宋体"/>
              <a:cs typeface="Arial"/>
            </a:rPr>
            <a:t>0</a:t>
          </a:r>
          <a:r>
            <a:rPr lang="zh-CN" altLang="en-US" sz="1100" b="0" i="0" u="none" strike="noStrike" baseline="0">
              <a:solidFill>
                <a:srgbClr val="000000"/>
              </a:solidFill>
              <a:latin typeface="宋体"/>
              <a:ea typeface="宋体"/>
              <a:cs typeface="Arial"/>
            </a:rPr>
            <a:t>月某产品的月销售额时间序列</a:t>
          </a:r>
          <a:r>
            <a:rPr lang="en-US" altLang="zh-CN"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宋体"/>
              <a:ea typeface="宋体"/>
              <a:cs typeface="Arial"/>
            </a:rPr>
            <a:t>请建立线性趋势预测模型。要求：</a:t>
          </a:r>
        </a:p>
        <a:p>
          <a:pPr algn="l" rtl="0">
            <a:lnSpc>
              <a:spcPts val="1300"/>
            </a:lnSpc>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、计算模型</a:t>
          </a:r>
          <a:r>
            <a:rPr lang="en-US" altLang="zh-CN" sz="1100" b="1" i="0" u="none" strike="noStrike" baseline="0">
              <a:solidFill>
                <a:srgbClr val="000000"/>
              </a:solidFill>
              <a:latin typeface="宋体"/>
              <a:ea typeface="宋体"/>
              <a:cs typeface="Arial"/>
            </a:rPr>
            <a:t>Y=</a:t>
          </a:r>
          <a:r>
            <a:rPr lang="zh-CN" altLang="zh-CN" sz="1100" b="1" i="0" u="none" strike="noStrike" baseline="0">
              <a:solidFill>
                <a:srgbClr val="000000"/>
              </a:solidFill>
              <a:latin typeface="宋体"/>
              <a:ea typeface="宋体"/>
              <a:cs typeface="Arial"/>
            </a:rPr>
            <a:t>a</a:t>
          </a:r>
          <a:r>
            <a:rPr lang="en-US" altLang="zh-CN" sz="1100" b="1" i="0" u="none" strike="noStrike" baseline="0">
              <a:solidFill>
                <a:srgbClr val="000000"/>
              </a:solidFill>
              <a:latin typeface="宋体"/>
              <a:ea typeface="宋体"/>
              <a:cs typeface="Arial"/>
            </a:rPr>
            <a:t>X+b</a:t>
          </a:r>
          <a:r>
            <a:rPr lang="zh-CN" altLang="en-US" sz="1100" b="0" i="0" u="none" strike="noStrike" baseline="0">
              <a:solidFill>
                <a:srgbClr val="000000"/>
              </a:solidFill>
              <a:latin typeface="宋体"/>
              <a:ea typeface="宋体"/>
              <a:cs typeface="Arial"/>
            </a:rPr>
            <a:t>的参数</a:t>
          </a:r>
          <a:r>
            <a:rPr lang="zh-CN" altLang="en-US" sz="1100" b="1" i="0" u="none" strike="noStrike" baseline="0">
              <a:solidFill>
                <a:srgbClr val="000000"/>
              </a:solidFill>
              <a:latin typeface="宋体"/>
              <a:ea typeface="宋体"/>
              <a:cs typeface="Arial"/>
            </a:rPr>
            <a:t>a</a:t>
          </a:r>
          <a:r>
            <a:rPr lang="zh-CN" altLang="en-US" sz="1100" b="0" i="0" u="none" strike="noStrike" baseline="0">
              <a:solidFill>
                <a:srgbClr val="000000"/>
              </a:solidFill>
              <a:latin typeface="宋体"/>
              <a:ea typeface="宋体"/>
              <a:cs typeface="Arial"/>
            </a:rPr>
            <a:t>和</a:t>
          </a:r>
          <a:r>
            <a:rPr lang="zh-CN" altLang="en-US" sz="1100" b="1" i="0" u="none" strike="noStrike" baseline="0">
              <a:solidFill>
                <a:srgbClr val="000000"/>
              </a:solidFill>
              <a:latin typeface="宋体"/>
              <a:ea typeface="宋体"/>
              <a:cs typeface="Arial"/>
            </a:rPr>
            <a:t>b</a:t>
          </a:r>
          <a:r>
            <a:rPr lang="zh-CN" altLang="en-US" sz="1100" b="0" i="0" u="none" strike="noStrike" baseline="0">
              <a:solidFill>
                <a:srgbClr val="000000"/>
              </a:solidFill>
              <a:latin typeface="宋体"/>
              <a:ea typeface="宋体"/>
              <a:cs typeface="Arial"/>
            </a:rPr>
            <a:t>、判定系数R平方值；</a:t>
          </a:r>
        </a:p>
        <a:p>
          <a:pPr algn="l" rtl="0">
            <a:lnSpc>
              <a:spcPts val="1300"/>
            </a:lnSpc>
            <a:defRPr sz="1000"/>
          </a:pPr>
          <a:r>
            <a:rPr lang="zh-CN" altLang="en-US" sz="1100" b="0" i="0" u="none" strike="noStrike" baseline="0">
              <a:solidFill>
                <a:srgbClr val="000000"/>
              </a:solidFill>
              <a:latin typeface="Arial"/>
              <a:ea typeface="宋体"/>
              <a:cs typeface="Arial"/>
            </a:rPr>
            <a:t>2</a:t>
          </a:r>
          <a:r>
            <a:rPr lang="zh-CN" altLang="en-US" sz="1100" b="0" i="0" u="none" strike="noStrike" baseline="0">
              <a:solidFill>
                <a:srgbClr val="000000"/>
              </a:solidFill>
              <a:latin typeface="宋体"/>
              <a:ea typeface="宋体"/>
              <a:cs typeface="Arial"/>
            </a:rPr>
            <a:t>、预测</a:t>
          </a:r>
          <a:r>
            <a:rPr lang="zh-CN" altLang="en-US" sz="1100" b="0" i="0" u="none" strike="noStrike" baseline="0">
              <a:solidFill>
                <a:srgbClr val="000000"/>
              </a:solidFill>
              <a:latin typeface="Arial"/>
              <a:ea typeface="宋体"/>
              <a:cs typeface="Arial"/>
            </a:rPr>
            <a:t>201</a:t>
          </a:r>
          <a:r>
            <a:rPr lang="en-US" altLang="zh-CN" sz="1100" b="0" i="0" u="none" strike="noStrike" baseline="0">
              <a:solidFill>
                <a:srgbClr val="000000"/>
              </a:solidFill>
              <a:latin typeface="Arial"/>
              <a:ea typeface="宋体"/>
              <a:cs typeface="Arial"/>
            </a:rPr>
            <a:t>8</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1</a:t>
          </a:r>
          <a:r>
            <a:rPr lang="en-US" altLang="zh-CN" sz="1100" b="0" i="0" u="none" strike="noStrike" baseline="0">
              <a:solidFill>
                <a:srgbClr val="000000"/>
              </a:solidFill>
              <a:latin typeface="Arial"/>
              <a:ea typeface="宋体"/>
              <a:cs typeface="Arial"/>
            </a:rPr>
            <a:t>1</a:t>
          </a:r>
          <a:r>
            <a:rPr lang="zh-CN" altLang="en-US" sz="1100" b="0" i="0" u="none" strike="noStrike" baseline="0">
              <a:solidFill>
                <a:srgbClr val="000000"/>
              </a:solidFill>
              <a:latin typeface="宋体"/>
              <a:ea typeface="宋体"/>
              <a:cs typeface="Arial"/>
            </a:rPr>
            <a:t>月的销售额；</a:t>
          </a:r>
        </a:p>
        <a:p>
          <a:pPr algn="l" rtl="0">
            <a:lnSpc>
              <a:spcPts val="1300"/>
            </a:lnSpc>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、采用</a:t>
          </a:r>
          <a:r>
            <a:rPr lang="zh-CN" altLang="en-US" sz="1100" b="0" i="0" u="none" strike="noStrike" baseline="0">
              <a:solidFill>
                <a:srgbClr val="000000"/>
              </a:solidFill>
              <a:latin typeface="Arial"/>
              <a:ea typeface="宋体"/>
              <a:cs typeface="Arial"/>
            </a:rPr>
            <a:t>XY</a:t>
          </a:r>
          <a:r>
            <a:rPr lang="zh-CN" altLang="en-US" sz="1100" b="0" i="0" u="none" strike="noStrike" baseline="0">
              <a:solidFill>
                <a:srgbClr val="000000"/>
              </a:solidFill>
              <a:latin typeface="宋体"/>
              <a:ea typeface="宋体"/>
              <a:cs typeface="Arial"/>
            </a:rPr>
            <a:t>散点图法来验证你的计算结果（预测</a:t>
          </a:r>
          <a:r>
            <a:rPr lang="en-US" altLang="zh-CN" sz="1100" b="0" i="0" u="none" strike="noStrike" baseline="0">
              <a:solidFill>
                <a:srgbClr val="000000"/>
              </a:solidFill>
              <a:latin typeface="宋体"/>
              <a:ea typeface="宋体"/>
              <a:cs typeface="Arial"/>
            </a:rPr>
            <a:t>2018</a:t>
          </a:r>
          <a:r>
            <a:rPr lang="zh-CN" altLang="en-US" sz="1100" b="0" i="0" u="none" strike="noStrike" baseline="0">
              <a:solidFill>
                <a:srgbClr val="000000"/>
              </a:solidFill>
              <a:latin typeface="宋体"/>
              <a:ea typeface="宋体"/>
              <a:cs typeface="Arial"/>
            </a:rPr>
            <a:t>年</a:t>
          </a:r>
          <a:r>
            <a:rPr lang="en-US" altLang="zh-CN" sz="1100" b="0" i="0" u="none" strike="noStrike" baseline="0">
              <a:solidFill>
                <a:srgbClr val="000000"/>
              </a:solidFill>
              <a:latin typeface="宋体"/>
              <a:ea typeface="宋体"/>
              <a:cs typeface="Arial"/>
            </a:rPr>
            <a:t>11</a:t>
          </a:r>
          <a:r>
            <a:rPr lang="zh-CN" altLang="en-US" sz="1100" b="0" i="0" u="none" strike="noStrike" baseline="0">
              <a:solidFill>
                <a:srgbClr val="000000"/>
              </a:solidFill>
              <a:latin typeface="宋体"/>
              <a:ea typeface="宋体"/>
              <a:cs typeface="Arial"/>
            </a:rPr>
            <a:t>月的数据点格式与其他预测点区分开）。</a:t>
          </a:r>
          <a:endParaRPr lang="zh-CN"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vesufeedu-my.sharepoint.com/&#24037;&#20316;/&#25945;&#23398;/&#35745;&#31639;&#26426;&#24212;&#29992;&#35838;&#20214;/&#35745;&#31639;&#26426;&#24212;&#29992;&#35838;&#20214;/&#27169;&#25311;&#35797;&#21367;&#21442;&#32771;&#31572;&#26696;/&#31532;3&#314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vesufeedu-my.sharepoint.com/&#24037;&#20316;/&#25945;&#23398;/&#35745;&#31639;&#26426;&#24212;&#29992;&#35838;&#20214;/&#35745;&#31639;&#26426;&#24212;&#29992;&#35838;&#20214;/&#27169;&#25311;&#35797;&#21367;&#21442;&#32771;&#31572;&#26696;/&#27169;&#25311;&#35797;&#21367;11-&#21442;&#32771;&#31572;&#266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vesufeedu-my.sharepoint.com/&#24037;&#20316;/&#25945;&#23398;/&#35745;&#31639;&#26426;&#24212;&#29992;&#35838;&#20214;/&#35745;&#31639;&#26426;&#24212;&#29992;&#35838;&#20214;/&#27169;&#25311;&#35797;&#21367;&#21442;&#32771;&#31572;&#26696;/Set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livesufeedu-my.sharepoint.com/Rawdata/&#31532;3&#314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vesufeedu-my.sharepoint.com/&#35838;&#31243;/&#36130;&#32463;&#31649;&#29702;&#35745;&#31639;&#26426;&#24212;&#29992;/&#32771;&#35797;&#25104;&#32489;/20050622-0397/&#31572;&#26696;/&#31532;3&#3145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livesufeedu-my.sharepoint.com/&#35838;&#31243;/&#36130;&#32463;&#31649;&#29702;&#35745;&#31639;&#26426;&#24212;&#29992;/200502/D&#20989;&#25968;&#32771;&#3906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vesufeedu-my.sharepoint.com/&#35838;&#31243;/&#36130;&#32463;&#31649;&#29702;&#35745;&#31639;&#26426;&#24212;&#29992;/&#32771;&#35797;&#25104;&#32489;/20050622-0397/&#31572;&#26696;/Se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livesufeedu-my.sharepoint.com/&#35838;&#31243;/&#35745;&#31639;&#26426;&#24212;&#29992;/&#32771;&#39064;/2003-1/2002&#31179;&#35745;&#31639;&#26426;&#32771;&#35797;(C)&#31572;&#266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livesufeedu-my.sharepoint.com/0wang/Quantitative%20method/Simulation/Simulation%20example%201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livesufeedu-my.sharepoint.com/lgl/yy2/&#32771;&#39064;/2002-01&#32771;&#39064;/Teaching/2001Fall/&#36741;&#20462;/&#35797;&#39064;&#31572;&#266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livesufeedu-my.sharepoint.com/TF/Lesson/ComputerApplication/&#25945;&#23398;&#21442;&#32771;&#36164;&#26009;/&#22797;&#20064;&#36164;&#26009;/&#32508;&#21512;&#32451;&#20064;a_j&#21442;&#32771;&#35299;&#31572;/&#32508;&#21512;&#32451;&#20064;D&#21442;&#32771;&#35299;&#3157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livesufeedu-my.sharepoint.com/0%20&#35745;&#31639;&#26426;&#24212;&#29992;/2004&#26149;/&#26399;&#26411;&#32771;&#21367;/2004&#26149;&#35745;&#31639;&#26426;&#24212;&#29992;&#39064;&#30446;&#19982;&#35299;&#31572;/&#32463;&#27982;&#35746;&#36135;&#37327;&#32771;&#3906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livesufeedu-my.sharepoint.com/2003_2004_2&#32771;&#35797;&#35797;&#39064;&#31532;2&#31295;/2003-2004&#31532;2&#23398;&#26399;&#36130;&#22823;&#35745;&#31639;&#26426;&#24212;&#29992;&#35797;&#39064;/2004-06&#36879;&#35270;&#34920;&#19982;D&#20989;&#25968;&#32771;&#390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livesufeedu-my.sharepoint.com/lgl/yy2/&#32771;&#39064;/2001-07&#32771;&#39064;/Exam1/Exam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livesufeedu-my.sharepoint.com/&#35745;&#31639;&#26426;&#24212;&#29992;/01-02(1)/2001&#31179;&#35745;&#31639;&#26426;&#24212;&#29992;&#35838;&#31243;&#32771;&#35797;&#39064;A&#31572;&#26696;&#24102;&#35780;&#20998;&#32454;&#2101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livesufeedu-my.sharepoint.com/&#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efreshError="1">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efreshError="1">
        <row r="3">
          <cell r="D3">
            <v>3800</v>
          </cell>
          <cell r="K3">
            <v>3640.6</v>
          </cell>
          <cell r="L3">
            <v>996.6</v>
          </cell>
          <cell r="M3">
            <v>113.4</v>
          </cell>
          <cell r="N3">
            <v>156</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经济订货量-折扣模型问题"/>
      <sheetName val="经济订货量-折扣模型"/>
      <sheetName val="经济订货量-年需求量变化模型问题"/>
      <sheetName val="经济订货量-年需求量变化模型"/>
      <sheetName val="经济订货量-年需求量变化模型图形"/>
      <sheetName val="随机问题1 确定公交车最佳发车间隔问题"/>
      <sheetName val="随机问题1 确定公交车最佳发车间隔"/>
      <sheetName val="随机问题2 估计公交车的收入问题"/>
      <sheetName val="随机问题2 估计公交车的收入"/>
    </sheetNames>
    <sheetDataSet>
      <sheetData sheetId="0" refreshError="1"/>
      <sheetData sheetId="1">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端木辰" refreshedDate="45606.949488888888" createdVersion="7" refreshedVersion="7" minRefreshableVersion="3" recordCount="2157" xr:uid="{4EF96565-DFE7-4EB3-BE33-7F9292B741C4}">
  <cacheSource type="worksheet">
    <worksheetSource name="表_查询来自_northwind"/>
  </cacheSource>
  <cacheFields count="6">
    <cacheField name="类别名称" numFmtId="0">
      <sharedItems count="8">
        <s v="饮料"/>
        <s v="调味品"/>
        <s v="点心"/>
        <s v="日用品"/>
        <s v="谷类/麦片"/>
        <s v="肉/家禽"/>
        <s v="特制品"/>
        <s v="海鲜"/>
      </sharedItems>
    </cacheField>
    <cacheField name="订购日期" numFmtId="22">
      <sharedItems containsSemiMixedTypes="0" containsNonDate="0" containsDate="1" containsString="0" minDate="1996-07-04T00:00:00" maxDate="1998-05-07T00:00:00" count="480">
        <d v="1996-08-20T00:00:00"/>
        <d v="1996-08-30T00:00:00"/>
        <d v="1996-09-30T00:00:00"/>
        <d v="1996-11-07T00:00:00"/>
        <d v="1996-11-14T00:00:00"/>
        <d v="1996-12-03T00:00:00"/>
        <d v="1997-01-07T00:00:00"/>
        <d v="1997-01-14T00:00:00"/>
        <d v="1997-03-17T00:00:00"/>
        <d v="1997-04-30T00:00:00"/>
        <d v="1997-05-05T00:00:00"/>
        <d v="1997-06-23T00:00:00"/>
        <d v="1997-07-07T00:00:00"/>
        <d v="1997-07-24T00:00:00"/>
        <d v="1997-07-25T00:00:00"/>
        <d v="1997-08-12T00:00:00"/>
        <d v="1997-08-27T00:00:00"/>
        <d v="1997-10-01T00:00:00"/>
        <d v="1997-10-03T00:00:00"/>
        <d v="1997-10-10T00:00:00"/>
        <d v="1997-11-04T00:00:00"/>
        <d v="1997-11-24T00:00:00"/>
        <d v="1998-01-19T00:00:00"/>
        <d v="1998-01-22T00:00:00"/>
        <d v="1998-02-02T00:00:00"/>
        <d v="1998-02-04T00:00:00"/>
        <d v="1998-02-24T00:00:00"/>
        <d v="1998-02-26T00:00:00"/>
        <d v="1998-03-02T00:00:00"/>
        <d v="1998-03-09T00:00:00"/>
        <d v="1998-04-06T00:00:00"/>
        <d v="1998-04-07T00:00:00"/>
        <d v="1998-04-15T00:00:00"/>
        <d v="1998-04-17T00:00:00"/>
        <d v="1998-04-20T00:00:00"/>
        <d v="1998-04-24T00:00:00"/>
        <d v="1998-05-05T00:00:00"/>
        <d v="1996-07-12T00:00:00"/>
        <d v="1996-07-17T00:00:00"/>
        <d v="1996-07-24T00:00:00"/>
        <d v="1996-09-05T00:00:00"/>
        <d v="1996-10-11T00:00:00"/>
        <d v="1996-10-22T00:00:00"/>
        <d v="1996-10-30T00:00:00"/>
        <d v="1996-12-25T00:00:00"/>
        <d v="1997-01-17T00:00:00"/>
        <d v="1997-02-04T00:00:00"/>
        <d v="1997-02-10T00:00:00"/>
        <d v="1997-03-10T00:00:00"/>
        <d v="1997-03-25T00:00:00"/>
        <d v="1997-04-11T00:00:00"/>
        <d v="1997-08-06T00:00:00"/>
        <d v="1997-08-14T00:00:00"/>
        <d v="1997-08-22T00:00:00"/>
        <d v="1997-10-14T00:00:00"/>
        <d v="1997-10-22T00:00:00"/>
        <d v="1997-10-29T00:00:00"/>
        <d v="1997-11-14T00:00:00"/>
        <d v="1997-12-05T00:00:00"/>
        <d v="1997-12-19T00:00:00"/>
        <d v="1997-12-23T00:00:00"/>
        <d v="1997-12-31T00:00:00"/>
        <d v="1998-01-05T00:00:00"/>
        <d v="1998-01-13T00:00:00"/>
        <d v="1998-01-26T00:00:00"/>
        <d v="1998-01-28T00:00:00"/>
        <d v="1998-02-03T00:00:00"/>
        <d v="1998-02-12T00:00:00"/>
        <d v="1998-02-16T00:00:00"/>
        <d v="1998-03-10T00:00:00"/>
        <d v="1998-04-01T00:00:00"/>
        <d v="1998-04-14T00:00:00"/>
        <d v="1998-04-22T00:00:00"/>
        <d v="1998-05-06T00:00:00"/>
        <d v="1996-07-11T00:00:00"/>
        <d v="1996-07-23T00:00:00"/>
        <d v="1996-08-07T00:00:00"/>
        <d v="1996-08-14T00:00:00"/>
        <d v="1996-08-29T00:00:00"/>
        <d v="1996-11-12T00:00:00"/>
        <d v="1996-11-15T00:00:00"/>
        <d v="1996-11-20T00:00:00"/>
        <d v="1996-12-18T00:00:00"/>
        <d v="1997-02-14T00:00:00"/>
        <d v="1997-03-05T00:00:00"/>
        <d v="1997-03-06T00:00:00"/>
        <d v="1997-03-12T00:00:00"/>
        <d v="1997-04-07T00:00:00"/>
        <d v="1997-04-21T00:00:00"/>
        <d v="1997-04-25T00:00:00"/>
        <d v="1997-04-29T00:00:00"/>
        <d v="1997-05-19T00:00:00"/>
        <d v="1997-06-02T00:00:00"/>
        <d v="1997-06-11T00:00:00"/>
        <d v="1997-07-11T00:00:00"/>
        <d v="1997-08-05T00:00:00"/>
        <d v="1997-08-07T00:00:00"/>
        <d v="1997-08-28T00:00:00"/>
        <d v="1997-10-07T00:00:00"/>
        <d v="1997-12-03T00:00:00"/>
        <d v="1997-12-26T00:00:00"/>
        <d v="1998-01-29T00:00:00"/>
        <d v="1998-02-18T00:00:00"/>
        <d v="1998-03-03T00:00:00"/>
        <d v="1998-03-12T00:00:00"/>
        <d v="1998-03-19T00:00:00"/>
        <d v="1998-03-23T00:00:00"/>
        <d v="1998-03-26T00:00:00"/>
        <d v="1998-03-30T00:00:00"/>
        <d v="1998-04-03T00:00:00"/>
        <d v="1998-04-08T00:00:00"/>
        <d v="1998-04-09T00:00:00"/>
        <d v="1998-04-16T00:00:00"/>
        <d v="1998-04-27T00:00:00"/>
        <d v="1998-04-28T00:00:00"/>
        <d v="1996-08-22T00:00:00"/>
        <d v="1996-09-26T00:00:00"/>
        <d v="1996-11-28T00:00:00"/>
        <d v="1997-02-06T00:00:00"/>
        <d v="1997-03-24T00:00:00"/>
        <d v="1997-05-26T00:00:00"/>
        <d v="1997-06-19T00:00:00"/>
        <d v="1997-11-27T00:00:00"/>
        <d v="1997-12-30T00:00:00"/>
        <d v="1998-04-30T00:00:00"/>
        <d v="1998-05-01T00:00:00"/>
        <d v="1996-07-19T00:00:00"/>
        <d v="1996-08-21T00:00:00"/>
        <d v="1996-10-03T00:00:00"/>
        <d v="1996-10-08T00:00:00"/>
        <d v="1996-12-23T00:00:00"/>
        <d v="1996-12-30T00:00:00"/>
        <d v="1997-01-01T00:00:00"/>
        <d v="1997-01-23T00:00:00"/>
        <d v="1997-02-12T00:00:00"/>
        <d v="1997-05-23T00:00:00"/>
        <d v="1997-05-28T00:00:00"/>
        <d v="1997-05-30T00:00:00"/>
        <d v="1997-06-24T00:00:00"/>
        <d v="1997-07-02T00:00:00"/>
        <d v="1997-07-04T00:00:00"/>
        <d v="1997-07-10T00:00:00"/>
        <d v="1997-10-08T00:00:00"/>
        <d v="1997-10-28T00:00:00"/>
        <d v="1997-11-13T00:00:00"/>
        <d v="1997-12-22T00:00:00"/>
        <d v="1998-01-08T00:00:00"/>
        <d v="1998-01-14T00:00:00"/>
        <d v="1998-01-16T00:00:00"/>
        <d v="1998-01-21T00:00:00"/>
        <d v="1998-03-18T00:00:00"/>
        <d v="1998-04-21T00:00:00"/>
        <d v="1998-04-23T00:00:00"/>
        <d v="1996-10-15T00:00:00"/>
        <d v="1996-11-11T00:00:00"/>
        <d v="1996-11-13T00:00:00"/>
        <d v="1996-11-22T00:00:00"/>
        <d v="1996-12-04T00:00:00"/>
        <d v="1997-01-16T00:00:00"/>
        <d v="1997-03-19T00:00:00"/>
        <d v="1997-07-31T00:00:00"/>
        <d v="1997-09-17T00:00:00"/>
        <d v="1997-12-18T00:00:00"/>
        <d v="1998-01-06T00:00:00"/>
        <d v="1998-03-20T00:00:00"/>
        <d v="1998-03-27T00:00:00"/>
        <d v="1996-07-10T00:00:00"/>
        <d v="1996-07-16T00:00:00"/>
        <d v="1996-09-04T00:00:00"/>
        <d v="1996-09-13T00:00:00"/>
        <d v="1996-10-07T00:00:00"/>
        <d v="1996-11-06T00:00:00"/>
        <d v="1996-12-09T00:00:00"/>
        <d v="1997-02-13T00:00:00"/>
        <d v="1997-02-24T00:00:00"/>
        <d v="1997-04-16T00:00:00"/>
        <d v="1997-07-29T00:00:00"/>
        <d v="1997-08-25T00:00:00"/>
        <d v="1997-09-02T00:00:00"/>
        <d v="1997-09-09T00:00:00"/>
        <d v="1997-12-02T00:00:00"/>
        <d v="1998-01-12T00:00:00"/>
        <d v="1998-02-20T00:00:00"/>
        <d v="1998-05-04T00:00:00"/>
        <d v="1996-08-01T00:00:00"/>
        <d v="1996-09-10T00:00:00"/>
        <d v="1996-09-19T00:00:00"/>
        <d v="1996-09-23T00:00:00"/>
        <d v="1996-10-29T00:00:00"/>
        <d v="1997-02-26T00:00:00"/>
        <d v="1997-03-04T00:00:00"/>
        <d v="1997-03-07T00:00:00"/>
        <d v="1997-04-15T00:00:00"/>
        <d v="1997-05-01T00:00:00"/>
        <d v="1997-05-08T00:00:00"/>
        <d v="1997-09-18T00:00:00"/>
        <d v="1997-10-16T00:00:00"/>
        <d v="1997-12-01T00:00:00"/>
        <d v="1998-01-07T00:00:00"/>
        <d v="1998-01-20T00:00:00"/>
        <d v="1998-03-31T00:00:00"/>
        <d v="1996-08-19T00:00:00"/>
        <d v="1997-04-10T00:00:00"/>
        <d v="1997-05-21T00:00:00"/>
        <d v="1997-09-16T00:00:00"/>
        <d v="1997-12-12T00:00:00"/>
        <d v="1996-07-25T00:00:00"/>
        <d v="1996-09-06T00:00:00"/>
        <d v="1996-09-18T00:00:00"/>
        <d v="1996-12-12T00:00:00"/>
        <d v="1996-12-20T00:00:00"/>
        <d v="1997-01-21T00:00:00"/>
        <d v="1997-02-21T00:00:00"/>
        <d v="1997-04-24T00:00:00"/>
        <d v="1997-05-15T00:00:00"/>
        <d v="1997-08-21T00:00:00"/>
        <d v="1997-09-05T00:00:00"/>
        <d v="1997-10-06T00:00:00"/>
        <d v="1997-10-09T00:00:00"/>
        <d v="1997-11-28T00:00:00"/>
        <d v="1997-12-16T00:00:00"/>
        <d v="1998-01-01T00:00:00"/>
        <d v="1998-01-09T00:00:00"/>
        <d v="1998-01-15T00:00:00"/>
        <d v="1998-01-23T00:00:00"/>
        <d v="1998-02-10T00:00:00"/>
        <d v="1998-04-13T00:00:00"/>
        <d v="1998-04-29T00:00:00"/>
        <d v="1996-10-10T00:00:00"/>
        <d v="1996-11-26T00:00:00"/>
        <d v="1997-02-05T00:00:00"/>
        <d v="1997-02-28T00:00:00"/>
        <d v="1997-03-13T00:00:00"/>
        <d v="1997-03-31T00:00:00"/>
        <d v="1997-04-18T00:00:00"/>
        <d v="1997-04-22T00:00:00"/>
        <d v="1997-05-29T00:00:00"/>
        <d v="1997-06-03T00:00:00"/>
        <d v="1997-06-18T00:00:00"/>
        <d v="1997-06-25T00:00:00"/>
        <d v="1997-06-26T00:00:00"/>
        <d v="1997-08-15T00:00:00"/>
        <d v="1997-09-25T00:00:00"/>
        <d v="1997-11-11T00:00:00"/>
        <d v="1997-12-11T00:00:00"/>
        <d v="1998-02-25T00:00:00"/>
        <d v="1998-03-04T00:00:00"/>
        <d v="1998-03-05T00:00:00"/>
        <d v="1998-03-06T00:00:00"/>
        <d v="1998-03-16T00:00:00"/>
        <d v="1998-03-17T00:00:00"/>
        <d v="1998-03-24T00:00:00"/>
        <d v="1998-03-25T00:00:00"/>
        <d v="1996-07-29T00:00:00"/>
        <d v="1996-08-05T00:00:00"/>
        <d v="1996-10-01T00:00:00"/>
        <d v="1996-10-02T00:00:00"/>
        <d v="1996-10-31T00:00:00"/>
        <d v="1996-12-31T00:00:00"/>
        <d v="1997-01-24T00:00:00"/>
        <d v="1997-02-03T00:00:00"/>
        <d v="1997-03-14T00:00:00"/>
        <d v="1997-06-12T00:00:00"/>
        <d v="1997-06-16T00:00:00"/>
        <d v="1997-06-20T00:00:00"/>
        <d v="1997-06-27T00:00:00"/>
        <d v="1997-07-09T00:00:00"/>
        <d v="1997-07-18T00:00:00"/>
        <d v="1997-07-28T00:00:00"/>
        <d v="1997-08-13T00:00:00"/>
        <d v="1997-09-11T00:00:00"/>
        <d v="1997-10-13T00:00:00"/>
        <d v="1997-11-06T00:00:00"/>
        <d v="1997-11-07T00:00:00"/>
        <d v="1997-11-20T00:00:00"/>
        <d v="1996-08-26T00:00:00"/>
        <d v="1997-01-06T00:00:00"/>
        <d v="1996-10-23T00:00:00"/>
        <d v="1996-10-28T00:00:00"/>
        <d v="1996-11-01T00:00:00"/>
        <d v="1997-05-12T00:00:00"/>
        <d v="1997-07-22T00:00:00"/>
        <d v="1997-08-18T00:00:00"/>
        <d v="1997-08-19T00:00:00"/>
        <d v="1997-11-03T00:00:00"/>
        <d v="1996-07-22T00:00:00"/>
        <d v="1996-08-27T00:00:00"/>
        <d v="1996-12-13T00:00:00"/>
        <d v="1997-10-17T00:00:00"/>
        <d v="1996-10-09T00:00:00"/>
        <d v="1997-08-01T00:00:00"/>
        <d v="1998-02-05T00:00:00"/>
        <d v="1998-03-13T00:00:00"/>
        <d v="1996-11-04T00:00:00"/>
        <d v="1996-08-16T00:00:00"/>
        <d v="1997-04-09T00:00:00"/>
        <d v="1997-07-08T00:00:00"/>
        <d v="1997-09-04T00:00:00"/>
        <d v="1996-08-12T00:00:00"/>
        <d v="1997-01-10T00:00:00"/>
        <d v="1997-02-20T00:00:00"/>
        <d v="1997-06-06T00:00:00"/>
        <d v="1997-09-22T00:00:00"/>
        <d v="1997-11-18T00:00:00"/>
        <d v="1997-12-25T00:00:00"/>
        <d v="1997-10-24T00:00:00"/>
        <d v="1997-10-30T00:00:00"/>
        <d v="1997-11-10T00:00:00"/>
        <d v="1997-12-08T00:00:00"/>
        <d v="1996-12-11T00:00:00"/>
        <d v="1997-01-02T00:00:00"/>
        <d v="1997-01-29T00:00:00"/>
        <d v="1997-11-19T00:00:00"/>
        <d v="1996-07-08T00:00:00"/>
        <d v="1996-09-11T00:00:00"/>
        <d v="1996-10-14T00:00:00"/>
        <d v="1997-02-19T00:00:00"/>
        <d v="1997-04-02T00:00:00"/>
        <d v="1997-08-20T00:00:00"/>
        <d v="1997-09-10T00:00:00"/>
        <d v="1997-09-12T00:00:00"/>
        <d v="1997-11-05T00:00:00"/>
        <d v="1997-12-04T00:00:00"/>
        <d v="1998-01-27T00:00:00"/>
        <d v="1996-09-09T00:00:00"/>
        <d v="1997-02-11T00:00:00"/>
        <d v="1997-05-09T00:00:00"/>
        <d v="1996-07-15T00:00:00"/>
        <d v="1997-04-03T00:00:00"/>
        <d v="1997-04-04T00:00:00"/>
        <d v="1997-07-17T00:00:00"/>
        <d v="1997-10-02T00:00:00"/>
        <d v="1998-01-02T00:00:00"/>
        <d v="1998-02-13T00:00:00"/>
        <d v="1998-04-10T00:00:00"/>
        <d v="1996-09-03T00:00:00"/>
        <d v="1996-09-20T00:00:00"/>
        <d v="1996-11-21T00:00:00"/>
        <d v="1997-01-03T00:00:00"/>
        <d v="1997-02-07T00:00:00"/>
        <d v="1997-03-28T00:00:00"/>
        <d v="1997-04-23T00:00:00"/>
        <d v="1997-07-21T00:00:00"/>
        <d v="1997-09-24T00:00:00"/>
        <d v="1997-10-27T00:00:00"/>
        <d v="1997-11-12T00:00:00"/>
        <d v="1997-12-24T00:00:00"/>
        <d v="1998-02-09T00:00:00"/>
        <d v="1998-02-27T00:00:00"/>
        <d v="1997-03-26T00:00:00"/>
        <d v="1997-09-01T00:00:00"/>
        <d v="1997-10-20T00:00:00"/>
        <d v="1997-10-21T00:00:00"/>
        <d v="1998-02-06T00:00:00"/>
        <d v="1996-07-09T00:00:00"/>
        <d v="1996-08-02T00:00:00"/>
        <d v="1996-08-28T00:00:00"/>
        <d v="1996-12-16T00:00:00"/>
        <d v="1997-09-08T00:00:00"/>
        <d v="1996-07-18T00:00:00"/>
        <d v="1996-10-18T00:00:00"/>
        <d v="1996-11-29T00:00:00"/>
        <d v="1996-12-27T00:00:00"/>
        <d v="1997-01-09T00:00:00"/>
        <d v="1997-01-30T00:00:00"/>
        <d v="1997-02-25T00:00:00"/>
        <d v="1997-05-16T00:00:00"/>
        <d v="1997-08-04T00:00:00"/>
        <d v="1998-01-30T00:00:00"/>
        <d v="1996-11-25T00:00:00"/>
        <d v="1997-04-01T00:00:00"/>
        <d v="1996-10-16T00:00:00"/>
        <d v="1996-10-24T00:00:00"/>
        <d v="1996-11-19T00:00:00"/>
        <d v="1997-01-22T00:00:00"/>
        <d v="1997-01-31T00:00:00"/>
        <d v="1997-02-17T00:00:00"/>
        <d v="1997-09-30T00:00:00"/>
        <d v="1997-07-14T00:00:00"/>
        <d v="1996-10-17T00:00:00"/>
        <d v="1997-03-20T00:00:00"/>
        <d v="1997-06-04T00:00:00"/>
        <d v="1997-07-01T00:00:00"/>
        <d v="1997-09-26T00:00:00"/>
        <d v="1997-09-29T00:00:00"/>
        <d v="1997-11-26T00:00:00"/>
        <d v="1996-09-12T00:00:00"/>
        <d v="1997-04-08T00:00:00"/>
        <d v="1998-02-11T00:00:00"/>
        <d v="1998-03-11T00:00:00"/>
        <d v="1996-08-09T00:00:00"/>
        <d v="1996-09-17T00:00:00"/>
        <d v="1996-09-25T00:00:00"/>
        <d v="1996-09-27T00:00:00"/>
        <d v="1997-01-08T00:00:00"/>
        <d v="1997-02-18T00:00:00"/>
        <d v="1997-04-14T00:00:00"/>
        <d v="1997-06-09T00:00:00"/>
        <d v="1997-07-15T00:00:00"/>
        <d v="1997-08-11T00:00:00"/>
        <d v="1997-12-29T00:00:00"/>
        <d v="1998-02-23T00:00:00"/>
        <d v="1996-08-23T00:00:00"/>
        <d v="1996-10-21T00:00:00"/>
        <d v="1996-12-17T00:00:00"/>
        <d v="1997-05-07T00:00:00"/>
        <d v="1996-11-27T00:00:00"/>
        <d v="1997-05-06T00:00:00"/>
        <d v="1997-05-13T00:00:00"/>
        <d v="1997-05-20T00:00:00"/>
        <d v="1997-05-22T00:00:00"/>
        <d v="1997-06-17T00:00:00"/>
        <d v="1997-12-09T00:00:00"/>
        <d v="1996-07-26T00:00:00"/>
        <d v="1997-05-14T00:00:00"/>
        <d v="1997-09-23T00:00:00"/>
        <d v="1996-11-18T00:00:00"/>
        <d v="1996-12-05T00:00:00"/>
        <d v="1997-05-27T00:00:00"/>
        <d v="1997-06-10T00:00:00"/>
        <d v="1997-06-30T00:00:00"/>
        <d v="1997-09-15T00:00:00"/>
        <d v="1997-10-15T00:00:00"/>
        <d v="1997-12-15T00:00:00"/>
        <d v="1997-12-17T00:00:00"/>
        <d v="1996-07-31T00:00:00"/>
        <d v="1997-01-15T00:00:00"/>
        <d v="1997-03-27T00:00:00"/>
        <d v="1997-07-16T00:00:00"/>
        <d v="1997-11-21T00:00:00"/>
        <d v="1997-12-10T00:00:00"/>
        <d v="1998-02-17T00:00:00"/>
        <d v="1998-04-02T00:00:00"/>
        <d v="1997-01-20T00:00:00"/>
        <d v="1997-04-28T00:00:00"/>
        <d v="1997-08-08T00:00:00"/>
        <d v="1996-12-24T00:00:00"/>
        <d v="1996-12-26T00:00:00"/>
        <d v="1996-08-06T00:00:00"/>
        <d v="1996-12-10T00:00:00"/>
        <d v="1997-10-23T00:00:00"/>
        <d v="1996-07-04T00:00:00"/>
        <d v="1996-07-30T00:00:00"/>
        <d v="1997-02-27T00:00:00"/>
        <d v="1997-03-03T00:00:00"/>
        <d v="1997-03-11T00:00:00"/>
        <d v="1997-07-03T00:00:00"/>
        <d v="1996-10-04T00:00:00"/>
        <d v="1996-12-19T00:00:00"/>
        <d v="1997-10-31T00:00:00"/>
        <d v="1996-09-02T00:00:00"/>
        <d v="1996-11-05T00:00:00"/>
        <d v="1996-12-02T00:00:00"/>
        <d v="1997-01-27T00:00:00"/>
        <d v="1997-07-23T00:00:00"/>
        <d v="1998-02-19T00:00:00"/>
        <d v="1996-08-15T00:00:00"/>
        <d v="1996-08-13T00:00:00"/>
        <d v="1996-10-25T00:00:00"/>
        <d v="1996-09-16T00:00:00"/>
        <d v="1997-08-29T00:00:00"/>
        <d v="1997-09-19T00:00:00"/>
        <d v="1996-11-08T00:00:00"/>
        <d v="1996-12-06T00:00:00"/>
        <d v="1997-06-05T00:00:00"/>
        <d v="1997-07-30T00:00:00"/>
        <d v="1996-07-05T00:00:00"/>
        <d v="1997-01-13T00:00:00"/>
        <d v="1997-04-17T00:00:00"/>
        <d v="1997-11-25T00:00:00"/>
        <d v="1996-08-08T00:00:00"/>
        <d v="1997-03-18T00:00:00"/>
        <d v="1997-06-13T00:00:00"/>
        <d v="1997-08-26T00:00:00"/>
        <d v="1996-09-24T00:00:00"/>
        <d v="1997-05-02T00:00:00"/>
        <d v="1997-03-21T00:00:00"/>
        <d v="1997-11-17T00:00:00"/>
        <d v="1997-09-03T00:00:00"/>
        <d v="1997-01-28T00:00:00"/>
      </sharedItems>
      <fieldGroup par="5" base="1">
        <rangePr groupBy="months" startDate="1996-07-04T00:00:00" endDate="1998-05-07T00:00:00"/>
        <groupItems count="14">
          <s v="&lt;1996/7/4"/>
          <s v="1月"/>
          <s v="2月"/>
          <s v="3月"/>
          <s v="4月"/>
          <s v="5月"/>
          <s v="6月"/>
          <s v="7月"/>
          <s v="8月"/>
          <s v="9月"/>
          <s v="10月"/>
          <s v="11月"/>
          <s v="12月"/>
          <s v="&gt;1998/5/7"/>
        </groupItems>
      </fieldGroup>
    </cacheField>
    <cacheField name="'姓名'" numFmtId="0">
      <sharedItems count="9">
        <s v="张颖"/>
        <s v="郑建杰"/>
        <s v="孙林"/>
        <s v="刘英玫"/>
        <s v="金士鹏"/>
        <s v="李芳"/>
        <s v="赵军"/>
        <s v="张雪眉"/>
        <s v="王伟"/>
      </sharedItems>
    </cacheField>
    <cacheField name="'销售额'" numFmtId="0">
      <sharedItems containsSemiMixedTypes="0" containsString="0" containsNumber="1" minValue="4.8" maxValue="15810"/>
    </cacheField>
    <cacheField name="季度" numFmtId="0" databaseField="0">
      <fieldGroup base="1">
        <rangePr groupBy="quarters" startDate="1996-07-04T00:00:00" endDate="1998-05-07T00:00:00"/>
        <groupItems count="6">
          <s v="&lt;1996/7/4"/>
          <s v="第一季"/>
          <s v="第二季"/>
          <s v="第三季"/>
          <s v="第四季"/>
          <s v="&gt;1998/5/7"/>
        </groupItems>
      </fieldGroup>
    </cacheField>
    <cacheField name="年" numFmtId="0" databaseField="0">
      <fieldGroup base="1">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pivotCacheId="9897900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端木辰" refreshedDate="45606.972705324071" createdVersion="7" refreshedVersion="7" minRefreshableVersion="3" recordCount="7567" xr:uid="{B56ABA8D-9B5B-4E4B-8E54-122939DD5BAB}">
  <cacheSource type="worksheet">
    <worksheetSource ref="A1:E1048576" sheet="销售大区和省份对照"/>
  </cacheSource>
  <cacheFields count="7">
    <cacheField name="省份ID" numFmtId="0">
      <sharedItems containsString="0" containsBlank="1" containsNumber="1" containsInteger="1" minValue="1" maxValue="8"/>
    </cacheField>
    <cacheField name="省份" numFmtId="0">
      <sharedItems containsBlank="1"/>
    </cacheField>
    <cacheField name="销售大区" numFmtId="0">
      <sharedItems containsBlank="1" count="3">
        <s v="华北大区"/>
        <s v="南方大区"/>
        <m/>
      </sharedItems>
    </cacheField>
    <cacheField name="销售明细.净销售额" numFmtId="0">
      <sharedItems containsString="0" containsBlank="1" containsNumber="1" containsInteger="1" minValue="7" maxValue="4489"/>
    </cacheField>
    <cacheField name="值2" numFmtId="0">
      <sharedItems containsNonDate="0" containsDate="1" containsString="0" containsBlank="1" minDate="2017-01-01T00:00:00" maxDate="2019-12-02T00:00:00" count="37">
        <m/>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fieldGroup par="6" base="4">
        <rangePr groupBy="months" startDate="2017-01-01T00:00:00" endDate="2019-12-02T00:00:00"/>
        <groupItems count="14">
          <s v="(空白)"/>
          <s v="1月"/>
          <s v="2月"/>
          <s v="3月"/>
          <s v="4月"/>
          <s v="5月"/>
          <s v="6月"/>
          <s v="7月"/>
          <s v="8月"/>
          <s v="9月"/>
          <s v="10月"/>
          <s v="11月"/>
          <s v="12月"/>
          <s v="&gt;2019/12/2"/>
        </groupItems>
      </fieldGroup>
    </cacheField>
    <cacheField name="季度" numFmtId="0" databaseField="0">
      <fieldGroup base="4">
        <rangePr groupBy="quarters" startDate="2017-01-01T00:00:00" endDate="2019-12-02T00:00:00"/>
        <groupItems count="6">
          <s v="&lt;2017/1/1"/>
          <s v="第一季"/>
          <s v="第二季"/>
          <s v="第三季"/>
          <s v="第四季"/>
          <s v="&gt;2019/12/2"/>
        </groupItems>
      </fieldGroup>
    </cacheField>
    <cacheField name="年" numFmtId="0" databaseField="0">
      <fieldGroup base="4">
        <rangePr groupBy="years" startDate="2017-01-01T00:00:00" endDate="2019-12-02T00:00:00"/>
        <groupItems count="5">
          <s v="&lt;2017/1/1"/>
          <s v="2017年"/>
          <s v="2018年"/>
          <s v="2019年"/>
          <s v="&gt;2019/1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x v="0"/>
    <n v="518.39999806880951"/>
  </r>
  <r>
    <x v="0"/>
    <x v="1"/>
    <x v="1"/>
    <n v="259.2"/>
  </r>
  <r>
    <x v="0"/>
    <x v="2"/>
    <x v="2"/>
    <n v="288"/>
  </r>
  <r>
    <x v="0"/>
    <x v="3"/>
    <x v="1"/>
    <n v="183.59999871253967"/>
  </r>
  <r>
    <x v="0"/>
    <x v="4"/>
    <x v="3"/>
    <n v="172.8"/>
  </r>
  <r>
    <x v="0"/>
    <x v="5"/>
    <x v="2"/>
    <n v="183.59999871253967"/>
  </r>
  <r>
    <x v="0"/>
    <x v="6"/>
    <x v="4"/>
    <n v="144"/>
  </r>
  <r>
    <x v="0"/>
    <x v="7"/>
    <x v="5"/>
    <n v="345.6"/>
  </r>
  <r>
    <x v="0"/>
    <x v="8"/>
    <x v="6"/>
    <n v="216"/>
  </r>
  <r>
    <x v="0"/>
    <x v="9"/>
    <x v="1"/>
    <n v="575.99999785423279"/>
  </r>
  <r>
    <x v="0"/>
    <x v="10"/>
    <x v="1"/>
    <n v="122.39999914169312"/>
  </r>
  <r>
    <x v="0"/>
    <x v="11"/>
    <x v="5"/>
    <n v="180"/>
  </r>
  <r>
    <x v="0"/>
    <x v="12"/>
    <x v="1"/>
    <n v="360"/>
  </r>
  <r>
    <x v="0"/>
    <x v="13"/>
    <x v="4"/>
    <n v="54"/>
  </r>
  <r>
    <x v="0"/>
    <x v="14"/>
    <x v="2"/>
    <n v="108"/>
  </r>
  <r>
    <x v="0"/>
    <x v="15"/>
    <x v="1"/>
    <n v="450"/>
  </r>
  <r>
    <x v="0"/>
    <x v="16"/>
    <x v="7"/>
    <n v="202.5"/>
  </r>
  <r>
    <x v="0"/>
    <x v="17"/>
    <x v="0"/>
    <n v="472.5"/>
  </r>
  <r>
    <x v="0"/>
    <x v="18"/>
    <x v="8"/>
    <n v="540"/>
  </r>
  <r>
    <x v="0"/>
    <x v="19"/>
    <x v="5"/>
    <n v="71.999999731779099"/>
  </r>
  <r>
    <x v="0"/>
    <x v="20"/>
    <x v="3"/>
    <n v="900"/>
  </r>
  <r>
    <x v="0"/>
    <x v="21"/>
    <x v="8"/>
    <n v="144"/>
  </r>
  <r>
    <x v="0"/>
    <x v="22"/>
    <x v="5"/>
    <n v="54"/>
  </r>
  <r>
    <x v="0"/>
    <x v="23"/>
    <x v="1"/>
    <n v="1151.9999957084656"/>
  </r>
  <r>
    <x v="0"/>
    <x v="24"/>
    <x v="1"/>
    <n v="305.99999785423279"/>
  </r>
  <r>
    <x v="0"/>
    <x v="25"/>
    <x v="6"/>
    <n v="720"/>
  </r>
  <r>
    <x v="0"/>
    <x v="26"/>
    <x v="7"/>
    <n v="341.9999997317791"/>
  </r>
  <r>
    <x v="0"/>
    <x v="27"/>
    <x v="5"/>
    <n v="180"/>
  </r>
  <r>
    <x v="0"/>
    <x v="28"/>
    <x v="5"/>
    <n v="810"/>
  </r>
  <r>
    <x v="0"/>
    <x v="29"/>
    <x v="1"/>
    <n v="378"/>
  </r>
  <r>
    <x v="0"/>
    <x v="30"/>
    <x v="5"/>
    <n v="72"/>
  </r>
  <r>
    <x v="0"/>
    <x v="31"/>
    <x v="8"/>
    <n v="36"/>
  </r>
  <r>
    <x v="0"/>
    <x v="31"/>
    <x v="5"/>
    <n v="144"/>
  </r>
  <r>
    <x v="0"/>
    <x v="32"/>
    <x v="2"/>
    <n v="161.9999997317791"/>
  </r>
  <r>
    <x v="0"/>
    <x v="33"/>
    <x v="2"/>
    <n v="810"/>
  </r>
  <r>
    <x v="0"/>
    <x v="34"/>
    <x v="8"/>
    <n v="180"/>
  </r>
  <r>
    <x v="0"/>
    <x v="35"/>
    <x v="4"/>
    <n v="337.5"/>
  </r>
  <r>
    <x v="0"/>
    <x v="36"/>
    <x v="8"/>
    <n v="611.99999570846558"/>
  </r>
  <r>
    <x v="0"/>
    <x v="37"/>
    <x v="7"/>
    <n v="304"/>
  </r>
  <r>
    <x v="0"/>
    <x v="38"/>
    <x v="0"/>
    <n v="607.9999977350235"/>
  </r>
  <r>
    <x v="0"/>
    <x v="39"/>
    <x v="2"/>
    <n v="532"/>
  </r>
  <r>
    <x v="0"/>
    <x v="40"/>
    <x v="2"/>
    <n v="608"/>
  </r>
  <r>
    <x v="0"/>
    <x v="41"/>
    <x v="8"/>
    <n v="303.99999886751175"/>
  </r>
  <r>
    <x v="0"/>
    <x v="42"/>
    <x v="4"/>
    <n v="85.119999682903298"/>
  </r>
  <r>
    <x v="0"/>
    <x v="43"/>
    <x v="1"/>
    <n v="291.83999891281127"/>
  </r>
  <r>
    <x v="0"/>
    <x v="44"/>
    <x v="0"/>
    <n v="285"/>
  </r>
  <r>
    <x v="0"/>
    <x v="45"/>
    <x v="1"/>
    <n v="912"/>
  </r>
  <r>
    <x v="0"/>
    <x v="46"/>
    <x v="3"/>
    <n v="152"/>
  </r>
  <r>
    <x v="0"/>
    <x v="47"/>
    <x v="1"/>
    <n v="581.3999959230423"/>
  </r>
  <r>
    <x v="0"/>
    <x v="48"/>
    <x v="0"/>
    <n v="516.7999963760376"/>
  </r>
  <r>
    <x v="0"/>
    <x v="49"/>
    <x v="1"/>
    <n v="273.5999995470047"/>
  </r>
  <r>
    <x v="0"/>
    <x v="50"/>
    <x v="1"/>
    <n v="228"/>
  </r>
  <r>
    <x v="0"/>
    <x v="14"/>
    <x v="2"/>
    <n v="190"/>
  </r>
  <r>
    <x v="0"/>
    <x v="51"/>
    <x v="1"/>
    <n v="380"/>
  </r>
  <r>
    <x v="0"/>
    <x v="52"/>
    <x v="3"/>
    <n v="541.49999957531691"/>
  </r>
  <r>
    <x v="0"/>
    <x v="53"/>
    <x v="1"/>
    <n v="950"/>
  </r>
  <r>
    <x v="0"/>
    <x v="54"/>
    <x v="2"/>
    <n v="95"/>
  </r>
  <r>
    <x v="0"/>
    <x v="55"/>
    <x v="6"/>
    <n v="427.5"/>
  </r>
  <r>
    <x v="0"/>
    <x v="56"/>
    <x v="3"/>
    <n v="57"/>
  </r>
  <r>
    <x v="0"/>
    <x v="57"/>
    <x v="1"/>
    <n v="227.99999915063381"/>
  </r>
  <r>
    <x v="0"/>
    <x v="58"/>
    <x v="1"/>
    <n v="760"/>
  </r>
  <r>
    <x v="0"/>
    <x v="59"/>
    <x v="8"/>
    <n v="270.74999978765845"/>
  </r>
  <r>
    <x v="0"/>
    <x v="60"/>
    <x v="0"/>
    <n v="190"/>
  </r>
  <r>
    <x v="0"/>
    <x v="61"/>
    <x v="5"/>
    <n v="285"/>
  </r>
  <r>
    <x v="0"/>
    <x v="62"/>
    <x v="0"/>
    <n v="182.39999932050705"/>
  </r>
  <r>
    <x v="0"/>
    <x v="63"/>
    <x v="7"/>
    <n v="190"/>
  </r>
  <r>
    <x v="0"/>
    <x v="64"/>
    <x v="6"/>
    <n v="90.249999929219484"/>
  </r>
  <r>
    <x v="0"/>
    <x v="64"/>
    <x v="3"/>
    <n v="285"/>
  </r>
  <r>
    <x v="0"/>
    <x v="65"/>
    <x v="5"/>
    <n v="380"/>
  </r>
  <r>
    <x v="0"/>
    <x v="66"/>
    <x v="6"/>
    <n v="299.25"/>
  </r>
  <r>
    <x v="0"/>
    <x v="67"/>
    <x v="2"/>
    <n v="380"/>
  </r>
  <r>
    <x v="0"/>
    <x v="68"/>
    <x v="0"/>
    <n v="380"/>
  </r>
  <r>
    <x v="0"/>
    <x v="69"/>
    <x v="8"/>
    <n v="161.49999886751175"/>
  </r>
  <r>
    <x v="0"/>
    <x v="70"/>
    <x v="0"/>
    <n v="759.99999716877937"/>
  </r>
  <r>
    <x v="0"/>
    <x v="71"/>
    <x v="5"/>
    <n v="156.75"/>
  </r>
  <r>
    <x v="0"/>
    <x v="33"/>
    <x v="4"/>
    <n v="1425"/>
  </r>
  <r>
    <x v="0"/>
    <x v="72"/>
    <x v="5"/>
    <n v="455.99999830126762"/>
  </r>
  <r>
    <x v="0"/>
    <x v="35"/>
    <x v="5"/>
    <n v="151.99999943375587"/>
  </r>
  <r>
    <x v="0"/>
    <x v="36"/>
    <x v="8"/>
    <n v="322.9999977350235"/>
  </r>
  <r>
    <x v="0"/>
    <x v="36"/>
    <x v="1"/>
    <n v="152"/>
  </r>
  <r>
    <x v="0"/>
    <x v="73"/>
    <x v="3"/>
    <n v="161.49999886751175"/>
  </r>
  <r>
    <x v="0"/>
    <x v="73"/>
    <x v="0"/>
    <n v="364.7999986410141"/>
  </r>
  <r>
    <x v="0"/>
    <x v="74"/>
    <x v="6"/>
    <n v="45.899999678134918"/>
  </r>
  <r>
    <x v="0"/>
    <x v="75"/>
    <x v="7"/>
    <n v="100.8"/>
  </r>
  <r>
    <x v="0"/>
    <x v="76"/>
    <x v="0"/>
    <n v="41.039999967813493"/>
  </r>
  <r>
    <x v="0"/>
    <x v="77"/>
    <x v="8"/>
    <n v="43.2"/>
  </r>
  <r>
    <x v="0"/>
    <x v="77"/>
    <x v="1"/>
    <n v="21.6"/>
  </r>
  <r>
    <x v="0"/>
    <x v="78"/>
    <x v="0"/>
    <n v="36"/>
  </r>
  <r>
    <x v="0"/>
    <x v="79"/>
    <x v="5"/>
    <n v="36"/>
  </r>
  <r>
    <x v="0"/>
    <x v="80"/>
    <x v="2"/>
    <n v="90"/>
  </r>
  <r>
    <x v="0"/>
    <x v="81"/>
    <x v="6"/>
    <n v="34.19999997317791"/>
  </r>
  <r>
    <x v="0"/>
    <x v="82"/>
    <x v="7"/>
    <n v="54"/>
  </r>
  <r>
    <x v="0"/>
    <x v="82"/>
    <x v="0"/>
    <n v="54"/>
  </r>
  <r>
    <x v="0"/>
    <x v="83"/>
    <x v="2"/>
    <n v="64.799999892711639"/>
  </r>
  <r>
    <x v="0"/>
    <x v="84"/>
    <x v="0"/>
    <n v="90"/>
  </r>
  <r>
    <x v="0"/>
    <x v="85"/>
    <x v="3"/>
    <n v="100.8"/>
  </r>
  <r>
    <x v="0"/>
    <x v="86"/>
    <x v="3"/>
    <n v="273.59999978542328"/>
  </r>
  <r>
    <x v="0"/>
    <x v="87"/>
    <x v="3"/>
    <n v="63"/>
  </r>
  <r>
    <x v="0"/>
    <x v="88"/>
    <x v="4"/>
    <n v="38.249999731779099"/>
  </r>
  <r>
    <x v="0"/>
    <x v="89"/>
    <x v="1"/>
    <n v="22.5"/>
  </r>
  <r>
    <x v="0"/>
    <x v="90"/>
    <x v="4"/>
    <n v="36"/>
  </r>
  <r>
    <x v="0"/>
    <x v="91"/>
    <x v="8"/>
    <n v="141.74999976530671"/>
  </r>
  <r>
    <x v="0"/>
    <x v="92"/>
    <x v="2"/>
    <n v="64.799999758601189"/>
  </r>
  <r>
    <x v="0"/>
    <x v="93"/>
    <x v="3"/>
    <n v="101.24999983236194"/>
  </r>
  <r>
    <x v="0"/>
    <x v="94"/>
    <x v="4"/>
    <n v="125.99999953061342"/>
  </r>
  <r>
    <x v="0"/>
    <x v="95"/>
    <x v="8"/>
    <n v="22.5"/>
  </r>
  <r>
    <x v="0"/>
    <x v="96"/>
    <x v="3"/>
    <n v="13.5"/>
  </r>
  <r>
    <x v="0"/>
    <x v="97"/>
    <x v="6"/>
    <n v="57.374999597668648"/>
  </r>
  <r>
    <x v="0"/>
    <x v="98"/>
    <x v="4"/>
    <n v="90"/>
  </r>
  <r>
    <x v="0"/>
    <x v="54"/>
    <x v="2"/>
    <n v="157.5"/>
  </r>
  <r>
    <x v="0"/>
    <x v="99"/>
    <x v="5"/>
    <n v="90"/>
  </r>
  <r>
    <x v="0"/>
    <x v="100"/>
    <x v="7"/>
    <n v="76.499999463558197"/>
  </r>
  <r>
    <x v="0"/>
    <x v="101"/>
    <x v="0"/>
    <n v="135"/>
  </r>
  <r>
    <x v="0"/>
    <x v="66"/>
    <x v="6"/>
    <n v="20.25"/>
  </r>
  <r>
    <x v="0"/>
    <x v="67"/>
    <x v="3"/>
    <n v="36"/>
  </r>
  <r>
    <x v="0"/>
    <x v="67"/>
    <x v="2"/>
    <n v="54"/>
  </r>
  <r>
    <x v="0"/>
    <x v="102"/>
    <x v="7"/>
    <n v="45"/>
  </r>
  <r>
    <x v="0"/>
    <x v="102"/>
    <x v="5"/>
    <n v="495"/>
  </r>
  <r>
    <x v="0"/>
    <x v="103"/>
    <x v="6"/>
    <n v="157.5"/>
  </r>
  <r>
    <x v="0"/>
    <x v="104"/>
    <x v="0"/>
    <n v="112.5"/>
  </r>
  <r>
    <x v="0"/>
    <x v="105"/>
    <x v="5"/>
    <n v="33.75"/>
  </r>
  <r>
    <x v="0"/>
    <x v="106"/>
    <x v="0"/>
    <n v="135"/>
  </r>
  <r>
    <x v="0"/>
    <x v="107"/>
    <x v="3"/>
    <n v="360"/>
  </r>
  <r>
    <x v="0"/>
    <x v="108"/>
    <x v="0"/>
    <n v="90"/>
  </r>
  <r>
    <x v="0"/>
    <x v="109"/>
    <x v="3"/>
    <n v="54"/>
  </r>
  <r>
    <x v="0"/>
    <x v="30"/>
    <x v="8"/>
    <n v="101.25"/>
  </r>
  <r>
    <x v="0"/>
    <x v="110"/>
    <x v="8"/>
    <n v="54"/>
  </r>
  <r>
    <x v="0"/>
    <x v="111"/>
    <x v="8"/>
    <n v="45"/>
  </r>
  <r>
    <x v="0"/>
    <x v="112"/>
    <x v="0"/>
    <n v="101.25"/>
  </r>
  <r>
    <x v="0"/>
    <x v="33"/>
    <x v="2"/>
    <n v="94.5"/>
  </r>
  <r>
    <x v="0"/>
    <x v="113"/>
    <x v="4"/>
    <n v="35.999999865889549"/>
  </r>
  <r>
    <x v="0"/>
    <x v="114"/>
    <x v="4"/>
    <n v="67.5"/>
  </r>
  <r>
    <x v="0"/>
    <x v="36"/>
    <x v="8"/>
    <n v="90"/>
  </r>
  <r>
    <x v="0"/>
    <x v="115"/>
    <x v="3"/>
    <n v="224"/>
  </r>
  <r>
    <x v="0"/>
    <x v="116"/>
    <x v="1"/>
    <n v="156.80000000000001"/>
  </r>
  <r>
    <x v="0"/>
    <x v="81"/>
    <x v="6"/>
    <n v="106.3999999165535"/>
  </r>
  <r>
    <x v="0"/>
    <x v="117"/>
    <x v="4"/>
    <n v="403.2"/>
  </r>
  <r>
    <x v="0"/>
    <x v="82"/>
    <x v="7"/>
    <n v="112"/>
  </r>
  <r>
    <x v="0"/>
    <x v="118"/>
    <x v="5"/>
    <n v="179.19999933242798"/>
  </r>
  <r>
    <x v="0"/>
    <x v="119"/>
    <x v="4"/>
    <n v="372.39999970793724"/>
  </r>
  <r>
    <x v="0"/>
    <x v="120"/>
    <x v="5"/>
    <n v="105"/>
  </r>
  <r>
    <x v="0"/>
    <x v="121"/>
    <x v="4"/>
    <n v="560"/>
  </r>
  <r>
    <x v="0"/>
    <x v="17"/>
    <x v="1"/>
    <n v="196"/>
  </r>
  <r>
    <x v="0"/>
    <x v="19"/>
    <x v="5"/>
    <n v="134.39999949932098"/>
  </r>
  <r>
    <x v="0"/>
    <x v="122"/>
    <x v="2"/>
    <n v="420"/>
  </r>
  <r>
    <x v="0"/>
    <x v="123"/>
    <x v="8"/>
    <n v="140"/>
  </r>
  <r>
    <x v="0"/>
    <x v="68"/>
    <x v="4"/>
    <n v="140"/>
  </r>
  <r>
    <x v="0"/>
    <x v="69"/>
    <x v="4"/>
    <n v="280"/>
  </r>
  <r>
    <x v="0"/>
    <x v="70"/>
    <x v="8"/>
    <n v="713.99999499320984"/>
  </r>
  <r>
    <x v="0"/>
    <x v="110"/>
    <x v="4"/>
    <n v="1196.9999990612268"/>
  </r>
  <r>
    <x v="0"/>
    <x v="124"/>
    <x v="5"/>
    <n v="420"/>
  </r>
  <r>
    <x v="0"/>
    <x v="125"/>
    <x v="4"/>
    <n v="490"/>
  </r>
  <r>
    <x v="0"/>
    <x v="126"/>
    <x v="1"/>
    <n v="288"/>
  </r>
  <r>
    <x v="0"/>
    <x v="77"/>
    <x v="1"/>
    <n v="57.6"/>
  </r>
  <r>
    <x v="0"/>
    <x v="127"/>
    <x v="3"/>
    <n v="1440"/>
  </r>
  <r>
    <x v="0"/>
    <x v="128"/>
    <x v="5"/>
    <n v="144"/>
  </r>
  <r>
    <x v="0"/>
    <x v="129"/>
    <x v="7"/>
    <n v="856.79999399185181"/>
  </r>
  <r>
    <x v="0"/>
    <x v="130"/>
    <x v="2"/>
    <n v="518.39999914169312"/>
  </r>
  <r>
    <x v="0"/>
    <x v="131"/>
    <x v="8"/>
    <n v="432"/>
  </r>
  <r>
    <x v="0"/>
    <x v="132"/>
    <x v="0"/>
    <n v="504"/>
  </r>
  <r>
    <x v="0"/>
    <x v="133"/>
    <x v="4"/>
    <n v="691.19999742507935"/>
  </r>
  <r>
    <x v="0"/>
    <x v="134"/>
    <x v="5"/>
    <n v="115.2"/>
  </r>
  <r>
    <x v="0"/>
    <x v="90"/>
    <x v="3"/>
    <n v="54"/>
  </r>
  <r>
    <x v="0"/>
    <x v="135"/>
    <x v="0"/>
    <n v="540"/>
  </r>
  <r>
    <x v="0"/>
    <x v="136"/>
    <x v="1"/>
    <n v="305.99999785423279"/>
  </r>
  <r>
    <x v="0"/>
    <x v="137"/>
    <x v="8"/>
    <n v="108"/>
  </r>
  <r>
    <x v="0"/>
    <x v="138"/>
    <x v="1"/>
    <n v="360"/>
  </r>
  <r>
    <x v="0"/>
    <x v="139"/>
    <x v="0"/>
    <n v="360"/>
  </r>
  <r>
    <x v="0"/>
    <x v="140"/>
    <x v="3"/>
    <n v="72"/>
  </r>
  <r>
    <x v="0"/>
    <x v="141"/>
    <x v="8"/>
    <n v="405"/>
  </r>
  <r>
    <x v="0"/>
    <x v="96"/>
    <x v="3"/>
    <n v="485.9999991953373"/>
  </r>
  <r>
    <x v="0"/>
    <x v="142"/>
    <x v="5"/>
    <n v="121.5"/>
  </r>
  <r>
    <x v="0"/>
    <x v="143"/>
    <x v="3"/>
    <n v="378"/>
  </r>
  <r>
    <x v="0"/>
    <x v="144"/>
    <x v="1"/>
    <n v="503.99999812245369"/>
  </r>
  <r>
    <x v="0"/>
    <x v="145"/>
    <x v="0"/>
    <n v="270"/>
  </r>
  <r>
    <x v="0"/>
    <x v="146"/>
    <x v="0"/>
    <n v="360"/>
  </r>
  <r>
    <x v="0"/>
    <x v="147"/>
    <x v="5"/>
    <n v="144"/>
  </r>
  <r>
    <x v="0"/>
    <x v="148"/>
    <x v="4"/>
    <n v="108"/>
  </r>
  <r>
    <x v="0"/>
    <x v="149"/>
    <x v="3"/>
    <n v="404.99999932944775"/>
  </r>
  <r>
    <x v="0"/>
    <x v="24"/>
    <x v="1"/>
    <n v="72"/>
  </r>
  <r>
    <x v="0"/>
    <x v="25"/>
    <x v="4"/>
    <n v="540"/>
  </r>
  <r>
    <x v="0"/>
    <x v="25"/>
    <x v="6"/>
    <n v="54"/>
  </r>
  <r>
    <x v="0"/>
    <x v="103"/>
    <x v="0"/>
    <n v="180"/>
  </r>
  <r>
    <x v="0"/>
    <x v="150"/>
    <x v="3"/>
    <n v="720"/>
  </r>
  <r>
    <x v="0"/>
    <x v="30"/>
    <x v="1"/>
    <n v="229.49999839067459"/>
  </r>
  <r>
    <x v="0"/>
    <x v="34"/>
    <x v="8"/>
    <n v="1080"/>
  </r>
  <r>
    <x v="0"/>
    <x v="151"/>
    <x v="0"/>
    <n v="432"/>
  </r>
  <r>
    <x v="0"/>
    <x v="152"/>
    <x v="3"/>
    <n v="307.79999975860119"/>
  </r>
  <r>
    <x v="0"/>
    <x v="153"/>
    <x v="1"/>
    <n v="4005.1999968588352"/>
  </r>
  <r>
    <x v="0"/>
    <x v="154"/>
    <x v="0"/>
    <n v="4005.1999968588352"/>
  </r>
  <r>
    <x v="0"/>
    <x v="155"/>
    <x v="4"/>
    <n v="8431.9999685883522"/>
  </r>
  <r>
    <x v="0"/>
    <x v="156"/>
    <x v="1"/>
    <n v="2108"/>
  </r>
  <r>
    <x v="0"/>
    <x v="157"/>
    <x v="6"/>
    <n v="6324"/>
  </r>
  <r>
    <x v="0"/>
    <x v="158"/>
    <x v="1"/>
    <n v="10540"/>
  </r>
  <r>
    <x v="0"/>
    <x v="133"/>
    <x v="4"/>
    <n v="8263.3599692165863"/>
  </r>
  <r>
    <x v="0"/>
    <x v="159"/>
    <x v="5"/>
    <n v="6324"/>
  </r>
  <r>
    <x v="0"/>
    <x v="89"/>
    <x v="1"/>
    <n v="3952.5"/>
  </r>
  <r>
    <x v="0"/>
    <x v="91"/>
    <x v="5"/>
    <n v="7905"/>
  </r>
  <r>
    <x v="0"/>
    <x v="91"/>
    <x v="8"/>
    <n v="948.59999842941761"/>
  </r>
  <r>
    <x v="0"/>
    <x v="160"/>
    <x v="0"/>
    <n v="3754.874997055158"/>
  </r>
  <r>
    <x v="0"/>
    <x v="161"/>
    <x v="7"/>
    <n v="3557.249994110316"/>
  </r>
  <r>
    <x v="0"/>
    <x v="162"/>
    <x v="1"/>
    <n v="1317.5"/>
  </r>
  <r>
    <x v="0"/>
    <x v="123"/>
    <x v="8"/>
    <n v="2635"/>
  </r>
  <r>
    <x v="0"/>
    <x v="163"/>
    <x v="1"/>
    <n v="7509.749994110316"/>
  </r>
  <r>
    <x v="0"/>
    <x v="163"/>
    <x v="5"/>
    <n v="7905"/>
  </r>
  <r>
    <x v="0"/>
    <x v="63"/>
    <x v="7"/>
    <n v="527"/>
  </r>
  <r>
    <x v="0"/>
    <x v="147"/>
    <x v="5"/>
    <n v="2108"/>
  </r>
  <r>
    <x v="0"/>
    <x v="24"/>
    <x v="8"/>
    <n v="15019.499988220632"/>
  </r>
  <r>
    <x v="0"/>
    <x v="68"/>
    <x v="7"/>
    <n v="10540"/>
  </r>
  <r>
    <x v="0"/>
    <x v="164"/>
    <x v="5"/>
    <n v="1317.5"/>
  </r>
  <r>
    <x v="0"/>
    <x v="165"/>
    <x v="0"/>
    <n v="15810"/>
  </r>
  <r>
    <x v="0"/>
    <x v="33"/>
    <x v="8"/>
    <n v="6587.5"/>
  </r>
  <r>
    <x v="0"/>
    <x v="166"/>
    <x v="5"/>
    <n v="604.79999999999995"/>
  </r>
  <r>
    <x v="0"/>
    <x v="167"/>
    <x v="1"/>
    <n v="86.4"/>
  </r>
  <r>
    <x v="0"/>
    <x v="168"/>
    <x v="6"/>
    <n v="864"/>
  </r>
  <r>
    <x v="0"/>
    <x v="169"/>
    <x v="3"/>
    <n v="388.79999935626984"/>
  </r>
  <r>
    <x v="0"/>
    <x v="170"/>
    <x v="1"/>
    <n v="57.6"/>
  </r>
  <r>
    <x v="0"/>
    <x v="171"/>
    <x v="1"/>
    <n v="611.99999570846558"/>
  </r>
  <r>
    <x v="0"/>
    <x v="156"/>
    <x v="0"/>
    <n v="699.83999884128571"/>
  </r>
  <r>
    <x v="0"/>
    <x v="172"/>
    <x v="0"/>
    <n v="244.79999828338623"/>
  </r>
  <r>
    <x v="0"/>
    <x v="173"/>
    <x v="5"/>
    <n v="86.4"/>
  </r>
  <r>
    <x v="0"/>
    <x v="174"/>
    <x v="3"/>
    <n v="288"/>
  </r>
  <r>
    <x v="0"/>
    <x v="8"/>
    <x v="6"/>
    <n v="216"/>
  </r>
  <r>
    <x v="0"/>
    <x v="175"/>
    <x v="0"/>
    <n v="180"/>
  </r>
  <r>
    <x v="0"/>
    <x v="11"/>
    <x v="7"/>
    <n v="180"/>
  </r>
  <r>
    <x v="0"/>
    <x v="176"/>
    <x v="3"/>
    <n v="90"/>
  </r>
  <r>
    <x v="0"/>
    <x v="177"/>
    <x v="2"/>
    <n v="283.5"/>
  </r>
  <r>
    <x v="0"/>
    <x v="16"/>
    <x v="1"/>
    <n v="360"/>
  </r>
  <r>
    <x v="0"/>
    <x v="178"/>
    <x v="6"/>
    <n v="323.9999994635582"/>
  </r>
  <r>
    <x v="0"/>
    <x v="179"/>
    <x v="4"/>
    <n v="43.199999839067459"/>
  </r>
  <r>
    <x v="0"/>
    <x v="180"/>
    <x v="5"/>
    <n v="288"/>
  </r>
  <r>
    <x v="0"/>
    <x v="99"/>
    <x v="2"/>
    <n v="2105.9999965131283"/>
  </r>
  <r>
    <x v="0"/>
    <x v="162"/>
    <x v="1"/>
    <n v="30.599999785423279"/>
  </r>
  <r>
    <x v="0"/>
    <x v="181"/>
    <x v="0"/>
    <n v="378"/>
  </r>
  <r>
    <x v="0"/>
    <x v="63"/>
    <x v="1"/>
    <n v="504"/>
  </r>
  <r>
    <x v="0"/>
    <x v="22"/>
    <x v="1"/>
    <n v="143.9999994635582"/>
  </r>
  <r>
    <x v="0"/>
    <x v="24"/>
    <x v="8"/>
    <n v="1367.9999989271164"/>
  </r>
  <r>
    <x v="0"/>
    <x v="102"/>
    <x v="5"/>
    <n v="810"/>
  </r>
  <r>
    <x v="0"/>
    <x v="182"/>
    <x v="6"/>
    <n v="122.39999914169312"/>
  </r>
  <r>
    <x v="0"/>
    <x v="107"/>
    <x v="3"/>
    <n v="540"/>
  </r>
  <r>
    <x v="0"/>
    <x v="183"/>
    <x v="0"/>
    <n v="360"/>
  </r>
  <r>
    <x v="0"/>
    <x v="73"/>
    <x v="0"/>
    <n v="34.19999997317791"/>
  </r>
  <r>
    <x v="0"/>
    <x v="184"/>
    <x v="0"/>
    <n v="920"/>
  </r>
  <r>
    <x v="0"/>
    <x v="1"/>
    <x v="1"/>
    <n v="552"/>
  </r>
  <r>
    <x v="0"/>
    <x v="185"/>
    <x v="1"/>
    <n v="441.6"/>
  </r>
  <r>
    <x v="0"/>
    <x v="186"/>
    <x v="5"/>
    <n v="736"/>
  </r>
  <r>
    <x v="0"/>
    <x v="187"/>
    <x v="8"/>
    <n v="883.2"/>
  </r>
  <r>
    <x v="0"/>
    <x v="188"/>
    <x v="0"/>
    <n v="1398.3999989032745"/>
  </r>
  <r>
    <x v="0"/>
    <x v="189"/>
    <x v="4"/>
    <n v="736"/>
  </r>
  <r>
    <x v="0"/>
    <x v="190"/>
    <x v="1"/>
    <n v="110.4"/>
  </r>
  <r>
    <x v="0"/>
    <x v="191"/>
    <x v="5"/>
    <n v="552"/>
  </r>
  <r>
    <x v="0"/>
    <x v="192"/>
    <x v="4"/>
    <n v="586.49999588727951"/>
  </r>
  <r>
    <x v="0"/>
    <x v="193"/>
    <x v="0"/>
    <n v="2760"/>
  </r>
  <r>
    <x v="0"/>
    <x v="194"/>
    <x v="5"/>
    <n v="1150"/>
  </r>
  <r>
    <x v="0"/>
    <x v="177"/>
    <x v="5"/>
    <n v="920"/>
  </r>
  <r>
    <x v="0"/>
    <x v="195"/>
    <x v="8"/>
    <n v="276"/>
  </r>
  <r>
    <x v="0"/>
    <x v="18"/>
    <x v="8"/>
    <n v="1840"/>
  </r>
  <r>
    <x v="0"/>
    <x v="196"/>
    <x v="3"/>
    <n v="1104"/>
  </r>
  <r>
    <x v="0"/>
    <x v="197"/>
    <x v="1"/>
    <n v="1035"/>
  </r>
  <r>
    <x v="0"/>
    <x v="62"/>
    <x v="5"/>
    <n v="781.99999451637268"/>
  </r>
  <r>
    <x v="0"/>
    <x v="198"/>
    <x v="8"/>
    <n v="322"/>
  </r>
  <r>
    <x v="0"/>
    <x v="147"/>
    <x v="5"/>
    <n v="414"/>
  </r>
  <r>
    <x v="0"/>
    <x v="199"/>
    <x v="0"/>
    <n v="230"/>
  </r>
  <r>
    <x v="0"/>
    <x v="103"/>
    <x v="4"/>
    <n v="367.99999862909317"/>
  </r>
  <r>
    <x v="0"/>
    <x v="69"/>
    <x v="5"/>
    <n v="828"/>
  </r>
  <r>
    <x v="0"/>
    <x v="165"/>
    <x v="8"/>
    <n v="414"/>
  </r>
  <r>
    <x v="0"/>
    <x v="200"/>
    <x v="3"/>
    <n v="276"/>
  </r>
  <r>
    <x v="0"/>
    <x v="71"/>
    <x v="0"/>
    <n v="1380"/>
  </r>
  <r>
    <x v="0"/>
    <x v="113"/>
    <x v="5"/>
    <n v="1103.9999958872795"/>
  </r>
  <r>
    <x v="0"/>
    <x v="183"/>
    <x v="3"/>
    <n v="1407.5999901294708"/>
  </r>
  <r>
    <x v="0"/>
    <x v="201"/>
    <x v="1"/>
    <n v="42"/>
  </r>
  <r>
    <x v="0"/>
    <x v="202"/>
    <x v="8"/>
    <n v="420"/>
  </r>
  <r>
    <x v="0"/>
    <x v="203"/>
    <x v="1"/>
    <n v="98"/>
  </r>
  <r>
    <x v="0"/>
    <x v="204"/>
    <x v="1"/>
    <n v="350"/>
  </r>
  <r>
    <x v="0"/>
    <x v="205"/>
    <x v="4"/>
    <n v="42"/>
  </r>
  <r>
    <x v="0"/>
    <x v="24"/>
    <x v="1"/>
    <n v="210"/>
  </r>
  <r>
    <x v="0"/>
    <x v="27"/>
    <x v="5"/>
    <n v="210"/>
  </r>
  <r>
    <x v="0"/>
    <x v="103"/>
    <x v="4"/>
    <n v="268.79999899864197"/>
  </r>
  <r>
    <x v="0"/>
    <x v="69"/>
    <x v="8"/>
    <n v="475.99999666213989"/>
  </r>
  <r>
    <x v="0"/>
    <x v="114"/>
    <x v="3"/>
    <n v="280"/>
  </r>
  <r>
    <x v="0"/>
    <x v="126"/>
    <x v="1"/>
    <n v="189"/>
  </r>
  <r>
    <x v="0"/>
    <x v="206"/>
    <x v="8"/>
    <n v="240"/>
  </r>
  <r>
    <x v="0"/>
    <x v="207"/>
    <x v="1"/>
    <n v="240"/>
  </r>
  <r>
    <x v="0"/>
    <x v="208"/>
    <x v="4"/>
    <n v="60"/>
  </r>
  <r>
    <x v="0"/>
    <x v="116"/>
    <x v="1"/>
    <n v="360"/>
  </r>
  <r>
    <x v="0"/>
    <x v="209"/>
    <x v="3"/>
    <n v="360"/>
  </r>
  <r>
    <x v="0"/>
    <x v="210"/>
    <x v="1"/>
    <n v="360"/>
  </r>
  <r>
    <x v="0"/>
    <x v="211"/>
    <x v="5"/>
    <n v="86.399999856948853"/>
  </r>
  <r>
    <x v="0"/>
    <x v="212"/>
    <x v="0"/>
    <n v="269.99999955296516"/>
  </r>
  <r>
    <x v="0"/>
    <x v="8"/>
    <x v="3"/>
    <n v="144"/>
  </r>
  <r>
    <x v="0"/>
    <x v="49"/>
    <x v="1"/>
    <n v="647.99999892711639"/>
  </r>
  <r>
    <x v="0"/>
    <x v="192"/>
    <x v="7"/>
    <n v="188.99999968707561"/>
  </r>
  <r>
    <x v="0"/>
    <x v="213"/>
    <x v="5"/>
    <n v="90"/>
  </r>
  <r>
    <x v="0"/>
    <x v="214"/>
    <x v="7"/>
    <n v="105"/>
  </r>
  <r>
    <x v="0"/>
    <x v="160"/>
    <x v="0"/>
    <n v="213.74999983236194"/>
  </r>
  <r>
    <x v="0"/>
    <x v="95"/>
    <x v="1"/>
    <n v="300"/>
  </r>
  <r>
    <x v="0"/>
    <x v="215"/>
    <x v="1"/>
    <n v="168.75"/>
  </r>
  <r>
    <x v="0"/>
    <x v="216"/>
    <x v="4"/>
    <n v="569.99999955296516"/>
  </r>
  <r>
    <x v="0"/>
    <x v="217"/>
    <x v="3"/>
    <n v="750"/>
  </r>
  <r>
    <x v="0"/>
    <x v="142"/>
    <x v="5"/>
    <n v="337.5"/>
  </r>
  <r>
    <x v="0"/>
    <x v="218"/>
    <x v="1"/>
    <n v="113.99999991059303"/>
  </r>
  <r>
    <x v="0"/>
    <x v="196"/>
    <x v="1"/>
    <n v="356.99999749660492"/>
  </r>
  <r>
    <x v="0"/>
    <x v="219"/>
    <x v="5"/>
    <n v="600"/>
  </r>
  <r>
    <x v="0"/>
    <x v="220"/>
    <x v="8"/>
    <n v="525"/>
  </r>
  <r>
    <x v="0"/>
    <x v="221"/>
    <x v="8"/>
    <n v="75"/>
  </r>
  <r>
    <x v="0"/>
    <x v="146"/>
    <x v="2"/>
    <n v="90"/>
  </r>
  <r>
    <x v="0"/>
    <x v="222"/>
    <x v="3"/>
    <n v="135"/>
  </r>
  <r>
    <x v="0"/>
    <x v="223"/>
    <x v="0"/>
    <n v="23.999999910593033"/>
  </r>
  <r>
    <x v="0"/>
    <x v="199"/>
    <x v="0"/>
    <n v="180"/>
  </r>
  <r>
    <x v="0"/>
    <x v="23"/>
    <x v="8"/>
    <n v="450"/>
  </r>
  <r>
    <x v="0"/>
    <x v="224"/>
    <x v="0"/>
    <n v="382.49999731779099"/>
  </r>
  <r>
    <x v="0"/>
    <x v="101"/>
    <x v="8"/>
    <n v="60"/>
  </r>
  <r>
    <x v="0"/>
    <x v="225"/>
    <x v="4"/>
    <n v="599.99999776482582"/>
  </r>
  <r>
    <x v="0"/>
    <x v="67"/>
    <x v="2"/>
    <n v="450"/>
  </r>
  <r>
    <x v="0"/>
    <x v="182"/>
    <x v="0"/>
    <n v="33.75"/>
  </r>
  <r>
    <x v="0"/>
    <x v="70"/>
    <x v="0"/>
    <n v="239.99999910593033"/>
  </r>
  <r>
    <x v="0"/>
    <x v="226"/>
    <x v="7"/>
    <n v="450"/>
  </r>
  <r>
    <x v="0"/>
    <x v="151"/>
    <x v="4"/>
    <n v="60"/>
  </r>
  <r>
    <x v="0"/>
    <x v="227"/>
    <x v="5"/>
    <n v="45"/>
  </r>
  <r>
    <x v="0"/>
    <x v="124"/>
    <x v="1"/>
    <n v="143.9999994635582"/>
  </r>
  <r>
    <x v="0"/>
    <x v="77"/>
    <x v="8"/>
    <n v="186"/>
  </r>
  <r>
    <x v="0"/>
    <x v="78"/>
    <x v="0"/>
    <n v="37.200000000000003"/>
  </r>
  <r>
    <x v="0"/>
    <x v="1"/>
    <x v="1"/>
    <n v="37.200000000000003"/>
  </r>
  <r>
    <x v="0"/>
    <x v="187"/>
    <x v="8"/>
    <n v="62"/>
  </r>
  <r>
    <x v="0"/>
    <x v="228"/>
    <x v="1"/>
    <n v="310"/>
  </r>
  <r>
    <x v="0"/>
    <x v="171"/>
    <x v="1"/>
    <n v="31.619999778270724"/>
  </r>
  <r>
    <x v="0"/>
    <x v="229"/>
    <x v="1"/>
    <n v="74.400000000000006"/>
  </r>
  <r>
    <x v="0"/>
    <x v="230"/>
    <x v="5"/>
    <n v="133.91999977827072"/>
  </r>
  <r>
    <x v="0"/>
    <x v="231"/>
    <x v="3"/>
    <n v="18.600000000000001"/>
  </r>
  <r>
    <x v="0"/>
    <x v="232"/>
    <x v="6"/>
    <n v="62"/>
  </r>
  <r>
    <x v="0"/>
    <x v="233"/>
    <x v="4"/>
    <n v="223.2"/>
  </r>
  <r>
    <x v="0"/>
    <x v="234"/>
    <x v="2"/>
    <n v="251.0999995842576"/>
  </r>
  <r>
    <x v="0"/>
    <x v="235"/>
    <x v="5"/>
    <n v="387.5"/>
  </r>
  <r>
    <x v="0"/>
    <x v="236"/>
    <x v="8"/>
    <n v="232.5"/>
  </r>
  <r>
    <x v="0"/>
    <x v="237"/>
    <x v="7"/>
    <n v="155"/>
  </r>
  <r>
    <x v="0"/>
    <x v="238"/>
    <x v="5"/>
    <n v="104.624999826774"/>
  </r>
  <r>
    <x v="0"/>
    <x v="11"/>
    <x v="7"/>
    <n v="155"/>
  </r>
  <r>
    <x v="0"/>
    <x v="239"/>
    <x v="0"/>
    <n v="162.75"/>
  </r>
  <r>
    <x v="0"/>
    <x v="240"/>
    <x v="5"/>
    <n v="309.99999884516001"/>
  </r>
  <r>
    <x v="0"/>
    <x v="94"/>
    <x v="3"/>
    <n v="185.999999307096"/>
  </r>
  <r>
    <x v="0"/>
    <x v="176"/>
    <x v="1"/>
    <n v="310"/>
  </r>
  <r>
    <x v="0"/>
    <x v="52"/>
    <x v="3"/>
    <n v="55.799999907612801"/>
  </r>
  <r>
    <x v="0"/>
    <x v="241"/>
    <x v="1"/>
    <n v="15.5"/>
  </r>
  <r>
    <x v="0"/>
    <x v="204"/>
    <x v="1"/>
    <n v="193.75"/>
  </r>
  <r>
    <x v="0"/>
    <x v="242"/>
    <x v="5"/>
    <n v="232.5"/>
  </r>
  <r>
    <x v="0"/>
    <x v="56"/>
    <x v="3"/>
    <n v="325.5"/>
  </r>
  <r>
    <x v="0"/>
    <x v="243"/>
    <x v="7"/>
    <n v="155"/>
  </r>
  <r>
    <x v="0"/>
    <x v="180"/>
    <x v="6"/>
    <n v="139.5"/>
  </r>
  <r>
    <x v="0"/>
    <x v="244"/>
    <x v="0"/>
    <n v="43.399999838322401"/>
  </r>
  <r>
    <x v="0"/>
    <x v="162"/>
    <x v="0"/>
    <n v="77.5"/>
  </r>
  <r>
    <x v="0"/>
    <x v="59"/>
    <x v="3"/>
    <n v="260.39999902993441"/>
  </r>
  <r>
    <x v="0"/>
    <x v="145"/>
    <x v="0"/>
    <n v="294.499999769032"/>
  </r>
  <r>
    <x v="0"/>
    <x v="198"/>
    <x v="8"/>
    <n v="155"/>
  </r>
  <r>
    <x v="0"/>
    <x v="102"/>
    <x v="0"/>
    <n v="883.499999307096"/>
  </r>
  <r>
    <x v="0"/>
    <x v="245"/>
    <x v="2"/>
    <n v="108.5"/>
  </r>
  <r>
    <x v="0"/>
    <x v="246"/>
    <x v="5"/>
    <n v="46.5"/>
  </r>
  <r>
    <x v="0"/>
    <x v="247"/>
    <x v="2"/>
    <n v="379.75"/>
  </r>
  <r>
    <x v="0"/>
    <x v="248"/>
    <x v="3"/>
    <n v="139.499999769032"/>
  </r>
  <r>
    <x v="0"/>
    <x v="249"/>
    <x v="7"/>
    <n v="368.12499971129"/>
  </r>
  <r>
    <x v="0"/>
    <x v="250"/>
    <x v="3"/>
    <n v="74.399999722838402"/>
  </r>
  <r>
    <x v="0"/>
    <x v="150"/>
    <x v="2"/>
    <n v="131.74999907612801"/>
  </r>
  <r>
    <x v="0"/>
    <x v="251"/>
    <x v="2"/>
    <n v="77.5"/>
  </r>
  <r>
    <x v="0"/>
    <x v="252"/>
    <x v="0"/>
    <n v="77.5"/>
  </r>
  <r>
    <x v="0"/>
    <x v="165"/>
    <x v="1"/>
    <n v="247.99999907612801"/>
  </r>
  <r>
    <x v="0"/>
    <x v="109"/>
    <x v="3"/>
    <n v="232.5"/>
  </r>
  <r>
    <x v="0"/>
    <x v="73"/>
    <x v="0"/>
    <n v="31"/>
  </r>
  <r>
    <x v="0"/>
    <x v="253"/>
    <x v="1"/>
    <n v="183.59999871253967"/>
  </r>
  <r>
    <x v="0"/>
    <x v="254"/>
    <x v="5"/>
    <n v="451.43999964594838"/>
  </r>
  <r>
    <x v="0"/>
    <x v="255"/>
    <x v="3"/>
    <n v="86.4"/>
  </r>
  <r>
    <x v="0"/>
    <x v="256"/>
    <x v="4"/>
    <n v="432"/>
  </r>
  <r>
    <x v="0"/>
    <x v="257"/>
    <x v="1"/>
    <n v="216"/>
  </r>
  <r>
    <x v="0"/>
    <x v="229"/>
    <x v="1"/>
    <n v="172.8"/>
  </r>
  <r>
    <x v="0"/>
    <x v="258"/>
    <x v="3"/>
    <n v="504"/>
  </r>
  <r>
    <x v="0"/>
    <x v="7"/>
    <x v="5"/>
    <n v="201.6"/>
  </r>
  <r>
    <x v="0"/>
    <x v="259"/>
    <x v="2"/>
    <n v="216"/>
  </r>
  <r>
    <x v="0"/>
    <x v="260"/>
    <x v="5"/>
    <n v="220.3199984550476"/>
  </r>
  <r>
    <x v="0"/>
    <x v="261"/>
    <x v="7"/>
    <n v="514.07999639511104"/>
  </r>
  <r>
    <x v="0"/>
    <x v="194"/>
    <x v="5"/>
    <n v="900"/>
  </r>
  <r>
    <x v="0"/>
    <x v="262"/>
    <x v="7"/>
    <n v="180"/>
  </r>
  <r>
    <x v="0"/>
    <x v="263"/>
    <x v="6"/>
    <n v="540"/>
  </r>
  <r>
    <x v="0"/>
    <x v="264"/>
    <x v="6"/>
    <n v="180"/>
  </r>
  <r>
    <x v="0"/>
    <x v="265"/>
    <x v="5"/>
    <n v="252"/>
  </r>
  <r>
    <x v="0"/>
    <x v="266"/>
    <x v="4"/>
    <n v="57.599999785423279"/>
  </r>
  <r>
    <x v="0"/>
    <x v="267"/>
    <x v="0"/>
    <n v="161.9999997317791"/>
  </r>
  <r>
    <x v="0"/>
    <x v="268"/>
    <x v="0"/>
    <n v="1440"/>
  </r>
  <r>
    <x v="0"/>
    <x v="269"/>
    <x v="0"/>
    <n v="630"/>
  </r>
  <r>
    <x v="0"/>
    <x v="270"/>
    <x v="0"/>
    <n v="180"/>
  </r>
  <r>
    <x v="0"/>
    <x v="271"/>
    <x v="2"/>
    <n v="535.49999624490738"/>
  </r>
  <r>
    <x v="0"/>
    <x v="271"/>
    <x v="0"/>
    <n v="270"/>
  </r>
  <r>
    <x v="0"/>
    <x v="272"/>
    <x v="5"/>
    <n v="360"/>
  </r>
  <r>
    <x v="0"/>
    <x v="273"/>
    <x v="8"/>
    <n v="360"/>
  </r>
  <r>
    <x v="0"/>
    <x v="274"/>
    <x v="1"/>
    <n v="180"/>
  </r>
  <r>
    <x v="0"/>
    <x v="221"/>
    <x v="8"/>
    <n v="764.99999463558197"/>
  </r>
  <r>
    <x v="0"/>
    <x v="148"/>
    <x v="7"/>
    <n v="283.5"/>
  </r>
  <r>
    <x v="0"/>
    <x v="101"/>
    <x v="5"/>
    <n v="360"/>
  </r>
  <r>
    <x v="0"/>
    <x v="225"/>
    <x v="5"/>
    <n v="180"/>
  </r>
  <r>
    <x v="0"/>
    <x v="247"/>
    <x v="1"/>
    <n v="360"/>
  </r>
  <r>
    <x v="0"/>
    <x v="247"/>
    <x v="0"/>
    <n v="90"/>
  </r>
  <r>
    <x v="0"/>
    <x v="105"/>
    <x v="3"/>
    <n v="1080"/>
  </r>
  <r>
    <x v="0"/>
    <x v="105"/>
    <x v="3"/>
    <n v="792"/>
  </r>
  <r>
    <x v="0"/>
    <x v="108"/>
    <x v="3"/>
    <n v="180"/>
  </r>
  <r>
    <x v="0"/>
    <x v="70"/>
    <x v="0"/>
    <n v="1295.9999951720238"/>
  </r>
  <r>
    <x v="0"/>
    <x v="31"/>
    <x v="5"/>
    <n v="108"/>
  </r>
  <r>
    <x v="0"/>
    <x v="113"/>
    <x v="3"/>
    <n v="809.99999865889549"/>
  </r>
  <r>
    <x v="0"/>
    <x v="73"/>
    <x v="3"/>
    <n v="30.599999785423279"/>
  </r>
  <r>
    <x v="1"/>
    <x v="275"/>
    <x v="4"/>
    <n v="240"/>
  </r>
  <r>
    <x v="1"/>
    <x v="276"/>
    <x v="0"/>
    <n v="400"/>
  </r>
  <r>
    <x v="1"/>
    <x v="49"/>
    <x v="1"/>
    <n v="143.99999976158142"/>
  </r>
  <r>
    <x v="1"/>
    <x v="91"/>
    <x v="5"/>
    <n v="600"/>
  </r>
  <r>
    <x v="1"/>
    <x v="12"/>
    <x v="0"/>
    <n v="140"/>
  </r>
  <r>
    <x v="1"/>
    <x v="271"/>
    <x v="0"/>
    <n v="60"/>
  </r>
  <r>
    <x v="1"/>
    <x v="57"/>
    <x v="5"/>
    <n v="200"/>
  </r>
  <r>
    <x v="1"/>
    <x v="99"/>
    <x v="2"/>
    <n v="179.99999970197678"/>
  </r>
  <r>
    <x v="1"/>
    <x v="224"/>
    <x v="7"/>
    <n v="490"/>
  </r>
  <r>
    <x v="1"/>
    <x v="65"/>
    <x v="3"/>
    <n v="300"/>
  </r>
  <r>
    <x v="1"/>
    <x v="226"/>
    <x v="7"/>
    <n v="250"/>
  </r>
  <r>
    <x v="1"/>
    <x v="73"/>
    <x v="0"/>
    <n v="40"/>
  </r>
  <r>
    <x v="1"/>
    <x v="186"/>
    <x v="5"/>
    <n v="352"/>
  </r>
  <r>
    <x v="1"/>
    <x v="228"/>
    <x v="1"/>
    <n v="422.4"/>
  </r>
  <r>
    <x v="1"/>
    <x v="277"/>
    <x v="4"/>
    <n v="285.11999952793121"/>
  </r>
  <r>
    <x v="1"/>
    <x v="278"/>
    <x v="8"/>
    <n v="176"/>
  </r>
  <r>
    <x v="1"/>
    <x v="279"/>
    <x v="1"/>
    <n v="616"/>
  </r>
  <r>
    <x v="1"/>
    <x v="190"/>
    <x v="1"/>
    <n v="225.27999916076661"/>
  </r>
  <r>
    <x v="1"/>
    <x v="234"/>
    <x v="1"/>
    <n v="934.99999344348907"/>
  </r>
  <r>
    <x v="1"/>
    <x v="10"/>
    <x v="4"/>
    <n v="989.99999836087227"/>
  </r>
  <r>
    <x v="1"/>
    <x v="280"/>
    <x v="3"/>
    <n v="1044.9999991804361"/>
  </r>
  <r>
    <x v="1"/>
    <x v="281"/>
    <x v="1"/>
    <n v="351.99999868869781"/>
  </r>
  <r>
    <x v="1"/>
    <x v="282"/>
    <x v="3"/>
    <n v="197.99999967217445"/>
  </r>
  <r>
    <x v="1"/>
    <x v="283"/>
    <x v="1"/>
    <n v="550"/>
  </r>
  <r>
    <x v="1"/>
    <x v="178"/>
    <x v="6"/>
    <n v="237.59999960660934"/>
  </r>
  <r>
    <x v="1"/>
    <x v="54"/>
    <x v="2"/>
    <n v="132"/>
  </r>
  <r>
    <x v="1"/>
    <x v="284"/>
    <x v="1"/>
    <n v="550"/>
  </r>
  <r>
    <x v="1"/>
    <x v="23"/>
    <x v="8"/>
    <n v="462"/>
  </r>
  <r>
    <x v="1"/>
    <x v="27"/>
    <x v="1"/>
    <n v="495"/>
  </r>
  <r>
    <x v="1"/>
    <x v="249"/>
    <x v="0"/>
    <n v="110"/>
  </r>
  <r>
    <x v="1"/>
    <x v="30"/>
    <x v="8"/>
    <n v="412.5"/>
  </r>
  <r>
    <x v="1"/>
    <x v="73"/>
    <x v="0"/>
    <n v="22"/>
  </r>
  <r>
    <x v="1"/>
    <x v="38"/>
    <x v="0"/>
    <n v="883.99999670684338"/>
  </r>
  <r>
    <x v="1"/>
    <x v="285"/>
    <x v="3"/>
    <n v="163.19999939203262"/>
  </r>
  <r>
    <x v="1"/>
    <x v="286"/>
    <x v="3"/>
    <n v="340"/>
  </r>
  <r>
    <x v="1"/>
    <x v="287"/>
    <x v="1"/>
    <n v="544"/>
  </r>
  <r>
    <x v="1"/>
    <x v="282"/>
    <x v="3"/>
    <n v="288.22499952279031"/>
  </r>
  <r>
    <x v="1"/>
    <x v="288"/>
    <x v="2"/>
    <n v="85.4"/>
  </r>
  <r>
    <x v="1"/>
    <x v="224"/>
    <x v="4"/>
    <n v="640.5"/>
  </r>
  <r>
    <x v="1"/>
    <x v="150"/>
    <x v="4"/>
    <n v="427"/>
  </r>
  <r>
    <x v="1"/>
    <x v="33"/>
    <x v="4"/>
    <n v="1494.5"/>
  </r>
  <r>
    <x v="1"/>
    <x v="35"/>
    <x v="4"/>
    <n v="480.375"/>
  </r>
  <r>
    <x v="1"/>
    <x v="186"/>
    <x v="5"/>
    <n v="600"/>
  </r>
  <r>
    <x v="1"/>
    <x v="289"/>
    <x v="0"/>
    <n v="120"/>
  </r>
  <r>
    <x v="1"/>
    <x v="290"/>
    <x v="0"/>
    <n v="1750"/>
  </r>
  <r>
    <x v="1"/>
    <x v="273"/>
    <x v="8"/>
    <n v="750"/>
  </r>
  <r>
    <x v="1"/>
    <x v="63"/>
    <x v="1"/>
    <n v="150"/>
  </r>
  <r>
    <x v="1"/>
    <x v="291"/>
    <x v="7"/>
    <n v="1187.4999990686774"/>
  </r>
  <r>
    <x v="1"/>
    <x v="29"/>
    <x v="5"/>
    <n v="500"/>
  </r>
  <r>
    <x v="1"/>
    <x v="292"/>
    <x v="8"/>
    <n v="300"/>
  </r>
  <r>
    <x v="1"/>
    <x v="249"/>
    <x v="0"/>
    <n v="379.99999970197678"/>
  </r>
  <r>
    <x v="1"/>
    <x v="200"/>
    <x v="8"/>
    <n v="1000"/>
  </r>
  <r>
    <x v="1"/>
    <x v="73"/>
    <x v="1"/>
    <n v="375"/>
  </r>
  <r>
    <x v="1"/>
    <x v="73"/>
    <x v="0"/>
    <n v="24.500000011175871"/>
  </r>
  <r>
    <x v="1"/>
    <x v="279"/>
    <x v="1"/>
    <n v="1680"/>
  </r>
  <r>
    <x v="1"/>
    <x v="293"/>
    <x v="8"/>
    <n v="2240"/>
  </r>
  <r>
    <x v="1"/>
    <x v="234"/>
    <x v="1"/>
    <n v="339.99999761581421"/>
  </r>
  <r>
    <x v="1"/>
    <x v="9"/>
    <x v="1"/>
    <n v="960"/>
  </r>
  <r>
    <x v="1"/>
    <x v="98"/>
    <x v="4"/>
    <n v="400"/>
  </r>
  <r>
    <x v="1"/>
    <x v="288"/>
    <x v="0"/>
    <n v="1600"/>
  </r>
  <r>
    <x v="1"/>
    <x v="59"/>
    <x v="3"/>
    <n v="959.99999642372131"/>
  </r>
  <r>
    <x v="1"/>
    <x v="63"/>
    <x v="7"/>
    <n v="800"/>
  </r>
  <r>
    <x v="1"/>
    <x v="102"/>
    <x v="7"/>
    <n v="1200"/>
  </r>
  <r>
    <x v="1"/>
    <x v="252"/>
    <x v="0"/>
    <n v="640"/>
  </r>
  <r>
    <x v="1"/>
    <x v="107"/>
    <x v="7"/>
    <n v="679.99999523162842"/>
  </r>
  <r>
    <x v="1"/>
    <x v="110"/>
    <x v="3"/>
    <n v="1200"/>
  </r>
  <r>
    <x v="1"/>
    <x v="73"/>
    <x v="0"/>
    <n v="71.99999988079071"/>
  </r>
  <r>
    <x v="1"/>
    <x v="294"/>
    <x v="5"/>
    <n v="248"/>
  </r>
  <r>
    <x v="1"/>
    <x v="170"/>
    <x v="1"/>
    <n v="62"/>
  </r>
  <r>
    <x v="1"/>
    <x v="295"/>
    <x v="2"/>
    <n v="176.6999998614192"/>
  </r>
  <r>
    <x v="1"/>
    <x v="239"/>
    <x v="0"/>
    <n v="155"/>
  </r>
  <r>
    <x v="1"/>
    <x v="296"/>
    <x v="5"/>
    <n v="368.12499971129"/>
  </r>
  <r>
    <x v="1"/>
    <x v="297"/>
    <x v="8"/>
    <n v="775"/>
  </r>
  <r>
    <x v="1"/>
    <x v="298"/>
    <x v="3"/>
    <n v="248"/>
  </r>
  <r>
    <x v="1"/>
    <x v="201"/>
    <x v="1"/>
    <n v="325.5"/>
  </r>
  <r>
    <x v="1"/>
    <x v="286"/>
    <x v="2"/>
    <n v="334.7999994456768"/>
  </r>
  <r>
    <x v="1"/>
    <x v="154"/>
    <x v="0"/>
    <n v="1133.8249991107732"/>
  </r>
  <r>
    <x v="1"/>
    <x v="299"/>
    <x v="7"/>
    <n v="495.99999815225601"/>
  </r>
  <r>
    <x v="1"/>
    <x v="300"/>
    <x v="3"/>
    <n v="1472.49999884516"/>
  </r>
  <r>
    <x v="1"/>
    <x v="48"/>
    <x v="0"/>
    <n v="26.349999815225601"/>
  </r>
  <r>
    <x v="1"/>
    <x v="233"/>
    <x v="3"/>
    <n v="197.62499861419201"/>
  </r>
  <r>
    <x v="1"/>
    <x v="89"/>
    <x v="1"/>
    <n v="175.05"/>
  </r>
  <r>
    <x v="1"/>
    <x v="136"/>
    <x v="1"/>
    <n v="778"/>
  </r>
  <r>
    <x v="1"/>
    <x v="301"/>
    <x v="8"/>
    <n v="194.5"/>
  </r>
  <r>
    <x v="1"/>
    <x v="11"/>
    <x v="5"/>
    <n v="408.45"/>
  </r>
  <r>
    <x v="1"/>
    <x v="96"/>
    <x v="1"/>
    <n v="194.5"/>
  </r>
  <r>
    <x v="1"/>
    <x v="297"/>
    <x v="2"/>
    <n v="490.13999918848276"/>
  </r>
  <r>
    <x v="1"/>
    <x v="302"/>
    <x v="8"/>
    <n v="408.45"/>
  </r>
  <r>
    <x v="1"/>
    <x v="18"/>
    <x v="8"/>
    <n v="466.8"/>
  </r>
  <r>
    <x v="1"/>
    <x v="56"/>
    <x v="6"/>
    <n v="923.87499927543104"/>
  </r>
  <r>
    <x v="1"/>
    <x v="303"/>
    <x v="7"/>
    <n v="311.2"/>
  </r>
  <r>
    <x v="1"/>
    <x v="304"/>
    <x v="5"/>
    <n v="194.5"/>
  </r>
  <r>
    <x v="1"/>
    <x v="147"/>
    <x v="8"/>
    <n v="248.95999907255171"/>
  </r>
  <r>
    <x v="1"/>
    <x v="104"/>
    <x v="2"/>
    <n v="262.57500000000005"/>
  </r>
  <r>
    <x v="1"/>
    <x v="107"/>
    <x v="7"/>
    <n v="99.194999304413798"/>
  </r>
  <r>
    <x v="1"/>
    <x v="34"/>
    <x v="3"/>
    <n v="233.4"/>
  </r>
  <r>
    <x v="1"/>
    <x v="72"/>
    <x v="8"/>
    <n v="291.75"/>
  </r>
  <r>
    <x v="1"/>
    <x v="45"/>
    <x v="1"/>
    <n v="364.8"/>
  </r>
  <r>
    <x v="1"/>
    <x v="47"/>
    <x v="1"/>
    <n v="1744.1999877691269"/>
  </r>
  <r>
    <x v="1"/>
    <x v="174"/>
    <x v="3"/>
    <n v="570"/>
  </r>
  <r>
    <x v="1"/>
    <x v="50"/>
    <x v="1"/>
    <n v="712.5"/>
  </r>
  <r>
    <x v="1"/>
    <x v="235"/>
    <x v="4"/>
    <n v="341.99999872595072"/>
  </r>
  <r>
    <x v="1"/>
    <x v="194"/>
    <x v="5"/>
    <n v="570"/>
  </r>
  <r>
    <x v="1"/>
    <x v="136"/>
    <x v="4"/>
    <n v="256.49999957531691"/>
  </r>
  <r>
    <x v="1"/>
    <x v="141"/>
    <x v="8"/>
    <n v="2565"/>
  </r>
  <r>
    <x v="1"/>
    <x v="53"/>
    <x v="4"/>
    <n v="455.99999830126762"/>
  </r>
  <r>
    <x v="1"/>
    <x v="305"/>
    <x v="1"/>
    <n v="285"/>
  </r>
  <r>
    <x v="1"/>
    <x v="306"/>
    <x v="3"/>
    <n v="142.5"/>
  </r>
  <r>
    <x v="1"/>
    <x v="307"/>
    <x v="2"/>
    <n v="512.99999915063381"/>
  </r>
  <r>
    <x v="1"/>
    <x v="308"/>
    <x v="5"/>
    <n v="570"/>
  </r>
  <r>
    <x v="1"/>
    <x v="62"/>
    <x v="5"/>
    <n v="726.74999490380287"/>
  </r>
  <r>
    <x v="1"/>
    <x v="225"/>
    <x v="4"/>
    <n v="683.99999745190144"/>
  </r>
  <r>
    <x v="1"/>
    <x v="245"/>
    <x v="1"/>
    <n v="427.5"/>
  </r>
  <r>
    <x v="1"/>
    <x v="27"/>
    <x v="0"/>
    <n v="142.5"/>
  </r>
  <r>
    <x v="1"/>
    <x v="248"/>
    <x v="2"/>
    <n v="855"/>
  </r>
  <r>
    <x v="1"/>
    <x v="70"/>
    <x v="8"/>
    <n v="1598.8499887883663"/>
  </r>
  <r>
    <x v="1"/>
    <x v="109"/>
    <x v="3"/>
    <n v="199.5"/>
  </r>
  <r>
    <x v="1"/>
    <x v="34"/>
    <x v="3"/>
    <n v="171"/>
  </r>
  <r>
    <x v="1"/>
    <x v="72"/>
    <x v="8"/>
    <n v="114"/>
  </r>
  <r>
    <x v="1"/>
    <x v="113"/>
    <x v="5"/>
    <n v="227.99999915063381"/>
  </r>
  <r>
    <x v="1"/>
    <x v="227"/>
    <x v="7"/>
    <n v="114"/>
  </r>
  <r>
    <x v="1"/>
    <x v="298"/>
    <x v="3"/>
    <n v="280.8"/>
  </r>
  <r>
    <x v="1"/>
    <x v="78"/>
    <x v="0"/>
    <n v="175.5"/>
  </r>
  <r>
    <x v="1"/>
    <x v="129"/>
    <x v="7"/>
    <n v="2386.7999832630157"/>
  </r>
  <r>
    <x v="1"/>
    <x v="309"/>
    <x v="8"/>
    <n v="505.43999916315079"/>
  </r>
  <r>
    <x v="1"/>
    <x v="310"/>
    <x v="3"/>
    <n v="2281.5"/>
  </r>
  <r>
    <x v="1"/>
    <x v="311"/>
    <x v="5"/>
    <n v="921.375"/>
  </r>
  <r>
    <x v="1"/>
    <x v="264"/>
    <x v="6"/>
    <n v="263.39999999999998"/>
  </r>
  <r>
    <x v="1"/>
    <x v="94"/>
    <x v="3"/>
    <n v="842.87999686002729"/>
  </r>
  <r>
    <x v="1"/>
    <x v="312"/>
    <x v="2"/>
    <n v="395.1"/>
  </r>
  <r>
    <x v="1"/>
    <x v="145"/>
    <x v="0"/>
    <n v="1317"/>
  </r>
  <r>
    <x v="1"/>
    <x v="103"/>
    <x v="0"/>
    <n v="1756"/>
  </r>
  <r>
    <x v="1"/>
    <x v="252"/>
    <x v="5"/>
    <n v="439"/>
  </r>
  <r>
    <x v="1"/>
    <x v="107"/>
    <x v="3"/>
    <n v="878"/>
  </r>
  <r>
    <x v="1"/>
    <x v="107"/>
    <x v="3"/>
    <n v="1536.5"/>
  </r>
  <r>
    <x v="1"/>
    <x v="112"/>
    <x v="1"/>
    <n v="526.79999999999995"/>
  </r>
  <r>
    <x v="1"/>
    <x v="72"/>
    <x v="5"/>
    <n v="1317"/>
  </r>
  <r>
    <x v="1"/>
    <x v="313"/>
    <x v="1"/>
    <n v="214.19999849796295"/>
  </r>
  <r>
    <x v="1"/>
    <x v="313"/>
    <x v="5"/>
    <n v="336"/>
  </r>
  <r>
    <x v="1"/>
    <x v="314"/>
    <x v="4"/>
    <n v="453.59999924898148"/>
  </r>
  <r>
    <x v="1"/>
    <x v="315"/>
    <x v="1"/>
    <n v="672"/>
  </r>
  <r>
    <x v="1"/>
    <x v="154"/>
    <x v="0"/>
    <n v="159.59999987483025"/>
  </r>
  <r>
    <x v="1"/>
    <x v="117"/>
    <x v="3"/>
    <n v="84"/>
  </r>
  <r>
    <x v="1"/>
    <x v="117"/>
    <x v="4"/>
    <n v="252"/>
  </r>
  <r>
    <x v="1"/>
    <x v="309"/>
    <x v="8"/>
    <n v="302.39999949932098"/>
  </r>
  <r>
    <x v="1"/>
    <x v="132"/>
    <x v="0"/>
    <n v="336"/>
  </r>
  <r>
    <x v="1"/>
    <x v="83"/>
    <x v="1"/>
    <n v="588"/>
  </r>
  <r>
    <x v="1"/>
    <x v="316"/>
    <x v="1"/>
    <n v="423.35999929904938"/>
  </r>
  <r>
    <x v="1"/>
    <x v="317"/>
    <x v="1"/>
    <n v="226.79999962449074"/>
  </r>
  <r>
    <x v="1"/>
    <x v="50"/>
    <x v="2"/>
    <n v="421"/>
  </r>
  <r>
    <x v="1"/>
    <x v="235"/>
    <x v="5"/>
    <n v="820.95"/>
  </r>
  <r>
    <x v="1"/>
    <x v="91"/>
    <x v="8"/>
    <n v="682.01999887079"/>
  </r>
  <r>
    <x v="1"/>
    <x v="240"/>
    <x v="1"/>
    <n v="599.92499952949584"/>
  </r>
  <r>
    <x v="1"/>
    <x v="94"/>
    <x v="4"/>
    <n v="202.07999924719334"/>
  </r>
  <r>
    <x v="1"/>
    <x v="318"/>
    <x v="5"/>
    <n v="442.05"/>
  </r>
  <r>
    <x v="1"/>
    <x v="319"/>
    <x v="0"/>
    <n v="268.38749811798334"/>
  </r>
  <r>
    <x v="1"/>
    <x v="320"/>
    <x v="4"/>
    <n v="210.5"/>
  </r>
  <r>
    <x v="1"/>
    <x v="161"/>
    <x v="0"/>
    <n v="252.6"/>
  </r>
  <r>
    <x v="1"/>
    <x v="218"/>
    <x v="1"/>
    <n v="1299.8374989805743"/>
  </r>
  <r>
    <x v="1"/>
    <x v="321"/>
    <x v="6"/>
    <n v="199.97499984316528"/>
  </r>
  <r>
    <x v="1"/>
    <x v="243"/>
    <x v="7"/>
    <n v="842"/>
  </r>
  <r>
    <x v="1"/>
    <x v="322"/>
    <x v="5"/>
    <n v="1515.5999974906445"/>
  </r>
  <r>
    <x v="1"/>
    <x v="61"/>
    <x v="5"/>
    <n v="42.1"/>
  </r>
  <r>
    <x v="1"/>
    <x v="323"/>
    <x v="5"/>
    <n v="268.38749811798334"/>
  </r>
  <r>
    <x v="1"/>
    <x v="291"/>
    <x v="6"/>
    <n v="419.94749967064712"/>
  </r>
  <r>
    <x v="1"/>
    <x v="225"/>
    <x v="5"/>
    <n v="210.5"/>
  </r>
  <r>
    <x v="1"/>
    <x v="67"/>
    <x v="1"/>
    <n v="239.96999981179832"/>
  </r>
  <r>
    <x v="1"/>
    <x v="26"/>
    <x v="5"/>
    <n v="442.05"/>
  </r>
  <r>
    <x v="1"/>
    <x v="32"/>
    <x v="1"/>
    <n v="442.05"/>
  </r>
  <r>
    <x v="1"/>
    <x v="324"/>
    <x v="8"/>
    <n v="408"/>
  </r>
  <r>
    <x v="1"/>
    <x v="325"/>
    <x v="5"/>
    <n v="816"/>
  </r>
  <r>
    <x v="1"/>
    <x v="261"/>
    <x v="7"/>
    <n v="693.59999513626099"/>
  </r>
  <r>
    <x v="1"/>
    <x v="317"/>
    <x v="1"/>
    <n v="122.39999979734421"/>
  </r>
  <r>
    <x v="1"/>
    <x v="326"/>
    <x v="4"/>
    <n v="408"/>
  </r>
  <r>
    <x v="1"/>
    <x v="242"/>
    <x v="5"/>
    <n v="68"/>
  </r>
  <r>
    <x v="1"/>
    <x v="244"/>
    <x v="1"/>
    <n v="850"/>
  </r>
  <r>
    <x v="1"/>
    <x v="73"/>
    <x v="0"/>
    <n v="17"/>
  </r>
  <r>
    <x v="1"/>
    <x v="327"/>
    <x v="5"/>
    <n v="124.8"/>
  </r>
  <r>
    <x v="1"/>
    <x v="167"/>
    <x v="1"/>
    <n v="156"/>
  </r>
  <r>
    <x v="1"/>
    <x v="286"/>
    <x v="3"/>
    <n v="104"/>
  </r>
  <r>
    <x v="1"/>
    <x v="117"/>
    <x v="3"/>
    <n v="52"/>
  </r>
  <r>
    <x v="1"/>
    <x v="117"/>
    <x v="4"/>
    <n v="72.8"/>
  </r>
  <r>
    <x v="1"/>
    <x v="258"/>
    <x v="3"/>
    <n v="145.6"/>
  </r>
  <r>
    <x v="1"/>
    <x v="158"/>
    <x v="1"/>
    <n v="364"/>
  </r>
  <r>
    <x v="1"/>
    <x v="211"/>
    <x v="3"/>
    <n v="88.399999380111694"/>
  </r>
  <r>
    <x v="1"/>
    <x v="316"/>
    <x v="1"/>
    <n v="514.79999914765358"/>
  </r>
  <r>
    <x v="1"/>
    <x v="119"/>
    <x v="4"/>
    <n v="296.39999976754189"/>
  </r>
  <r>
    <x v="1"/>
    <x v="233"/>
    <x v="3"/>
    <n v="61.879999566078183"/>
  </r>
  <r>
    <x v="1"/>
    <x v="328"/>
    <x v="5"/>
    <n v="52"/>
  </r>
  <r>
    <x v="1"/>
    <x v="329"/>
    <x v="4"/>
    <n v="260"/>
  </r>
  <r>
    <x v="1"/>
    <x v="137"/>
    <x v="1"/>
    <n v="123.49999990314245"/>
  </r>
  <r>
    <x v="1"/>
    <x v="11"/>
    <x v="7"/>
    <n v="234"/>
  </r>
  <r>
    <x v="1"/>
    <x v="139"/>
    <x v="0"/>
    <n v="260"/>
  </r>
  <r>
    <x v="1"/>
    <x v="12"/>
    <x v="1"/>
    <n v="740.99999941885471"/>
  </r>
  <r>
    <x v="1"/>
    <x v="330"/>
    <x v="3"/>
    <n v="48.75"/>
  </r>
  <r>
    <x v="1"/>
    <x v="16"/>
    <x v="7"/>
    <n v="341.25"/>
  </r>
  <r>
    <x v="1"/>
    <x v="216"/>
    <x v="1"/>
    <n v="864.49999932199717"/>
  </r>
  <r>
    <x v="1"/>
    <x v="331"/>
    <x v="0"/>
    <n v="292.5"/>
  </r>
  <r>
    <x v="1"/>
    <x v="307"/>
    <x v="2"/>
    <n v="23.399999961256981"/>
  </r>
  <r>
    <x v="1"/>
    <x v="220"/>
    <x v="8"/>
    <n v="195"/>
  </r>
  <r>
    <x v="1"/>
    <x v="332"/>
    <x v="6"/>
    <n v="260"/>
  </r>
  <r>
    <x v="1"/>
    <x v="222"/>
    <x v="6"/>
    <n v="175.49999970942736"/>
  </r>
  <r>
    <x v="1"/>
    <x v="199"/>
    <x v="6"/>
    <n v="195"/>
  </r>
  <r>
    <x v="1"/>
    <x v="67"/>
    <x v="2"/>
    <n v="325"/>
  </r>
  <r>
    <x v="1"/>
    <x v="333"/>
    <x v="0"/>
    <n v="520"/>
  </r>
  <r>
    <x v="1"/>
    <x v="247"/>
    <x v="2"/>
    <n v="195"/>
  </r>
  <r>
    <x v="1"/>
    <x v="104"/>
    <x v="0"/>
    <n v="520"/>
  </r>
  <r>
    <x v="1"/>
    <x v="108"/>
    <x v="3"/>
    <n v="195"/>
  </r>
  <r>
    <x v="1"/>
    <x v="109"/>
    <x v="2"/>
    <n v="259.34999979659915"/>
  </r>
  <r>
    <x v="1"/>
    <x v="30"/>
    <x v="8"/>
    <n v="390"/>
  </r>
  <r>
    <x v="1"/>
    <x v="334"/>
    <x v="8"/>
    <n v="234"/>
  </r>
  <r>
    <x v="1"/>
    <x v="124"/>
    <x v="8"/>
    <n v="130"/>
  </r>
  <r>
    <x v="1"/>
    <x v="183"/>
    <x v="3"/>
    <n v="309.39999783039093"/>
  </r>
  <r>
    <x v="1"/>
    <x v="73"/>
    <x v="0"/>
    <n v="26"/>
  </r>
  <r>
    <x v="2"/>
    <x v="37"/>
    <x v="7"/>
    <n v="486.5"/>
  </r>
  <r>
    <x v="2"/>
    <x v="75"/>
    <x v="7"/>
    <n v="625.5"/>
  </r>
  <r>
    <x v="2"/>
    <x v="115"/>
    <x v="3"/>
    <n v="472.59999668598175"/>
  </r>
  <r>
    <x v="2"/>
    <x v="335"/>
    <x v="2"/>
    <n v="417"/>
  </r>
  <r>
    <x v="2"/>
    <x v="336"/>
    <x v="3"/>
    <n v="139"/>
  </r>
  <r>
    <x v="2"/>
    <x v="129"/>
    <x v="7"/>
    <n v="248.1149982601404"/>
  </r>
  <r>
    <x v="2"/>
    <x v="337"/>
    <x v="6"/>
    <n v="739.47999942004674"/>
  </r>
  <r>
    <x v="2"/>
    <x v="338"/>
    <x v="1"/>
    <n v="248.1149982601404"/>
  </r>
  <r>
    <x v="2"/>
    <x v="339"/>
    <x v="2"/>
    <n v="222.4"/>
  </r>
  <r>
    <x v="2"/>
    <x v="47"/>
    <x v="1"/>
    <n v="578.93499594032767"/>
  </r>
  <r>
    <x v="2"/>
    <x v="212"/>
    <x v="1"/>
    <n v="222.39999917149544"/>
  </r>
  <r>
    <x v="2"/>
    <x v="48"/>
    <x v="0"/>
    <n v="413.52499710023403"/>
  </r>
  <r>
    <x v="2"/>
    <x v="340"/>
    <x v="2"/>
    <n v="250.2"/>
  </r>
  <r>
    <x v="2"/>
    <x v="341"/>
    <x v="8"/>
    <n v="872.5"/>
  </r>
  <r>
    <x v="2"/>
    <x v="136"/>
    <x v="1"/>
    <n v="593.29999583959579"/>
  </r>
  <r>
    <x v="2"/>
    <x v="137"/>
    <x v="8"/>
    <n v="244.3"/>
  </r>
  <r>
    <x v="2"/>
    <x v="137"/>
    <x v="1"/>
    <n v="497.32499960996211"/>
  </r>
  <r>
    <x v="2"/>
    <x v="238"/>
    <x v="5"/>
    <n v="188.45999968796968"/>
  </r>
  <r>
    <x v="2"/>
    <x v="342"/>
    <x v="0"/>
    <n v="497.32499960996211"/>
  </r>
  <r>
    <x v="2"/>
    <x v="178"/>
    <x v="0"/>
    <n v="471.14999921992421"/>
  </r>
  <r>
    <x v="2"/>
    <x v="161"/>
    <x v="0"/>
    <n v="174.5"/>
  </r>
  <r>
    <x v="2"/>
    <x v="195"/>
    <x v="8"/>
    <n v="52.35"/>
  </r>
  <r>
    <x v="2"/>
    <x v="343"/>
    <x v="0"/>
    <n v="654.375"/>
  </r>
  <r>
    <x v="2"/>
    <x v="196"/>
    <x v="3"/>
    <n v="349"/>
  </r>
  <r>
    <x v="2"/>
    <x v="344"/>
    <x v="0"/>
    <n v="349"/>
  </r>
  <r>
    <x v="2"/>
    <x v="321"/>
    <x v="6"/>
    <n v="248.66249980498105"/>
  </r>
  <r>
    <x v="2"/>
    <x v="345"/>
    <x v="8"/>
    <n v="52.35"/>
  </r>
  <r>
    <x v="2"/>
    <x v="220"/>
    <x v="5"/>
    <n v="349"/>
  </r>
  <r>
    <x v="2"/>
    <x v="346"/>
    <x v="3"/>
    <n v="1134.25"/>
  </r>
  <r>
    <x v="2"/>
    <x v="323"/>
    <x v="5"/>
    <n v="872.5"/>
  </r>
  <r>
    <x v="2"/>
    <x v="291"/>
    <x v="7"/>
    <n v="198.92999984398486"/>
  </r>
  <r>
    <x v="2"/>
    <x v="347"/>
    <x v="0"/>
    <n v="392.625"/>
  </r>
  <r>
    <x v="2"/>
    <x v="27"/>
    <x v="0"/>
    <n v="261.75"/>
  </r>
  <r>
    <x v="2"/>
    <x v="348"/>
    <x v="0"/>
    <n v="104.7"/>
  </r>
  <r>
    <x v="2"/>
    <x v="28"/>
    <x v="8"/>
    <n v="418.8"/>
  </r>
  <r>
    <x v="2"/>
    <x v="248"/>
    <x v="3"/>
    <n v="471.14999921992421"/>
  </r>
  <r>
    <x v="2"/>
    <x v="250"/>
    <x v="6"/>
    <n v="415.30999708771708"/>
  </r>
  <r>
    <x v="2"/>
    <x v="108"/>
    <x v="0"/>
    <n v="959.75"/>
  </r>
  <r>
    <x v="2"/>
    <x v="108"/>
    <x v="8"/>
    <n v="565.37999906390905"/>
  </r>
  <r>
    <x v="2"/>
    <x v="125"/>
    <x v="4"/>
    <n v="52.35"/>
  </r>
  <r>
    <x v="2"/>
    <x v="36"/>
    <x v="8"/>
    <n v="444.97499687969685"/>
  </r>
  <r>
    <x v="2"/>
    <x v="73"/>
    <x v="4"/>
    <n v="232.08499981798232"/>
  </r>
  <r>
    <x v="2"/>
    <x v="73"/>
    <x v="0"/>
    <n v="33.853000023402274"/>
  </r>
  <r>
    <x v="2"/>
    <x v="77"/>
    <x v="1"/>
    <n v="7.3"/>
  </r>
  <r>
    <x v="2"/>
    <x v="294"/>
    <x v="5"/>
    <n v="131.4"/>
  </r>
  <r>
    <x v="2"/>
    <x v="207"/>
    <x v="1"/>
    <n v="109.5"/>
  </r>
  <r>
    <x v="2"/>
    <x v="153"/>
    <x v="1"/>
    <n v="69.349999945610762"/>
  </r>
  <r>
    <x v="2"/>
    <x v="293"/>
    <x v="8"/>
    <n v="584"/>
  </r>
  <r>
    <x v="2"/>
    <x v="7"/>
    <x v="8"/>
    <n v="124.82999990209937"/>
  </r>
  <r>
    <x v="2"/>
    <x v="158"/>
    <x v="3"/>
    <n v="146"/>
  </r>
  <r>
    <x v="2"/>
    <x v="211"/>
    <x v="3"/>
    <n v="24.819999825954437"/>
  </r>
  <r>
    <x v="2"/>
    <x v="118"/>
    <x v="5"/>
    <n v="87.59999967366457"/>
  </r>
  <r>
    <x v="2"/>
    <x v="83"/>
    <x v="2"/>
    <n v="78.839999869465828"/>
  </r>
  <r>
    <x v="2"/>
    <x v="83"/>
    <x v="1"/>
    <n v="292"/>
  </r>
  <r>
    <x v="2"/>
    <x v="190"/>
    <x v="6"/>
    <n v="153.30000000000001"/>
  </r>
  <r>
    <x v="2"/>
    <x v="349"/>
    <x v="8"/>
    <n v="36.5"/>
  </r>
  <r>
    <x v="2"/>
    <x v="136"/>
    <x v="4"/>
    <n v="92"/>
  </r>
  <r>
    <x v="2"/>
    <x v="92"/>
    <x v="2"/>
    <n v="257.59999904036522"/>
  </r>
  <r>
    <x v="2"/>
    <x v="95"/>
    <x v="1"/>
    <n v="46"/>
  </r>
  <r>
    <x v="2"/>
    <x v="96"/>
    <x v="3"/>
    <n v="124.19999979436398"/>
  </r>
  <r>
    <x v="2"/>
    <x v="16"/>
    <x v="1"/>
    <n v="276"/>
  </r>
  <r>
    <x v="2"/>
    <x v="350"/>
    <x v="3"/>
    <n v="82.800000000000011"/>
  </r>
  <r>
    <x v="2"/>
    <x v="302"/>
    <x v="8"/>
    <n v="64.400000000000006"/>
  </r>
  <r>
    <x v="2"/>
    <x v="242"/>
    <x v="5"/>
    <n v="248.39999958872795"/>
  </r>
  <r>
    <x v="2"/>
    <x v="142"/>
    <x v="5"/>
    <n v="48.300000000000004"/>
  </r>
  <r>
    <x v="2"/>
    <x v="351"/>
    <x v="0"/>
    <n v="46"/>
  </r>
  <r>
    <x v="2"/>
    <x v="352"/>
    <x v="6"/>
    <n v="110.4"/>
  </r>
  <r>
    <x v="2"/>
    <x v="145"/>
    <x v="0"/>
    <n v="436.99999965727329"/>
  </r>
  <r>
    <x v="2"/>
    <x v="123"/>
    <x v="1"/>
    <n v="209.75999983549119"/>
  </r>
  <r>
    <x v="2"/>
    <x v="332"/>
    <x v="3"/>
    <n v="138"/>
  </r>
  <r>
    <x v="2"/>
    <x v="147"/>
    <x v="5"/>
    <n v="18.399999999999999"/>
  </r>
  <r>
    <x v="2"/>
    <x v="23"/>
    <x v="1"/>
    <n v="88.319999670982369"/>
  </r>
  <r>
    <x v="2"/>
    <x v="353"/>
    <x v="1"/>
    <n v="230"/>
  </r>
  <r>
    <x v="2"/>
    <x v="27"/>
    <x v="0"/>
    <n v="110.4"/>
  </r>
  <r>
    <x v="2"/>
    <x v="246"/>
    <x v="1"/>
    <n v="64.400000000000006"/>
  </r>
  <r>
    <x v="2"/>
    <x v="106"/>
    <x v="8"/>
    <n v="110.4"/>
  </r>
  <r>
    <x v="2"/>
    <x v="111"/>
    <x v="0"/>
    <n v="436.99999965727329"/>
  </r>
  <r>
    <x v="2"/>
    <x v="71"/>
    <x v="7"/>
    <n v="322"/>
  </r>
  <r>
    <x v="2"/>
    <x v="125"/>
    <x v="4"/>
    <n v="386.4"/>
  </r>
  <r>
    <x v="2"/>
    <x v="73"/>
    <x v="1"/>
    <n v="69"/>
  </r>
  <r>
    <x v="2"/>
    <x v="354"/>
    <x v="1"/>
    <n v="2462.3999980688095"/>
  </r>
  <r>
    <x v="2"/>
    <x v="355"/>
    <x v="2"/>
    <n v="388.8"/>
  </r>
  <r>
    <x v="2"/>
    <x v="356"/>
    <x v="0"/>
    <n v="1296"/>
  </r>
  <r>
    <x v="2"/>
    <x v="157"/>
    <x v="6"/>
    <n v="583.20000000000005"/>
  </r>
  <r>
    <x v="2"/>
    <x v="357"/>
    <x v="5"/>
    <n v="1814.4"/>
  </r>
  <r>
    <x v="2"/>
    <x v="235"/>
    <x v="5"/>
    <n v="3159"/>
  </r>
  <r>
    <x v="2"/>
    <x v="193"/>
    <x v="4"/>
    <n v="1093.4999981895089"/>
  </r>
  <r>
    <x v="2"/>
    <x v="266"/>
    <x v="4"/>
    <n v="1360.799994930625"/>
  </r>
  <r>
    <x v="2"/>
    <x v="358"/>
    <x v="3"/>
    <n v="1701"/>
  </r>
  <r>
    <x v="2"/>
    <x v="63"/>
    <x v="7"/>
    <n v="405"/>
  </r>
  <r>
    <x v="2"/>
    <x v="225"/>
    <x v="1"/>
    <n v="1538.9999987930059"/>
  </r>
  <r>
    <x v="2"/>
    <x v="247"/>
    <x v="1"/>
    <n v="405"/>
  </r>
  <r>
    <x v="2"/>
    <x v="249"/>
    <x v="7"/>
    <n v="3847.4999969825149"/>
  </r>
  <r>
    <x v="2"/>
    <x v="108"/>
    <x v="3"/>
    <n v="1215"/>
  </r>
  <r>
    <x v="2"/>
    <x v="71"/>
    <x v="5"/>
    <n v="1215"/>
  </r>
  <r>
    <x v="2"/>
    <x v="73"/>
    <x v="0"/>
    <n v="77.760000072419643"/>
  </r>
  <r>
    <x v="2"/>
    <x v="359"/>
    <x v="1"/>
    <n v="80"/>
  </r>
  <r>
    <x v="2"/>
    <x v="126"/>
    <x v="1"/>
    <n v="160"/>
  </r>
  <r>
    <x v="2"/>
    <x v="360"/>
    <x v="6"/>
    <n v="71.99999988079071"/>
  </r>
  <r>
    <x v="2"/>
    <x v="361"/>
    <x v="8"/>
    <n v="35.999999940395355"/>
  </r>
  <r>
    <x v="2"/>
    <x v="362"/>
    <x v="6"/>
    <n v="67.999999523162842"/>
  </r>
  <r>
    <x v="2"/>
    <x v="6"/>
    <x v="4"/>
    <n v="215.99999964237213"/>
  </r>
  <r>
    <x v="2"/>
    <x v="363"/>
    <x v="5"/>
    <n v="96"/>
  </r>
  <r>
    <x v="2"/>
    <x v="364"/>
    <x v="1"/>
    <n v="400"/>
  </r>
  <r>
    <x v="2"/>
    <x v="365"/>
    <x v="3"/>
    <n v="271.99999809265137"/>
  </r>
  <r>
    <x v="2"/>
    <x v="231"/>
    <x v="0"/>
    <n v="240"/>
  </r>
  <r>
    <x v="2"/>
    <x v="8"/>
    <x v="6"/>
    <n v="126"/>
  </r>
  <r>
    <x v="2"/>
    <x v="119"/>
    <x v="5"/>
    <n v="112"/>
  </r>
  <r>
    <x v="2"/>
    <x v="50"/>
    <x v="1"/>
    <n v="120"/>
  </r>
  <r>
    <x v="2"/>
    <x v="235"/>
    <x v="4"/>
    <n v="319.9999988079071"/>
  </r>
  <r>
    <x v="2"/>
    <x v="366"/>
    <x v="2"/>
    <n v="150"/>
  </r>
  <r>
    <x v="2"/>
    <x v="136"/>
    <x v="4"/>
    <n v="53.999999910593033"/>
  </r>
  <r>
    <x v="2"/>
    <x v="13"/>
    <x v="4"/>
    <n v="60"/>
  </r>
  <r>
    <x v="2"/>
    <x v="176"/>
    <x v="3"/>
    <n v="80"/>
  </r>
  <r>
    <x v="2"/>
    <x v="367"/>
    <x v="5"/>
    <n v="420"/>
  </r>
  <r>
    <x v="2"/>
    <x v="96"/>
    <x v="3"/>
    <n v="224.99999962747097"/>
  </r>
  <r>
    <x v="2"/>
    <x v="53"/>
    <x v="4"/>
    <n v="239.99999910593033"/>
  </r>
  <r>
    <x v="2"/>
    <x v="216"/>
    <x v="1"/>
    <n v="600"/>
  </r>
  <r>
    <x v="2"/>
    <x v="242"/>
    <x v="5"/>
    <n v="107.99999982118607"/>
  </r>
  <r>
    <x v="2"/>
    <x v="305"/>
    <x v="1"/>
    <n v="50"/>
  </r>
  <r>
    <x v="2"/>
    <x v="305"/>
    <x v="0"/>
    <n v="303.99999976158142"/>
  </r>
  <r>
    <x v="2"/>
    <x v="20"/>
    <x v="3"/>
    <n v="300"/>
  </r>
  <r>
    <x v="2"/>
    <x v="272"/>
    <x v="4"/>
    <n v="379.99999970197678"/>
  </r>
  <r>
    <x v="2"/>
    <x v="99"/>
    <x v="5"/>
    <n v="400"/>
  </r>
  <r>
    <x v="2"/>
    <x v="368"/>
    <x v="1"/>
    <n v="400"/>
  </r>
  <r>
    <x v="2"/>
    <x v="353"/>
    <x v="1"/>
    <n v="200"/>
  </r>
  <r>
    <x v="2"/>
    <x v="67"/>
    <x v="1"/>
    <n v="379.99999970197678"/>
  </r>
  <r>
    <x v="2"/>
    <x v="247"/>
    <x v="2"/>
    <n v="600"/>
  </r>
  <r>
    <x v="2"/>
    <x v="248"/>
    <x v="1"/>
    <n v="360"/>
  </r>
  <r>
    <x v="2"/>
    <x v="250"/>
    <x v="2"/>
    <n v="120"/>
  </r>
  <r>
    <x v="2"/>
    <x v="107"/>
    <x v="7"/>
    <n v="339.99999761581421"/>
  </r>
  <r>
    <x v="2"/>
    <x v="70"/>
    <x v="8"/>
    <n v="650"/>
  </r>
  <r>
    <x v="2"/>
    <x v="34"/>
    <x v="3"/>
    <n v="134.99999977648258"/>
  </r>
  <r>
    <x v="2"/>
    <x v="72"/>
    <x v="1"/>
    <n v="200"/>
  </r>
  <r>
    <x v="2"/>
    <x v="227"/>
    <x v="7"/>
    <n v="30"/>
  </r>
  <r>
    <x v="2"/>
    <x v="170"/>
    <x v="1"/>
    <n v="44.8"/>
  </r>
  <r>
    <x v="2"/>
    <x v="171"/>
    <x v="1"/>
    <n v="112"/>
  </r>
  <r>
    <x v="2"/>
    <x v="369"/>
    <x v="5"/>
    <n v="560"/>
  </r>
  <r>
    <x v="2"/>
    <x v="44"/>
    <x v="0"/>
    <n v="58.800000000000004"/>
  </r>
  <r>
    <x v="2"/>
    <x v="85"/>
    <x v="3"/>
    <n v="134.4"/>
  </r>
  <r>
    <x v="2"/>
    <x v="370"/>
    <x v="5"/>
    <n v="638.39999949932098"/>
  </r>
  <r>
    <x v="2"/>
    <x v="192"/>
    <x v="7"/>
    <n v="226.79999962449074"/>
  </r>
  <r>
    <x v="2"/>
    <x v="197"/>
    <x v="1"/>
    <n v="126"/>
  </r>
  <r>
    <x v="2"/>
    <x v="180"/>
    <x v="6"/>
    <n v="367.5"/>
  </r>
  <r>
    <x v="2"/>
    <x v="123"/>
    <x v="1"/>
    <n v="199.49999984353781"/>
  </r>
  <r>
    <x v="2"/>
    <x v="221"/>
    <x v="8"/>
    <n v="70"/>
  </r>
  <r>
    <x v="2"/>
    <x v="147"/>
    <x v="8"/>
    <n v="111.99999958276749"/>
  </r>
  <r>
    <x v="2"/>
    <x v="22"/>
    <x v="1"/>
    <n v="67.199999749660492"/>
  </r>
  <r>
    <x v="2"/>
    <x v="224"/>
    <x v="0"/>
    <n v="237.99999833106995"/>
  </r>
  <r>
    <x v="2"/>
    <x v="64"/>
    <x v="6"/>
    <n v="132.99999989569187"/>
  </r>
  <r>
    <x v="2"/>
    <x v="333"/>
    <x v="3"/>
    <n v="70"/>
  </r>
  <r>
    <x v="2"/>
    <x v="28"/>
    <x v="8"/>
    <n v="336"/>
  </r>
  <r>
    <x v="2"/>
    <x v="114"/>
    <x v="4"/>
    <n v="210"/>
  </r>
  <r>
    <x v="2"/>
    <x v="371"/>
    <x v="5"/>
    <n v="1058.2499925792217"/>
  </r>
  <r>
    <x v="2"/>
    <x v="372"/>
    <x v="1"/>
    <n v="597.6"/>
  </r>
  <r>
    <x v="2"/>
    <x v="373"/>
    <x v="0"/>
    <n v="398.4"/>
  </r>
  <r>
    <x v="2"/>
    <x v="44"/>
    <x v="0"/>
    <n v="1307.25"/>
  </r>
  <r>
    <x v="2"/>
    <x v="338"/>
    <x v="8"/>
    <n v="709.64999944344163"/>
  </r>
  <r>
    <x v="2"/>
    <x v="211"/>
    <x v="3"/>
    <n v="747"/>
  </r>
  <r>
    <x v="2"/>
    <x v="374"/>
    <x v="8"/>
    <n v="49.8"/>
  </r>
  <r>
    <x v="2"/>
    <x v="375"/>
    <x v="5"/>
    <n v="249"/>
  </r>
  <r>
    <x v="2"/>
    <x v="134"/>
    <x v="5"/>
    <n v="373.5"/>
  </r>
  <r>
    <x v="2"/>
    <x v="376"/>
    <x v="1"/>
    <n v="149.4"/>
  </r>
  <r>
    <x v="2"/>
    <x v="189"/>
    <x v="4"/>
    <n v="747"/>
  </r>
  <r>
    <x v="2"/>
    <x v="349"/>
    <x v="8"/>
    <n v="747"/>
  </r>
  <r>
    <x v="2"/>
    <x v="91"/>
    <x v="5"/>
    <n v="1249.2"/>
  </r>
  <r>
    <x v="2"/>
    <x v="139"/>
    <x v="0"/>
    <n v="187.38"/>
  </r>
  <r>
    <x v="2"/>
    <x v="296"/>
    <x v="5"/>
    <n v="148.3424998836592"/>
  </r>
  <r>
    <x v="2"/>
    <x v="241"/>
    <x v="4"/>
    <n v="929.09249348491426"/>
  </r>
  <r>
    <x v="2"/>
    <x v="302"/>
    <x v="0"/>
    <n v="796.36499441564081"/>
  </r>
  <r>
    <x v="2"/>
    <x v="377"/>
    <x v="8"/>
    <n v="468.45"/>
  </r>
  <r>
    <x v="2"/>
    <x v="55"/>
    <x v="0"/>
    <n v="936.9"/>
  </r>
  <r>
    <x v="2"/>
    <x v="306"/>
    <x v="5"/>
    <n v="468.45"/>
  </r>
  <r>
    <x v="2"/>
    <x v="21"/>
    <x v="5"/>
    <n v="337.28399944156405"/>
  </r>
  <r>
    <x v="2"/>
    <x v="219"/>
    <x v="5"/>
    <n v="624.6"/>
  </r>
  <r>
    <x v="2"/>
    <x v="304"/>
    <x v="5"/>
    <n v="524.66399804547427"/>
  </r>
  <r>
    <x v="2"/>
    <x v="163"/>
    <x v="5"/>
    <n v="1061.8199925541878"/>
  </r>
  <r>
    <x v="2"/>
    <x v="222"/>
    <x v="0"/>
    <n v="374.76"/>
  </r>
  <r>
    <x v="2"/>
    <x v="224"/>
    <x v="7"/>
    <n v="477.81899664938447"/>
  </r>
  <r>
    <x v="2"/>
    <x v="65"/>
    <x v="3"/>
    <n v="819.78749999999991"/>
  </r>
  <r>
    <x v="2"/>
    <x v="25"/>
    <x v="4"/>
    <n v="624.6"/>
  </r>
  <r>
    <x v="2"/>
    <x v="251"/>
    <x v="2"/>
    <n v="156.15"/>
  </r>
  <r>
    <x v="2"/>
    <x v="31"/>
    <x v="5"/>
    <n v="187.38"/>
  </r>
  <r>
    <x v="2"/>
    <x v="71"/>
    <x v="5"/>
    <n v="1967.49"/>
  </r>
  <r>
    <x v="2"/>
    <x v="32"/>
    <x v="1"/>
    <n v="374.76"/>
  </r>
  <r>
    <x v="2"/>
    <x v="167"/>
    <x v="1"/>
    <n v="877.5"/>
  </r>
  <r>
    <x v="2"/>
    <x v="201"/>
    <x v="1"/>
    <n v="394.875"/>
  </r>
  <r>
    <x v="2"/>
    <x v="47"/>
    <x v="5"/>
    <n v="1755"/>
  </r>
  <r>
    <x v="2"/>
    <x v="341"/>
    <x v="8"/>
    <n v="5268"/>
  </r>
  <r>
    <x v="2"/>
    <x v="378"/>
    <x v="0"/>
    <n v="2195"/>
  </r>
  <r>
    <x v="2"/>
    <x v="197"/>
    <x v="1"/>
    <n v="1756"/>
  </r>
  <r>
    <x v="2"/>
    <x v="101"/>
    <x v="8"/>
    <n v="439"/>
  </r>
  <r>
    <x v="2"/>
    <x v="248"/>
    <x v="1"/>
    <n v="1097.5"/>
  </r>
  <r>
    <x v="2"/>
    <x v="107"/>
    <x v="3"/>
    <n v="1317"/>
  </r>
  <r>
    <x v="2"/>
    <x v="379"/>
    <x v="5"/>
    <n v="97.279999637603751"/>
  </r>
  <r>
    <x v="2"/>
    <x v="45"/>
    <x v="1"/>
    <n v="418"/>
  </r>
  <r>
    <x v="2"/>
    <x v="364"/>
    <x v="1"/>
    <n v="171"/>
  </r>
  <r>
    <x v="2"/>
    <x v="380"/>
    <x v="2"/>
    <n v="228"/>
  </r>
  <r>
    <x v="2"/>
    <x v="88"/>
    <x v="4"/>
    <n v="48.449999660253525"/>
  </r>
  <r>
    <x v="2"/>
    <x v="381"/>
    <x v="0"/>
    <n v="237.5"/>
  </r>
  <r>
    <x v="2"/>
    <x v="382"/>
    <x v="4"/>
    <n v="142.5"/>
  </r>
  <r>
    <x v="2"/>
    <x v="297"/>
    <x v="2"/>
    <n v="51.299999915063381"/>
  </r>
  <r>
    <x v="2"/>
    <x v="297"/>
    <x v="8"/>
    <n v="95"/>
  </r>
  <r>
    <x v="2"/>
    <x v="383"/>
    <x v="5"/>
    <n v="380"/>
  </r>
  <r>
    <x v="2"/>
    <x v="384"/>
    <x v="1"/>
    <n v="142.5"/>
  </r>
  <r>
    <x v="2"/>
    <x v="218"/>
    <x v="5"/>
    <n v="114"/>
  </r>
  <r>
    <x v="2"/>
    <x v="351"/>
    <x v="0"/>
    <n v="47.5"/>
  </r>
  <r>
    <x v="2"/>
    <x v="55"/>
    <x v="6"/>
    <n v="356.25"/>
  </r>
  <r>
    <x v="2"/>
    <x v="385"/>
    <x v="1"/>
    <n v="213.75"/>
  </r>
  <r>
    <x v="2"/>
    <x v="180"/>
    <x v="5"/>
    <n v="285"/>
  </r>
  <r>
    <x v="2"/>
    <x v="148"/>
    <x v="7"/>
    <n v="285"/>
  </r>
  <r>
    <x v="2"/>
    <x v="353"/>
    <x v="1"/>
    <n v="179.54999970272183"/>
  </r>
  <r>
    <x v="2"/>
    <x v="247"/>
    <x v="0"/>
    <n v="47.5"/>
  </r>
  <r>
    <x v="2"/>
    <x v="249"/>
    <x v="0"/>
    <n v="9.5"/>
  </r>
  <r>
    <x v="2"/>
    <x v="250"/>
    <x v="2"/>
    <n v="133"/>
  </r>
  <r>
    <x v="2"/>
    <x v="107"/>
    <x v="3"/>
    <n v="285"/>
  </r>
  <r>
    <x v="2"/>
    <x v="338"/>
    <x v="1"/>
    <n v="606.89999574422836"/>
  </r>
  <r>
    <x v="2"/>
    <x v="212"/>
    <x v="0"/>
    <n v="137.69999977201223"/>
  </r>
  <r>
    <x v="2"/>
    <x v="192"/>
    <x v="4"/>
    <n v="162.56249886006117"/>
  </r>
  <r>
    <x v="2"/>
    <x v="267"/>
    <x v="0"/>
    <n v="68.849999886006117"/>
  </r>
  <r>
    <x v="2"/>
    <x v="54"/>
    <x v="2"/>
    <n v="306"/>
  </r>
  <r>
    <x v="2"/>
    <x v="62"/>
    <x v="5"/>
    <n v="86.699999392032623"/>
  </r>
  <r>
    <x v="2"/>
    <x v="166"/>
    <x v="5"/>
    <n v="640"/>
  </r>
  <r>
    <x v="2"/>
    <x v="286"/>
    <x v="3"/>
    <n v="240"/>
  </r>
  <r>
    <x v="2"/>
    <x v="386"/>
    <x v="0"/>
    <n v="480"/>
  </r>
  <r>
    <x v="2"/>
    <x v="156"/>
    <x v="1"/>
    <n v="560"/>
  </r>
  <r>
    <x v="2"/>
    <x v="132"/>
    <x v="0"/>
    <n v="480"/>
  </r>
  <r>
    <x v="2"/>
    <x v="338"/>
    <x v="8"/>
    <n v="455.99999964237213"/>
  </r>
  <r>
    <x v="2"/>
    <x v="365"/>
    <x v="3"/>
    <n v="285.59999799728394"/>
  </r>
  <r>
    <x v="2"/>
    <x v="380"/>
    <x v="3"/>
    <n v="384"/>
  </r>
  <r>
    <x v="2"/>
    <x v="387"/>
    <x v="1"/>
    <n v="500"/>
  </r>
  <r>
    <x v="2"/>
    <x v="366"/>
    <x v="2"/>
    <n v="120"/>
  </r>
  <r>
    <x v="2"/>
    <x v="267"/>
    <x v="3"/>
    <n v="474.99999962747097"/>
  </r>
  <r>
    <x v="2"/>
    <x v="268"/>
    <x v="0"/>
    <n v="360"/>
  </r>
  <r>
    <x v="2"/>
    <x v="123"/>
    <x v="2"/>
    <n v="67.999999523162842"/>
  </r>
  <r>
    <x v="2"/>
    <x v="25"/>
    <x v="4"/>
    <n v="755.99999874830246"/>
  </r>
  <r>
    <x v="2"/>
    <x v="353"/>
    <x v="1"/>
    <n v="300"/>
  </r>
  <r>
    <x v="2"/>
    <x v="388"/>
    <x v="1"/>
    <n v="339.99999761581421"/>
  </r>
  <r>
    <x v="2"/>
    <x v="27"/>
    <x v="0"/>
    <n v="200"/>
  </r>
  <r>
    <x v="2"/>
    <x v="389"/>
    <x v="7"/>
    <n v="560"/>
  </r>
  <r>
    <x v="2"/>
    <x v="106"/>
    <x v="8"/>
    <n v="800"/>
  </r>
  <r>
    <x v="2"/>
    <x v="226"/>
    <x v="2"/>
    <n v="40"/>
  </r>
  <r>
    <x v="2"/>
    <x v="151"/>
    <x v="0"/>
    <n v="1200"/>
  </r>
  <r>
    <x v="2"/>
    <x v="154"/>
    <x v="2"/>
    <n v="175.49999970942736"/>
  </r>
  <r>
    <x v="2"/>
    <x v="357"/>
    <x v="3"/>
    <n v="195"/>
  </r>
  <r>
    <x v="2"/>
    <x v="311"/>
    <x v="5"/>
    <n v="520"/>
  </r>
  <r>
    <x v="2"/>
    <x v="84"/>
    <x v="0"/>
    <n v="325"/>
  </r>
  <r>
    <x v="2"/>
    <x v="283"/>
    <x v="2"/>
    <n v="385.93749969732016"/>
  </r>
  <r>
    <x v="2"/>
    <x v="18"/>
    <x v="7"/>
    <n v="878"/>
  </r>
  <r>
    <x v="2"/>
    <x v="20"/>
    <x v="3"/>
    <n v="650"/>
  </r>
  <r>
    <x v="2"/>
    <x v="21"/>
    <x v="5"/>
    <n v="292.49999951571226"/>
  </r>
  <r>
    <x v="2"/>
    <x v="103"/>
    <x v="1"/>
    <n v="390"/>
  </r>
  <r>
    <x v="2"/>
    <x v="292"/>
    <x v="5"/>
    <n v="146.25"/>
  </r>
  <r>
    <x v="2"/>
    <x v="36"/>
    <x v="1"/>
    <n v="357.5"/>
  </r>
  <r>
    <x v="2"/>
    <x v="126"/>
    <x v="1"/>
    <n v="443.25"/>
  </r>
  <r>
    <x v="2"/>
    <x v="390"/>
    <x v="8"/>
    <n v="472.8"/>
  </r>
  <r>
    <x v="2"/>
    <x v="127"/>
    <x v="3"/>
    <n v="1576"/>
  </r>
  <r>
    <x v="2"/>
    <x v="40"/>
    <x v="2"/>
    <n v="591"/>
  </r>
  <r>
    <x v="2"/>
    <x v="391"/>
    <x v="8"/>
    <n v="394"/>
  </r>
  <r>
    <x v="2"/>
    <x v="336"/>
    <x v="3"/>
    <n v="197"/>
  </r>
  <r>
    <x v="2"/>
    <x v="392"/>
    <x v="0"/>
    <n v="886.49999853223562"/>
  </r>
  <r>
    <x v="2"/>
    <x v="393"/>
    <x v="0"/>
    <n v="2758"/>
  </r>
  <r>
    <x v="2"/>
    <x v="278"/>
    <x v="8"/>
    <n v="1103.2"/>
  </r>
  <r>
    <x v="2"/>
    <x v="210"/>
    <x v="1"/>
    <n v="788"/>
  </r>
  <r>
    <x v="2"/>
    <x v="44"/>
    <x v="0"/>
    <n v="394"/>
  </r>
  <r>
    <x v="2"/>
    <x v="394"/>
    <x v="3"/>
    <n v="1379"/>
  </r>
  <r>
    <x v="2"/>
    <x v="7"/>
    <x v="5"/>
    <n v="1576"/>
  </r>
  <r>
    <x v="2"/>
    <x v="395"/>
    <x v="5"/>
    <n v="1379"/>
  </r>
  <r>
    <x v="2"/>
    <x v="396"/>
    <x v="5"/>
    <n v="147.9"/>
  </r>
  <r>
    <x v="2"/>
    <x v="135"/>
    <x v="0"/>
    <n v="1972"/>
  </r>
  <r>
    <x v="2"/>
    <x v="137"/>
    <x v="1"/>
    <n v="936.69999926537275"/>
  </r>
  <r>
    <x v="2"/>
    <x v="301"/>
    <x v="3"/>
    <n v="554.625"/>
  </r>
  <r>
    <x v="2"/>
    <x v="397"/>
    <x v="0"/>
    <n v="443.69999926537275"/>
  </r>
  <r>
    <x v="2"/>
    <x v="121"/>
    <x v="1"/>
    <n v="493"/>
  </r>
  <r>
    <x v="2"/>
    <x v="398"/>
    <x v="2"/>
    <n v="493"/>
  </r>
  <r>
    <x v="2"/>
    <x v="281"/>
    <x v="1"/>
    <n v="394.39999853074551"/>
  </r>
  <r>
    <x v="2"/>
    <x v="399"/>
    <x v="3"/>
    <n v="739.5"/>
  </r>
  <r>
    <x v="2"/>
    <x v="241"/>
    <x v="4"/>
    <n v="3352.3999764919281"/>
  </r>
  <r>
    <x v="2"/>
    <x v="161"/>
    <x v="0"/>
    <n v="493"/>
  </r>
  <r>
    <x v="2"/>
    <x v="18"/>
    <x v="8"/>
    <n v="2366.4"/>
  </r>
  <r>
    <x v="2"/>
    <x v="344"/>
    <x v="0"/>
    <n v="986"/>
  </r>
  <r>
    <x v="2"/>
    <x v="312"/>
    <x v="0"/>
    <n v="443.7"/>
  </r>
  <r>
    <x v="2"/>
    <x v="122"/>
    <x v="2"/>
    <n v="1479"/>
  </r>
  <r>
    <x v="2"/>
    <x v="308"/>
    <x v="5"/>
    <n v="739.5"/>
  </r>
  <r>
    <x v="2"/>
    <x v="220"/>
    <x v="5"/>
    <n v="986"/>
  </r>
  <r>
    <x v="2"/>
    <x v="100"/>
    <x v="8"/>
    <n v="98.6"/>
  </r>
  <r>
    <x v="2"/>
    <x v="400"/>
    <x v="1"/>
    <n v="184.875"/>
  </r>
  <r>
    <x v="2"/>
    <x v="163"/>
    <x v="1"/>
    <n v="936.69999926537275"/>
  </r>
  <r>
    <x v="2"/>
    <x v="163"/>
    <x v="5"/>
    <n v="1047.6249926537275"/>
  </r>
  <r>
    <x v="2"/>
    <x v="146"/>
    <x v="2"/>
    <n v="147.9"/>
  </r>
  <r>
    <x v="2"/>
    <x v="64"/>
    <x v="3"/>
    <n v="2465"/>
  </r>
  <r>
    <x v="2"/>
    <x v="368"/>
    <x v="1"/>
    <n v="147.9"/>
  </r>
  <r>
    <x v="2"/>
    <x v="291"/>
    <x v="6"/>
    <n v="936.69999926537275"/>
  </r>
  <r>
    <x v="2"/>
    <x v="401"/>
    <x v="0"/>
    <n v="251.42999823689462"/>
  </r>
  <r>
    <x v="2"/>
    <x v="26"/>
    <x v="5"/>
    <n v="1725.5"/>
  </r>
  <r>
    <x v="2"/>
    <x v="248"/>
    <x v="3"/>
    <n v="621.17999897152185"/>
  </r>
  <r>
    <x v="2"/>
    <x v="389"/>
    <x v="4"/>
    <n v="1109.25"/>
  </r>
  <r>
    <x v="2"/>
    <x v="292"/>
    <x v="8"/>
    <n v="2958"/>
  </r>
  <r>
    <x v="2"/>
    <x v="164"/>
    <x v="1"/>
    <n v="502.85999647378924"/>
  </r>
  <r>
    <x v="2"/>
    <x v="200"/>
    <x v="5"/>
    <n v="1774.799997061491"/>
  </r>
  <r>
    <x v="2"/>
    <x v="112"/>
    <x v="0"/>
    <n v="776.47499999999991"/>
  </r>
  <r>
    <x v="2"/>
    <x v="152"/>
    <x v="1"/>
    <n v="591.6"/>
  </r>
  <r>
    <x v="2"/>
    <x v="402"/>
    <x v="1"/>
    <n v="26.999999955296516"/>
  </r>
  <r>
    <x v="2"/>
    <x v="324"/>
    <x v="8"/>
    <n v="200"/>
  </r>
  <r>
    <x v="2"/>
    <x v="314"/>
    <x v="4"/>
    <n v="134.99999977648258"/>
  </r>
  <r>
    <x v="2"/>
    <x v="391"/>
    <x v="8"/>
    <n v="30"/>
  </r>
  <r>
    <x v="2"/>
    <x v="315"/>
    <x v="1"/>
    <n v="100"/>
  </r>
  <r>
    <x v="2"/>
    <x v="403"/>
    <x v="3"/>
    <n v="100"/>
  </r>
  <r>
    <x v="2"/>
    <x v="257"/>
    <x v="1"/>
    <n v="37.999999970197678"/>
  </r>
  <r>
    <x v="2"/>
    <x v="404"/>
    <x v="0"/>
    <n v="63.999999761581421"/>
  </r>
  <r>
    <x v="2"/>
    <x v="258"/>
    <x v="3"/>
    <n v="600"/>
  </r>
  <r>
    <x v="2"/>
    <x v="158"/>
    <x v="1"/>
    <n v="270"/>
  </r>
  <r>
    <x v="2"/>
    <x v="133"/>
    <x v="4"/>
    <n v="239.99999910593033"/>
  </r>
  <r>
    <x v="2"/>
    <x v="231"/>
    <x v="3"/>
    <n v="157.5"/>
  </r>
  <r>
    <x v="2"/>
    <x v="233"/>
    <x v="4"/>
    <n v="300"/>
  </r>
  <r>
    <x v="2"/>
    <x v="90"/>
    <x v="3"/>
    <n v="75"/>
  </r>
  <r>
    <x v="2"/>
    <x v="405"/>
    <x v="6"/>
    <n v="250"/>
  </r>
  <r>
    <x v="2"/>
    <x v="91"/>
    <x v="5"/>
    <n v="437.5"/>
  </r>
  <r>
    <x v="2"/>
    <x v="290"/>
    <x v="0"/>
    <n v="187.5"/>
  </r>
  <r>
    <x v="2"/>
    <x v="51"/>
    <x v="1"/>
    <n v="179.99999932944775"/>
  </r>
  <r>
    <x v="2"/>
    <x v="179"/>
    <x v="5"/>
    <n v="125"/>
  </r>
  <r>
    <x v="2"/>
    <x v="19"/>
    <x v="5"/>
    <n v="399.99999850988388"/>
  </r>
  <r>
    <x v="2"/>
    <x v="56"/>
    <x v="3"/>
    <n v="562.5"/>
  </r>
  <r>
    <x v="2"/>
    <x v="122"/>
    <x v="3"/>
    <n v="59.999999776482582"/>
  </r>
  <r>
    <x v="2"/>
    <x v="58"/>
    <x v="1"/>
    <n v="500"/>
  </r>
  <r>
    <x v="2"/>
    <x v="145"/>
    <x v="0"/>
    <n v="225"/>
  </r>
  <r>
    <x v="2"/>
    <x v="60"/>
    <x v="0"/>
    <n v="187.5"/>
  </r>
  <r>
    <x v="2"/>
    <x v="63"/>
    <x v="1"/>
    <n v="300"/>
  </r>
  <r>
    <x v="2"/>
    <x v="199"/>
    <x v="0"/>
    <n v="250"/>
  </r>
  <r>
    <x v="2"/>
    <x v="25"/>
    <x v="6"/>
    <n v="250"/>
  </r>
  <r>
    <x v="2"/>
    <x v="68"/>
    <x v="0"/>
    <n v="225"/>
  </r>
  <r>
    <x v="2"/>
    <x v="26"/>
    <x v="5"/>
    <n v="250"/>
  </r>
  <r>
    <x v="2"/>
    <x v="389"/>
    <x v="4"/>
    <n v="750"/>
  </r>
  <r>
    <x v="2"/>
    <x v="111"/>
    <x v="8"/>
    <n v="25"/>
  </r>
  <r>
    <x v="2"/>
    <x v="35"/>
    <x v="4"/>
    <n v="525"/>
  </r>
  <r>
    <x v="2"/>
    <x v="125"/>
    <x v="0"/>
    <n v="687.5"/>
  </r>
  <r>
    <x v="3"/>
    <x v="335"/>
    <x v="2"/>
    <n v="201.6"/>
  </r>
  <r>
    <x v="3"/>
    <x v="41"/>
    <x v="8"/>
    <n v="671.99999749660492"/>
  </r>
  <r>
    <x v="3"/>
    <x v="155"/>
    <x v="4"/>
    <n v="161.27999939918519"/>
  </r>
  <r>
    <x v="3"/>
    <x v="406"/>
    <x v="5"/>
    <n v="403.2"/>
  </r>
  <r>
    <x v="3"/>
    <x v="6"/>
    <x v="8"/>
    <n v="504"/>
  </r>
  <r>
    <x v="3"/>
    <x v="260"/>
    <x v="5"/>
    <n v="100.8"/>
  </r>
  <r>
    <x v="3"/>
    <x v="325"/>
    <x v="5"/>
    <n v="504"/>
  </r>
  <r>
    <x v="3"/>
    <x v="134"/>
    <x v="3"/>
    <n v="80.639999699592593"/>
  </r>
  <r>
    <x v="3"/>
    <x v="85"/>
    <x v="1"/>
    <n v="168"/>
  </r>
  <r>
    <x v="3"/>
    <x v="349"/>
    <x v="0"/>
    <n v="84"/>
  </r>
  <r>
    <x v="3"/>
    <x v="340"/>
    <x v="2"/>
    <n v="189"/>
  </r>
  <r>
    <x v="3"/>
    <x v="407"/>
    <x v="2"/>
    <n v="63"/>
  </r>
  <r>
    <x v="3"/>
    <x v="408"/>
    <x v="1"/>
    <n v="944.99999843537807"/>
  </r>
  <r>
    <x v="3"/>
    <x v="409"/>
    <x v="0"/>
    <n v="299.24999976530671"/>
  </r>
  <r>
    <x v="3"/>
    <x v="410"/>
    <x v="3"/>
    <n v="210"/>
  </r>
  <r>
    <x v="3"/>
    <x v="137"/>
    <x v="8"/>
    <n v="315"/>
  </r>
  <r>
    <x v="3"/>
    <x v="262"/>
    <x v="7"/>
    <n v="624.74999561905861"/>
  </r>
  <r>
    <x v="3"/>
    <x v="411"/>
    <x v="5"/>
    <n v="299.24999976530671"/>
  </r>
  <r>
    <x v="3"/>
    <x v="176"/>
    <x v="3"/>
    <n v="294"/>
  </r>
  <r>
    <x v="3"/>
    <x v="283"/>
    <x v="2"/>
    <n v="210"/>
  </r>
  <r>
    <x v="3"/>
    <x v="218"/>
    <x v="1"/>
    <n v="315"/>
  </r>
  <r>
    <x v="3"/>
    <x v="284"/>
    <x v="1"/>
    <n v="105"/>
  </r>
  <r>
    <x v="3"/>
    <x v="412"/>
    <x v="3"/>
    <n v="236.25"/>
  </r>
  <r>
    <x v="3"/>
    <x v="304"/>
    <x v="4"/>
    <n v="420"/>
  </r>
  <r>
    <x v="3"/>
    <x v="100"/>
    <x v="0"/>
    <n v="944.99999843537807"/>
  </r>
  <r>
    <x v="3"/>
    <x v="222"/>
    <x v="6"/>
    <n v="377.99999937415123"/>
  </r>
  <r>
    <x v="3"/>
    <x v="199"/>
    <x v="0"/>
    <n v="315"/>
  </r>
  <r>
    <x v="3"/>
    <x v="368"/>
    <x v="3"/>
    <n v="525"/>
  </r>
  <r>
    <x v="3"/>
    <x v="25"/>
    <x v="6"/>
    <n v="210"/>
  </r>
  <r>
    <x v="3"/>
    <x v="68"/>
    <x v="7"/>
    <n v="840"/>
  </r>
  <r>
    <x v="3"/>
    <x v="27"/>
    <x v="8"/>
    <n v="630"/>
  </r>
  <r>
    <x v="3"/>
    <x v="246"/>
    <x v="1"/>
    <n v="42"/>
  </r>
  <r>
    <x v="3"/>
    <x v="104"/>
    <x v="2"/>
    <n v="78.75"/>
  </r>
  <r>
    <x v="3"/>
    <x v="108"/>
    <x v="3"/>
    <n v="630"/>
  </r>
  <r>
    <x v="3"/>
    <x v="200"/>
    <x v="8"/>
    <n v="315"/>
  </r>
  <r>
    <x v="3"/>
    <x v="72"/>
    <x v="6"/>
    <n v="210"/>
  </r>
  <r>
    <x v="3"/>
    <x v="36"/>
    <x v="8"/>
    <n v="210"/>
  </r>
  <r>
    <x v="3"/>
    <x v="413"/>
    <x v="5"/>
    <n v="346.55999972820285"/>
  </r>
  <r>
    <x v="3"/>
    <x v="339"/>
    <x v="2"/>
    <n v="456"/>
  </r>
  <r>
    <x v="3"/>
    <x v="414"/>
    <x v="5"/>
    <n v="427.5"/>
  </r>
  <r>
    <x v="3"/>
    <x v="203"/>
    <x v="3"/>
    <n v="968.9999932050705"/>
  </r>
  <r>
    <x v="3"/>
    <x v="241"/>
    <x v="4"/>
    <n v="1162.7999918460846"/>
  </r>
  <r>
    <x v="3"/>
    <x v="415"/>
    <x v="4"/>
    <n v="3800"/>
  </r>
  <r>
    <x v="3"/>
    <x v="98"/>
    <x v="4"/>
    <n v="152"/>
  </r>
  <r>
    <x v="3"/>
    <x v="344"/>
    <x v="0"/>
    <n v="1368"/>
  </r>
  <r>
    <x v="3"/>
    <x v="106"/>
    <x v="0"/>
    <n v="1140"/>
  </r>
  <r>
    <x v="3"/>
    <x v="107"/>
    <x v="3"/>
    <n v="760"/>
  </r>
  <r>
    <x v="3"/>
    <x v="226"/>
    <x v="1"/>
    <n v="760"/>
  </r>
  <r>
    <x v="3"/>
    <x v="152"/>
    <x v="3"/>
    <n v="721.99999943375587"/>
  </r>
  <r>
    <x v="3"/>
    <x v="35"/>
    <x v="5"/>
    <n v="121.5999995470047"/>
  </r>
  <r>
    <x v="3"/>
    <x v="73"/>
    <x v="0"/>
    <n v="72.199999943375587"/>
  </r>
  <r>
    <x v="3"/>
    <x v="166"/>
    <x v="5"/>
    <n v="200"/>
  </r>
  <r>
    <x v="3"/>
    <x v="355"/>
    <x v="2"/>
    <n v="400"/>
  </r>
  <r>
    <x v="3"/>
    <x v="254"/>
    <x v="5"/>
    <n v="142.49999988824129"/>
  </r>
  <r>
    <x v="3"/>
    <x v="289"/>
    <x v="0"/>
    <n v="40"/>
  </r>
  <r>
    <x v="3"/>
    <x v="42"/>
    <x v="4"/>
    <n v="199.99999925494194"/>
  </r>
  <r>
    <x v="3"/>
    <x v="43"/>
    <x v="1"/>
    <n v="447.99999833106995"/>
  </r>
  <r>
    <x v="3"/>
    <x v="416"/>
    <x v="2"/>
    <n v="300"/>
  </r>
  <r>
    <x v="3"/>
    <x v="337"/>
    <x v="6"/>
    <n v="664.99999947845936"/>
  </r>
  <r>
    <x v="3"/>
    <x v="229"/>
    <x v="1"/>
    <n v="200"/>
  </r>
  <r>
    <x v="3"/>
    <x v="417"/>
    <x v="0"/>
    <n v="300"/>
  </r>
  <r>
    <x v="3"/>
    <x v="172"/>
    <x v="0"/>
    <n v="398.99999968707561"/>
  </r>
  <r>
    <x v="3"/>
    <x v="130"/>
    <x v="2"/>
    <n v="539.99999910593033"/>
  </r>
  <r>
    <x v="3"/>
    <x v="44"/>
    <x v="0"/>
    <n v="320"/>
  </r>
  <r>
    <x v="3"/>
    <x v="133"/>
    <x v="2"/>
    <n v="140"/>
  </r>
  <r>
    <x v="3"/>
    <x v="83"/>
    <x v="2"/>
    <n v="26.999999955296516"/>
  </r>
  <r>
    <x v="3"/>
    <x v="261"/>
    <x v="7"/>
    <n v="297.49999791383743"/>
  </r>
  <r>
    <x v="3"/>
    <x v="329"/>
    <x v="4"/>
    <n v="189.99999985098839"/>
  </r>
  <r>
    <x v="3"/>
    <x v="414"/>
    <x v="5"/>
    <n v="250"/>
  </r>
  <r>
    <x v="3"/>
    <x v="414"/>
    <x v="0"/>
    <n v="375"/>
  </r>
  <r>
    <x v="3"/>
    <x v="418"/>
    <x v="6"/>
    <n v="584.37499590218067"/>
  </r>
  <r>
    <x v="3"/>
    <x v="137"/>
    <x v="8"/>
    <n v="375"/>
  </r>
  <r>
    <x v="3"/>
    <x v="419"/>
    <x v="1"/>
    <n v="71.249999944120646"/>
  </r>
  <r>
    <x v="3"/>
    <x v="262"/>
    <x v="0"/>
    <n v="599.99999776482582"/>
  </r>
  <r>
    <x v="3"/>
    <x v="263"/>
    <x v="6"/>
    <n v="349.9999986961484"/>
  </r>
  <r>
    <x v="3"/>
    <x v="11"/>
    <x v="5"/>
    <n v="250"/>
  </r>
  <r>
    <x v="3"/>
    <x v="420"/>
    <x v="1"/>
    <n v="593.74999953433871"/>
  </r>
  <r>
    <x v="3"/>
    <x v="216"/>
    <x v="4"/>
    <n v="237.49999981373549"/>
  </r>
  <r>
    <x v="3"/>
    <x v="421"/>
    <x v="0"/>
    <n v="89.999999850988388"/>
  </r>
  <r>
    <x v="3"/>
    <x v="343"/>
    <x v="0"/>
    <n v="187.5"/>
  </r>
  <r>
    <x v="3"/>
    <x v="422"/>
    <x v="7"/>
    <n v="250"/>
  </r>
  <r>
    <x v="3"/>
    <x v="56"/>
    <x v="3"/>
    <n v="625"/>
  </r>
  <r>
    <x v="3"/>
    <x v="321"/>
    <x v="6"/>
    <n v="35.624999972060323"/>
  </r>
  <r>
    <x v="3"/>
    <x v="312"/>
    <x v="2"/>
    <n v="100"/>
  </r>
  <r>
    <x v="3"/>
    <x v="308"/>
    <x v="5"/>
    <n v="625"/>
  </r>
  <r>
    <x v="3"/>
    <x v="244"/>
    <x v="0"/>
    <n v="699.99999739229679"/>
  </r>
  <r>
    <x v="3"/>
    <x v="244"/>
    <x v="1"/>
    <n v="18.75"/>
  </r>
  <r>
    <x v="3"/>
    <x v="423"/>
    <x v="0"/>
    <n v="189.99999985098839"/>
  </r>
  <r>
    <x v="3"/>
    <x v="424"/>
    <x v="7"/>
    <n v="12.5"/>
  </r>
  <r>
    <x v="3"/>
    <x v="162"/>
    <x v="1"/>
    <n v="125"/>
  </r>
  <r>
    <x v="3"/>
    <x v="332"/>
    <x v="6"/>
    <n v="179.99999970197678"/>
  </r>
  <r>
    <x v="3"/>
    <x v="181"/>
    <x v="2"/>
    <n v="437.5"/>
  </r>
  <r>
    <x v="3"/>
    <x v="223"/>
    <x v="2"/>
    <n v="101.24999983236194"/>
  </r>
  <r>
    <x v="3"/>
    <x v="323"/>
    <x v="5"/>
    <n v="175"/>
  </r>
  <r>
    <x v="3"/>
    <x v="333"/>
    <x v="0"/>
    <n v="437.5"/>
  </r>
  <r>
    <x v="3"/>
    <x v="389"/>
    <x v="4"/>
    <n v="412.5"/>
  </r>
  <r>
    <x v="3"/>
    <x v="104"/>
    <x v="1"/>
    <n v="125"/>
  </r>
  <r>
    <x v="3"/>
    <x v="249"/>
    <x v="7"/>
    <n v="593.74999953433871"/>
  </r>
  <r>
    <x v="3"/>
    <x v="250"/>
    <x v="6"/>
    <n v="265.62499813735485"/>
  </r>
  <r>
    <x v="3"/>
    <x v="107"/>
    <x v="3"/>
    <n v="300"/>
  </r>
  <r>
    <x v="3"/>
    <x v="334"/>
    <x v="7"/>
    <n v="187.5"/>
  </r>
  <r>
    <x v="3"/>
    <x v="36"/>
    <x v="8"/>
    <n v="250"/>
  </r>
  <r>
    <x v="3"/>
    <x v="38"/>
    <x v="0"/>
    <n v="122.87999954223632"/>
  </r>
  <r>
    <x v="3"/>
    <x v="392"/>
    <x v="0"/>
    <n v="921.59999847412109"/>
  </r>
  <r>
    <x v="3"/>
    <x v="42"/>
    <x v="4"/>
    <n v="122.87999954223632"/>
  </r>
  <r>
    <x v="3"/>
    <x v="235"/>
    <x v="4"/>
    <n v="1279.9999952316284"/>
  </r>
  <r>
    <x v="3"/>
    <x v="135"/>
    <x v="5"/>
    <n v="652.79999542236328"/>
  </r>
  <r>
    <x v="3"/>
    <x v="238"/>
    <x v="5"/>
    <n v="287.99999952316284"/>
  </r>
  <r>
    <x v="3"/>
    <x v="422"/>
    <x v="7"/>
    <n v="128"/>
  </r>
  <r>
    <x v="3"/>
    <x v="219"/>
    <x v="5"/>
    <n v="320"/>
  </r>
  <r>
    <x v="3"/>
    <x v="198"/>
    <x v="4"/>
    <n v="640"/>
  </r>
  <r>
    <x v="3"/>
    <x v="348"/>
    <x v="0"/>
    <n v="192"/>
  </r>
  <r>
    <x v="3"/>
    <x v="108"/>
    <x v="8"/>
    <n v="1007.9999983310699"/>
  </r>
  <r>
    <x v="3"/>
    <x v="109"/>
    <x v="3"/>
    <n v="1600"/>
  </r>
  <r>
    <x v="3"/>
    <x v="152"/>
    <x v="3"/>
    <n v="455.99999964237213"/>
  </r>
  <r>
    <x v="3"/>
    <x v="113"/>
    <x v="8"/>
    <n v="640"/>
  </r>
  <r>
    <x v="3"/>
    <x v="73"/>
    <x v="0"/>
    <n v="32"/>
  </r>
  <r>
    <x v="3"/>
    <x v="354"/>
    <x v="1"/>
    <n v="47.499999962747097"/>
  </r>
  <r>
    <x v="3"/>
    <x v="425"/>
    <x v="6"/>
    <n v="113.99999991059303"/>
  </r>
  <r>
    <x v="3"/>
    <x v="184"/>
    <x v="2"/>
    <n v="48"/>
  </r>
  <r>
    <x v="3"/>
    <x v="254"/>
    <x v="5"/>
    <n v="40"/>
  </r>
  <r>
    <x v="3"/>
    <x v="188"/>
    <x v="4"/>
    <n v="16"/>
  </r>
  <r>
    <x v="3"/>
    <x v="287"/>
    <x v="1"/>
    <n v="120"/>
  </r>
  <r>
    <x v="3"/>
    <x v="299"/>
    <x v="5"/>
    <n v="98"/>
  </r>
  <r>
    <x v="3"/>
    <x v="7"/>
    <x v="8"/>
    <n v="100"/>
  </r>
  <r>
    <x v="3"/>
    <x v="426"/>
    <x v="5"/>
    <n v="40"/>
  </r>
  <r>
    <x v="3"/>
    <x v="212"/>
    <x v="1"/>
    <n v="31.99999988079071"/>
  </r>
  <r>
    <x v="3"/>
    <x v="232"/>
    <x v="0"/>
    <n v="24"/>
  </r>
  <r>
    <x v="3"/>
    <x v="341"/>
    <x v="8"/>
    <n v="33.999999761581421"/>
  </r>
  <r>
    <x v="3"/>
    <x v="407"/>
    <x v="2"/>
    <n v="15.999999940395355"/>
  </r>
  <r>
    <x v="3"/>
    <x v="414"/>
    <x v="5"/>
    <n v="75"/>
  </r>
  <r>
    <x v="3"/>
    <x v="366"/>
    <x v="2"/>
    <n v="37.5"/>
  </r>
  <r>
    <x v="3"/>
    <x v="397"/>
    <x v="0"/>
    <n v="44.999999925494194"/>
  </r>
  <r>
    <x v="3"/>
    <x v="121"/>
    <x v="1"/>
    <n v="35"/>
  </r>
  <r>
    <x v="3"/>
    <x v="281"/>
    <x v="6"/>
    <n v="35"/>
  </r>
  <r>
    <x v="3"/>
    <x v="52"/>
    <x v="3"/>
    <n v="47.499999962747097"/>
  </r>
  <r>
    <x v="3"/>
    <x v="302"/>
    <x v="0"/>
    <n v="16.99999988079071"/>
  </r>
  <r>
    <x v="3"/>
    <x v="415"/>
    <x v="4"/>
    <n v="75"/>
  </r>
  <r>
    <x v="3"/>
    <x v="242"/>
    <x v="5"/>
    <n v="75"/>
  </r>
  <r>
    <x v="3"/>
    <x v="62"/>
    <x v="8"/>
    <n v="40"/>
  </r>
  <r>
    <x v="3"/>
    <x v="224"/>
    <x v="0"/>
    <n v="8.4999999403953552"/>
  </r>
  <r>
    <x v="3"/>
    <x v="368"/>
    <x v="1"/>
    <n v="87.5"/>
  </r>
  <r>
    <x v="3"/>
    <x v="27"/>
    <x v="1"/>
    <n v="75"/>
  </r>
  <r>
    <x v="3"/>
    <x v="348"/>
    <x v="8"/>
    <n v="75"/>
  </r>
  <r>
    <x v="3"/>
    <x v="249"/>
    <x v="7"/>
    <n v="35.624999972060323"/>
  </r>
  <r>
    <x v="3"/>
    <x v="251"/>
    <x v="1"/>
    <n v="17.5"/>
  </r>
  <r>
    <x v="3"/>
    <x v="32"/>
    <x v="1"/>
    <n v="75"/>
  </r>
  <r>
    <x v="3"/>
    <x v="152"/>
    <x v="2"/>
    <n v="37.5"/>
  </r>
  <r>
    <x v="3"/>
    <x v="114"/>
    <x v="3"/>
    <n v="25"/>
  </r>
  <r>
    <x v="3"/>
    <x v="37"/>
    <x v="7"/>
    <n v="1320"/>
  </r>
  <r>
    <x v="3"/>
    <x v="253"/>
    <x v="1"/>
    <n v="2617.9999816417694"/>
  </r>
  <r>
    <x v="3"/>
    <x v="76"/>
    <x v="0"/>
    <n v="250.79999980330467"/>
  </r>
  <r>
    <x v="3"/>
    <x v="298"/>
    <x v="3"/>
    <n v="660"/>
  </r>
  <r>
    <x v="3"/>
    <x v="40"/>
    <x v="2"/>
    <n v="990"/>
  </r>
  <r>
    <x v="3"/>
    <x v="386"/>
    <x v="0"/>
    <n v="440"/>
  </r>
  <r>
    <x v="3"/>
    <x v="129"/>
    <x v="7"/>
    <n v="1495.9999895095825"/>
  </r>
  <r>
    <x v="3"/>
    <x v="315"/>
    <x v="1"/>
    <n v="396"/>
  </r>
  <r>
    <x v="3"/>
    <x v="188"/>
    <x v="4"/>
    <n v="336.59999763965607"/>
  </r>
  <r>
    <x v="3"/>
    <x v="82"/>
    <x v="0"/>
    <n v="528"/>
  </r>
  <r>
    <x v="3"/>
    <x v="299"/>
    <x v="5"/>
    <n v="704"/>
  </r>
  <r>
    <x v="3"/>
    <x v="299"/>
    <x v="7"/>
    <n v="316.79999881982803"/>
  </r>
  <r>
    <x v="3"/>
    <x v="133"/>
    <x v="2"/>
    <n v="880"/>
  </r>
  <r>
    <x v="3"/>
    <x v="364"/>
    <x v="1"/>
    <n v="2463.9999908208847"/>
  </r>
  <r>
    <x v="3"/>
    <x v="365"/>
    <x v="8"/>
    <n v="1584"/>
  </r>
  <r>
    <x v="3"/>
    <x v="159"/>
    <x v="5"/>
    <n v="2640"/>
  </r>
  <r>
    <x v="3"/>
    <x v="380"/>
    <x v="2"/>
    <n v="528"/>
  </r>
  <r>
    <x v="3"/>
    <x v="427"/>
    <x v="3"/>
    <n v="1320"/>
  </r>
  <r>
    <x v="3"/>
    <x v="233"/>
    <x v="4"/>
    <n v="2640"/>
  </r>
  <r>
    <x v="3"/>
    <x v="213"/>
    <x v="5"/>
    <n v="220"/>
  </r>
  <r>
    <x v="3"/>
    <x v="194"/>
    <x v="4"/>
    <n v="110"/>
  </r>
  <r>
    <x v="3"/>
    <x v="408"/>
    <x v="1"/>
    <n v="742.4999987706542"/>
  </r>
  <r>
    <x v="3"/>
    <x v="262"/>
    <x v="0"/>
    <n v="1759.9999934434891"/>
  </r>
  <r>
    <x v="3"/>
    <x v="264"/>
    <x v="6"/>
    <n v="660"/>
  </r>
  <r>
    <x v="3"/>
    <x v="428"/>
    <x v="4"/>
    <n v="1925"/>
  </r>
  <r>
    <x v="3"/>
    <x v="342"/>
    <x v="0"/>
    <n v="1044.9999991804361"/>
  </r>
  <r>
    <x v="3"/>
    <x v="160"/>
    <x v="1"/>
    <n v="1402.4999901652336"/>
  </r>
  <r>
    <x v="3"/>
    <x v="270"/>
    <x v="0"/>
    <n v="55"/>
  </r>
  <r>
    <x v="3"/>
    <x v="415"/>
    <x v="3"/>
    <n v="660"/>
  </r>
  <r>
    <x v="3"/>
    <x v="217"/>
    <x v="3"/>
    <n v="1375"/>
  </r>
  <r>
    <x v="3"/>
    <x v="271"/>
    <x v="2"/>
    <n v="1963.4999862313271"/>
  </r>
  <r>
    <x v="3"/>
    <x v="54"/>
    <x v="2"/>
    <n v="1925"/>
  </r>
  <r>
    <x v="3"/>
    <x v="196"/>
    <x v="3"/>
    <n v="440"/>
  </r>
  <r>
    <x v="3"/>
    <x v="284"/>
    <x v="8"/>
    <n v="522.49999959021807"/>
  </r>
  <r>
    <x v="3"/>
    <x v="303"/>
    <x v="7"/>
    <n v="2475"/>
  </r>
  <r>
    <x v="3"/>
    <x v="274"/>
    <x v="1"/>
    <n v="330"/>
  </r>
  <r>
    <x v="3"/>
    <x v="429"/>
    <x v="7"/>
    <n v="1168.7499918043613"/>
  </r>
  <r>
    <x v="3"/>
    <x v="122"/>
    <x v="2"/>
    <n v="385"/>
  </r>
  <r>
    <x v="3"/>
    <x v="430"/>
    <x v="5"/>
    <n v="1375"/>
  </r>
  <r>
    <x v="3"/>
    <x v="100"/>
    <x v="7"/>
    <n v="1375"/>
  </r>
  <r>
    <x v="3"/>
    <x v="123"/>
    <x v="1"/>
    <n v="783.7499993853271"/>
  </r>
  <r>
    <x v="3"/>
    <x v="222"/>
    <x v="6"/>
    <n v="1979.9999967217445"/>
  </r>
  <r>
    <x v="3"/>
    <x v="223"/>
    <x v="0"/>
    <n v="825"/>
  </r>
  <r>
    <x v="3"/>
    <x v="199"/>
    <x v="6"/>
    <n v="2750"/>
  </r>
  <r>
    <x v="3"/>
    <x v="64"/>
    <x v="6"/>
    <n v="2194.4999982789159"/>
  </r>
  <r>
    <x v="3"/>
    <x v="431"/>
    <x v="1"/>
    <n v="2089.9999983608723"/>
  </r>
  <r>
    <x v="3"/>
    <x v="292"/>
    <x v="5"/>
    <n v="220"/>
  </r>
  <r>
    <x v="3"/>
    <x v="432"/>
    <x v="8"/>
    <n v="940.49999926239252"/>
  </r>
  <r>
    <x v="3"/>
    <x v="31"/>
    <x v="8"/>
    <n v="550"/>
  </r>
  <r>
    <x v="3"/>
    <x v="226"/>
    <x v="7"/>
    <n v="6050"/>
  </r>
  <r>
    <x v="3"/>
    <x v="112"/>
    <x v="8"/>
    <n v="1320"/>
  </r>
  <r>
    <x v="3"/>
    <x v="33"/>
    <x v="4"/>
    <n v="4125"/>
  </r>
  <r>
    <x v="3"/>
    <x v="33"/>
    <x v="8"/>
    <n v="1650"/>
  </r>
  <r>
    <x v="3"/>
    <x v="34"/>
    <x v="3"/>
    <n v="1650"/>
  </r>
  <r>
    <x v="3"/>
    <x v="354"/>
    <x v="1"/>
    <n v="1088"/>
  </r>
  <r>
    <x v="3"/>
    <x v="294"/>
    <x v="5"/>
    <n v="952"/>
  </r>
  <r>
    <x v="3"/>
    <x v="201"/>
    <x v="1"/>
    <n v="408"/>
  </r>
  <r>
    <x v="3"/>
    <x v="1"/>
    <x v="1"/>
    <n v="571.20000000000005"/>
  </r>
  <r>
    <x v="3"/>
    <x v="373"/>
    <x v="0"/>
    <n v="174.07999935150147"/>
  </r>
  <r>
    <x v="3"/>
    <x v="337"/>
    <x v="6"/>
    <n v="2067.1999983787537"/>
  </r>
  <r>
    <x v="3"/>
    <x v="156"/>
    <x v="0"/>
    <n v="1346.3999977707863"/>
  </r>
  <r>
    <x v="3"/>
    <x v="157"/>
    <x v="6"/>
    <n v="1428"/>
  </r>
  <r>
    <x v="3"/>
    <x v="209"/>
    <x v="3"/>
    <n v="146.87999975681305"/>
  </r>
  <r>
    <x v="3"/>
    <x v="357"/>
    <x v="5"/>
    <n v="408"/>
  </r>
  <r>
    <x v="3"/>
    <x v="404"/>
    <x v="0"/>
    <n v="435.19999837875366"/>
  </r>
  <r>
    <x v="3"/>
    <x v="433"/>
    <x v="1"/>
    <n v="1550.3999987840652"/>
  </r>
  <r>
    <x v="3"/>
    <x v="190"/>
    <x v="1"/>
    <n v="544"/>
  </r>
  <r>
    <x v="3"/>
    <x v="380"/>
    <x v="3"/>
    <n v="1088"/>
  </r>
  <r>
    <x v="3"/>
    <x v="88"/>
    <x v="4"/>
    <n v="346.79999756813049"/>
  </r>
  <r>
    <x v="3"/>
    <x v="341"/>
    <x v="8"/>
    <n v="2427.5999829769135"/>
  </r>
  <r>
    <x v="3"/>
    <x v="434"/>
    <x v="2"/>
    <n v="322.99999974668026"/>
  </r>
  <r>
    <x v="3"/>
    <x v="414"/>
    <x v="5"/>
    <n v="892.5"/>
  </r>
  <r>
    <x v="3"/>
    <x v="420"/>
    <x v="8"/>
    <n v="693.59999513626099"/>
  </r>
  <r>
    <x v="3"/>
    <x v="342"/>
    <x v="0"/>
    <n v="2260.9999982267618"/>
  </r>
  <r>
    <x v="3"/>
    <x v="14"/>
    <x v="2"/>
    <n v="510"/>
  </r>
  <r>
    <x v="3"/>
    <x v="268"/>
    <x v="0"/>
    <n v="1360"/>
  </r>
  <r>
    <x v="3"/>
    <x v="435"/>
    <x v="5"/>
    <n v="340"/>
  </r>
  <r>
    <x v="3"/>
    <x v="399"/>
    <x v="0"/>
    <n v="680"/>
  </r>
  <r>
    <x v="3"/>
    <x v="178"/>
    <x v="0"/>
    <n v="611.99999898672104"/>
  </r>
  <r>
    <x v="3"/>
    <x v="297"/>
    <x v="8"/>
    <n v="1020"/>
  </r>
  <r>
    <x v="3"/>
    <x v="216"/>
    <x v="1"/>
    <n v="1776.4999986067414"/>
  </r>
  <r>
    <x v="3"/>
    <x v="383"/>
    <x v="5"/>
    <n v="1020"/>
  </r>
  <r>
    <x v="3"/>
    <x v="288"/>
    <x v="0"/>
    <n v="340"/>
  </r>
  <r>
    <x v="3"/>
    <x v="20"/>
    <x v="1"/>
    <n v="510"/>
  </r>
  <r>
    <x v="3"/>
    <x v="57"/>
    <x v="5"/>
    <n v="1700"/>
  </r>
  <r>
    <x v="3"/>
    <x v="308"/>
    <x v="5"/>
    <n v="510"/>
  </r>
  <r>
    <x v="3"/>
    <x v="63"/>
    <x v="7"/>
    <n v="714"/>
  </r>
  <r>
    <x v="3"/>
    <x v="63"/>
    <x v="1"/>
    <n v="1020"/>
  </r>
  <r>
    <x v="3"/>
    <x v="148"/>
    <x v="4"/>
    <n v="2040"/>
  </r>
  <r>
    <x v="3"/>
    <x v="23"/>
    <x v="1"/>
    <n v="1223.9999954402447"/>
  </r>
  <r>
    <x v="3"/>
    <x v="102"/>
    <x v="5"/>
    <n v="3400"/>
  </r>
  <r>
    <x v="3"/>
    <x v="28"/>
    <x v="1"/>
    <n v="340"/>
  </r>
  <r>
    <x v="3"/>
    <x v="28"/>
    <x v="5"/>
    <n v="637.5"/>
  </r>
  <r>
    <x v="3"/>
    <x v="69"/>
    <x v="5"/>
    <n v="1249.5"/>
  </r>
  <r>
    <x v="3"/>
    <x v="250"/>
    <x v="6"/>
    <n v="693.59999513626099"/>
  </r>
  <r>
    <x v="3"/>
    <x v="105"/>
    <x v="7"/>
    <n v="57.799999594688416"/>
  </r>
  <r>
    <x v="3"/>
    <x v="432"/>
    <x v="0"/>
    <n v="136"/>
  </r>
  <r>
    <x v="3"/>
    <x v="110"/>
    <x v="8"/>
    <n v="306"/>
  </r>
  <r>
    <x v="3"/>
    <x v="111"/>
    <x v="0"/>
    <n v="1162.7999990880489"/>
  </r>
  <r>
    <x v="3"/>
    <x v="114"/>
    <x v="3"/>
    <n v="1700"/>
  </r>
  <r>
    <x v="3"/>
    <x v="227"/>
    <x v="7"/>
    <n v="714"/>
  </r>
  <r>
    <x v="3"/>
    <x v="227"/>
    <x v="8"/>
    <n v="1190"/>
  </r>
  <r>
    <x v="3"/>
    <x v="124"/>
    <x v="8"/>
    <n v="136"/>
  </r>
  <r>
    <x v="3"/>
    <x v="124"/>
    <x v="1"/>
    <n v="510"/>
  </r>
  <r>
    <x v="3"/>
    <x v="73"/>
    <x v="0"/>
    <n v="63.920000091195107"/>
  </r>
  <r>
    <x v="3"/>
    <x v="335"/>
    <x v="2"/>
    <n v="432"/>
  </r>
  <r>
    <x v="3"/>
    <x v="208"/>
    <x v="4"/>
    <n v="28.8"/>
  </r>
  <r>
    <x v="3"/>
    <x v="336"/>
    <x v="0"/>
    <n v="201.6"/>
  </r>
  <r>
    <x v="3"/>
    <x v="154"/>
    <x v="2"/>
    <n v="466.5599992275238"/>
  </r>
  <r>
    <x v="3"/>
    <x v="416"/>
    <x v="2"/>
    <n v="576"/>
  </r>
  <r>
    <x v="3"/>
    <x v="229"/>
    <x v="0"/>
    <n v="864"/>
  </r>
  <r>
    <x v="3"/>
    <x v="436"/>
    <x v="8"/>
    <n v="1440"/>
  </r>
  <r>
    <x v="3"/>
    <x v="437"/>
    <x v="2"/>
    <n v="230.4"/>
  </r>
  <r>
    <x v="3"/>
    <x v="6"/>
    <x v="8"/>
    <n v="432"/>
  </r>
  <r>
    <x v="3"/>
    <x v="433"/>
    <x v="1"/>
    <n v="547.19999957084656"/>
  </r>
  <r>
    <x v="3"/>
    <x v="317"/>
    <x v="1"/>
    <n v="259.19999957084656"/>
  </r>
  <r>
    <x v="3"/>
    <x v="405"/>
    <x v="6"/>
    <n v="360"/>
  </r>
  <r>
    <x v="3"/>
    <x v="236"/>
    <x v="8"/>
    <n v="648"/>
  </r>
  <r>
    <x v="3"/>
    <x v="420"/>
    <x v="8"/>
    <n v="305.99999785423279"/>
  </r>
  <r>
    <x v="3"/>
    <x v="266"/>
    <x v="4"/>
    <n v="575.99999785423279"/>
  </r>
  <r>
    <x v="3"/>
    <x v="141"/>
    <x v="8"/>
    <n v="1755"/>
  </r>
  <r>
    <x v="3"/>
    <x v="215"/>
    <x v="1"/>
    <n v="540"/>
  </r>
  <r>
    <x v="3"/>
    <x v="320"/>
    <x v="4"/>
    <n v="1295.9999951720238"/>
  </r>
  <r>
    <x v="3"/>
    <x v="217"/>
    <x v="5"/>
    <n v="917.99999356269836"/>
  </r>
  <r>
    <x v="3"/>
    <x v="305"/>
    <x v="0"/>
    <n v="854.99999932944775"/>
  </r>
  <r>
    <x v="3"/>
    <x v="312"/>
    <x v="0"/>
    <n v="1440"/>
  </r>
  <r>
    <x v="3"/>
    <x v="312"/>
    <x v="2"/>
    <n v="1080"/>
  </r>
  <r>
    <x v="3"/>
    <x v="21"/>
    <x v="8"/>
    <n v="108"/>
  </r>
  <r>
    <x v="3"/>
    <x v="385"/>
    <x v="1"/>
    <n v="675"/>
  </r>
  <r>
    <x v="3"/>
    <x v="122"/>
    <x v="3"/>
    <n v="575.99999785423279"/>
  </r>
  <r>
    <x v="3"/>
    <x v="304"/>
    <x v="5"/>
    <n v="691.19999742507935"/>
  </r>
  <r>
    <x v="3"/>
    <x v="102"/>
    <x v="0"/>
    <n v="1709.9999986588955"/>
  </r>
  <r>
    <x v="3"/>
    <x v="105"/>
    <x v="3"/>
    <n v="324"/>
  </r>
  <r>
    <x v="3"/>
    <x v="164"/>
    <x v="5"/>
    <n v="360"/>
  </r>
  <r>
    <x v="3"/>
    <x v="71"/>
    <x v="7"/>
    <n v="1080"/>
  </r>
  <r>
    <x v="3"/>
    <x v="33"/>
    <x v="4"/>
    <n v="1166.3999980688095"/>
  </r>
  <r>
    <x v="3"/>
    <x v="438"/>
    <x v="2"/>
    <n v="344"/>
  </r>
  <r>
    <x v="3"/>
    <x v="386"/>
    <x v="0"/>
    <n v="34.4"/>
  </r>
  <r>
    <x v="3"/>
    <x v="186"/>
    <x v="5"/>
    <n v="51.6"/>
  </r>
  <r>
    <x v="3"/>
    <x v="128"/>
    <x v="6"/>
    <n v="516"/>
  </r>
  <r>
    <x v="3"/>
    <x v="360"/>
    <x v="6"/>
    <n v="619.19999897480011"/>
  </r>
  <r>
    <x v="3"/>
    <x v="229"/>
    <x v="0"/>
    <n v="86"/>
  </r>
  <r>
    <x v="3"/>
    <x v="417"/>
    <x v="1"/>
    <n v="687.99999743700027"/>
  </r>
  <r>
    <x v="3"/>
    <x v="439"/>
    <x v="6"/>
    <n v="103.2"/>
  </r>
  <r>
    <x v="3"/>
    <x v="82"/>
    <x v="0"/>
    <n v="258"/>
  </r>
  <r>
    <x v="3"/>
    <x v="362"/>
    <x v="0"/>
    <n v="1032"/>
  </r>
  <r>
    <x v="3"/>
    <x v="258"/>
    <x v="3"/>
    <n v="516"/>
  </r>
  <r>
    <x v="3"/>
    <x v="132"/>
    <x v="0"/>
    <n v="1032"/>
  </r>
  <r>
    <x v="3"/>
    <x v="6"/>
    <x v="8"/>
    <n v="258"/>
  </r>
  <r>
    <x v="3"/>
    <x v="83"/>
    <x v="1"/>
    <n v="34.4"/>
  </r>
  <r>
    <x v="3"/>
    <x v="174"/>
    <x v="3"/>
    <n v="516"/>
  </r>
  <r>
    <x v="3"/>
    <x v="189"/>
    <x v="4"/>
    <n v="860"/>
  </r>
  <r>
    <x v="3"/>
    <x v="232"/>
    <x v="0"/>
    <n v="206.4"/>
  </r>
  <r>
    <x v="3"/>
    <x v="91"/>
    <x v="8"/>
    <n v="174.14999971166253"/>
  </r>
  <r>
    <x v="3"/>
    <x v="378"/>
    <x v="0"/>
    <n v="193.5"/>
  </r>
  <r>
    <x v="3"/>
    <x v="342"/>
    <x v="0"/>
    <n v="306.37499975971878"/>
  </r>
  <r>
    <x v="3"/>
    <x v="160"/>
    <x v="0"/>
    <n v="306.37499975971878"/>
  </r>
  <r>
    <x v="3"/>
    <x v="95"/>
    <x v="1"/>
    <n v="322.5"/>
  </r>
  <r>
    <x v="3"/>
    <x v="399"/>
    <x v="0"/>
    <n v="430"/>
  </r>
  <r>
    <x v="3"/>
    <x v="16"/>
    <x v="7"/>
    <n v="483.75"/>
  </r>
  <r>
    <x v="3"/>
    <x v="320"/>
    <x v="4"/>
    <n v="240.7999991029501"/>
  </r>
  <r>
    <x v="3"/>
    <x v="161"/>
    <x v="7"/>
    <n v="258"/>
  </r>
  <r>
    <x v="3"/>
    <x v="19"/>
    <x v="5"/>
    <n v="1031.9999961555004"/>
  </r>
  <r>
    <x v="3"/>
    <x v="271"/>
    <x v="2"/>
    <n v="365.49999743700027"/>
  </r>
  <r>
    <x v="3"/>
    <x v="440"/>
    <x v="5"/>
    <n v="645"/>
  </r>
  <r>
    <x v="3"/>
    <x v="143"/>
    <x v="3"/>
    <n v="172"/>
  </r>
  <r>
    <x v="3"/>
    <x v="308"/>
    <x v="5"/>
    <n v="258"/>
  </r>
  <r>
    <x v="3"/>
    <x v="430"/>
    <x v="7"/>
    <n v="344"/>
  </r>
  <r>
    <x v="3"/>
    <x v="23"/>
    <x v="1"/>
    <n v="945.99999647587538"/>
  </r>
  <r>
    <x v="3"/>
    <x v="401"/>
    <x v="1"/>
    <n v="645"/>
  </r>
  <r>
    <x v="3"/>
    <x v="348"/>
    <x v="2"/>
    <n v="537.5"/>
  </r>
  <r>
    <x v="3"/>
    <x v="69"/>
    <x v="5"/>
    <n v="564.375"/>
  </r>
  <r>
    <x v="3"/>
    <x v="110"/>
    <x v="4"/>
    <n v="451.5"/>
  </r>
  <r>
    <x v="3"/>
    <x v="111"/>
    <x v="5"/>
    <n v="430"/>
  </r>
  <r>
    <x v="3"/>
    <x v="111"/>
    <x v="0"/>
    <n v="1225.4999990388751"/>
  </r>
  <r>
    <x v="3"/>
    <x v="32"/>
    <x v="1"/>
    <n v="1075"/>
  </r>
  <r>
    <x v="3"/>
    <x v="33"/>
    <x v="2"/>
    <n v="344"/>
  </r>
  <r>
    <x v="3"/>
    <x v="151"/>
    <x v="0"/>
    <n v="645"/>
  </r>
  <r>
    <x v="3"/>
    <x v="441"/>
    <x v="6"/>
    <n v="174"/>
  </r>
  <r>
    <x v="3"/>
    <x v="442"/>
    <x v="3"/>
    <n v="111.2"/>
  </r>
  <r>
    <x v="3"/>
    <x v="425"/>
    <x v="6"/>
    <n v="528.19999958574772"/>
  </r>
  <r>
    <x v="3"/>
    <x v="355"/>
    <x v="2"/>
    <n v="667.2"/>
  </r>
  <r>
    <x v="3"/>
    <x v="438"/>
    <x v="2"/>
    <n v="194.6"/>
  </r>
  <r>
    <x v="3"/>
    <x v="294"/>
    <x v="5"/>
    <n v="83.4"/>
  </r>
  <r>
    <x v="3"/>
    <x v="168"/>
    <x v="6"/>
    <n v="556"/>
  </r>
  <r>
    <x v="3"/>
    <x v="289"/>
    <x v="0"/>
    <n v="1112"/>
  </r>
  <r>
    <x v="3"/>
    <x v="371"/>
    <x v="5"/>
    <n v="590.74999585747719"/>
  </r>
  <r>
    <x v="3"/>
    <x v="372"/>
    <x v="1"/>
    <n v="695"/>
  </r>
  <r>
    <x v="3"/>
    <x v="157"/>
    <x v="6"/>
    <n v="875.69999999999993"/>
  </r>
  <r>
    <x v="3"/>
    <x v="130"/>
    <x v="2"/>
    <n v="600.47999900579453"/>
  </r>
  <r>
    <x v="3"/>
    <x v="362"/>
    <x v="0"/>
    <n v="583.79999999999995"/>
  </r>
  <r>
    <x v="3"/>
    <x v="46"/>
    <x v="3"/>
    <n v="278"/>
  </r>
  <r>
    <x v="3"/>
    <x v="443"/>
    <x v="1"/>
    <n v="1112"/>
  </r>
  <r>
    <x v="3"/>
    <x v="329"/>
    <x v="4"/>
    <n v="695"/>
  </r>
  <r>
    <x v="3"/>
    <x v="407"/>
    <x v="2"/>
    <n v="313.2"/>
  </r>
  <r>
    <x v="3"/>
    <x v="280"/>
    <x v="3"/>
    <n v="835.2"/>
  </r>
  <r>
    <x v="3"/>
    <x v="414"/>
    <x v="0"/>
    <n v="730.8"/>
  </r>
  <r>
    <x v="3"/>
    <x v="214"/>
    <x v="7"/>
    <n v="34.799999999999997"/>
  </r>
  <r>
    <x v="3"/>
    <x v="237"/>
    <x v="8"/>
    <n v="835.2"/>
  </r>
  <r>
    <x v="3"/>
    <x v="264"/>
    <x v="6"/>
    <n v="1044"/>
  </r>
  <r>
    <x v="3"/>
    <x v="281"/>
    <x v="6"/>
    <n v="417.6"/>
  </r>
  <r>
    <x v="3"/>
    <x v="318"/>
    <x v="5"/>
    <n v="2088"/>
  </r>
  <r>
    <x v="3"/>
    <x v="97"/>
    <x v="6"/>
    <n v="522"/>
  </r>
  <r>
    <x v="3"/>
    <x v="57"/>
    <x v="5"/>
    <n v="1218"/>
  </r>
  <r>
    <x v="3"/>
    <x v="303"/>
    <x v="7"/>
    <n v="243.6"/>
  </r>
  <r>
    <x v="3"/>
    <x v="162"/>
    <x v="1"/>
    <n v="887.39999377727509"/>
  </r>
  <r>
    <x v="3"/>
    <x v="100"/>
    <x v="8"/>
    <n v="348"/>
  </r>
  <r>
    <x v="3"/>
    <x v="332"/>
    <x v="6"/>
    <n v="1252.7999979257584"/>
  </r>
  <r>
    <x v="3"/>
    <x v="22"/>
    <x v="5"/>
    <n v="469.79999922215939"/>
  </r>
  <r>
    <x v="3"/>
    <x v="246"/>
    <x v="1"/>
    <n v="348"/>
  </r>
  <r>
    <x v="3"/>
    <x v="248"/>
    <x v="3"/>
    <n v="556.79999999999995"/>
  </r>
  <r>
    <x v="3"/>
    <x v="389"/>
    <x v="4"/>
    <n v="1740"/>
  </r>
  <r>
    <x v="3"/>
    <x v="150"/>
    <x v="4"/>
    <n v="174"/>
  </r>
  <r>
    <x v="3"/>
    <x v="200"/>
    <x v="3"/>
    <n v="696"/>
  </r>
  <r>
    <x v="3"/>
    <x v="70"/>
    <x v="0"/>
    <n v="69.599999999999994"/>
  </r>
  <r>
    <x v="3"/>
    <x v="71"/>
    <x v="5"/>
    <n v="1218"/>
  </r>
  <r>
    <x v="4"/>
    <x v="313"/>
    <x v="5"/>
    <n v="95.759999924898139"/>
  </r>
  <r>
    <x v="4"/>
    <x v="46"/>
    <x v="3"/>
    <n v="201.6"/>
  </r>
  <r>
    <x v="4"/>
    <x v="137"/>
    <x v="8"/>
    <n v="504"/>
  </r>
  <r>
    <x v="4"/>
    <x v="267"/>
    <x v="3"/>
    <n v="1008"/>
  </r>
  <r>
    <x v="4"/>
    <x v="367"/>
    <x v="5"/>
    <n v="840"/>
  </r>
  <r>
    <x v="4"/>
    <x v="282"/>
    <x v="3"/>
    <n v="840"/>
  </r>
  <r>
    <x v="4"/>
    <x v="97"/>
    <x v="6"/>
    <n v="315"/>
  </r>
  <r>
    <x v="4"/>
    <x v="350"/>
    <x v="3"/>
    <n v="315"/>
  </r>
  <r>
    <x v="4"/>
    <x v="99"/>
    <x v="5"/>
    <n v="126"/>
  </r>
  <r>
    <x v="4"/>
    <x v="308"/>
    <x v="5"/>
    <n v="84"/>
  </r>
  <r>
    <x v="4"/>
    <x v="148"/>
    <x v="4"/>
    <n v="1092"/>
  </r>
  <r>
    <x v="4"/>
    <x v="149"/>
    <x v="3"/>
    <n v="735"/>
  </r>
  <r>
    <x v="4"/>
    <x v="389"/>
    <x v="1"/>
    <n v="441"/>
  </r>
  <r>
    <x v="4"/>
    <x v="30"/>
    <x v="8"/>
    <n v="525"/>
  </r>
  <r>
    <x v="4"/>
    <x v="372"/>
    <x v="1"/>
    <n v="288"/>
  </r>
  <r>
    <x v="4"/>
    <x v="3"/>
    <x v="1"/>
    <n v="180"/>
  </r>
  <r>
    <x v="4"/>
    <x v="362"/>
    <x v="0"/>
    <n v="288"/>
  </r>
  <r>
    <x v="4"/>
    <x v="310"/>
    <x v="3"/>
    <n v="432"/>
  </r>
  <r>
    <x v="4"/>
    <x v="444"/>
    <x v="8"/>
    <n v="151.19999999999999"/>
  </r>
  <r>
    <x v="4"/>
    <x v="445"/>
    <x v="1"/>
    <n v="108"/>
  </r>
  <r>
    <x v="4"/>
    <x v="328"/>
    <x v="5"/>
    <n v="72"/>
  </r>
  <r>
    <x v="4"/>
    <x v="203"/>
    <x v="3"/>
    <n v="535.49999624490738"/>
  </r>
  <r>
    <x v="4"/>
    <x v="137"/>
    <x v="1"/>
    <n v="170.99999986588955"/>
  </r>
  <r>
    <x v="4"/>
    <x v="95"/>
    <x v="1"/>
    <n v="90"/>
  </r>
  <r>
    <x v="4"/>
    <x v="204"/>
    <x v="1"/>
    <n v="288"/>
  </r>
  <r>
    <x v="4"/>
    <x v="195"/>
    <x v="1"/>
    <n v="45"/>
  </r>
  <r>
    <x v="4"/>
    <x v="274"/>
    <x v="5"/>
    <n v="396"/>
  </r>
  <r>
    <x v="4"/>
    <x v="332"/>
    <x v="3"/>
    <n v="162"/>
  </r>
  <r>
    <x v="4"/>
    <x v="149"/>
    <x v="3"/>
    <n v="566.99999906122684"/>
  </r>
  <r>
    <x v="4"/>
    <x v="25"/>
    <x v="6"/>
    <n v="450"/>
  </r>
  <r>
    <x v="4"/>
    <x v="225"/>
    <x v="4"/>
    <n v="215.9999991953373"/>
  </r>
  <r>
    <x v="4"/>
    <x v="29"/>
    <x v="1"/>
    <n v="54"/>
  </r>
  <r>
    <x v="4"/>
    <x v="111"/>
    <x v="8"/>
    <n v="90"/>
  </r>
  <r>
    <x v="4"/>
    <x v="73"/>
    <x v="0"/>
    <n v="18"/>
  </r>
  <r>
    <x v="4"/>
    <x v="441"/>
    <x v="6"/>
    <n v="98"/>
  </r>
  <r>
    <x v="4"/>
    <x v="186"/>
    <x v="5"/>
    <n v="22.4"/>
  </r>
  <r>
    <x v="4"/>
    <x v="336"/>
    <x v="0"/>
    <n v="67.2"/>
  </r>
  <r>
    <x v="4"/>
    <x v="379"/>
    <x v="5"/>
    <n v="89.599999666213989"/>
  </r>
  <r>
    <x v="4"/>
    <x v="293"/>
    <x v="8"/>
    <n v="100.8"/>
  </r>
  <r>
    <x v="4"/>
    <x v="338"/>
    <x v="8"/>
    <n v="425.59999966621399"/>
  </r>
  <r>
    <x v="4"/>
    <x v="190"/>
    <x v="6"/>
    <n v="560"/>
  </r>
  <r>
    <x v="4"/>
    <x v="370"/>
    <x v="5"/>
    <n v="212.79999983310699"/>
  </r>
  <r>
    <x v="4"/>
    <x v="87"/>
    <x v="3"/>
    <n v="420"/>
  </r>
  <r>
    <x v="4"/>
    <x v="213"/>
    <x v="8"/>
    <n v="280"/>
  </r>
  <r>
    <x v="4"/>
    <x v="411"/>
    <x v="3"/>
    <n v="333.19999766349792"/>
  </r>
  <r>
    <x v="4"/>
    <x v="446"/>
    <x v="8"/>
    <n v="1119.9999958276749"/>
  </r>
  <r>
    <x v="4"/>
    <x v="435"/>
    <x v="5"/>
    <n v="70"/>
  </r>
  <r>
    <x v="4"/>
    <x v="350"/>
    <x v="1"/>
    <n v="280"/>
  </r>
  <r>
    <x v="4"/>
    <x v="319"/>
    <x v="8"/>
    <n v="398.99999968707561"/>
  </r>
  <r>
    <x v="4"/>
    <x v="195"/>
    <x v="8"/>
    <n v="84"/>
  </r>
  <r>
    <x v="4"/>
    <x v="343"/>
    <x v="0"/>
    <n v="420"/>
  </r>
  <r>
    <x v="4"/>
    <x v="312"/>
    <x v="0"/>
    <n v="392"/>
  </r>
  <r>
    <x v="4"/>
    <x v="58"/>
    <x v="1"/>
    <n v="28"/>
  </r>
  <r>
    <x v="4"/>
    <x v="423"/>
    <x v="0"/>
    <n v="159.59999987483025"/>
  </r>
  <r>
    <x v="4"/>
    <x v="423"/>
    <x v="4"/>
    <n v="223.99999916553497"/>
  </r>
  <r>
    <x v="4"/>
    <x v="149"/>
    <x v="3"/>
    <n v="529.19999912381172"/>
  </r>
  <r>
    <x v="4"/>
    <x v="65"/>
    <x v="5"/>
    <n v="280"/>
  </r>
  <r>
    <x v="4"/>
    <x v="388"/>
    <x v="1"/>
    <n v="350"/>
  </r>
  <r>
    <x v="4"/>
    <x v="103"/>
    <x v="4"/>
    <n v="111.99999958276749"/>
  </r>
  <r>
    <x v="4"/>
    <x v="432"/>
    <x v="1"/>
    <n v="560"/>
  </r>
  <r>
    <x v="4"/>
    <x v="30"/>
    <x v="1"/>
    <n v="285.59999799728394"/>
  </r>
  <r>
    <x v="4"/>
    <x v="110"/>
    <x v="3"/>
    <n v="196"/>
  </r>
  <r>
    <x v="4"/>
    <x v="111"/>
    <x v="8"/>
    <n v="56"/>
  </r>
  <r>
    <x v="4"/>
    <x v="34"/>
    <x v="8"/>
    <n v="420"/>
  </r>
  <r>
    <x v="4"/>
    <x v="447"/>
    <x v="4"/>
    <n v="112"/>
  </r>
  <r>
    <x v="4"/>
    <x v="403"/>
    <x v="3"/>
    <n v="44.8"/>
  </r>
  <r>
    <x v="4"/>
    <x v="448"/>
    <x v="8"/>
    <n v="89.599999666213989"/>
  </r>
  <r>
    <x v="4"/>
    <x v="83"/>
    <x v="2"/>
    <n v="75.599999874830246"/>
  </r>
  <r>
    <x v="4"/>
    <x v="395"/>
    <x v="5"/>
    <n v="112"/>
  </r>
  <r>
    <x v="4"/>
    <x v="213"/>
    <x v="5"/>
    <n v="42"/>
  </r>
  <r>
    <x v="4"/>
    <x v="381"/>
    <x v="0"/>
    <n v="210"/>
  </r>
  <r>
    <x v="4"/>
    <x v="419"/>
    <x v="8"/>
    <n v="490"/>
  </r>
  <r>
    <x v="4"/>
    <x v="139"/>
    <x v="7"/>
    <n v="23.799999833106995"/>
  </r>
  <r>
    <x v="4"/>
    <x v="266"/>
    <x v="5"/>
    <n v="168"/>
  </r>
  <r>
    <x v="4"/>
    <x v="95"/>
    <x v="8"/>
    <n v="35"/>
  </r>
  <r>
    <x v="4"/>
    <x v="383"/>
    <x v="8"/>
    <n v="63"/>
  </r>
  <r>
    <x v="4"/>
    <x v="449"/>
    <x v="1"/>
    <n v="28"/>
  </r>
  <r>
    <x v="4"/>
    <x v="273"/>
    <x v="0"/>
    <n v="175"/>
  </r>
  <r>
    <x v="4"/>
    <x v="345"/>
    <x v="5"/>
    <n v="126"/>
  </r>
  <r>
    <x v="4"/>
    <x v="219"/>
    <x v="5"/>
    <n v="420"/>
  </r>
  <r>
    <x v="4"/>
    <x v="308"/>
    <x v="5"/>
    <n v="99.749999921768904"/>
  </r>
  <r>
    <x v="4"/>
    <x v="346"/>
    <x v="5"/>
    <n v="56"/>
  </r>
  <r>
    <x v="4"/>
    <x v="221"/>
    <x v="4"/>
    <n v="140"/>
  </r>
  <r>
    <x v="4"/>
    <x v="368"/>
    <x v="3"/>
    <n v="56"/>
  </r>
  <r>
    <x v="4"/>
    <x v="27"/>
    <x v="1"/>
    <n v="93.09999992698431"/>
  </r>
  <r>
    <x v="4"/>
    <x v="246"/>
    <x v="5"/>
    <n v="71.399999499320984"/>
  </r>
  <r>
    <x v="4"/>
    <x v="247"/>
    <x v="1"/>
    <n v="35"/>
  </r>
  <r>
    <x v="4"/>
    <x v="105"/>
    <x v="3"/>
    <n v="39.899999968707561"/>
  </r>
  <r>
    <x v="4"/>
    <x v="251"/>
    <x v="7"/>
    <n v="223.99999916553497"/>
  </r>
  <r>
    <x v="4"/>
    <x v="109"/>
    <x v="3"/>
    <n v="105"/>
  </r>
  <r>
    <x v="4"/>
    <x v="30"/>
    <x v="5"/>
    <n v="70"/>
  </r>
  <r>
    <x v="4"/>
    <x v="151"/>
    <x v="0"/>
    <n v="14"/>
  </r>
  <r>
    <x v="4"/>
    <x v="73"/>
    <x v="0"/>
    <n v="14"/>
  </r>
  <r>
    <x v="4"/>
    <x v="285"/>
    <x v="3"/>
    <n v="60.8"/>
  </r>
  <r>
    <x v="4"/>
    <x v="450"/>
    <x v="8"/>
    <n v="121.6"/>
  </r>
  <r>
    <x v="4"/>
    <x v="324"/>
    <x v="3"/>
    <n v="608"/>
  </r>
  <r>
    <x v="4"/>
    <x v="153"/>
    <x v="1"/>
    <n v="346.55999972820285"/>
  </r>
  <r>
    <x v="4"/>
    <x v="451"/>
    <x v="5"/>
    <n v="608"/>
  </r>
  <r>
    <x v="4"/>
    <x v="452"/>
    <x v="3"/>
    <n v="410.40000000000003"/>
  </r>
  <r>
    <x v="4"/>
    <x v="357"/>
    <x v="3"/>
    <n v="608"/>
  </r>
  <r>
    <x v="4"/>
    <x v="132"/>
    <x v="0"/>
    <n v="2128"/>
  </r>
  <r>
    <x v="4"/>
    <x v="453"/>
    <x v="1"/>
    <n v="152"/>
  </r>
  <r>
    <x v="4"/>
    <x v="364"/>
    <x v="1"/>
    <n v="912"/>
  </r>
  <r>
    <x v="4"/>
    <x v="260"/>
    <x v="5"/>
    <n v="851.2"/>
  </r>
  <r>
    <x v="4"/>
    <x v="230"/>
    <x v="5"/>
    <n v="1094.3999981880188"/>
  </r>
  <r>
    <x v="4"/>
    <x v="189"/>
    <x v="4"/>
    <n v="456"/>
  </r>
  <r>
    <x v="4"/>
    <x v="190"/>
    <x v="1"/>
    <n v="729.5999972820282"/>
  </r>
  <r>
    <x v="4"/>
    <x v="445"/>
    <x v="8"/>
    <n v="608"/>
  </r>
  <r>
    <x v="4"/>
    <x v="317"/>
    <x v="1"/>
    <n v="912"/>
  </r>
  <r>
    <x v="4"/>
    <x v="329"/>
    <x v="4"/>
    <n v="425.6"/>
  </r>
  <r>
    <x v="4"/>
    <x v="235"/>
    <x v="5"/>
    <n v="2660"/>
  </r>
  <r>
    <x v="4"/>
    <x v="434"/>
    <x v="2"/>
    <n v="1520"/>
  </r>
  <r>
    <x v="4"/>
    <x v="10"/>
    <x v="1"/>
    <n v="968.9999932050705"/>
  </r>
  <r>
    <x v="4"/>
    <x v="92"/>
    <x v="2"/>
    <n v="1215.999995470047"/>
  </r>
  <r>
    <x v="4"/>
    <x v="411"/>
    <x v="5"/>
    <n v="2165.9999983012676"/>
  </r>
  <r>
    <x v="4"/>
    <x v="94"/>
    <x v="3"/>
    <n v="151.99999943375587"/>
  </r>
  <r>
    <x v="4"/>
    <x v="454"/>
    <x v="1"/>
    <n v="1064"/>
  </r>
  <r>
    <x v="4"/>
    <x v="160"/>
    <x v="0"/>
    <n v="532"/>
  </r>
  <r>
    <x v="4"/>
    <x v="290"/>
    <x v="0"/>
    <n v="760"/>
  </r>
  <r>
    <x v="4"/>
    <x v="283"/>
    <x v="2"/>
    <n v="2165.9999983012676"/>
  </r>
  <r>
    <x v="4"/>
    <x v="297"/>
    <x v="8"/>
    <n v="1710"/>
  </r>
  <r>
    <x v="4"/>
    <x v="319"/>
    <x v="0"/>
    <n v="387.5999972820282"/>
  </r>
  <r>
    <x v="4"/>
    <x v="331"/>
    <x v="0"/>
    <n v="570"/>
  </r>
  <r>
    <x v="4"/>
    <x v="352"/>
    <x v="5"/>
    <n v="1140"/>
  </r>
  <r>
    <x v="4"/>
    <x v="55"/>
    <x v="6"/>
    <n v="513"/>
  </r>
  <r>
    <x v="4"/>
    <x v="284"/>
    <x v="8"/>
    <n v="360.99999971687794"/>
  </r>
  <r>
    <x v="4"/>
    <x v="144"/>
    <x v="1"/>
    <n v="425.59999841451645"/>
  </r>
  <r>
    <x v="4"/>
    <x v="274"/>
    <x v="5"/>
    <n v="1064"/>
  </r>
  <r>
    <x v="4"/>
    <x v="274"/>
    <x v="1"/>
    <n v="570"/>
  </r>
  <r>
    <x v="4"/>
    <x v="385"/>
    <x v="1"/>
    <n v="855"/>
  </r>
  <r>
    <x v="4"/>
    <x v="180"/>
    <x v="5"/>
    <n v="2280"/>
  </r>
  <r>
    <x v="4"/>
    <x v="424"/>
    <x v="8"/>
    <n v="607.9999977350235"/>
  </r>
  <r>
    <x v="4"/>
    <x v="145"/>
    <x v="2"/>
    <n v="645.999995470047"/>
  </r>
  <r>
    <x v="4"/>
    <x v="221"/>
    <x v="8"/>
    <n v="645.999995470047"/>
  </r>
  <r>
    <x v="4"/>
    <x v="198"/>
    <x v="5"/>
    <n v="1140"/>
  </r>
  <r>
    <x v="4"/>
    <x v="199"/>
    <x v="6"/>
    <n v="1140"/>
  </r>
  <r>
    <x v="4"/>
    <x v="323"/>
    <x v="5"/>
    <n v="912"/>
  </r>
  <r>
    <x v="4"/>
    <x v="67"/>
    <x v="1"/>
    <n v="758.09999940544367"/>
  </r>
  <r>
    <x v="4"/>
    <x v="455"/>
    <x v="4"/>
    <n v="608"/>
  </r>
  <r>
    <x v="4"/>
    <x v="104"/>
    <x v="2"/>
    <n v="684"/>
  </r>
  <r>
    <x v="4"/>
    <x v="249"/>
    <x v="0"/>
    <n v="38"/>
  </r>
  <r>
    <x v="4"/>
    <x v="164"/>
    <x v="1"/>
    <n v="387.5999972820282"/>
  </r>
  <r>
    <x v="4"/>
    <x v="226"/>
    <x v="1"/>
    <n v="190"/>
  </r>
  <r>
    <x v="4"/>
    <x v="112"/>
    <x v="1"/>
    <n v="760"/>
  </r>
  <r>
    <x v="4"/>
    <x v="313"/>
    <x v="5"/>
    <n v="222.29999982565641"/>
  </r>
  <r>
    <x v="4"/>
    <x v="126"/>
    <x v="1"/>
    <n v="780"/>
  </r>
  <r>
    <x v="4"/>
    <x v="456"/>
    <x v="1"/>
    <n v="31.2"/>
  </r>
  <r>
    <x v="4"/>
    <x v="228"/>
    <x v="1"/>
    <n v="249.6"/>
  </r>
  <r>
    <x v="4"/>
    <x v="80"/>
    <x v="2"/>
    <n v="390"/>
  </r>
  <r>
    <x v="4"/>
    <x v="361"/>
    <x v="8"/>
    <n v="390"/>
  </r>
  <r>
    <x v="4"/>
    <x v="158"/>
    <x v="3"/>
    <n v="312"/>
  </r>
  <r>
    <x v="4"/>
    <x v="118"/>
    <x v="5"/>
    <n v="187.19999930262566"/>
  </r>
  <r>
    <x v="4"/>
    <x v="408"/>
    <x v="1"/>
    <n v="87.749999854713678"/>
  </r>
  <r>
    <x v="4"/>
    <x v="138"/>
    <x v="1"/>
    <n v="117"/>
  </r>
  <r>
    <x v="4"/>
    <x v="265"/>
    <x v="5"/>
    <n v="78"/>
  </r>
  <r>
    <x v="4"/>
    <x v="94"/>
    <x v="4"/>
    <n v="390"/>
  </r>
  <r>
    <x v="4"/>
    <x v="196"/>
    <x v="1"/>
    <n v="780"/>
  </r>
  <r>
    <x v="4"/>
    <x v="385"/>
    <x v="1"/>
    <n v="204.75"/>
  </r>
  <r>
    <x v="4"/>
    <x v="222"/>
    <x v="6"/>
    <n v="292.5"/>
  </r>
  <r>
    <x v="4"/>
    <x v="181"/>
    <x v="2"/>
    <n v="292.5"/>
  </r>
  <r>
    <x v="4"/>
    <x v="148"/>
    <x v="4"/>
    <n v="468"/>
  </r>
  <r>
    <x v="4"/>
    <x v="64"/>
    <x v="6"/>
    <n v="185.24999985471368"/>
  </r>
  <r>
    <x v="4"/>
    <x v="348"/>
    <x v="0"/>
    <n v="390"/>
  </r>
  <r>
    <x v="4"/>
    <x v="248"/>
    <x v="1"/>
    <n v="585"/>
  </r>
  <r>
    <x v="4"/>
    <x v="165"/>
    <x v="8"/>
    <n v="292.5"/>
  </r>
  <r>
    <x v="4"/>
    <x v="151"/>
    <x v="0"/>
    <n v="546"/>
  </r>
  <r>
    <x v="4"/>
    <x v="114"/>
    <x v="4"/>
    <n v="390"/>
  </r>
  <r>
    <x v="4"/>
    <x v="275"/>
    <x v="4"/>
    <n v="239.4"/>
  </r>
  <r>
    <x v="4"/>
    <x v="257"/>
    <x v="1"/>
    <n v="1330"/>
  </r>
  <r>
    <x v="4"/>
    <x v="361"/>
    <x v="8"/>
    <n v="837.89999861270189"/>
  </r>
  <r>
    <x v="4"/>
    <x v="5"/>
    <x v="2"/>
    <n v="798"/>
  </r>
  <r>
    <x v="4"/>
    <x v="453"/>
    <x v="1"/>
    <n v="186.2"/>
  </r>
  <r>
    <x v="4"/>
    <x v="230"/>
    <x v="5"/>
    <n v="718.19999881088734"/>
  </r>
  <r>
    <x v="4"/>
    <x v="339"/>
    <x v="2"/>
    <n v="159.6"/>
  </r>
  <r>
    <x v="4"/>
    <x v="316"/>
    <x v="1"/>
    <n v="837.89999861270189"/>
  </r>
  <r>
    <x v="4"/>
    <x v="445"/>
    <x v="1"/>
    <n v="212.8"/>
  </r>
  <r>
    <x v="4"/>
    <x v="159"/>
    <x v="5"/>
    <n v="798"/>
  </r>
  <r>
    <x v="4"/>
    <x v="237"/>
    <x v="7"/>
    <n v="997.5"/>
  </r>
  <r>
    <x v="4"/>
    <x v="93"/>
    <x v="3"/>
    <n v="538.6499991081655"/>
  </r>
  <r>
    <x v="4"/>
    <x v="121"/>
    <x v="1"/>
    <n v="199.5"/>
  </r>
  <r>
    <x v="4"/>
    <x v="15"/>
    <x v="1"/>
    <n v="299.25"/>
  </r>
  <r>
    <x v="4"/>
    <x v="421"/>
    <x v="0"/>
    <n v="448.87499925680459"/>
  </r>
  <r>
    <x v="4"/>
    <x v="242"/>
    <x v="5"/>
    <n v="931"/>
  </r>
  <r>
    <x v="4"/>
    <x v="122"/>
    <x v="2"/>
    <n v="798"/>
  </r>
  <r>
    <x v="4"/>
    <x v="304"/>
    <x v="5"/>
    <n v="930.99999653175473"/>
  </r>
  <r>
    <x v="4"/>
    <x v="147"/>
    <x v="8"/>
    <n v="99.75"/>
  </r>
  <r>
    <x v="4"/>
    <x v="148"/>
    <x v="4"/>
    <n v="997.5"/>
  </r>
  <r>
    <x v="4"/>
    <x v="149"/>
    <x v="3"/>
    <n v="1596"/>
  </r>
  <r>
    <x v="4"/>
    <x v="101"/>
    <x v="0"/>
    <n v="748.125"/>
  </r>
  <r>
    <x v="4"/>
    <x v="291"/>
    <x v="6"/>
    <n v="473.81249962840229"/>
  </r>
  <r>
    <x v="4"/>
    <x v="347"/>
    <x v="4"/>
    <n v="665"/>
  </r>
  <r>
    <x v="4"/>
    <x v="150"/>
    <x v="3"/>
    <n v="266"/>
  </r>
  <r>
    <x v="4"/>
    <x v="106"/>
    <x v="0"/>
    <n v="133"/>
  </r>
  <r>
    <x v="4"/>
    <x v="33"/>
    <x v="2"/>
    <n v="665"/>
  </r>
  <r>
    <x v="4"/>
    <x v="113"/>
    <x v="8"/>
    <n v="664.99999752268195"/>
  </r>
  <r>
    <x v="4"/>
    <x v="36"/>
    <x v="1"/>
    <n v="4322.5"/>
  </r>
  <r>
    <x v="4"/>
    <x v="73"/>
    <x v="0"/>
    <n v="64.505000044591725"/>
  </r>
  <r>
    <x v="5"/>
    <x v="211"/>
    <x v="5"/>
    <n v="1396.7999976873398"/>
  </r>
  <r>
    <x v="5"/>
    <x v="341"/>
    <x v="8"/>
    <n v="1319.1999907493591"/>
  </r>
  <r>
    <x v="5"/>
    <x v="377"/>
    <x v="7"/>
    <n v="3637.5"/>
  </r>
  <r>
    <x v="5"/>
    <x v="217"/>
    <x v="5"/>
    <n v="582"/>
  </r>
  <r>
    <x v="5"/>
    <x v="224"/>
    <x v="4"/>
    <n v="291"/>
  </r>
  <r>
    <x v="5"/>
    <x v="441"/>
    <x v="6"/>
    <n v="168"/>
  </r>
  <r>
    <x v="5"/>
    <x v="206"/>
    <x v="8"/>
    <n v="936"/>
  </r>
  <r>
    <x v="5"/>
    <x v="457"/>
    <x v="3"/>
    <n v="351"/>
  </r>
  <r>
    <x v="5"/>
    <x v="1"/>
    <x v="1"/>
    <n v="468"/>
  </r>
  <r>
    <x v="5"/>
    <x v="185"/>
    <x v="1"/>
    <n v="1248"/>
  </r>
  <r>
    <x v="5"/>
    <x v="256"/>
    <x v="4"/>
    <n v="249.6"/>
  </r>
  <r>
    <x v="5"/>
    <x v="458"/>
    <x v="1"/>
    <n v="624"/>
  </r>
  <r>
    <x v="5"/>
    <x v="278"/>
    <x v="8"/>
    <n v="2074.7999983727932"/>
  </r>
  <r>
    <x v="5"/>
    <x v="451"/>
    <x v="5"/>
    <n v="1010.8799983263016"/>
  </r>
  <r>
    <x v="5"/>
    <x v="426"/>
    <x v="5"/>
    <n v="62.4"/>
  </r>
  <r>
    <x v="5"/>
    <x v="364"/>
    <x v="1"/>
    <n v="1123.1999958157539"/>
  </r>
  <r>
    <x v="5"/>
    <x v="364"/>
    <x v="1"/>
    <n v="1170"/>
  </r>
  <r>
    <x v="5"/>
    <x v="134"/>
    <x v="5"/>
    <n v="312"/>
  </r>
  <r>
    <x v="5"/>
    <x v="193"/>
    <x v="4"/>
    <n v="877.49999854713678"/>
  </r>
  <r>
    <x v="5"/>
    <x v="194"/>
    <x v="5"/>
    <n v="1560"/>
  </r>
  <r>
    <x v="5"/>
    <x v="136"/>
    <x v="4"/>
    <n v="280.79999953508377"/>
  </r>
  <r>
    <x v="5"/>
    <x v="419"/>
    <x v="1"/>
    <n v="592.79999953508377"/>
  </r>
  <r>
    <x v="5"/>
    <x v="121"/>
    <x v="4"/>
    <n v="702"/>
  </r>
  <r>
    <x v="5"/>
    <x v="281"/>
    <x v="6"/>
    <n v="3900"/>
  </r>
  <r>
    <x v="5"/>
    <x v="377"/>
    <x v="8"/>
    <n v="935.99999651312828"/>
  </r>
  <r>
    <x v="5"/>
    <x v="142"/>
    <x v="3"/>
    <n v="780"/>
  </r>
  <r>
    <x v="5"/>
    <x v="218"/>
    <x v="1"/>
    <n v="296.39999976754189"/>
  </r>
  <r>
    <x v="5"/>
    <x v="55"/>
    <x v="6"/>
    <n v="789.75"/>
  </r>
  <r>
    <x v="5"/>
    <x v="284"/>
    <x v="8"/>
    <n v="740.99999941885471"/>
  </r>
  <r>
    <x v="5"/>
    <x v="244"/>
    <x v="0"/>
    <n v="1287"/>
  </r>
  <r>
    <x v="5"/>
    <x v="346"/>
    <x v="3"/>
    <n v="1023.75"/>
  </r>
  <r>
    <x v="5"/>
    <x v="400"/>
    <x v="1"/>
    <n v="1170"/>
  </r>
  <r>
    <x v="5"/>
    <x v="64"/>
    <x v="3"/>
    <n v="234"/>
  </r>
  <r>
    <x v="5"/>
    <x v="368"/>
    <x v="1"/>
    <n v="1638"/>
  </r>
  <r>
    <x v="5"/>
    <x v="291"/>
    <x v="7"/>
    <n v="592.79999953508377"/>
  </r>
  <r>
    <x v="5"/>
    <x v="68"/>
    <x v="4"/>
    <n v="585"/>
  </r>
  <r>
    <x v="5"/>
    <x v="27"/>
    <x v="5"/>
    <n v="468"/>
  </r>
  <r>
    <x v="5"/>
    <x v="348"/>
    <x v="8"/>
    <n v="390"/>
  </r>
  <r>
    <x v="5"/>
    <x v="103"/>
    <x v="6"/>
    <n v="585"/>
  </r>
  <r>
    <x v="5"/>
    <x v="292"/>
    <x v="8"/>
    <n v="234"/>
  </r>
  <r>
    <x v="5"/>
    <x v="251"/>
    <x v="1"/>
    <n v="234"/>
  </r>
  <r>
    <x v="5"/>
    <x v="227"/>
    <x v="8"/>
    <n v="468"/>
  </r>
  <r>
    <x v="5"/>
    <x v="125"/>
    <x v="0"/>
    <n v="2702.6999955251813"/>
  </r>
  <r>
    <x v="5"/>
    <x v="442"/>
    <x v="3"/>
    <n v="990"/>
  </r>
  <r>
    <x v="5"/>
    <x v="286"/>
    <x v="3"/>
    <n v="1485"/>
  </r>
  <r>
    <x v="5"/>
    <x v="169"/>
    <x v="3"/>
    <n v="2227.4999963119626"/>
  </r>
  <r>
    <x v="5"/>
    <x v="4"/>
    <x v="3"/>
    <n v="396"/>
  </r>
  <r>
    <x v="5"/>
    <x v="156"/>
    <x v="1"/>
    <n v="3465"/>
  </r>
  <r>
    <x v="5"/>
    <x v="452"/>
    <x v="3"/>
    <n v="1980"/>
  </r>
  <r>
    <x v="5"/>
    <x v="287"/>
    <x v="1"/>
    <n v="1386"/>
  </r>
  <r>
    <x v="5"/>
    <x v="132"/>
    <x v="0"/>
    <n v="2079"/>
  </r>
  <r>
    <x v="5"/>
    <x v="47"/>
    <x v="1"/>
    <n v="2019.5999858379364"/>
  </r>
  <r>
    <x v="5"/>
    <x v="84"/>
    <x v="0"/>
    <n v="1603.7999973446131"/>
  </r>
  <r>
    <x v="5"/>
    <x v="234"/>
    <x v="2"/>
    <n v="4456.4399999999996"/>
  </r>
  <r>
    <x v="5"/>
    <x v="420"/>
    <x v="8"/>
    <n v="1237.9000000000001"/>
  </r>
  <r>
    <x v="5"/>
    <x v="96"/>
    <x v="1"/>
    <n v="742.74"/>
  </r>
  <r>
    <x v="5"/>
    <x v="15"/>
    <x v="1"/>
    <n v="2475.8000000000002"/>
  </r>
  <r>
    <x v="5"/>
    <x v="320"/>
    <x v="4"/>
    <n v="4456.4399999999996"/>
  </r>
  <r>
    <x v="5"/>
    <x v="377"/>
    <x v="7"/>
    <n v="1237.9000000000001"/>
  </r>
  <r>
    <x v="5"/>
    <x v="18"/>
    <x v="8"/>
    <n v="4951.6000000000004"/>
  </r>
  <r>
    <x v="5"/>
    <x v="218"/>
    <x v="1"/>
    <n v="1411.2059988932313"/>
  </r>
  <r>
    <x v="5"/>
    <x v="430"/>
    <x v="5"/>
    <n v="2228.2199999999998"/>
  </r>
  <r>
    <x v="5"/>
    <x v="59"/>
    <x v="8"/>
    <n v="2352.0099981553853"/>
  </r>
  <r>
    <x v="5"/>
    <x v="60"/>
    <x v="2"/>
    <n v="1646.4069987087696"/>
  </r>
  <r>
    <x v="5"/>
    <x v="400"/>
    <x v="1"/>
    <n v="1856.8500000000001"/>
  </r>
  <r>
    <x v="5"/>
    <x v="223"/>
    <x v="0"/>
    <n v="940.80399926215409"/>
  </r>
  <r>
    <x v="5"/>
    <x v="65"/>
    <x v="3"/>
    <n v="928.42500000000007"/>
  </r>
  <r>
    <x v="5"/>
    <x v="102"/>
    <x v="7"/>
    <n v="2970.96"/>
  </r>
  <r>
    <x v="5"/>
    <x v="455"/>
    <x v="5"/>
    <n v="9903.2000000000007"/>
  </r>
  <r>
    <x v="5"/>
    <x v="27"/>
    <x v="8"/>
    <n v="5570.5499999999993"/>
  </r>
  <r>
    <x v="5"/>
    <x v="251"/>
    <x v="8"/>
    <n v="1733.06"/>
  </r>
  <r>
    <x v="5"/>
    <x v="70"/>
    <x v="4"/>
    <n v="4642.125"/>
  </r>
  <r>
    <x v="5"/>
    <x v="31"/>
    <x v="5"/>
    <n v="185.685"/>
  </r>
  <r>
    <x v="5"/>
    <x v="110"/>
    <x v="3"/>
    <n v="1237.9000000000001"/>
  </r>
  <r>
    <x v="5"/>
    <x v="33"/>
    <x v="4"/>
    <n v="5570.5499999999993"/>
  </r>
  <r>
    <x v="5"/>
    <x v="327"/>
    <x v="5"/>
    <n v="393"/>
  </r>
  <r>
    <x v="5"/>
    <x v="0"/>
    <x v="0"/>
    <n v="754.55999718904502"/>
  </r>
  <r>
    <x v="5"/>
    <x v="459"/>
    <x v="0"/>
    <n v="262"/>
  </r>
  <r>
    <x v="5"/>
    <x v="187"/>
    <x v="8"/>
    <n v="524"/>
  </r>
  <r>
    <x v="5"/>
    <x v="209"/>
    <x v="3"/>
    <n v="471.59999921917915"/>
  </r>
  <r>
    <x v="5"/>
    <x v="448"/>
    <x v="8"/>
    <n v="1048"/>
  </r>
  <r>
    <x v="5"/>
    <x v="437"/>
    <x v="2"/>
    <n v="1650.599997267127"/>
  </r>
  <r>
    <x v="5"/>
    <x v="158"/>
    <x v="3"/>
    <n v="262"/>
  </r>
  <r>
    <x v="5"/>
    <x v="211"/>
    <x v="3"/>
    <n v="334.04999765753746"/>
  </r>
  <r>
    <x v="5"/>
    <x v="230"/>
    <x v="3"/>
    <n v="393"/>
  </r>
  <r>
    <x v="5"/>
    <x v="174"/>
    <x v="3"/>
    <n v="1310"/>
  </r>
  <r>
    <x v="5"/>
    <x v="159"/>
    <x v="5"/>
    <n v="733.6"/>
  </r>
  <r>
    <x v="5"/>
    <x v="202"/>
    <x v="8"/>
    <n v="196.8"/>
  </r>
  <r>
    <x v="5"/>
    <x v="50"/>
    <x v="1"/>
    <n v="328"/>
  </r>
  <r>
    <x v="5"/>
    <x v="90"/>
    <x v="4"/>
    <n v="164"/>
  </r>
  <r>
    <x v="5"/>
    <x v="381"/>
    <x v="0"/>
    <n v="590.4"/>
  </r>
  <r>
    <x v="5"/>
    <x v="121"/>
    <x v="4"/>
    <n v="820"/>
  </r>
  <r>
    <x v="5"/>
    <x v="399"/>
    <x v="0"/>
    <n v="393.6"/>
  </r>
  <r>
    <x v="5"/>
    <x v="460"/>
    <x v="6"/>
    <n v="778.99999938905239"/>
  </r>
  <r>
    <x v="5"/>
    <x v="461"/>
    <x v="6"/>
    <n v="328"/>
  </r>
  <r>
    <x v="5"/>
    <x v="352"/>
    <x v="6"/>
    <n v="3936"/>
  </r>
  <r>
    <x v="5"/>
    <x v="352"/>
    <x v="5"/>
    <n v="93.47999992668629"/>
  </r>
  <r>
    <x v="5"/>
    <x v="222"/>
    <x v="0"/>
    <n v="656"/>
  </r>
  <r>
    <x v="5"/>
    <x v="223"/>
    <x v="2"/>
    <n v="265.67999956011772"/>
  </r>
  <r>
    <x v="5"/>
    <x v="66"/>
    <x v="2"/>
    <n v="98.4"/>
  </r>
  <r>
    <x v="5"/>
    <x v="248"/>
    <x v="2"/>
    <n v="65.599999999999994"/>
  </r>
  <r>
    <x v="5"/>
    <x v="105"/>
    <x v="3"/>
    <n v="656"/>
  </r>
  <r>
    <x v="5"/>
    <x v="33"/>
    <x v="4"/>
    <n v="2066.3999965786934"/>
  </r>
  <r>
    <x v="5"/>
    <x v="124"/>
    <x v="1"/>
    <n v="262.39999902248383"/>
  </r>
  <r>
    <x v="5"/>
    <x v="125"/>
    <x v="0"/>
    <n v="737.99999877810478"/>
  </r>
  <r>
    <x v="5"/>
    <x v="402"/>
    <x v="1"/>
    <n v="53.099999912083149"/>
  </r>
  <r>
    <x v="5"/>
    <x v="459"/>
    <x v="0"/>
    <n v="29.5"/>
  </r>
  <r>
    <x v="5"/>
    <x v="371"/>
    <x v="7"/>
    <n v="88.5"/>
  </r>
  <r>
    <x v="5"/>
    <x v="462"/>
    <x v="4"/>
    <n v="141.6"/>
  </r>
  <r>
    <x v="5"/>
    <x v="79"/>
    <x v="5"/>
    <n v="100.29999929666519"/>
  </r>
  <r>
    <x v="5"/>
    <x v="156"/>
    <x v="1"/>
    <n v="165.2"/>
  </r>
  <r>
    <x v="5"/>
    <x v="369"/>
    <x v="5"/>
    <n v="141.6"/>
  </r>
  <r>
    <x v="5"/>
    <x v="117"/>
    <x v="4"/>
    <n v="106.2"/>
  </r>
  <r>
    <x v="5"/>
    <x v="463"/>
    <x v="5"/>
    <n v="59"/>
  </r>
  <r>
    <x v="5"/>
    <x v="394"/>
    <x v="3"/>
    <n v="35.4"/>
  </r>
  <r>
    <x v="5"/>
    <x v="375"/>
    <x v="5"/>
    <n v="236"/>
  </r>
  <r>
    <x v="5"/>
    <x v="325"/>
    <x v="5"/>
    <n v="472"/>
  </r>
  <r>
    <x v="5"/>
    <x v="173"/>
    <x v="5"/>
    <n v="88.5"/>
  </r>
  <r>
    <x v="5"/>
    <x v="316"/>
    <x v="3"/>
    <n v="28.319999894499777"/>
  </r>
  <r>
    <x v="5"/>
    <x v="349"/>
    <x v="8"/>
    <n v="106.19999999999999"/>
  </r>
  <r>
    <x v="5"/>
    <x v="295"/>
    <x v="7"/>
    <n v="149"/>
  </r>
  <r>
    <x v="5"/>
    <x v="193"/>
    <x v="0"/>
    <n v="111.75"/>
  </r>
  <r>
    <x v="5"/>
    <x v="280"/>
    <x v="3"/>
    <n v="59.599999777972698"/>
  </r>
  <r>
    <x v="5"/>
    <x v="409"/>
    <x v="0"/>
    <n v="169.85999986678362"/>
  </r>
  <r>
    <x v="5"/>
    <x v="12"/>
    <x v="0"/>
    <n v="372.5"/>
  </r>
  <r>
    <x v="5"/>
    <x v="428"/>
    <x v="1"/>
    <n v="29.8"/>
  </r>
  <r>
    <x v="5"/>
    <x v="460"/>
    <x v="6"/>
    <n v="223.5"/>
  </r>
  <r>
    <x v="5"/>
    <x v="178"/>
    <x v="6"/>
    <n v="40.229999933391809"/>
  </r>
  <r>
    <x v="5"/>
    <x v="415"/>
    <x v="4"/>
    <n v="223.5"/>
  </r>
  <r>
    <x v="5"/>
    <x v="217"/>
    <x v="5"/>
    <n v="379.94999733567238"/>
  </r>
  <r>
    <x v="5"/>
    <x v="305"/>
    <x v="0"/>
    <n v="111.75"/>
  </r>
  <r>
    <x v="5"/>
    <x v="344"/>
    <x v="3"/>
    <n v="223.5"/>
  </r>
  <r>
    <x v="5"/>
    <x v="424"/>
    <x v="8"/>
    <n v="17.879999933391812"/>
  </r>
  <r>
    <x v="5"/>
    <x v="60"/>
    <x v="0"/>
    <n v="22.35"/>
  </r>
  <r>
    <x v="5"/>
    <x v="346"/>
    <x v="2"/>
    <n v="35.759999866783623"/>
  </r>
  <r>
    <x v="5"/>
    <x v="100"/>
    <x v="0"/>
    <n v="46.934999922290444"/>
  </r>
  <r>
    <x v="5"/>
    <x v="101"/>
    <x v="0"/>
    <n v="195.5625"/>
  </r>
  <r>
    <x v="5"/>
    <x v="388"/>
    <x v="1"/>
    <n v="202.63999857902527"/>
  </r>
  <r>
    <x v="5"/>
    <x v="348"/>
    <x v="8"/>
    <n v="74.5"/>
  </r>
  <r>
    <x v="5"/>
    <x v="34"/>
    <x v="8"/>
    <n v="74.5"/>
  </r>
  <r>
    <x v="5"/>
    <x v="125"/>
    <x v="3"/>
    <n v="111.75"/>
  </r>
  <r>
    <x v="5"/>
    <x v="74"/>
    <x v="6"/>
    <n v="342.71999759674071"/>
  </r>
  <r>
    <x v="5"/>
    <x v="77"/>
    <x v="8"/>
    <n v="384"/>
  </r>
  <r>
    <x v="5"/>
    <x v="43"/>
    <x v="1"/>
    <n v="614.39999771118164"/>
  </r>
  <r>
    <x v="5"/>
    <x v="416"/>
    <x v="2"/>
    <n v="230.4"/>
  </r>
  <r>
    <x v="5"/>
    <x v="210"/>
    <x v="1"/>
    <n v="288"/>
  </r>
  <r>
    <x v="5"/>
    <x v="131"/>
    <x v="8"/>
    <n v="2073.5999965667725"/>
  </r>
  <r>
    <x v="5"/>
    <x v="259"/>
    <x v="2"/>
    <n v="144"/>
  </r>
  <r>
    <x v="5"/>
    <x v="316"/>
    <x v="1"/>
    <n v="2073.5999965667725"/>
  </r>
  <r>
    <x v="5"/>
    <x v="231"/>
    <x v="0"/>
    <n v="864"/>
  </r>
  <r>
    <x v="5"/>
    <x v="8"/>
    <x v="3"/>
    <n v="36.479999971389766"/>
  </r>
  <r>
    <x v="5"/>
    <x v="49"/>
    <x v="1"/>
    <n v="518.39999914169312"/>
  </r>
  <r>
    <x v="5"/>
    <x v="405"/>
    <x v="6"/>
    <n v="336"/>
  </r>
  <r>
    <x v="5"/>
    <x v="464"/>
    <x v="2"/>
    <n v="410.39999967813492"/>
  </r>
  <r>
    <x v="5"/>
    <x v="419"/>
    <x v="1"/>
    <n v="569.99999955296516"/>
  </r>
  <r>
    <x v="5"/>
    <x v="281"/>
    <x v="1"/>
    <n v="383.99999856948853"/>
  </r>
  <r>
    <x v="5"/>
    <x v="465"/>
    <x v="8"/>
    <n v="120"/>
  </r>
  <r>
    <x v="5"/>
    <x v="269"/>
    <x v="0"/>
    <n v="273.59999978542328"/>
  </r>
  <r>
    <x v="5"/>
    <x v="421"/>
    <x v="0"/>
    <n v="86.399999856948853"/>
  </r>
  <r>
    <x v="5"/>
    <x v="196"/>
    <x v="1"/>
    <n v="504"/>
  </r>
  <r>
    <x v="5"/>
    <x v="449"/>
    <x v="1"/>
    <n v="144"/>
  </r>
  <r>
    <x v="5"/>
    <x v="20"/>
    <x v="1"/>
    <n v="288"/>
  </r>
  <r>
    <x v="5"/>
    <x v="400"/>
    <x v="1"/>
    <n v="1080"/>
  </r>
  <r>
    <x v="5"/>
    <x v="291"/>
    <x v="6"/>
    <n v="227.99999982118607"/>
  </r>
  <r>
    <x v="5"/>
    <x v="401"/>
    <x v="0"/>
    <n v="611.99999570846558"/>
  </r>
  <r>
    <x v="5"/>
    <x v="248"/>
    <x v="1"/>
    <n v="479.99999821186066"/>
  </r>
  <r>
    <x v="5"/>
    <x v="292"/>
    <x v="5"/>
    <n v="96"/>
  </r>
  <r>
    <x v="5"/>
    <x v="70"/>
    <x v="8"/>
    <n v="1325.9999907016754"/>
  </r>
  <r>
    <x v="5"/>
    <x v="30"/>
    <x v="8"/>
    <n v="144"/>
  </r>
  <r>
    <x v="5"/>
    <x v="30"/>
    <x v="1"/>
    <n v="960"/>
  </r>
  <r>
    <x v="5"/>
    <x v="112"/>
    <x v="8"/>
    <n v="840"/>
  </r>
  <r>
    <x v="5"/>
    <x v="114"/>
    <x v="3"/>
    <n v="840"/>
  </r>
  <r>
    <x v="5"/>
    <x v="125"/>
    <x v="0"/>
    <n v="86.399999856948853"/>
  </r>
  <r>
    <x v="5"/>
    <x v="73"/>
    <x v="0"/>
    <n v="48"/>
  </r>
  <r>
    <x v="6"/>
    <x v="285"/>
    <x v="3"/>
    <n v="360"/>
  </r>
  <r>
    <x v="6"/>
    <x v="404"/>
    <x v="0"/>
    <n v="191.99999928474426"/>
  </r>
  <r>
    <x v="6"/>
    <x v="443"/>
    <x v="1"/>
    <n v="364.79999971389771"/>
  </r>
  <r>
    <x v="6"/>
    <x v="445"/>
    <x v="8"/>
    <n v="720"/>
  </r>
  <r>
    <x v="6"/>
    <x v="234"/>
    <x v="1"/>
    <n v="1274.9999910593033"/>
  </r>
  <r>
    <x v="6"/>
    <x v="135"/>
    <x v="0"/>
    <n v="300"/>
  </r>
  <r>
    <x v="6"/>
    <x v="12"/>
    <x v="0"/>
    <n v="300"/>
  </r>
  <r>
    <x v="6"/>
    <x v="281"/>
    <x v="6"/>
    <n v="1350"/>
  </r>
  <r>
    <x v="6"/>
    <x v="241"/>
    <x v="1"/>
    <n v="1050"/>
  </r>
  <r>
    <x v="6"/>
    <x v="217"/>
    <x v="3"/>
    <n v="2700"/>
  </r>
  <r>
    <x v="6"/>
    <x v="58"/>
    <x v="1"/>
    <n v="1050"/>
  </r>
  <r>
    <x v="6"/>
    <x v="145"/>
    <x v="2"/>
    <n v="76.499999463558197"/>
  </r>
  <r>
    <x v="6"/>
    <x v="223"/>
    <x v="2"/>
    <n v="539.99999910593033"/>
  </r>
  <r>
    <x v="6"/>
    <x v="101"/>
    <x v="8"/>
    <n v="150"/>
  </r>
  <r>
    <x v="6"/>
    <x v="27"/>
    <x v="1"/>
    <n v="569.99999955296516"/>
  </r>
  <r>
    <x v="6"/>
    <x v="27"/>
    <x v="0"/>
    <n v="360"/>
  </r>
  <r>
    <x v="6"/>
    <x v="389"/>
    <x v="3"/>
    <n v="240"/>
  </r>
  <r>
    <x v="6"/>
    <x v="150"/>
    <x v="4"/>
    <n v="180"/>
  </r>
  <r>
    <x v="6"/>
    <x v="105"/>
    <x v="3"/>
    <n v="1350"/>
  </r>
  <r>
    <x v="6"/>
    <x v="107"/>
    <x v="3"/>
    <n v="540"/>
  </r>
  <r>
    <x v="6"/>
    <x v="165"/>
    <x v="8"/>
    <n v="600"/>
  </r>
  <r>
    <x v="6"/>
    <x v="200"/>
    <x v="3"/>
    <n v="1800"/>
  </r>
  <r>
    <x v="6"/>
    <x v="200"/>
    <x v="5"/>
    <n v="1800"/>
  </r>
  <r>
    <x v="6"/>
    <x v="30"/>
    <x v="8"/>
    <n v="1800"/>
  </r>
  <r>
    <x v="6"/>
    <x v="111"/>
    <x v="8"/>
    <n v="600"/>
  </r>
  <r>
    <x v="6"/>
    <x v="71"/>
    <x v="0"/>
    <n v="120"/>
  </r>
  <r>
    <x v="6"/>
    <x v="114"/>
    <x v="3"/>
    <n v="1200"/>
  </r>
  <r>
    <x v="6"/>
    <x v="36"/>
    <x v="0"/>
    <n v="427.49999966472387"/>
  </r>
  <r>
    <x v="6"/>
    <x v="73"/>
    <x v="0"/>
    <n v="28.499999977648258"/>
  </r>
  <r>
    <x v="6"/>
    <x v="466"/>
    <x v="2"/>
    <n v="167.4"/>
  </r>
  <r>
    <x v="6"/>
    <x v="289"/>
    <x v="0"/>
    <n v="167.4"/>
  </r>
  <r>
    <x v="6"/>
    <x v="360"/>
    <x v="6"/>
    <n v="186"/>
  </r>
  <r>
    <x v="6"/>
    <x v="463"/>
    <x v="5"/>
    <n v="279"/>
  </r>
  <r>
    <x v="6"/>
    <x v="44"/>
    <x v="0"/>
    <n v="585.90000000000009"/>
  </r>
  <r>
    <x v="6"/>
    <x v="363"/>
    <x v="5"/>
    <n v="223.2"/>
  </r>
  <r>
    <x v="6"/>
    <x v="467"/>
    <x v="3"/>
    <n v="334.7999994456768"/>
  </r>
  <r>
    <x v="6"/>
    <x v="453"/>
    <x v="1"/>
    <n v="651"/>
  </r>
  <r>
    <x v="6"/>
    <x v="232"/>
    <x v="6"/>
    <n v="223.2"/>
  </r>
  <r>
    <x v="6"/>
    <x v="50"/>
    <x v="2"/>
    <n v="1627.5"/>
  </r>
  <r>
    <x v="6"/>
    <x v="92"/>
    <x v="2"/>
    <n v="557.99999792128801"/>
  </r>
  <r>
    <x v="6"/>
    <x v="411"/>
    <x v="3"/>
    <n v="217.38749847561121"/>
  </r>
  <r>
    <x v="6"/>
    <x v="240"/>
    <x v="1"/>
    <n v="331.312499740161"/>
  </r>
  <r>
    <x v="6"/>
    <x v="96"/>
    <x v="3"/>
    <n v="488.25"/>
  </r>
  <r>
    <x v="6"/>
    <x v="435"/>
    <x v="5"/>
    <n v="69.75"/>
  </r>
  <r>
    <x v="6"/>
    <x v="297"/>
    <x v="2"/>
    <n v="62.774999896064401"/>
  </r>
  <r>
    <x v="6"/>
    <x v="461"/>
    <x v="6"/>
    <n v="697.5"/>
  </r>
  <r>
    <x v="6"/>
    <x v="273"/>
    <x v="0"/>
    <n v="372"/>
  </r>
  <r>
    <x v="6"/>
    <x v="429"/>
    <x v="7"/>
    <n v="98.812499307096004"/>
  </r>
  <r>
    <x v="6"/>
    <x v="346"/>
    <x v="2"/>
    <n v="278.99999896064401"/>
  </r>
  <r>
    <x v="6"/>
    <x v="73"/>
    <x v="1"/>
    <n v="348.75"/>
  </r>
  <r>
    <x v="6"/>
    <x v="73"/>
    <x v="0"/>
    <n v="22.55250001559034"/>
  </r>
  <r>
    <x v="6"/>
    <x v="390"/>
    <x v="8"/>
    <n v="728"/>
  </r>
  <r>
    <x v="6"/>
    <x v="185"/>
    <x v="1"/>
    <n v="1019.2"/>
  </r>
  <r>
    <x v="6"/>
    <x v="187"/>
    <x v="8"/>
    <n v="145.6"/>
  </r>
  <r>
    <x v="6"/>
    <x v="256"/>
    <x v="4"/>
    <n v="509.6"/>
  </r>
  <r>
    <x v="6"/>
    <x v="156"/>
    <x v="1"/>
    <n v="1092"/>
  </r>
  <r>
    <x v="6"/>
    <x v="361"/>
    <x v="8"/>
    <n v="425.87999929487705"/>
  </r>
  <r>
    <x v="6"/>
    <x v="172"/>
    <x v="0"/>
    <n v="618.79999566078186"/>
  </r>
  <r>
    <x v="6"/>
    <x v="82"/>
    <x v="0"/>
    <n v="218.4"/>
  </r>
  <r>
    <x v="6"/>
    <x v="6"/>
    <x v="4"/>
    <n v="1375.9199977219105"/>
  </r>
  <r>
    <x v="6"/>
    <x v="134"/>
    <x v="3"/>
    <n v="436.8"/>
  </r>
  <r>
    <x v="6"/>
    <x v="300"/>
    <x v="3"/>
    <n v="546"/>
  </r>
  <r>
    <x v="6"/>
    <x v="189"/>
    <x v="4"/>
    <n v="1092"/>
  </r>
  <r>
    <x v="6"/>
    <x v="232"/>
    <x v="6"/>
    <n v="655.20000000000005"/>
  </r>
  <r>
    <x v="6"/>
    <x v="387"/>
    <x v="1"/>
    <n v="912"/>
  </r>
  <r>
    <x v="6"/>
    <x v="295"/>
    <x v="2"/>
    <n v="346.55999972820285"/>
  </r>
  <r>
    <x v="6"/>
    <x v="468"/>
    <x v="1"/>
    <n v="136.80000000000001"/>
  </r>
  <r>
    <x v="6"/>
    <x v="235"/>
    <x v="5"/>
    <n v="1596"/>
  </r>
  <r>
    <x v="6"/>
    <x v="203"/>
    <x v="1"/>
    <n v="319.2"/>
  </r>
  <r>
    <x v="6"/>
    <x v="96"/>
    <x v="1"/>
    <n v="456"/>
  </r>
  <r>
    <x v="6"/>
    <x v="177"/>
    <x v="2"/>
    <n v="513"/>
  </r>
  <r>
    <x v="6"/>
    <x v="97"/>
    <x v="6"/>
    <n v="912"/>
  </r>
  <r>
    <x v="6"/>
    <x v="17"/>
    <x v="1"/>
    <n v="2462.3999959230423"/>
  </r>
  <r>
    <x v="6"/>
    <x v="273"/>
    <x v="0"/>
    <n v="912"/>
  </r>
  <r>
    <x v="6"/>
    <x v="144"/>
    <x v="1"/>
    <n v="182.39999932050705"/>
  </r>
  <r>
    <x v="6"/>
    <x v="123"/>
    <x v="2"/>
    <n v="1094.4000000000001"/>
  </r>
  <r>
    <x v="6"/>
    <x v="353"/>
    <x v="1"/>
    <n v="136.80000000000001"/>
  </r>
  <r>
    <x v="6"/>
    <x v="246"/>
    <x v="5"/>
    <n v="1231.1999979615211"/>
  </r>
  <r>
    <x v="6"/>
    <x v="69"/>
    <x v="4"/>
    <n v="364.8"/>
  </r>
  <r>
    <x v="6"/>
    <x v="249"/>
    <x v="0"/>
    <n v="91.2"/>
  </r>
  <r>
    <x v="6"/>
    <x v="252"/>
    <x v="0"/>
    <n v="912"/>
  </r>
  <r>
    <x v="6"/>
    <x v="110"/>
    <x v="4"/>
    <n v="3032.3999976217747"/>
  </r>
  <r>
    <x v="6"/>
    <x v="151"/>
    <x v="0"/>
    <n v="912"/>
  </r>
  <r>
    <x v="6"/>
    <x v="183"/>
    <x v="3"/>
    <n v="310.07999782562257"/>
  </r>
  <r>
    <x v="6"/>
    <x v="466"/>
    <x v="2"/>
    <n v="1696"/>
  </r>
  <r>
    <x v="6"/>
    <x v="313"/>
    <x v="1"/>
    <n v="1261.3999911546707"/>
  </r>
  <r>
    <x v="6"/>
    <x v="286"/>
    <x v="2"/>
    <n v="76.319999873638153"/>
  </r>
  <r>
    <x v="6"/>
    <x v="42"/>
    <x v="4"/>
    <n v="1628.1599939346313"/>
  </r>
  <r>
    <x v="6"/>
    <x v="369"/>
    <x v="5"/>
    <n v="848"/>
  </r>
  <r>
    <x v="6"/>
    <x v="362"/>
    <x v="6"/>
    <n v="648.71999545097356"/>
  </r>
  <r>
    <x v="6"/>
    <x v="86"/>
    <x v="3"/>
    <n v="763.2"/>
  </r>
  <r>
    <x v="6"/>
    <x v="119"/>
    <x v="5"/>
    <n v="127.2"/>
  </r>
  <r>
    <x v="6"/>
    <x v="349"/>
    <x v="0"/>
    <n v="1060"/>
  </r>
  <r>
    <x v="6"/>
    <x v="414"/>
    <x v="0"/>
    <n v="318"/>
  </r>
  <r>
    <x v="6"/>
    <x v="418"/>
    <x v="6"/>
    <n v="2162.3999848365784"/>
  </r>
  <r>
    <x v="6"/>
    <x v="92"/>
    <x v="2"/>
    <n v="847.99999684095383"/>
  </r>
  <r>
    <x v="6"/>
    <x v="381"/>
    <x v="0"/>
    <n v="1060"/>
  </r>
  <r>
    <x v="6"/>
    <x v="301"/>
    <x v="8"/>
    <n v="2650"/>
  </r>
  <r>
    <x v="6"/>
    <x v="262"/>
    <x v="0"/>
    <n v="159"/>
  </r>
  <r>
    <x v="6"/>
    <x v="241"/>
    <x v="1"/>
    <n v="795"/>
  </r>
  <r>
    <x v="6"/>
    <x v="319"/>
    <x v="8"/>
    <n v="1006.9999992102385"/>
  </r>
  <r>
    <x v="6"/>
    <x v="270"/>
    <x v="0"/>
    <n v="1060"/>
  </r>
  <r>
    <x v="6"/>
    <x v="288"/>
    <x v="0"/>
    <n v="1484"/>
  </r>
  <r>
    <x v="6"/>
    <x v="305"/>
    <x v="1"/>
    <n v="371"/>
  </r>
  <r>
    <x v="6"/>
    <x v="272"/>
    <x v="4"/>
    <n v="1510.4999988153577"/>
  </r>
  <r>
    <x v="6"/>
    <x v="180"/>
    <x v="5"/>
    <n v="1484"/>
  </r>
  <r>
    <x v="6"/>
    <x v="423"/>
    <x v="0"/>
    <n v="6041.9999952614307"/>
  </r>
  <r>
    <x v="6"/>
    <x v="100"/>
    <x v="0"/>
    <n v="476.99999921023846"/>
  </r>
  <r>
    <x v="6"/>
    <x v="400"/>
    <x v="1"/>
    <n v="1192.5"/>
  </r>
  <r>
    <x v="6"/>
    <x v="146"/>
    <x v="0"/>
    <n v="318"/>
  </r>
  <r>
    <x v="6"/>
    <x v="149"/>
    <x v="1"/>
    <n v="159"/>
  </r>
  <r>
    <x v="6"/>
    <x v="101"/>
    <x v="5"/>
    <n v="159"/>
  </r>
  <r>
    <x v="6"/>
    <x v="25"/>
    <x v="6"/>
    <n v="106"/>
  </r>
  <r>
    <x v="6"/>
    <x v="292"/>
    <x v="5"/>
    <n v="2120"/>
  </r>
  <r>
    <x v="6"/>
    <x v="250"/>
    <x v="2"/>
    <n v="424"/>
  </r>
  <r>
    <x v="6"/>
    <x v="164"/>
    <x v="2"/>
    <n v="848"/>
  </r>
  <r>
    <x v="6"/>
    <x v="107"/>
    <x v="3"/>
    <n v="530"/>
  </r>
  <r>
    <x v="6"/>
    <x v="432"/>
    <x v="0"/>
    <n v="1060"/>
  </r>
  <r>
    <x v="6"/>
    <x v="109"/>
    <x v="2"/>
    <n v="755.24999940767884"/>
  </r>
  <r>
    <x v="6"/>
    <x v="71"/>
    <x v="5"/>
    <n v="1749"/>
  </r>
  <r>
    <x v="6"/>
    <x v="32"/>
    <x v="1"/>
    <n v="530"/>
  </r>
  <r>
    <x v="6"/>
    <x v="152"/>
    <x v="2"/>
    <n v="1272"/>
  </r>
  <r>
    <x v="6"/>
    <x v="114"/>
    <x v="4"/>
    <n v="1060"/>
  </r>
  <r>
    <x v="6"/>
    <x v="74"/>
    <x v="6"/>
    <n v="168"/>
  </r>
  <r>
    <x v="6"/>
    <x v="75"/>
    <x v="7"/>
    <n v="216"/>
  </r>
  <r>
    <x v="6"/>
    <x v="5"/>
    <x v="2"/>
    <n v="135.99999904632568"/>
  </r>
  <r>
    <x v="6"/>
    <x v="209"/>
    <x v="5"/>
    <n v="112"/>
  </r>
  <r>
    <x v="6"/>
    <x v="287"/>
    <x v="1"/>
    <n v="400"/>
  </r>
  <r>
    <x v="6"/>
    <x v="45"/>
    <x v="1"/>
    <n v="120"/>
  </r>
  <r>
    <x v="6"/>
    <x v="339"/>
    <x v="2"/>
    <n v="240"/>
  </r>
  <r>
    <x v="6"/>
    <x v="349"/>
    <x v="0"/>
    <n v="128"/>
  </r>
  <r>
    <x v="6"/>
    <x v="469"/>
    <x v="5"/>
    <n v="50"/>
  </r>
  <r>
    <x v="6"/>
    <x v="424"/>
    <x v="8"/>
    <n v="350"/>
  </r>
  <r>
    <x v="6"/>
    <x v="61"/>
    <x v="5"/>
    <n v="112.5"/>
  </r>
  <r>
    <x v="6"/>
    <x v="23"/>
    <x v="8"/>
    <n v="200"/>
  </r>
  <r>
    <x v="6"/>
    <x v="109"/>
    <x v="3"/>
    <n v="200"/>
  </r>
  <r>
    <x v="7"/>
    <x v="254"/>
    <x v="5"/>
    <n v="565.43999955654147"/>
  </r>
  <r>
    <x v="7"/>
    <x v="470"/>
    <x v="3"/>
    <n v="372"/>
  </r>
  <r>
    <x v="7"/>
    <x v="373"/>
    <x v="0"/>
    <n v="595.19999778270721"/>
  </r>
  <r>
    <x v="7"/>
    <x v="210"/>
    <x v="1"/>
    <n v="396.8"/>
  </r>
  <r>
    <x v="7"/>
    <x v="395"/>
    <x v="5"/>
    <n v="347.2"/>
  </r>
  <r>
    <x v="7"/>
    <x v="316"/>
    <x v="3"/>
    <n v="396.79999852180481"/>
  </r>
  <r>
    <x v="7"/>
    <x v="471"/>
    <x v="8"/>
    <n v="471.1999996304512"/>
  </r>
  <r>
    <x v="7"/>
    <x v="434"/>
    <x v="2"/>
    <n v="471.1999996304512"/>
  </r>
  <r>
    <x v="7"/>
    <x v="193"/>
    <x v="0"/>
    <n v="62"/>
  </r>
  <r>
    <x v="7"/>
    <x v="472"/>
    <x v="5"/>
    <n v="155"/>
  </r>
  <r>
    <x v="7"/>
    <x v="13"/>
    <x v="4"/>
    <n v="310"/>
  </r>
  <r>
    <x v="7"/>
    <x v="268"/>
    <x v="0"/>
    <n v="2170"/>
  </r>
  <r>
    <x v="7"/>
    <x v="16"/>
    <x v="7"/>
    <n v="418.5"/>
  </r>
  <r>
    <x v="7"/>
    <x v="319"/>
    <x v="0"/>
    <n v="632.39999556541443"/>
  </r>
  <r>
    <x v="7"/>
    <x v="302"/>
    <x v="8"/>
    <n v="62"/>
  </r>
  <r>
    <x v="7"/>
    <x v="384"/>
    <x v="1"/>
    <n v="620"/>
  </r>
  <r>
    <x v="7"/>
    <x v="17"/>
    <x v="1"/>
    <n v="502.19999916851521"/>
  </r>
  <r>
    <x v="7"/>
    <x v="55"/>
    <x v="0"/>
    <n v="558"/>
  </r>
  <r>
    <x v="7"/>
    <x v="440"/>
    <x v="5"/>
    <n v="651"/>
  </r>
  <r>
    <x v="7"/>
    <x v="306"/>
    <x v="3"/>
    <n v="496"/>
  </r>
  <r>
    <x v="7"/>
    <x v="205"/>
    <x v="4"/>
    <n v="186"/>
  </r>
  <r>
    <x v="7"/>
    <x v="162"/>
    <x v="0"/>
    <n v="310"/>
  </r>
  <r>
    <x v="7"/>
    <x v="123"/>
    <x v="2"/>
    <n v="1116"/>
  </r>
  <r>
    <x v="7"/>
    <x v="181"/>
    <x v="0"/>
    <n v="465"/>
  </r>
  <r>
    <x v="7"/>
    <x v="199"/>
    <x v="6"/>
    <n v="496"/>
  </r>
  <r>
    <x v="7"/>
    <x v="323"/>
    <x v="5"/>
    <n v="2634.9999815225601"/>
  </r>
  <r>
    <x v="7"/>
    <x v="353"/>
    <x v="6"/>
    <n v="310"/>
  </r>
  <r>
    <x v="7"/>
    <x v="333"/>
    <x v="0"/>
    <n v="2170"/>
  </r>
  <r>
    <x v="7"/>
    <x v="246"/>
    <x v="5"/>
    <n v="557.99999907612801"/>
  </r>
  <r>
    <x v="7"/>
    <x v="104"/>
    <x v="0"/>
    <n v="775"/>
  </r>
  <r>
    <x v="7"/>
    <x v="292"/>
    <x v="8"/>
    <n v="930"/>
  </r>
  <r>
    <x v="7"/>
    <x v="71"/>
    <x v="8"/>
    <n v="632.39999556541443"/>
  </r>
  <r>
    <x v="7"/>
    <x v="73"/>
    <x v="0"/>
    <n v="31"/>
  </r>
  <r>
    <x v="7"/>
    <x v="470"/>
    <x v="3"/>
    <n v="48"/>
  </r>
  <r>
    <x v="7"/>
    <x v="286"/>
    <x v="2"/>
    <n v="86.399999856948853"/>
  </r>
  <r>
    <x v="7"/>
    <x v="289"/>
    <x v="0"/>
    <n v="57.6"/>
  </r>
  <r>
    <x v="7"/>
    <x v="357"/>
    <x v="3"/>
    <n v="96"/>
  </r>
  <r>
    <x v="7"/>
    <x v="130"/>
    <x v="5"/>
    <n v="86.4"/>
  </r>
  <r>
    <x v="7"/>
    <x v="44"/>
    <x v="0"/>
    <n v="48"/>
  </r>
  <r>
    <x v="7"/>
    <x v="211"/>
    <x v="5"/>
    <n v="8.6399999856948853"/>
  </r>
  <r>
    <x v="7"/>
    <x v="444"/>
    <x v="8"/>
    <n v="4.8"/>
  </r>
  <r>
    <x v="7"/>
    <x v="175"/>
    <x v="0"/>
    <n v="60"/>
  </r>
  <r>
    <x v="7"/>
    <x v="10"/>
    <x v="1"/>
    <n v="60"/>
  </r>
  <r>
    <x v="7"/>
    <x v="366"/>
    <x v="2"/>
    <n v="48"/>
  </r>
  <r>
    <x v="7"/>
    <x v="428"/>
    <x v="4"/>
    <n v="360"/>
  </r>
  <r>
    <x v="7"/>
    <x v="176"/>
    <x v="1"/>
    <n v="43.199999928474426"/>
  </r>
  <r>
    <x v="7"/>
    <x v="241"/>
    <x v="4"/>
    <n v="66.299999535083771"/>
  </r>
  <r>
    <x v="7"/>
    <x v="243"/>
    <x v="8"/>
    <n v="24"/>
  </r>
  <r>
    <x v="7"/>
    <x v="312"/>
    <x v="0"/>
    <n v="36"/>
  </r>
  <r>
    <x v="7"/>
    <x v="100"/>
    <x v="7"/>
    <n v="101.99999928474426"/>
  </r>
  <r>
    <x v="7"/>
    <x v="221"/>
    <x v="8"/>
    <n v="42"/>
  </r>
  <r>
    <x v="7"/>
    <x v="63"/>
    <x v="7"/>
    <n v="60"/>
  </r>
  <r>
    <x v="7"/>
    <x v="147"/>
    <x v="8"/>
    <n v="14.39999994635582"/>
  </r>
  <r>
    <x v="7"/>
    <x v="148"/>
    <x v="7"/>
    <n v="36"/>
  </r>
  <r>
    <x v="7"/>
    <x v="323"/>
    <x v="5"/>
    <n v="331.49999767541885"/>
  </r>
  <r>
    <x v="7"/>
    <x v="102"/>
    <x v="0"/>
    <n v="159.59999987483025"/>
  </r>
  <r>
    <x v="7"/>
    <x v="182"/>
    <x v="1"/>
    <n v="30"/>
  </r>
  <r>
    <x v="7"/>
    <x v="26"/>
    <x v="5"/>
    <n v="240"/>
  </r>
  <r>
    <x v="7"/>
    <x v="246"/>
    <x v="1"/>
    <n v="60"/>
  </r>
  <r>
    <x v="7"/>
    <x v="248"/>
    <x v="1"/>
    <n v="214.19999849796295"/>
  </r>
  <r>
    <x v="7"/>
    <x v="69"/>
    <x v="5"/>
    <n v="90"/>
  </r>
  <r>
    <x v="7"/>
    <x v="389"/>
    <x v="3"/>
    <n v="120"/>
  </r>
  <r>
    <x v="7"/>
    <x v="389"/>
    <x v="1"/>
    <n v="90"/>
  </r>
  <r>
    <x v="7"/>
    <x v="104"/>
    <x v="1"/>
    <n v="120"/>
  </r>
  <r>
    <x v="7"/>
    <x v="105"/>
    <x v="3"/>
    <n v="462"/>
  </r>
  <r>
    <x v="7"/>
    <x v="165"/>
    <x v="8"/>
    <n v="428.3999969959259"/>
  </r>
  <r>
    <x v="7"/>
    <x v="30"/>
    <x v="1"/>
    <n v="336"/>
  </r>
  <r>
    <x v="7"/>
    <x v="32"/>
    <x v="2"/>
    <n v="107.99999982118607"/>
  </r>
  <r>
    <x v="7"/>
    <x v="33"/>
    <x v="2"/>
    <n v="480"/>
  </r>
  <r>
    <x v="7"/>
    <x v="34"/>
    <x v="3"/>
    <n v="42"/>
  </r>
  <r>
    <x v="7"/>
    <x v="227"/>
    <x v="8"/>
    <n v="180"/>
  </r>
  <r>
    <x v="7"/>
    <x v="36"/>
    <x v="0"/>
    <n v="56.999999955296516"/>
  </r>
  <r>
    <x v="7"/>
    <x v="73"/>
    <x v="0"/>
    <n v="24"/>
  </r>
  <r>
    <x v="7"/>
    <x v="78"/>
    <x v="0"/>
    <n v="600"/>
  </r>
  <r>
    <x v="7"/>
    <x v="169"/>
    <x v="3"/>
    <n v="1124.9999981373549"/>
  </r>
  <r>
    <x v="7"/>
    <x v="379"/>
    <x v="5"/>
    <n v="1599.9999940395355"/>
  </r>
  <r>
    <x v="7"/>
    <x v="188"/>
    <x v="0"/>
    <n v="949.99999925494194"/>
  </r>
  <r>
    <x v="7"/>
    <x v="287"/>
    <x v="1"/>
    <n v="450"/>
  </r>
  <r>
    <x v="7"/>
    <x v="445"/>
    <x v="1"/>
    <n v="1500"/>
  </r>
  <r>
    <x v="7"/>
    <x v="213"/>
    <x v="8"/>
    <n v="1406.2499976716936"/>
  </r>
  <r>
    <x v="7"/>
    <x v="262"/>
    <x v="7"/>
    <n v="956.24999329447746"/>
  </r>
  <r>
    <x v="7"/>
    <x v="446"/>
    <x v="8"/>
    <n v="1999.9999925494194"/>
  </r>
  <r>
    <x v="7"/>
    <x v="241"/>
    <x v="1"/>
    <n v="3125"/>
  </r>
  <r>
    <x v="7"/>
    <x v="318"/>
    <x v="4"/>
    <n v="500"/>
  </r>
  <r>
    <x v="7"/>
    <x v="177"/>
    <x v="5"/>
    <n v="224.99999962747097"/>
  </r>
  <r>
    <x v="7"/>
    <x v="473"/>
    <x v="1"/>
    <n v="1250"/>
  </r>
  <r>
    <x v="7"/>
    <x v="344"/>
    <x v="3"/>
    <n v="562.5"/>
  </r>
  <r>
    <x v="7"/>
    <x v="303"/>
    <x v="7"/>
    <n v="1500"/>
  </r>
  <r>
    <x v="7"/>
    <x v="122"/>
    <x v="3"/>
    <n v="1049.9999960884452"/>
  </r>
  <r>
    <x v="7"/>
    <x v="145"/>
    <x v="0"/>
    <n v="1875"/>
  </r>
  <r>
    <x v="7"/>
    <x v="22"/>
    <x v="5"/>
    <n v="1171.875"/>
  </r>
  <r>
    <x v="7"/>
    <x v="323"/>
    <x v="7"/>
    <n v="625"/>
  </r>
  <r>
    <x v="7"/>
    <x v="368"/>
    <x v="1"/>
    <n v="1250"/>
  </r>
  <r>
    <x v="7"/>
    <x v="347"/>
    <x v="0"/>
    <n v="1562.5"/>
  </r>
  <r>
    <x v="7"/>
    <x v="29"/>
    <x v="1"/>
    <n v="187.5"/>
  </r>
  <r>
    <x v="7"/>
    <x v="164"/>
    <x v="5"/>
    <n v="375"/>
  </r>
  <r>
    <x v="7"/>
    <x v="108"/>
    <x v="8"/>
    <n v="449.99999925494194"/>
  </r>
  <r>
    <x v="7"/>
    <x v="226"/>
    <x v="1"/>
    <n v="625"/>
  </r>
  <r>
    <x v="7"/>
    <x v="32"/>
    <x v="1"/>
    <n v="500"/>
  </r>
  <r>
    <x v="7"/>
    <x v="113"/>
    <x v="8"/>
    <n v="1749.999993480742"/>
  </r>
  <r>
    <x v="7"/>
    <x v="75"/>
    <x v="7"/>
    <n v="931.5"/>
  </r>
  <r>
    <x v="7"/>
    <x v="456"/>
    <x v="1"/>
    <n v="124.2"/>
  </r>
  <r>
    <x v="7"/>
    <x v="459"/>
    <x v="0"/>
    <n v="207"/>
  </r>
  <r>
    <x v="7"/>
    <x v="41"/>
    <x v="8"/>
    <n v="579.59999784082174"/>
  </r>
  <r>
    <x v="7"/>
    <x v="153"/>
    <x v="1"/>
    <n v="157.31999987661837"/>
  </r>
  <r>
    <x v="7"/>
    <x v="458"/>
    <x v="1"/>
    <n v="310.5"/>
  </r>
  <r>
    <x v="7"/>
    <x v="209"/>
    <x v="3"/>
    <n v="335.33999944478273"/>
  </r>
  <r>
    <x v="7"/>
    <x v="132"/>
    <x v="0"/>
    <n v="372.6"/>
  </r>
  <r>
    <x v="7"/>
    <x v="231"/>
    <x v="0"/>
    <n v="434.70000000000005"/>
  </r>
  <r>
    <x v="7"/>
    <x v="191"/>
    <x v="5"/>
    <n v="165.6"/>
  </r>
  <r>
    <x v="7"/>
    <x v="9"/>
    <x v="1"/>
    <n v="414.23999845683574"/>
  </r>
  <r>
    <x v="7"/>
    <x v="193"/>
    <x v="0"/>
    <n v="258.89999999999998"/>
  </r>
  <r>
    <x v="7"/>
    <x v="326"/>
    <x v="4"/>
    <n v="388.35"/>
  </r>
  <r>
    <x v="7"/>
    <x v="280"/>
    <x v="3"/>
    <n v="258.89999999999998"/>
  </r>
  <r>
    <x v="7"/>
    <x v="301"/>
    <x v="3"/>
    <n v="517.79999999999995"/>
  </r>
  <r>
    <x v="7"/>
    <x v="460"/>
    <x v="6"/>
    <n v="776.7"/>
  </r>
  <r>
    <x v="7"/>
    <x v="350"/>
    <x v="1"/>
    <n v="38.835000000000001"/>
  </r>
  <r>
    <x v="7"/>
    <x v="344"/>
    <x v="3"/>
    <n v="58.252499999999998"/>
  </r>
  <r>
    <x v="7"/>
    <x v="20"/>
    <x v="1"/>
    <n v="388.35"/>
  </r>
  <r>
    <x v="7"/>
    <x v="273"/>
    <x v="8"/>
    <n v="388.35"/>
  </r>
  <r>
    <x v="7"/>
    <x v="21"/>
    <x v="5"/>
    <n v="776.7"/>
  </r>
  <r>
    <x v="7"/>
    <x v="59"/>
    <x v="3"/>
    <n v="310.67999884262684"/>
  </r>
  <r>
    <x v="7"/>
    <x v="400"/>
    <x v="1"/>
    <n v="485.4375"/>
  </r>
  <r>
    <x v="7"/>
    <x v="223"/>
    <x v="0"/>
    <n v="491.90999961420891"/>
  </r>
  <r>
    <x v="7"/>
    <x v="66"/>
    <x v="6"/>
    <n v="776.69999999999993"/>
  </r>
  <r>
    <x v="7"/>
    <x v="431"/>
    <x v="4"/>
    <n v="368.93249971065671"/>
  </r>
  <r>
    <x v="7"/>
    <x v="102"/>
    <x v="7"/>
    <n v="906.15"/>
  </r>
  <r>
    <x v="7"/>
    <x v="455"/>
    <x v="5"/>
    <n v="932.04"/>
  </r>
  <r>
    <x v="7"/>
    <x v="28"/>
    <x v="1"/>
    <n v="25.89"/>
  </r>
  <r>
    <x v="7"/>
    <x v="150"/>
    <x v="3"/>
    <n v="776.7"/>
  </r>
  <r>
    <x v="7"/>
    <x v="334"/>
    <x v="8"/>
    <n v="388.35"/>
  </r>
  <r>
    <x v="7"/>
    <x v="125"/>
    <x v="3"/>
    <n v="77.67"/>
  </r>
  <r>
    <x v="7"/>
    <x v="37"/>
    <x v="7"/>
    <n v="380"/>
  </r>
  <r>
    <x v="7"/>
    <x v="184"/>
    <x v="0"/>
    <n v="456"/>
  </r>
  <r>
    <x v="7"/>
    <x v="40"/>
    <x v="2"/>
    <n v="456"/>
  </r>
  <r>
    <x v="7"/>
    <x v="474"/>
    <x v="8"/>
    <n v="182.4"/>
  </r>
  <r>
    <x v="7"/>
    <x v="372"/>
    <x v="1"/>
    <n v="304"/>
  </r>
  <r>
    <x v="7"/>
    <x v="43"/>
    <x v="1"/>
    <n v="486.3999981880188"/>
  </r>
  <r>
    <x v="7"/>
    <x v="81"/>
    <x v="6"/>
    <n v="288.79999977350235"/>
  </r>
  <r>
    <x v="7"/>
    <x v="5"/>
    <x v="0"/>
    <n v="72.959999728202817"/>
  </r>
  <r>
    <x v="7"/>
    <x v="6"/>
    <x v="4"/>
    <n v="68.399999886751175"/>
  </r>
  <r>
    <x v="7"/>
    <x v="475"/>
    <x v="0"/>
    <n v="570"/>
  </r>
  <r>
    <x v="7"/>
    <x v="10"/>
    <x v="4"/>
    <n v="512.99999915063381"/>
  </r>
  <r>
    <x v="7"/>
    <x v="135"/>
    <x v="5"/>
    <n v="1140"/>
  </r>
  <r>
    <x v="7"/>
    <x v="419"/>
    <x v="8"/>
    <n v="475"/>
  </r>
  <r>
    <x v="7"/>
    <x v="14"/>
    <x v="3"/>
    <n v="299.25"/>
  </r>
  <r>
    <x v="7"/>
    <x v="268"/>
    <x v="0"/>
    <n v="1045"/>
  </r>
  <r>
    <x v="7"/>
    <x v="473"/>
    <x v="1"/>
    <n v="285"/>
  </r>
  <r>
    <x v="7"/>
    <x v="421"/>
    <x v="8"/>
    <n v="570"/>
  </r>
  <r>
    <x v="7"/>
    <x v="377"/>
    <x v="7"/>
    <n v="85.5"/>
  </r>
  <r>
    <x v="7"/>
    <x v="288"/>
    <x v="2"/>
    <n v="95"/>
  </r>
  <r>
    <x v="7"/>
    <x v="344"/>
    <x v="0"/>
    <n v="760"/>
  </r>
  <r>
    <x v="7"/>
    <x v="345"/>
    <x v="5"/>
    <n v="114"/>
  </r>
  <r>
    <x v="7"/>
    <x v="122"/>
    <x v="3"/>
    <n v="303.99999886751175"/>
  </r>
  <r>
    <x v="7"/>
    <x v="162"/>
    <x v="1"/>
    <n v="570"/>
  </r>
  <r>
    <x v="7"/>
    <x v="22"/>
    <x v="5"/>
    <n v="712.5"/>
  </r>
  <r>
    <x v="7"/>
    <x v="102"/>
    <x v="7"/>
    <n v="380"/>
  </r>
  <r>
    <x v="7"/>
    <x v="246"/>
    <x v="5"/>
    <n v="403.74999716877937"/>
  </r>
  <r>
    <x v="7"/>
    <x v="29"/>
    <x v="5"/>
    <n v="455.99999830126762"/>
  </r>
  <r>
    <x v="7"/>
    <x v="108"/>
    <x v="0"/>
    <n v="760"/>
  </r>
  <r>
    <x v="7"/>
    <x v="110"/>
    <x v="8"/>
    <n v="256.5"/>
  </r>
  <r>
    <x v="7"/>
    <x v="334"/>
    <x v="7"/>
    <n v="304"/>
  </r>
  <r>
    <x v="7"/>
    <x v="33"/>
    <x v="8"/>
    <n v="665"/>
  </r>
  <r>
    <x v="7"/>
    <x v="359"/>
    <x v="1"/>
    <n v="20.8"/>
  </r>
  <r>
    <x v="7"/>
    <x v="372"/>
    <x v="1"/>
    <n v="582.4"/>
  </r>
  <r>
    <x v="7"/>
    <x v="394"/>
    <x v="3"/>
    <n v="208"/>
  </r>
  <r>
    <x v="7"/>
    <x v="193"/>
    <x v="4"/>
    <n v="421.19999930262566"/>
  </r>
  <r>
    <x v="7"/>
    <x v="23"/>
    <x v="1"/>
    <n v="1247.9999953508377"/>
  </r>
  <r>
    <x v="7"/>
    <x v="164"/>
    <x v="1"/>
    <n v="208"/>
  </r>
  <r>
    <x v="7"/>
    <x v="253"/>
    <x v="1"/>
    <n v="735"/>
  </r>
  <r>
    <x v="7"/>
    <x v="254"/>
    <x v="5"/>
    <n v="837.89999934285879"/>
  </r>
  <r>
    <x v="7"/>
    <x v="0"/>
    <x v="0"/>
    <n v="470.39999824762344"/>
  </r>
  <r>
    <x v="7"/>
    <x v="324"/>
    <x v="3"/>
    <n v="147"/>
  </r>
  <r>
    <x v="7"/>
    <x v="314"/>
    <x v="4"/>
    <n v="529.19999912381172"/>
  </r>
  <r>
    <x v="7"/>
    <x v="171"/>
    <x v="1"/>
    <n v="58.8"/>
  </r>
  <r>
    <x v="7"/>
    <x v="6"/>
    <x v="4"/>
    <n v="26.459999956190586"/>
  </r>
  <r>
    <x v="7"/>
    <x v="364"/>
    <x v="1"/>
    <n v="551.25"/>
  </r>
  <r>
    <x v="7"/>
    <x v="376"/>
    <x v="1"/>
    <n v="294"/>
  </r>
  <r>
    <x v="7"/>
    <x v="84"/>
    <x v="0"/>
    <n v="294"/>
  </r>
  <r>
    <x v="7"/>
    <x v="232"/>
    <x v="6"/>
    <n v="308.7"/>
  </r>
  <r>
    <x v="7"/>
    <x v="476"/>
    <x v="0"/>
    <n v="147"/>
  </r>
  <r>
    <x v="7"/>
    <x v="119"/>
    <x v="5"/>
    <n v="147"/>
  </r>
  <r>
    <x v="7"/>
    <x v="87"/>
    <x v="3"/>
    <n v="92"/>
  </r>
  <r>
    <x v="7"/>
    <x v="9"/>
    <x v="1"/>
    <n v="367.99999862909317"/>
  </r>
  <r>
    <x v="7"/>
    <x v="475"/>
    <x v="0"/>
    <n v="248.39999958872795"/>
  </r>
  <r>
    <x v="7"/>
    <x v="280"/>
    <x v="3"/>
    <n v="147.19999945163727"/>
  </r>
  <r>
    <x v="7"/>
    <x v="408"/>
    <x v="1"/>
    <n v="165.59999972581863"/>
  </r>
  <r>
    <x v="7"/>
    <x v="238"/>
    <x v="5"/>
    <n v="920"/>
  </r>
  <r>
    <x v="7"/>
    <x v="121"/>
    <x v="1"/>
    <n v="36.799999999999997"/>
  </r>
  <r>
    <x v="7"/>
    <x v="281"/>
    <x v="6"/>
    <n v="772.8"/>
  </r>
  <r>
    <x v="7"/>
    <x v="53"/>
    <x v="1"/>
    <n v="1104"/>
  </r>
  <r>
    <x v="7"/>
    <x v="216"/>
    <x v="1"/>
    <n v="1223.5999990403652"/>
  </r>
  <r>
    <x v="7"/>
    <x v="216"/>
    <x v="4"/>
    <n v="419.51999967098237"/>
  </r>
  <r>
    <x v="7"/>
    <x v="319"/>
    <x v="8"/>
    <n v="524.39999958872795"/>
  </r>
  <r>
    <x v="7"/>
    <x v="383"/>
    <x v="5"/>
    <n v="368"/>
  </r>
  <r>
    <x v="7"/>
    <x v="20"/>
    <x v="1"/>
    <n v="110.4"/>
  </r>
  <r>
    <x v="7"/>
    <x v="477"/>
    <x v="2"/>
    <n v="735.99999725818634"/>
  </r>
  <r>
    <x v="7"/>
    <x v="274"/>
    <x v="5"/>
    <n v="736"/>
  </r>
  <r>
    <x v="7"/>
    <x v="469"/>
    <x v="2"/>
    <n v="55.2"/>
  </r>
  <r>
    <x v="7"/>
    <x v="61"/>
    <x v="1"/>
    <n v="18.399999999999999"/>
  </r>
  <r>
    <x v="7"/>
    <x v="332"/>
    <x v="3"/>
    <n v="552"/>
  </r>
  <r>
    <x v="7"/>
    <x v="163"/>
    <x v="5"/>
    <n v="938.39999341964722"/>
  </r>
  <r>
    <x v="7"/>
    <x v="148"/>
    <x v="7"/>
    <n v="460"/>
  </r>
  <r>
    <x v="7"/>
    <x v="225"/>
    <x v="5"/>
    <n v="220.8"/>
  </r>
  <r>
    <x v="7"/>
    <x v="102"/>
    <x v="5"/>
    <n v="1674.4"/>
  </r>
  <r>
    <x v="7"/>
    <x v="28"/>
    <x v="8"/>
    <n v="368"/>
  </r>
  <r>
    <x v="7"/>
    <x v="107"/>
    <x v="7"/>
    <n v="184"/>
  </r>
  <r>
    <x v="7"/>
    <x v="30"/>
    <x v="5"/>
    <n v="184"/>
  </r>
  <r>
    <x v="7"/>
    <x v="151"/>
    <x v="0"/>
    <n v="73.599999725818634"/>
  </r>
  <r>
    <x v="7"/>
    <x v="124"/>
    <x v="5"/>
    <n v="662.39999890327454"/>
  </r>
  <r>
    <x v="7"/>
    <x v="313"/>
    <x v="1"/>
    <n v="77"/>
  </r>
  <r>
    <x v="7"/>
    <x v="126"/>
    <x v="1"/>
    <n v="92.4"/>
  </r>
  <r>
    <x v="7"/>
    <x v="39"/>
    <x v="2"/>
    <n v="163.62499885261059"/>
  </r>
  <r>
    <x v="7"/>
    <x v="393"/>
    <x v="0"/>
    <n v="77"/>
  </r>
  <r>
    <x v="7"/>
    <x v="255"/>
    <x v="3"/>
    <n v="154"/>
  </r>
  <r>
    <x v="7"/>
    <x v="188"/>
    <x v="0"/>
    <n v="87.779999931156638"/>
  </r>
  <r>
    <x v="7"/>
    <x v="154"/>
    <x v="0"/>
    <n v="100.1"/>
  </r>
  <r>
    <x v="7"/>
    <x v="309"/>
    <x v="8"/>
    <n v="55.439999908208847"/>
  </r>
  <r>
    <x v="7"/>
    <x v="299"/>
    <x v="7"/>
    <n v="153.99999942630529"/>
  </r>
  <r>
    <x v="7"/>
    <x v="134"/>
    <x v="5"/>
    <n v="231"/>
  </r>
  <r>
    <x v="7"/>
    <x v="328"/>
    <x v="5"/>
    <n v="154"/>
  </r>
  <r>
    <x v="7"/>
    <x v="213"/>
    <x v="8"/>
    <n v="694.79999884963036"/>
  </r>
  <r>
    <x v="7"/>
    <x v="90"/>
    <x v="3"/>
    <n v="96.5"/>
  </r>
  <r>
    <x v="7"/>
    <x v="193"/>
    <x v="4"/>
    <n v="52.109999913722277"/>
  </r>
  <r>
    <x v="7"/>
    <x v="120"/>
    <x v="5"/>
    <n v="135.1"/>
  </r>
  <r>
    <x v="7"/>
    <x v="464"/>
    <x v="2"/>
    <n v="110.00999991372227"/>
  </r>
  <r>
    <x v="7"/>
    <x v="240"/>
    <x v="1"/>
    <n v="82.507499935291705"/>
  </r>
  <r>
    <x v="7"/>
    <x v="478"/>
    <x v="0"/>
    <n v="154.39999942481518"/>
  </r>
  <r>
    <x v="7"/>
    <x v="297"/>
    <x v="8"/>
    <n v="231.6"/>
  </r>
  <r>
    <x v="7"/>
    <x v="415"/>
    <x v="4"/>
    <n v="1158"/>
  </r>
  <r>
    <x v="7"/>
    <x v="384"/>
    <x v="1"/>
    <n v="38.6"/>
  </r>
  <r>
    <x v="7"/>
    <x v="352"/>
    <x v="6"/>
    <n v="405.3"/>
  </r>
  <r>
    <x v="7"/>
    <x v="449"/>
    <x v="1"/>
    <n v="115.8"/>
  </r>
  <r>
    <x v="7"/>
    <x v="243"/>
    <x v="8"/>
    <n v="115.8"/>
  </r>
  <r>
    <x v="7"/>
    <x v="312"/>
    <x v="2"/>
    <n v="337.75"/>
  </r>
  <r>
    <x v="7"/>
    <x v="308"/>
    <x v="5"/>
    <n v="275.02499978430569"/>
  </r>
  <r>
    <x v="7"/>
    <x v="220"/>
    <x v="5"/>
    <n v="96.5"/>
  </r>
  <r>
    <x v="7"/>
    <x v="60"/>
    <x v="2"/>
    <n v="183.34999985620379"/>
  </r>
  <r>
    <x v="7"/>
    <x v="346"/>
    <x v="5"/>
    <n v="135.1"/>
  </r>
  <r>
    <x v="7"/>
    <x v="62"/>
    <x v="5"/>
    <n v="193"/>
  </r>
  <r>
    <x v="7"/>
    <x v="198"/>
    <x v="4"/>
    <n v="193"/>
  </r>
  <r>
    <x v="7"/>
    <x v="222"/>
    <x v="3"/>
    <n v="115.8"/>
  </r>
  <r>
    <x v="7"/>
    <x v="68"/>
    <x v="4"/>
    <n v="135.1"/>
  </r>
  <r>
    <x v="7"/>
    <x v="401"/>
    <x v="1"/>
    <n v="289.5"/>
  </r>
  <r>
    <x v="7"/>
    <x v="27"/>
    <x v="0"/>
    <n v="48.25"/>
  </r>
  <r>
    <x v="7"/>
    <x v="249"/>
    <x v="7"/>
    <n v="55.004999956861134"/>
  </r>
  <r>
    <x v="7"/>
    <x v="105"/>
    <x v="5"/>
    <n v="231.6"/>
  </r>
  <r>
    <x v="7"/>
    <x v="251"/>
    <x v="2"/>
    <n v="57.9"/>
  </r>
  <r>
    <x v="7"/>
    <x v="200"/>
    <x v="8"/>
    <n v="38.6"/>
  </r>
  <r>
    <x v="7"/>
    <x v="70"/>
    <x v="4"/>
    <n v="253.3125"/>
  </r>
  <r>
    <x v="7"/>
    <x v="109"/>
    <x v="2"/>
    <n v="183.34999985620379"/>
  </r>
  <r>
    <x v="7"/>
    <x v="334"/>
    <x v="8"/>
    <n v="243.17999959737062"/>
  </r>
  <r>
    <x v="7"/>
    <x v="124"/>
    <x v="5"/>
    <n v="260.54999956861138"/>
  </r>
  <r>
    <x v="7"/>
    <x v="125"/>
    <x v="0"/>
    <n v="115.8"/>
  </r>
  <r>
    <x v="7"/>
    <x v="183"/>
    <x v="0"/>
    <n v="86.85"/>
  </r>
  <r>
    <x v="7"/>
    <x v="36"/>
    <x v="1"/>
    <n v="386"/>
  </r>
  <r>
    <x v="7"/>
    <x v="73"/>
    <x v="0"/>
    <n v="28.95"/>
  </r>
  <r>
    <x v="7"/>
    <x v="448"/>
    <x v="8"/>
    <n v="91.199999660253525"/>
  </r>
  <r>
    <x v="7"/>
    <x v="84"/>
    <x v="0"/>
    <n v="205.19999966025352"/>
  </r>
  <r>
    <x v="7"/>
    <x v="202"/>
    <x v="8"/>
    <n v="199.5"/>
  </r>
  <r>
    <x v="7"/>
    <x v="418"/>
    <x v="6"/>
    <n v="807.49999433755875"/>
  </r>
  <r>
    <x v="7"/>
    <x v="318"/>
    <x v="5"/>
    <n v="190"/>
  </r>
  <r>
    <x v="7"/>
    <x v="55"/>
    <x v="0"/>
    <n v="1045"/>
  </r>
  <r>
    <x v="7"/>
    <x v="144"/>
    <x v="1"/>
    <n v="303.99999886751175"/>
  </r>
  <r>
    <x v="7"/>
    <x v="429"/>
    <x v="7"/>
    <n v="322.9999977350235"/>
  </r>
  <r>
    <x v="7"/>
    <x v="469"/>
    <x v="5"/>
    <n v="38"/>
  </r>
  <r>
    <x v="7"/>
    <x v="423"/>
    <x v="0"/>
    <n v="243.67499980889261"/>
  </r>
  <r>
    <x v="7"/>
    <x v="23"/>
    <x v="1"/>
    <n v="273.59999898076057"/>
  </r>
  <r>
    <x v="7"/>
    <x v="455"/>
    <x v="4"/>
    <n v="142.5"/>
  </r>
  <r>
    <x v="7"/>
    <x v="250"/>
    <x v="6"/>
    <n v="285"/>
  </r>
  <r>
    <x v="7"/>
    <x v="111"/>
    <x v="8"/>
    <n v="190"/>
  </r>
  <r>
    <x v="7"/>
    <x v="115"/>
    <x v="3"/>
    <n v="122.39999914169312"/>
  </r>
  <r>
    <x v="7"/>
    <x v="129"/>
    <x v="7"/>
    <n v="288"/>
  </r>
  <r>
    <x v="7"/>
    <x v="130"/>
    <x v="2"/>
    <n v="432"/>
  </r>
  <r>
    <x v="7"/>
    <x v="437"/>
    <x v="2"/>
    <n v="241.91999959945679"/>
  </r>
  <r>
    <x v="7"/>
    <x v="158"/>
    <x v="1"/>
    <n v="14.399999999999999"/>
  </r>
  <r>
    <x v="7"/>
    <x v="479"/>
    <x v="4"/>
    <n v="192"/>
  </r>
  <r>
    <x v="7"/>
    <x v="230"/>
    <x v="5"/>
    <n v="48"/>
  </r>
  <r>
    <x v="7"/>
    <x v="212"/>
    <x v="1"/>
    <n v="76.799999713897705"/>
  </r>
  <r>
    <x v="7"/>
    <x v="443"/>
    <x v="1"/>
    <n v="182.39999985694885"/>
  </r>
  <r>
    <x v="7"/>
    <x v="85"/>
    <x v="1"/>
    <n v="48"/>
  </r>
  <r>
    <x v="7"/>
    <x v="88"/>
    <x v="4"/>
    <n v="91.799999356269836"/>
  </r>
  <r>
    <x v="7"/>
    <x v="177"/>
    <x v="2"/>
    <n v="18"/>
  </r>
  <r>
    <x v="7"/>
    <x v="177"/>
    <x v="5"/>
    <n v="226.79999962449074"/>
  </r>
  <r>
    <x v="7"/>
    <x v="297"/>
    <x v="8"/>
    <n v="540"/>
  </r>
  <r>
    <x v="7"/>
    <x v="204"/>
    <x v="1"/>
    <n v="720"/>
  </r>
  <r>
    <x v="7"/>
    <x v="142"/>
    <x v="3"/>
    <n v="216"/>
  </r>
  <r>
    <x v="7"/>
    <x v="55"/>
    <x v="0"/>
    <n v="288"/>
  </r>
  <r>
    <x v="7"/>
    <x v="477"/>
    <x v="0"/>
    <n v="319.19999974966049"/>
  </r>
  <r>
    <x v="7"/>
    <x v="62"/>
    <x v="0"/>
    <n v="420"/>
  </r>
  <r>
    <x v="7"/>
    <x v="347"/>
    <x v="4"/>
    <n v="252"/>
  </r>
  <r>
    <x v="7"/>
    <x v="389"/>
    <x v="1"/>
    <n v="180"/>
  </r>
  <r>
    <x v="7"/>
    <x v="106"/>
    <x v="0"/>
    <n v="108"/>
  </r>
  <r>
    <x v="7"/>
    <x v="109"/>
    <x v="3"/>
    <n v="180"/>
  </r>
  <r>
    <x v="7"/>
    <x v="30"/>
    <x v="8"/>
    <n v="300"/>
  </r>
  <r>
    <x v="7"/>
    <x v="226"/>
    <x v="2"/>
    <n v="36"/>
  </r>
  <r>
    <x v="7"/>
    <x v="73"/>
    <x v="3"/>
    <n v="305.99999785423279"/>
  </r>
  <r>
    <x v="7"/>
    <x v="73"/>
    <x v="0"/>
    <n v="35.280000016093254"/>
  </r>
  <r>
    <x v="7"/>
    <x v="392"/>
    <x v="0"/>
    <n v="286.19999952614307"/>
  </r>
  <r>
    <x v="7"/>
    <x v="41"/>
    <x v="8"/>
    <n v="254.39999905228615"/>
  </r>
  <r>
    <x v="7"/>
    <x v="417"/>
    <x v="1"/>
    <n v="678.39999747276306"/>
  </r>
  <r>
    <x v="7"/>
    <x v="417"/>
    <x v="0"/>
    <n v="159"/>
  </r>
  <r>
    <x v="7"/>
    <x v="414"/>
    <x v="0"/>
    <n v="265"/>
  </r>
  <r>
    <x v="7"/>
    <x v="266"/>
    <x v="5"/>
    <n v="397.5"/>
  </r>
  <r>
    <x v="7"/>
    <x v="283"/>
    <x v="1"/>
    <n v="79.5"/>
  </r>
  <r>
    <x v="7"/>
    <x v="179"/>
    <x v="4"/>
    <n v="519.39999806508422"/>
  </r>
  <r>
    <x v="7"/>
    <x v="461"/>
    <x v="6"/>
    <n v="397.5"/>
  </r>
  <r>
    <x v="7"/>
    <x v="142"/>
    <x v="5"/>
    <n v="298.125"/>
  </r>
  <r>
    <x v="7"/>
    <x v="55"/>
    <x v="6"/>
    <n v="119.25"/>
  </r>
  <r>
    <x v="7"/>
    <x v="22"/>
    <x v="5"/>
    <n v="357.74999940767884"/>
  </r>
  <r>
    <x v="7"/>
    <x v="149"/>
    <x v="3"/>
    <n v="715.49999881535769"/>
  </r>
  <r>
    <x v="7"/>
    <x v="24"/>
    <x v="1"/>
    <n v="135.14999905228615"/>
  </r>
  <r>
    <x v="7"/>
    <x v="26"/>
    <x v="5"/>
    <n v="198.75"/>
  </r>
  <r>
    <x v="7"/>
    <x v="27"/>
    <x v="1"/>
    <n v="198.75"/>
  </r>
  <r>
    <x v="7"/>
    <x v="248"/>
    <x v="1"/>
    <n v="317.99999881535769"/>
  </r>
  <r>
    <x v="7"/>
    <x v="111"/>
    <x v="5"/>
    <n v="503.49999960511923"/>
  </r>
  <r>
    <x v="7"/>
    <x v="298"/>
    <x v="3"/>
    <n v="300"/>
  </r>
  <r>
    <x v="7"/>
    <x v="211"/>
    <x v="5"/>
    <n v="215.99999964237213"/>
  </r>
  <r>
    <x v="7"/>
    <x v="427"/>
    <x v="3"/>
    <n v="191.99999928474426"/>
  </r>
  <r>
    <x v="7"/>
    <x v="280"/>
    <x v="3"/>
    <n v="341.9999997317791"/>
  </r>
  <r>
    <x v="7"/>
    <x v="414"/>
    <x v="0"/>
    <n v="135"/>
  </r>
  <r>
    <x v="7"/>
    <x v="381"/>
    <x v="0"/>
    <n v="45"/>
  </r>
  <r>
    <x v="7"/>
    <x v="428"/>
    <x v="1"/>
    <n v="450"/>
  </r>
  <r>
    <x v="7"/>
    <x v="399"/>
    <x v="3"/>
    <n v="446.24999687075615"/>
  </r>
  <r>
    <x v="7"/>
    <x v="204"/>
    <x v="1"/>
    <n v="750"/>
  </r>
  <r>
    <x v="7"/>
    <x v="217"/>
    <x v="5"/>
    <n v="191.24999865889549"/>
  </r>
  <r>
    <x v="7"/>
    <x v="54"/>
    <x v="2"/>
    <n v="525"/>
  </r>
  <r>
    <x v="7"/>
    <x v="21"/>
    <x v="5"/>
    <n v="225"/>
  </r>
  <r>
    <x v="7"/>
    <x v="388"/>
    <x v="1"/>
    <n v="150"/>
  </r>
  <r>
    <x v="7"/>
    <x v="73"/>
    <x v="0"/>
    <n v="29.7000000067055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7">
  <r>
    <n v="1"/>
    <s v="河北"/>
    <x v="0"/>
    <n v="17"/>
    <x v="0"/>
  </r>
  <r>
    <n v="1"/>
    <s v="河北"/>
    <x v="0"/>
    <n v="90"/>
    <x v="0"/>
  </r>
  <r>
    <n v="1"/>
    <s v="河北"/>
    <x v="0"/>
    <n v="77"/>
    <x v="0"/>
  </r>
  <r>
    <n v="1"/>
    <s v="河北"/>
    <x v="0"/>
    <n v="99"/>
    <x v="0"/>
  </r>
  <r>
    <n v="1"/>
    <s v="河北"/>
    <x v="0"/>
    <n v="63"/>
    <x v="0"/>
  </r>
  <r>
    <n v="1"/>
    <s v="河北"/>
    <x v="0"/>
    <n v="113"/>
    <x v="0"/>
  </r>
  <r>
    <n v="1"/>
    <s v="河北"/>
    <x v="0"/>
    <n v="175"/>
    <x v="0"/>
  </r>
  <r>
    <n v="1"/>
    <s v="河北"/>
    <x v="0"/>
    <n v="158"/>
    <x v="0"/>
  </r>
  <r>
    <n v="1"/>
    <s v="河北"/>
    <x v="0"/>
    <n v="69"/>
    <x v="0"/>
  </r>
  <r>
    <n v="1"/>
    <s v="河北"/>
    <x v="0"/>
    <n v="68"/>
    <x v="0"/>
  </r>
  <r>
    <n v="1"/>
    <s v="河北"/>
    <x v="0"/>
    <n v="70"/>
    <x v="0"/>
  </r>
  <r>
    <n v="1"/>
    <s v="河北"/>
    <x v="0"/>
    <n v="79"/>
    <x v="0"/>
  </r>
  <r>
    <n v="1"/>
    <s v="河北"/>
    <x v="0"/>
    <n v="61"/>
    <x v="0"/>
  </r>
  <r>
    <n v="1"/>
    <s v="河北"/>
    <x v="0"/>
    <n v="110"/>
    <x v="0"/>
  </r>
  <r>
    <n v="1"/>
    <s v="河北"/>
    <x v="0"/>
    <n v="68"/>
    <x v="0"/>
  </r>
  <r>
    <n v="1"/>
    <s v="河北"/>
    <x v="0"/>
    <n v="53"/>
    <x v="0"/>
  </r>
  <r>
    <n v="1"/>
    <s v="河北"/>
    <x v="0"/>
    <n v="79"/>
    <x v="0"/>
  </r>
  <r>
    <n v="1"/>
    <s v="河北"/>
    <x v="0"/>
    <n v="28"/>
    <x v="0"/>
  </r>
  <r>
    <n v="1"/>
    <s v="河北"/>
    <x v="0"/>
    <n v="122"/>
    <x v="0"/>
  </r>
  <r>
    <n v="1"/>
    <s v="河北"/>
    <x v="0"/>
    <n v="112"/>
    <x v="0"/>
  </r>
  <r>
    <n v="1"/>
    <s v="河北"/>
    <x v="0"/>
    <n v="99"/>
    <x v="0"/>
  </r>
  <r>
    <n v="1"/>
    <s v="河北"/>
    <x v="0"/>
    <n v="70"/>
    <x v="0"/>
  </r>
  <r>
    <n v="1"/>
    <s v="河北"/>
    <x v="0"/>
    <n v="99"/>
    <x v="0"/>
  </r>
  <r>
    <n v="1"/>
    <s v="河北"/>
    <x v="0"/>
    <n v="175"/>
    <x v="0"/>
  </r>
  <r>
    <n v="1"/>
    <s v="河北"/>
    <x v="0"/>
    <n v="158"/>
    <x v="0"/>
  </r>
  <r>
    <n v="1"/>
    <s v="河北"/>
    <x v="0"/>
    <n v="83"/>
    <x v="0"/>
  </r>
  <r>
    <n v="1"/>
    <s v="河北"/>
    <x v="0"/>
    <n v="79"/>
    <x v="0"/>
  </r>
  <r>
    <n v="1"/>
    <s v="河北"/>
    <x v="0"/>
    <n v="105"/>
    <x v="0"/>
  </r>
  <r>
    <n v="1"/>
    <s v="河北"/>
    <x v="0"/>
    <n v="113"/>
    <x v="0"/>
  </r>
  <r>
    <n v="1"/>
    <s v="河北"/>
    <x v="0"/>
    <n v="88"/>
    <x v="0"/>
  </r>
  <r>
    <n v="1"/>
    <s v="河北"/>
    <x v="0"/>
    <n v="179"/>
    <x v="0"/>
  </r>
  <r>
    <n v="1"/>
    <s v="河北"/>
    <x v="0"/>
    <n v="90"/>
    <x v="0"/>
  </r>
  <r>
    <n v="1"/>
    <s v="河北"/>
    <x v="0"/>
    <n v="61"/>
    <x v="0"/>
  </r>
  <r>
    <n v="1"/>
    <s v="河北"/>
    <x v="0"/>
    <n v="101"/>
    <x v="0"/>
  </r>
  <r>
    <n v="1"/>
    <s v="河北"/>
    <x v="0"/>
    <n v="55"/>
    <x v="0"/>
  </r>
  <r>
    <n v="1"/>
    <s v="河北"/>
    <x v="0"/>
    <n v="203"/>
    <x v="0"/>
  </r>
  <r>
    <n v="1"/>
    <s v="河北"/>
    <x v="0"/>
    <n v="140"/>
    <x v="0"/>
  </r>
  <r>
    <n v="1"/>
    <s v="河北"/>
    <x v="0"/>
    <n v="90"/>
    <x v="0"/>
  </r>
  <r>
    <n v="1"/>
    <s v="河北"/>
    <x v="0"/>
    <n v="77"/>
    <x v="0"/>
  </r>
  <r>
    <n v="1"/>
    <s v="河北"/>
    <x v="0"/>
    <n v="90"/>
    <x v="0"/>
  </r>
  <r>
    <n v="1"/>
    <s v="河北"/>
    <x v="0"/>
    <n v="140"/>
    <x v="0"/>
  </r>
  <r>
    <n v="1"/>
    <s v="河北"/>
    <x v="0"/>
    <n v="180"/>
    <x v="0"/>
  </r>
  <r>
    <n v="1"/>
    <s v="河北"/>
    <x v="0"/>
    <n v="138"/>
    <x v="0"/>
  </r>
  <r>
    <n v="1"/>
    <s v="河北"/>
    <x v="0"/>
    <n v="169"/>
    <x v="0"/>
  </r>
  <r>
    <n v="1"/>
    <s v="河北"/>
    <x v="0"/>
    <n v="53"/>
    <x v="0"/>
  </r>
  <r>
    <n v="1"/>
    <s v="河北"/>
    <x v="0"/>
    <n v="101"/>
    <x v="0"/>
  </r>
  <r>
    <n v="1"/>
    <s v="河北"/>
    <x v="0"/>
    <n v="210"/>
    <x v="0"/>
  </r>
  <r>
    <n v="1"/>
    <s v="河北"/>
    <x v="0"/>
    <n v="179"/>
    <x v="0"/>
  </r>
  <r>
    <n v="1"/>
    <s v="河北"/>
    <x v="0"/>
    <n v="113"/>
    <x v="0"/>
  </r>
  <r>
    <n v="1"/>
    <s v="河北"/>
    <x v="0"/>
    <n v="114"/>
    <x v="0"/>
  </r>
  <r>
    <n v="1"/>
    <s v="河北"/>
    <x v="0"/>
    <n v="113"/>
    <x v="0"/>
  </r>
  <r>
    <n v="2"/>
    <s v="安徽"/>
    <x v="0"/>
    <n v="1682"/>
    <x v="0"/>
  </r>
  <r>
    <n v="2"/>
    <s v="安徽"/>
    <x v="0"/>
    <n v="2738"/>
    <x v="0"/>
  </r>
  <r>
    <n v="2"/>
    <s v="安徽"/>
    <x v="0"/>
    <n v="61"/>
    <x v="0"/>
  </r>
  <r>
    <n v="2"/>
    <s v="安徽"/>
    <x v="0"/>
    <n v="101"/>
    <x v="0"/>
  </r>
  <r>
    <n v="2"/>
    <s v="安徽"/>
    <x v="0"/>
    <n v="149"/>
    <x v="0"/>
  </r>
  <r>
    <n v="2"/>
    <s v="安徽"/>
    <x v="0"/>
    <n v="113"/>
    <x v="0"/>
  </r>
  <r>
    <n v="1"/>
    <s v="河北"/>
    <x v="0"/>
    <n v="110"/>
    <x v="0"/>
  </r>
  <r>
    <n v="1"/>
    <s v="河北"/>
    <x v="0"/>
    <n v="180"/>
    <x v="0"/>
  </r>
  <r>
    <n v="1"/>
    <s v="河北"/>
    <x v="0"/>
    <n v="221"/>
    <x v="0"/>
  </r>
  <r>
    <n v="1"/>
    <s v="河北"/>
    <x v="0"/>
    <n v="113"/>
    <x v="0"/>
  </r>
  <r>
    <n v="1"/>
    <s v="河北"/>
    <x v="0"/>
    <n v="70"/>
    <x v="0"/>
  </r>
  <r>
    <n v="1"/>
    <s v="河北"/>
    <x v="0"/>
    <n v="59"/>
    <x v="0"/>
  </r>
  <r>
    <n v="1"/>
    <s v="河北"/>
    <x v="0"/>
    <n v="158"/>
    <x v="0"/>
  </r>
  <r>
    <n v="1"/>
    <s v="河北"/>
    <x v="0"/>
    <n v="180"/>
    <x v="0"/>
  </r>
  <r>
    <n v="1"/>
    <s v="河北"/>
    <x v="0"/>
    <n v="206"/>
    <x v="0"/>
  </r>
  <r>
    <n v="1"/>
    <s v="河北"/>
    <x v="0"/>
    <n v="158"/>
    <x v="0"/>
  </r>
  <r>
    <n v="1"/>
    <s v="河北"/>
    <x v="0"/>
    <n v="44"/>
    <x v="0"/>
  </r>
  <r>
    <n v="1"/>
    <s v="河北"/>
    <x v="0"/>
    <n v="113"/>
    <x v="0"/>
  </r>
  <r>
    <n v="1"/>
    <s v="河北"/>
    <x v="0"/>
    <n v="442"/>
    <x v="0"/>
  </r>
  <r>
    <n v="1"/>
    <s v="河北"/>
    <x v="0"/>
    <n v="193"/>
    <x v="0"/>
  </r>
  <r>
    <n v="1"/>
    <s v="河北"/>
    <x v="0"/>
    <n v="79"/>
    <x v="0"/>
  </r>
  <r>
    <n v="1"/>
    <s v="河北"/>
    <x v="0"/>
    <n v="123"/>
    <x v="0"/>
  </r>
  <r>
    <n v="1"/>
    <s v="河北"/>
    <x v="0"/>
    <n v="146"/>
    <x v="0"/>
  </r>
  <r>
    <n v="2"/>
    <s v="安徽"/>
    <x v="0"/>
    <n v="1968"/>
    <x v="0"/>
  </r>
  <r>
    <n v="2"/>
    <s v="安徽"/>
    <x v="0"/>
    <n v="3850"/>
    <x v="0"/>
  </r>
  <r>
    <n v="2"/>
    <s v="安徽"/>
    <x v="0"/>
    <n v="44"/>
    <x v="0"/>
  </r>
  <r>
    <n v="2"/>
    <s v="安徽"/>
    <x v="0"/>
    <n v="113"/>
    <x v="0"/>
  </r>
  <r>
    <n v="2"/>
    <s v="安徽"/>
    <x v="0"/>
    <n v="131"/>
    <x v="0"/>
  </r>
  <r>
    <n v="2"/>
    <s v="安徽"/>
    <x v="0"/>
    <n v="146"/>
    <x v="0"/>
  </r>
  <r>
    <n v="1"/>
    <s v="河北"/>
    <x v="0"/>
    <n v="154"/>
    <x v="0"/>
  </r>
  <r>
    <n v="1"/>
    <s v="河北"/>
    <x v="0"/>
    <n v="194"/>
    <x v="0"/>
  </r>
  <r>
    <n v="1"/>
    <s v="河北"/>
    <x v="0"/>
    <n v="308"/>
    <x v="0"/>
  </r>
  <r>
    <n v="1"/>
    <s v="河北"/>
    <x v="0"/>
    <n v="104"/>
    <x v="0"/>
  </r>
  <r>
    <n v="1"/>
    <s v="河北"/>
    <x v="0"/>
    <n v="53"/>
    <x v="0"/>
  </r>
  <r>
    <n v="1"/>
    <s v="河北"/>
    <x v="0"/>
    <n v="81"/>
    <x v="0"/>
  </r>
  <r>
    <n v="1"/>
    <s v="河北"/>
    <x v="0"/>
    <n v="158"/>
    <x v="0"/>
  </r>
  <r>
    <n v="1"/>
    <s v="河北"/>
    <x v="0"/>
    <n v="225"/>
    <x v="0"/>
  </r>
  <r>
    <n v="1"/>
    <s v="河北"/>
    <x v="0"/>
    <n v="406"/>
    <x v="0"/>
  </r>
  <r>
    <n v="1"/>
    <s v="河北"/>
    <x v="0"/>
    <n v="360"/>
    <x v="0"/>
  </r>
  <r>
    <n v="1"/>
    <s v="河北"/>
    <x v="0"/>
    <n v="193"/>
    <x v="0"/>
  </r>
  <r>
    <n v="1"/>
    <s v="河北"/>
    <x v="0"/>
    <n v="259"/>
    <x v="0"/>
  </r>
  <r>
    <n v="1"/>
    <s v="河北"/>
    <x v="0"/>
    <n v="18"/>
    <x v="0"/>
  </r>
  <r>
    <n v="1"/>
    <s v="河北"/>
    <x v="0"/>
    <n v="135"/>
    <x v="0"/>
  </r>
  <r>
    <n v="1"/>
    <s v="河北"/>
    <x v="0"/>
    <n v="385"/>
    <x v="0"/>
  </r>
  <r>
    <n v="1"/>
    <s v="河北"/>
    <x v="0"/>
    <n v="371"/>
    <x v="0"/>
  </r>
  <r>
    <n v="1"/>
    <s v="河北"/>
    <x v="0"/>
    <n v="90"/>
    <x v="0"/>
  </r>
  <r>
    <n v="1"/>
    <s v="河北"/>
    <x v="0"/>
    <n v="114"/>
    <x v="0"/>
  </r>
  <r>
    <n v="1"/>
    <s v="河北"/>
    <x v="0"/>
    <n v="146"/>
    <x v="0"/>
  </r>
  <r>
    <n v="1"/>
    <s v="河北"/>
    <x v="0"/>
    <n v="53"/>
    <x v="0"/>
  </r>
  <r>
    <n v="1"/>
    <s v="河北"/>
    <x v="0"/>
    <n v="90"/>
    <x v="0"/>
  </r>
  <r>
    <n v="2"/>
    <s v="安徽"/>
    <x v="0"/>
    <n v="1804"/>
    <x v="0"/>
  </r>
  <r>
    <n v="2"/>
    <s v="安徽"/>
    <x v="0"/>
    <n v="2172"/>
    <x v="0"/>
  </r>
  <r>
    <n v="2"/>
    <s v="安徽"/>
    <x v="0"/>
    <n v="53"/>
    <x v="0"/>
  </r>
  <r>
    <n v="2"/>
    <s v="安徽"/>
    <x v="0"/>
    <n v="79"/>
    <x v="0"/>
  </r>
  <r>
    <n v="2"/>
    <s v="安徽"/>
    <x v="0"/>
    <n v="123"/>
    <x v="0"/>
  </r>
  <r>
    <n v="2"/>
    <s v="安徽"/>
    <x v="0"/>
    <n v="169"/>
    <x v="0"/>
  </r>
  <r>
    <n v="2"/>
    <s v="安徽"/>
    <x v="0"/>
    <n v="96"/>
    <x v="0"/>
  </r>
  <r>
    <n v="2"/>
    <s v="安徽"/>
    <x v="0"/>
    <n v="113"/>
    <x v="0"/>
  </r>
  <r>
    <n v="1"/>
    <s v="河北"/>
    <x v="0"/>
    <n v="149"/>
    <x v="0"/>
  </r>
  <r>
    <n v="1"/>
    <s v="河北"/>
    <x v="0"/>
    <n v="338"/>
    <x v="0"/>
  </r>
  <r>
    <n v="1"/>
    <s v="河北"/>
    <x v="0"/>
    <n v="392"/>
    <x v="0"/>
  </r>
  <r>
    <n v="1"/>
    <s v="河北"/>
    <x v="0"/>
    <n v="113"/>
    <x v="0"/>
  </r>
  <r>
    <n v="1"/>
    <s v="河北"/>
    <x v="0"/>
    <n v="46"/>
    <x v="0"/>
  </r>
  <r>
    <n v="1"/>
    <s v="河北"/>
    <x v="0"/>
    <n v="45"/>
    <x v="0"/>
  </r>
  <r>
    <n v="1"/>
    <s v="河北"/>
    <x v="0"/>
    <n v="158"/>
    <x v="0"/>
  </r>
  <r>
    <n v="1"/>
    <s v="河北"/>
    <x v="0"/>
    <n v="203"/>
    <x v="0"/>
  </r>
  <r>
    <n v="1"/>
    <s v="河北"/>
    <x v="0"/>
    <n v="469"/>
    <x v="0"/>
  </r>
  <r>
    <n v="1"/>
    <s v="河北"/>
    <x v="0"/>
    <n v="149"/>
    <x v="0"/>
  </r>
  <r>
    <n v="1"/>
    <s v="河北"/>
    <x v="0"/>
    <n v="220"/>
    <x v="0"/>
  </r>
  <r>
    <n v="1"/>
    <s v="河北"/>
    <x v="0"/>
    <n v="338"/>
    <x v="0"/>
  </r>
  <r>
    <n v="1"/>
    <s v="河北"/>
    <x v="0"/>
    <n v="26"/>
    <x v="0"/>
  </r>
  <r>
    <n v="1"/>
    <s v="河北"/>
    <x v="0"/>
    <n v="180"/>
    <x v="0"/>
  </r>
  <r>
    <n v="1"/>
    <s v="河北"/>
    <x v="0"/>
    <n v="620"/>
    <x v="0"/>
  </r>
  <r>
    <n v="1"/>
    <s v="河北"/>
    <x v="0"/>
    <n v="428"/>
    <x v="0"/>
  </r>
  <r>
    <n v="1"/>
    <s v="河北"/>
    <x v="0"/>
    <n v="45"/>
    <x v="0"/>
  </r>
  <r>
    <n v="1"/>
    <s v="河北"/>
    <x v="0"/>
    <n v="166"/>
    <x v="0"/>
  </r>
  <r>
    <n v="1"/>
    <s v="河北"/>
    <x v="0"/>
    <n v="146"/>
    <x v="0"/>
  </r>
  <r>
    <n v="1"/>
    <s v="河北"/>
    <x v="0"/>
    <n v="26"/>
    <x v="0"/>
  </r>
  <r>
    <n v="1"/>
    <s v="河北"/>
    <x v="0"/>
    <n v="56"/>
    <x v="0"/>
  </r>
  <r>
    <n v="2"/>
    <s v="安徽"/>
    <x v="0"/>
    <n v="2273"/>
    <x v="0"/>
  </r>
  <r>
    <n v="2"/>
    <s v="安徽"/>
    <x v="0"/>
    <n v="4489"/>
    <x v="0"/>
  </r>
  <r>
    <n v="2"/>
    <s v="安徽"/>
    <x v="0"/>
    <n v="53"/>
    <x v="0"/>
  </r>
  <r>
    <n v="2"/>
    <s v="安徽"/>
    <x v="0"/>
    <n v="113"/>
    <x v="0"/>
  </r>
  <r>
    <n v="2"/>
    <s v="安徽"/>
    <x v="0"/>
    <n v="114"/>
    <x v="0"/>
  </r>
  <r>
    <n v="2"/>
    <s v="安徽"/>
    <x v="0"/>
    <n v="236"/>
    <x v="0"/>
  </r>
  <r>
    <n v="2"/>
    <s v="安徽"/>
    <x v="0"/>
    <n v="140"/>
    <x v="0"/>
  </r>
  <r>
    <n v="2"/>
    <s v="安徽"/>
    <x v="0"/>
    <n v="191"/>
    <x v="0"/>
  </r>
  <r>
    <n v="1"/>
    <s v="河北"/>
    <x v="0"/>
    <n v="204"/>
    <x v="0"/>
  </r>
  <r>
    <n v="1"/>
    <s v="河北"/>
    <x v="0"/>
    <n v="212"/>
    <x v="0"/>
  </r>
  <r>
    <n v="1"/>
    <s v="河北"/>
    <x v="0"/>
    <n v="427"/>
    <x v="0"/>
  </r>
  <r>
    <n v="1"/>
    <s v="河北"/>
    <x v="0"/>
    <n v="167"/>
    <x v="0"/>
  </r>
  <r>
    <n v="1"/>
    <s v="河北"/>
    <x v="0"/>
    <n v="53"/>
    <x v="0"/>
  </r>
  <r>
    <n v="1"/>
    <s v="河北"/>
    <x v="0"/>
    <n v="72"/>
    <x v="0"/>
  </r>
  <r>
    <n v="1"/>
    <s v="河北"/>
    <x v="0"/>
    <n v="32"/>
    <x v="0"/>
  </r>
  <r>
    <n v="1"/>
    <s v="河北"/>
    <x v="0"/>
    <n v="175"/>
    <x v="0"/>
  </r>
  <r>
    <n v="1"/>
    <s v="河北"/>
    <x v="0"/>
    <n v="203"/>
    <x v="0"/>
  </r>
  <r>
    <n v="1"/>
    <s v="河北"/>
    <x v="0"/>
    <n v="410"/>
    <x v="0"/>
  </r>
  <r>
    <n v="1"/>
    <s v="河北"/>
    <x v="0"/>
    <n v="378"/>
    <x v="0"/>
  </r>
  <r>
    <n v="1"/>
    <s v="河北"/>
    <x v="0"/>
    <n v="206"/>
    <x v="0"/>
  </r>
  <r>
    <n v="1"/>
    <s v="河北"/>
    <x v="0"/>
    <n v="270"/>
    <x v="0"/>
  </r>
  <r>
    <n v="1"/>
    <s v="河北"/>
    <x v="0"/>
    <n v="53"/>
    <x v="0"/>
  </r>
  <r>
    <n v="1"/>
    <s v="河北"/>
    <x v="0"/>
    <n v="304"/>
    <x v="0"/>
  </r>
  <r>
    <n v="1"/>
    <s v="河北"/>
    <x v="0"/>
    <n v="705"/>
    <x v="0"/>
  </r>
  <r>
    <n v="1"/>
    <s v="河北"/>
    <x v="0"/>
    <n v="694"/>
    <x v="0"/>
  </r>
  <r>
    <n v="1"/>
    <s v="河北"/>
    <x v="0"/>
    <n v="79"/>
    <x v="0"/>
  </r>
  <r>
    <n v="1"/>
    <s v="河北"/>
    <x v="0"/>
    <n v="210"/>
    <x v="0"/>
  </r>
  <r>
    <n v="1"/>
    <s v="河北"/>
    <x v="0"/>
    <n v="135"/>
    <x v="0"/>
  </r>
  <r>
    <n v="1"/>
    <s v="河北"/>
    <x v="0"/>
    <n v="35"/>
    <x v="0"/>
  </r>
  <r>
    <n v="1"/>
    <s v="河北"/>
    <x v="0"/>
    <n v="56"/>
    <x v="0"/>
  </r>
  <r>
    <n v="2"/>
    <s v="安徽"/>
    <x v="0"/>
    <n v="358"/>
    <x v="0"/>
  </r>
  <r>
    <n v="2"/>
    <s v="安徽"/>
    <x v="0"/>
    <n v="659"/>
    <x v="0"/>
  </r>
  <r>
    <n v="2"/>
    <s v="安徽"/>
    <x v="0"/>
    <n v="298"/>
    <x v="0"/>
  </r>
  <r>
    <n v="2"/>
    <s v="安徽"/>
    <x v="0"/>
    <n v="473"/>
    <x v="0"/>
  </r>
  <r>
    <n v="2"/>
    <s v="安徽"/>
    <x v="0"/>
    <n v="193"/>
    <x v="0"/>
  </r>
  <r>
    <n v="2"/>
    <s v="安徽"/>
    <x v="0"/>
    <n v="854"/>
    <x v="0"/>
  </r>
  <r>
    <n v="2"/>
    <s v="安徽"/>
    <x v="0"/>
    <n v="203"/>
    <x v="0"/>
  </r>
  <r>
    <n v="2"/>
    <s v="安徽"/>
    <x v="0"/>
    <n v="591"/>
    <x v="0"/>
  </r>
  <r>
    <n v="2"/>
    <s v="安徽"/>
    <x v="0"/>
    <n v="1422"/>
    <x v="0"/>
  </r>
  <r>
    <n v="2"/>
    <s v="安徽"/>
    <x v="0"/>
    <n v="997"/>
    <x v="0"/>
  </r>
  <r>
    <n v="2"/>
    <s v="安徽"/>
    <x v="0"/>
    <n v="1468"/>
    <x v="0"/>
  </r>
  <r>
    <n v="2"/>
    <s v="安徽"/>
    <x v="0"/>
    <n v="2156"/>
    <x v="0"/>
  </r>
  <r>
    <n v="2"/>
    <s v="安徽"/>
    <x v="0"/>
    <n v="3697"/>
    <x v="0"/>
  </r>
  <r>
    <n v="2"/>
    <s v="安徽"/>
    <x v="0"/>
    <n v="61"/>
    <x v="0"/>
  </r>
  <r>
    <n v="2"/>
    <s v="安徽"/>
    <x v="0"/>
    <n v="135"/>
    <x v="0"/>
  </r>
  <r>
    <n v="2"/>
    <s v="安徽"/>
    <x v="0"/>
    <n v="114"/>
    <x v="0"/>
  </r>
  <r>
    <n v="2"/>
    <s v="安徽"/>
    <x v="0"/>
    <n v="138"/>
    <x v="0"/>
  </r>
  <r>
    <n v="2"/>
    <s v="安徽"/>
    <x v="0"/>
    <n v="146"/>
    <x v="0"/>
  </r>
  <r>
    <n v="2"/>
    <s v="安徽"/>
    <x v="0"/>
    <n v="149"/>
    <x v="0"/>
  </r>
  <r>
    <n v="2"/>
    <s v="安徽"/>
    <x v="0"/>
    <n v="169"/>
    <x v="0"/>
  </r>
  <r>
    <n v="2"/>
    <s v="安徽"/>
    <x v="0"/>
    <n v="306"/>
    <x v="0"/>
  </r>
  <r>
    <n v="2"/>
    <s v="安徽"/>
    <x v="0"/>
    <n v="326"/>
    <x v="0"/>
  </r>
  <r>
    <n v="1"/>
    <s v="河北"/>
    <x v="0"/>
    <n v="286"/>
    <x v="0"/>
  </r>
  <r>
    <n v="1"/>
    <s v="河北"/>
    <x v="0"/>
    <n v="270"/>
    <x v="0"/>
  </r>
  <r>
    <n v="1"/>
    <s v="河北"/>
    <x v="0"/>
    <n v="571"/>
    <x v="0"/>
  </r>
  <r>
    <n v="1"/>
    <s v="河北"/>
    <x v="0"/>
    <n v="203"/>
    <x v="0"/>
  </r>
  <r>
    <n v="1"/>
    <s v="河北"/>
    <x v="0"/>
    <n v="53"/>
    <x v="0"/>
  </r>
  <r>
    <n v="1"/>
    <s v="河北"/>
    <x v="0"/>
    <n v="39"/>
    <x v="0"/>
  </r>
  <r>
    <n v="1"/>
    <s v="河北"/>
    <x v="0"/>
    <n v="81"/>
    <x v="0"/>
  </r>
  <r>
    <n v="1"/>
    <s v="河北"/>
    <x v="0"/>
    <n v="193"/>
    <x v="0"/>
  </r>
  <r>
    <n v="1"/>
    <s v="河北"/>
    <x v="0"/>
    <n v="203"/>
    <x v="0"/>
  </r>
  <r>
    <n v="1"/>
    <s v="河北"/>
    <x v="0"/>
    <n v="529"/>
    <x v="0"/>
  </r>
  <r>
    <n v="1"/>
    <s v="河北"/>
    <x v="0"/>
    <n v="716"/>
    <x v="0"/>
  </r>
  <r>
    <n v="1"/>
    <s v="河北"/>
    <x v="0"/>
    <n v="193"/>
    <x v="0"/>
  </r>
  <r>
    <n v="1"/>
    <s v="河北"/>
    <x v="0"/>
    <n v="169"/>
    <x v="0"/>
  </r>
  <r>
    <n v="1"/>
    <s v="河北"/>
    <x v="0"/>
    <n v="105"/>
    <x v="0"/>
  </r>
  <r>
    <n v="1"/>
    <s v="河北"/>
    <x v="0"/>
    <n v="270"/>
    <x v="0"/>
  </r>
  <r>
    <n v="1"/>
    <s v="河北"/>
    <x v="0"/>
    <n v="939"/>
    <x v="0"/>
  </r>
  <r>
    <n v="1"/>
    <s v="河北"/>
    <x v="0"/>
    <n v="761"/>
    <x v="0"/>
  </r>
  <r>
    <n v="1"/>
    <s v="河北"/>
    <x v="0"/>
    <n v="56"/>
    <x v="0"/>
  </r>
  <r>
    <n v="1"/>
    <s v="河北"/>
    <x v="0"/>
    <n v="333"/>
    <x v="0"/>
  </r>
  <r>
    <n v="1"/>
    <s v="河北"/>
    <x v="0"/>
    <n v="169"/>
    <x v="0"/>
  </r>
  <r>
    <n v="1"/>
    <s v="河北"/>
    <x v="0"/>
    <n v="26"/>
    <x v="0"/>
  </r>
  <r>
    <n v="1"/>
    <s v="河北"/>
    <x v="0"/>
    <n v="45"/>
    <x v="0"/>
  </r>
  <r>
    <n v="2"/>
    <s v="安徽"/>
    <x v="0"/>
    <n v="413"/>
    <x v="0"/>
  </r>
  <r>
    <n v="2"/>
    <s v="安徽"/>
    <x v="0"/>
    <n v="293"/>
    <x v="0"/>
  </r>
  <r>
    <n v="2"/>
    <s v="安徽"/>
    <x v="0"/>
    <n v="525"/>
    <x v="0"/>
  </r>
  <r>
    <n v="2"/>
    <s v="安徽"/>
    <x v="0"/>
    <n v="495"/>
    <x v="0"/>
  </r>
  <r>
    <n v="2"/>
    <s v="安徽"/>
    <x v="0"/>
    <n v="175"/>
    <x v="0"/>
  </r>
  <r>
    <n v="2"/>
    <s v="安徽"/>
    <x v="0"/>
    <n v="931"/>
    <x v="0"/>
  </r>
  <r>
    <n v="2"/>
    <s v="安徽"/>
    <x v="0"/>
    <n v="203"/>
    <x v="0"/>
  </r>
  <r>
    <n v="2"/>
    <s v="安徽"/>
    <x v="0"/>
    <n v="569"/>
    <x v="0"/>
  </r>
  <r>
    <n v="2"/>
    <s v="安徽"/>
    <x v="0"/>
    <n v="1340"/>
    <x v="0"/>
  </r>
  <r>
    <n v="2"/>
    <s v="安徽"/>
    <x v="0"/>
    <n v="1351"/>
    <x v="0"/>
  </r>
  <r>
    <n v="2"/>
    <s v="安徽"/>
    <x v="0"/>
    <n v="971"/>
    <x v="0"/>
  </r>
  <r>
    <n v="2"/>
    <s v="安徽"/>
    <x v="0"/>
    <n v="1974"/>
    <x v="0"/>
  </r>
  <r>
    <n v="2"/>
    <s v="安徽"/>
    <x v="0"/>
    <n v="1982"/>
    <x v="0"/>
  </r>
  <r>
    <n v="2"/>
    <s v="安徽"/>
    <x v="0"/>
    <n v="70"/>
    <x v="0"/>
  </r>
  <r>
    <n v="2"/>
    <s v="安徽"/>
    <x v="0"/>
    <n v="158"/>
    <x v="0"/>
  </r>
  <r>
    <n v="2"/>
    <s v="安徽"/>
    <x v="0"/>
    <n v="79"/>
    <x v="0"/>
  </r>
  <r>
    <n v="2"/>
    <s v="安徽"/>
    <x v="0"/>
    <n v="151"/>
    <x v="0"/>
  </r>
  <r>
    <n v="2"/>
    <s v="安徽"/>
    <x v="0"/>
    <n v="158"/>
    <x v="0"/>
  </r>
  <r>
    <n v="2"/>
    <s v="安徽"/>
    <x v="0"/>
    <n v="149"/>
    <x v="0"/>
  </r>
  <r>
    <n v="2"/>
    <s v="安徽"/>
    <x v="0"/>
    <n v="326"/>
    <x v="0"/>
  </r>
  <r>
    <n v="2"/>
    <s v="安徽"/>
    <x v="0"/>
    <n v="663"/>
    <x v="0"/>
  </r>
  <r>
    <n v="2"/>
    <s v="安徽"/>
    <x v="0"/>
    <n v="568"/>
    <x v="0"/>
  </r>
  <r>
    <n v="1"/>
    <s v="河北"/>
    <x v="0"/>
    <n v="292"/>
    <x v="0"/>
  </r>
  <r>
    <n v="1"/>
    <s v="河北"/>
    <x v="0"/>
    <n v="270"/>
    <x v="0"/>
  </r>
  <r>
    <n v="1"/>
    <s v="河北"/>
    <x v="0"/>
    <n v="522"/>
    <x v="0"/>
  </r>
  <r>
    <n v="1"/>
    <s v="河北"/>
    <x v="0"/>
    <n v="216"/>
    <x v="0"/>
  </r>
  <r>
    <n v="1"/>
    <s v="河北"/>
    <x v="0"/>
    <n v="63"/>
    <x v="0"/>
  </r>
  <r>
    <n v="1"/>
    <s v="河北"/>
    <x v="0"/>
    <n v="66"/>
    <x v="0"/>
  </r>
  <r>
    <n v="1"/>
    <s v="河北"/>
    <x v="0"/>
    <n v="99"/>
    <x v="0"/>
  </r>
  <r>
    <n v="1"/>
    <s v="河北"/>
    <x v="0"/>
    <n v="210"/>
    <x v="0"/>
  </r>
  <r>
    <n v="1"/>
    <s v="河北"/>
    <x v="0"/>
    <n v="180"/>
    <x v="0"/>
  </r>
  <r>
    <n v="1"/>
    <s v="河北"/>
    <x v="0"/>
    <n v="483"/>
    <x v="0"/>
  </r>
  <r>
    <n v="1"/>
    <s v="河北"/>
    <x v="0"/>
    <n v="275"/>
    <x v="0"/>
  </r>
  <r>
    <n v="1"/>
    <s v="河北"/>
    <x v="0"/>
    <n v="151"/>
    <x v="0"/>
  </r>
  <r>
    <n v="1"/>
    <s v="河北"/>
    <x v="0"/>
    <n v="124"/>
    <x v="0"/>
  </r>
  <r>
    <n v="1"/>
    <s v="河北"/>
    <x v="0"/>
    <n v="149"/>
    <x v="0"/>
  </r>
  <r>
    <n v="1"/>
    <s v="河北"/>
    <x v="0"/>
    <n v="293"/>
    <x v="0"/>
  </r>
  <r>
    <n v="1"/>
    <s v="河北"/>
    <x v="0"/>
    <n v="544"/>
    <x v="0"/>
  </r>
  <r>
    <n v="1"/>
    <s v="河北"/>
    <x v="0"/>
    <n v="804"/>
    <x v="0"/>
  </r>
  <r>
    <n v="1"/>
    <s v="河北"/>
    <x v="0"/>
    <n v="34"/>
    <x v="0"/>
  </r>
  <r>
    <n v="1"/>
    <s v="河北"/>
    <x v="0"/>
    <n v="450"/>
    <x v="0"/>
  </r>
  <r>
    <n v="1"/>
    <s v="河北"/>
    <x v="0"/>
    <n v="158"/>
    <x v="0"/>
  </r>
  <r>
    <n v="1"/>
    <s v="河北"/>
    <x v="0"/>
    <n v="18"/>
    <x v="0"/>
  </r>
  <r>
    <n v="1"/>
    <s v="河北"/>
    <x v="0"/>
    <n v="45"/>
    <x v="0"/>
  </r>
  <r>
    <n v="2"/>
    <s v="安徽"/>
    <x v="0"/>
    <n v="385"/>
    <x v="0"/>
  </r>
  <r>
    <n v="2"/>
    <s v="安徽"/>
    <x v="0"/>
    <n v="203"/>
    <x v="0"/>
  </r>
  <r>
    <n v="2"/>
    <s v="安徽"/>
    <x v="0"/>
    <n v="710"/>
    <x v="0"/>
  </r>
  <r>
    <n v="2"/>
    <s v="安徽"/>
    <x v="0"/>
    <n v="113"/>
    <x v="0"/>
  </r>
  <r>
    <n v="2"/>
    <s v="安徽"/>
    <x v="0"/>
    <n v="193"/>
    <x v="0"/>
  </r>
  <r>
    <n v="2"/>
    <s v="安徽"/>
    <x v="0"/>
    <n v="981"/>
    <x v="0"/>
  </r>
  <r>
    <n v="2"/>
    <s v="安徽"/>
    <x v="0"/>
    <n v="180"/>
    <x v="0"/>
  </r>
  <r>
    <n v="2"/>
    <s v="安徽"/>
    <x v="0"/>
    <n v="576"/>
    <x v="0"/>
  </r>
  <r>
    <n v="2"/>
    <s v="安徽"/>
    <x v="0"/>
    <n v="1345"/>
    <x v="0"/>
  </r>
  <r>
    <n v="2"/>
    <s v="安徽"/>
    <x v="0"/>
    <n v="1366"/>
    <x v="0"/>
  </r>
  <r>
    <n v="2"/>
    <s v="安徽"/>
    <x v="0"/>
    <n v="1160"/>
    <x v="0"/>
  </r>
  <r>
    <n v="2"/>
    <s v="安徽"/>
    <x v="0"/>
    <n v="2811"/>
    <x v="0"/>
  </r>
  <r>
    <n v="2"/>
    <s v="安徽"/>
    <x v="0"/>
    <n v="2454"/>
    <x v="0"/>
  </r>
  <r>
    <n v="2"/>
    <s v="安徽"/>
    <x v="0"/>
    <n v="70"/>
    <x v="0"/>
  </r>
  <r>
    <n v="2"/>
    <s v="安徽"/>
    <x v="0"/>
    <n v="135"/>
    <x v="0"/>
  </r>
  <r>
    <n v="2"/>
    <s v="安徽"/>
    <x v="0"/>
    <n v="61"/>
    <x v="0"/>
  </r>
  <r>
    <n v="2"/>
    <s v="安徽"/>
    <x v="0"/>
    <n v="151"/>
    <x v="0"/>
  </r>
  <r>
    <n v="2"/>
    <s v="安徽"/>
    <x v="0"/>
    <n v="191"/>
    <x v="0"/>
  </r>
  <r>
    <n v="2"/>
    <s v="安徽"/>
    <x v="0"/>
    <n v="140"/>
    <x v="0"/>
  </r>
  <r>
    <n v="2"/>
    <s v="安徽"/>
    <x v="0"/>
    <n v="304"/>
    <x v="0"/>
  </r>
  <r>
    <n v="2"/>
    <s v="安徽"/>
    <x v="0"/>
    <n v="587"/>
    <x v="0"/>
  </r>
  <r>
    <n v="2"/>
    <s v="安徽"/>
    <x v="0"/>
    <n v="349"/>
    <x v="0"/>
  </r>
  <r>
    <n v="1"/>
    <s v="河北"/>
    <x v="0"/>
    <n v="347"/>
    <x v="0"/>
  </r>
  <r>
    <n v="1"/>
    <s v="河北"/>
    <x v="0"/>
    <n v="347"/>
    <x v="0"/>
  </r>
  <r>
    <n v="1"/>
    <s v="河北"/>
    <x v="0"/>
    <n v="619"/>
    <x v="0"/>
  </r>
  <r>
    <n v="1"/>
    <s v="河北"/>
    <x v="0"/>
    <n v="279"/>
    <x v="0"/>
  </r>
  <r>
    <n v="1"/>
    <s v="河北"/>
    <x v="0"/>
    <n v="53"/>
    <x v="0"/>
  </r>
  <r>
    <n v="1"/>
    <s v="河北"/>
    <x v="0"/>
    <n v="44"/>
    <x v="0"/>
  </r>
  <r>
    <n v="1"/>
    <s v="河北"/>
    <x v="0"/>
    <n v="81"/>
    <x v="0"/>
  </r>
  <r>
    <n v="1"/>
    <s v="河北"/>
    <x v="0"/>
    <n v="193"/>
    <x v="0"/>
  </r>
  <r>
    <n v="1"/>
    <s v="河北"/>
    <x v="0"/>
    <n v="135"/>
    <x v="0"/>
  </r>
  <r>
    <n v="1"/>
    <s v="河北"/>
    <x v="0"/>
    <n v="525"/>
    <x v="0"/>
  </r>
  <r>
    <n v="1"/>
    <s v="河北"/>
    <x v="0"/>
    <n v="679"/>
    <x v="0"/>
  </r>
  <r>
    <n v="1"/>
    <s v="河北"/>
    <x v="0"/>
    <n v="179"/>
    <x v="0"/>
  </r>
  <r>
    <n v="1"/>
    <s v="河北"/>
    <x v="0"/>
    <n v="169"/>
    <x v="0"/>
  </r>
  <r>
    <n v="1"/>
    <s v="河北"/>
    <x v="0"/>
    <n v="140"/>
    <x v="0"/>
  </r>
  <r>
    <n v="1"/>
    <s v="河北"/>
    <x v="0"/>
    <n v="492"/>
    <x v="0"/>
  </r>
  <r>
    <n v="1"/>
    <s v="河北"/>
    <x v="0"/>
    <n v="228"/>
    <x v="0"/>
  </r>
  <r>
    <n v="1"/>
    <s v="河北"/>
    <x v="0"/>
    <n v="1215"/>
    <x v="0"/>
  </r>
  <r>
    <n v="1"/>
    <s v="河北"/>
    <x v="0"/>
    <n v="34"/>
    <x v="0"/>
  </r>
  <r>
    <n v="1"/>
    <s v="河北"/>
    <x v="0"/>
    <n v="569"/>
    <x v="0"/>
  </r>
  <r>
    <n v="1"/>
    <s v="河北"/>
    <x v="0"/>
    <n v="169"/>
    <x v="0"/>
  </r>
  <r>
    <n v="1"/>
    <s v="河北"/>
    <x v="0"/>
    <n v="35"/>
    <x v="0"/>
  </r>
  <r>
    <n v="1"/>
    <s v="河北"/>
    <x v="0"/>
    <n v="34"/>
    <x v="0"/>
  </r>
  <r>
    <n v="2"/>
    <s v="安徽"/>
    <x v="0"/>
    <n v="504"/>
    <x v="0"/>
  </r>
  <r>
    <n v="2"/>
    <s v="安徽"/>
    <x v="0"/>
    <n v="293"/>
    <x v="0"/>
  </r>
  <r>
    <n v="2"/>
    <s v="安徽"/>
    <x v="0"/>
    <n v="683"/>
    <x v="0"/>
  </r>
  <r>
    <n v="2"/>
    <s v="安徽"/>
    <x v="0"/>
    <n v="135"/>
    <x v="0"/>
  </r>
  <r>
    <n v="2"/>
    <s v="安徽"/>
    <x v="0"/>
    <n v="210"/>
    <x v="0"/>
  </r>
  <r>
    <n v="2"/>
    <s v="安徽"/>
    <x v="0"/>
    <n v="1041"/>
    <x v="0"/>
  </r>
  <r>
    <n v="2"/>
    <s v="安徽"/>
    <x v="0"/>
    <n v="135"/>
    <x v="0"/>
  </r>
  <r>
    <n v="2"/>
    <s v="安徽"/>
    <x v="0"/>
    <n v="692"/>
    <x v="0"/>
  </r>
  <r>
    <n v="2"/>
    <s v="安徽"/>
    <x v="0"/>
    <n v="1990"/>
    <x v="0"/>
  </r>
  <r>
    <n v="2"/>
    <s v="安徽"/>
    <x v="0"/>
    <n v="81"/>
    <x v="0"/>
  </r>
  <r>
    <n v="2"/>
    <s v="安徽"/>
    <x v="0"/>
    <n v="921"/>
    <x v="0"/>
  </r>
  <r>
    <n v="2"/>
    <s v="安徽"/>
    <x v="0"/>
    <n v="2266"/>
    <x v="0"/>
  </r>
  <r>
    <n v="2"/>
    <s v="安徽"/>
    <x v="0"/>
    <n v="1219"/>
    <x v="0"/>
  </r>
  <r>
    <n v="2"/>
    <s v="安徽"/>
    <x v="0"/>
    <n v="70"/>
    <x v="0"/>
  </r>
  <r>
    <n v="2"/>
    <s v="安徽"/>
    <x v="0"/>
    <n v="124"/>
    <x v="0"/>
  </r>
  <r>
    <n v="2"/>
    <s v="安徽"/>
    <x v="0"/>
    <n v="53"/>
    <x v="0"/>
  </r>
  <r>
    <n v="2"/>
    <s v="安徽"/>
    <x v="0"/>
    <n v="206"/>
    <x v="0"/>
  </r>
  <r>
    <n v="2"/>
    <s v="安徽"/>
    <x v="0"/>
    <n v="101"/>
    <x v="0"/>
  </r>
  <r>
    <n v="2"/>
    <s v="安徽"/>
    <x v="0"/>
    <n v="131"/>
    <x v="0"/>
  </r>
  <r>
    <n v="2"/>
    <s v="安徽"/>
    <x v="0"/>
    <n v="281"/>
    <x v="0"/>
  </r>
  <r>
    <n v="2"/>
    <s v="安徽"/>
    <x v="0"/>
    <n v="1080"/>
    <x v="0"/>
  </r>
  <r>
    <n v="2"/>
    <s v="安徽"/>
    <x v="0"/>
    <n v="383"/>
    <x v="0"/>
  </r>
  <r>
    <n v="3"/>
    <s v="广西"/>
    <x v="1"/>
    <n v="413"/>
    <x v="0"/>
  </r>
  <r>
    <n v="3"/>
    <s v="广西"/>
    <x v="1"/>
    <n v="1271"/>
    <x v="0"/>
  </r>
  <r>
    <n v="3"/>
    <s v="广西"/>
    <x v="1"/>
    <n v="420"/>
    <x v="0"/>
  </r>
  <r>
    <n v="3"/>
    <s v="广西"/>
    <x v="1"/>
    <n v="491"/>
    <x v="0"/>
  </r>
  <r>
    <n v="3"/>
    <s v="广西"/>
    <x v="1"/>
    <n v="315"/>
    <x v="0"/>
  </r>
  <r>
    <n v="3"/>
    <s v="广西"/>
    <x v="1"/>
    <n v="426"/>
    <x v="0"/>
  </r>
  <r>
    <n v="3"/>
    <s v="广西"/>
    <x v="1"/>
    <n v="61"/>
    <x v="0"/>
  </r>
  <r>
    <n v="3"/>
    <s v="广西"/>
    <x v="1"/>
    <n v="1006"/>
    <x v="0"/>
  </r>
  <r>
    <n v="1"/>
    <s v="河北"/>
    <x v="0"/>
    <n v="275"/>
    <x v="0"/>
  </r>
  <r>
    <n v="1"/>
    <s v="河北"/>
    <x v="0"/>
    <n v="315"/>
    <x v="0"/>
  </r>
  <r>
    <n v="1"/>
    <s v="河北"/>
    <x v="0"/>
    <n v="507"/>
    <x v="0"/>
  </r>
  <r>
    <n v="1"/>
    <s v="河北"/>
    <x v="0"/>
    <n v="189"/>
    <x v="0"/>
  </r>
  <r>
    <n v="1"/>
    <s v="河北"/>
    <x v="0"/>
    <n v="60"/>
    <x v="0"/>
  </r>
  <r>
    <n v="1"/>
    <s v="河北"/>
    <x v="0"/>
    <n v="28"/>
    <x v="0"/>
  </r>
  <r>
    <n v="1"/>
    <s v="河北"/>
    <x v="0"/>
    <n v="90"/>
    <x v="0"/>
  </r>
  <r>
    <n v="1"/>
    <s v="河北"/>
    <x v="0"/>
    <n v="210"/>
    <x v="0"/>
  </r>
  <r>
    <n v="1"/>
    <s v="河北"/>
    <x v="0"/>
    <n v="225"/>
    <x v="0"/>
  </r>
  <r>
    <n v="1"/>
    <s v="河北"/>
    <x v="0"/>
    <n v="546"/>
    <x v="0"/>
  </r>
  <r>
    <n v="1"/>
    <s v="河北"/>
    <x v="0"/>
    <n v="1153"/>
    <x v="0"/>
  </r>
  <r>
    <n v="1"/>
    <s v="河北"/>
    <x v="0"/>
    <n v="330"/>
    <x v="0"/>
  </r>
  <r>
    <n v="1"/>
    <s v="河北"/>
    <x v="0"/>
    <n v="326"/>
    <x v="0"/>
  </r>
  <r>
    <n v="1"/>
    <s v="河北"/>
    <x v="0"/>
    <n v="193"/>
    <x v="0"/>
  </r>
  <r>
    <n v="1"/>
    <s v="河北"/>
    <x v="0"/>
    <n v="315"/>
    <x v="0"/>
  </r>
  <r>
    <n v="1"/>
    <s v="河北"/>
    <x v="0"/>
    <n v="570"/>
    <x v="0"/>
  </r>
  <r>
    <n v="1"/>
    <s v="河北"/>
    <x v="0"/>
    <n v="801"/>
    <x v="0"/>
  </r>
  <r>
    <n v="1"/>
    <s v="河北"/>
    <x v="0"/>
    <n v="56"/>
    <x v="0"/>
  </r>
  <r>
    <n v="1"/>
    <s v="河北"/>
    <x v="0"/>
    <n v="620"/>
    <x v="0"/>
  </r>
  <r>
    <n v="1"/>
    <s v="河北"/>
    <x v="0"/>
    <n v="248"/>
    <x v="0"/>
  </r>
  <r>
    <n v="1"/>
    <s v="河北"/>
    <x v="0"/>
    <n v="18"/>
    <x v="0"/>
  </r>
  <r>
    <n v="1"/>
    <s v="河北"/>
    <x v="0"/>
    <n v="34"/>
    <x v="0"/>
  </r>
  <r>
    <n v="2"/>
    <s v="安徽"/>
    <x v="0"/>
    <n v="385"/>
    <x v="0"/>
  </r>
  <r>
    <n v="2"/>
    <s v="安徽"/>
    <x v="0"/>
    <n v="270"/>
    <x v="0"/>
  </r>
  <r>
    <n v="2"/>
    <s v="安徽"/>
    <x v="0"/>
    <n v="930"/>
    <x v="0"/>
  </r>
  <r>
    <n v="2"/>
    <s v="安徽"/>
    <x v="0"/>
    <n v="225"/>
    <x v="0"/>
  </r>
  <r>
    <n v="2"/>
    <s v="安徽"/>
    <x v="0"/>
    <n v="175"/>
    <x v="0"/>
  </r>
  <r>
    <n v="2"/>
    <s v="安徽"/>
    <x v="0"/>
    <n v="1011"/>
    <x v="0"/>
  </r>
  <r>
    <n v="2"/>
    <s v="安徽"/>
    <x v="0"/>
    <n v="225"/>
    <x v="0"/>
  </r>
  <r>
    <n v="2"/>
    <s v="安徽"/>
    <x v="0"/>
    <n v="601"/>
    <x v="0"/>
  </r>
  <r>
    <n v="2"/>
    <s v="安徽"/>
    <x v="0"/>
    <n v="2130"/>
    <x v="0"/>
  </r>
  <r>
    <n v="2"/>
    <s v="安徽"/>
    <x v="0"/>
    <n v="91"/>
    <x v="0"/>
  </r>
  <r>
    <n v="2"/>
    <s v="安徽"/>
    <x v="0"/>
    <n v="748"/>
    <x v="0"/>
  </r>
  <r>
    <n v="2"/>
    <s v="安徽"/>
    <x v="0"/>
    <n v="2110"/>
    <x v="0"/>
  </r>
  <r>
    <n v="2"/>
    <s v="安徽"/>
    <x v="0"/>
    <n v="4001"/>
    <x v="0"/>
  </r>
  <r>
    <n v="2"/>
    <s v="安徽"/>
    <x v="0"/>
    <n v="79"/>
    <x v="0"/>
  </r>
  <r>
    <n v="2"/>
    <s v="安徽"/>
    <x v="0"/>
    <n v="113"/>
    <x v="0"/>
  </r>
  <r>
    <n v="2"/>
    <s v="安徽"/>
    <x v="0"/>
    <n v="105"/>
    <x v="0"/>
  </r>
  <r>
    <n v="2"/>
    <s v="安徽"/>
    <x v="0"/>
    <n v="124"/>
    <x v="0"/>
  </r>
  <r>
    <n v="2"/>
    <s v="安徽"/>
    <x v="0"/>
    <n v="113"/>
    <x v="0"/>
  </r>
  <r>
    <n v="2"/>
    <s v="安徽"/>
    <x v="0"/>
    <n v="149"/>
    <x v="0"/>
  </r>
  <r>
    <n v="2"/>
    <s v="安徽"/>
    <x v="0"/>
    <n v="304"/>
    <x v="0"/>
  </r>
  <r>
    <n v="2"/>
    <s v="安徽"/>
    <x v="0"/>
    <n v="1443"/>
    <x v="0"/>
  </r>
  <r>
    <n v="2"/>
    <s v="安徽"/>
    <x v="0"/>
    <n v="293"/>
    <x v="0"/>
  </r>
  <r>
    <n v="3"/>
    <s v="广西"/>
    <x v="1"/>
    <n v="413"/>
    <x v="0"/>
  </r>
  <r>
    <n v="3"/>
    <s v="广西"/>
    <x v="1"/>
    <n v="1272"/>
    <x v="0"/>
  </r>
  <r>
    <n v="3"/>
    <s v="广西"/>
    <x v="1"/>
    <n v="368"/>
    <x v="0"/>
  </r>
  <r>
    <n v="3"/>
    <s v="广西"/>
    <x v="1"/>
    <n v="524"/>
    <x v="0"/>
  </r>
  <r>
    <n v="3"/>
    <s v="广西"/>
    <x v="1"/>
    <n v="289"/>
    <x v="0"/>
  </r>
  <r>
    <n v="3"/>
    <s v="广西"/>
    <x v="1"/>
    <n v="371"/>
    <x v="0"/>
  </r>
  <r>
    <n v="3"/>
    <s v="广西"/>
    <x v="1"/>
    <n v="833"/>
    <x v="0"/>
  </r>
  <r>
    <n v="3"/>
    <s v="广西"/>
    <x v="1"/>
    <n v="393"/>
    <x v="0"/>
  </r>
  <r>
    <n v="1"/>
    <s v="河北"/>
    <x v="0"/>
    <n v="292"/>
    <x v="0"/>
  </r>
  <r>
    <n v="1"/>
    <s v="河北"/>
    <x v="0"/>
    <n v="374"/>
    <x v="0"/>
  </r>
  <r>
    <n v="1"/>
    <s v="河北"/>
    <x v="0"/>
    <n v="602"/>
    <x v="0"/>
  </r>
  <r>
    <n v="1"/>
    <s v="河北"/>
    <x v="0"/>
    <n v="158"/>
    <x v="0"/>
  </r>
  <r>
    <n v="1"/>
    <s v="河北"/>
    <x v="0"/>
    <n v="77"/>
    <x v="0"/>
  </r>
  <r>
    <n v="1"/>
    <s v="河北"/>
    <x v="0"/>
    <n v="28"/>
    <x v="0"/>
  </r>
  <r>
    <n v="1"/>
    <s v="河北"/>
    <x v="0"/>
    <n v="99"/>
    <x v="0"/>
  </r>
  <r>
    <n v="1"/>
    <s v="河北"/>
    <x v="0"/>
    <n v="210"/>
    <x v="0"/>
  </r>
  <r>
    <n v="1"/>
    <s v="河北"/>
    <x v="0"/>
    <n v="248"/>
    <x v="0"/>
  </r>
  <r>
    <n v="1"/>
    <s v="河北"/>
    <x v="0"/>
    <n v="454"/>
    <x v="0"/>
  </r>
  <r>
    <n v="1"/>
    <s v="河北"/>
    <x v="0"/>
    <n v="1281"/>
    <x v="0"/>
  </r>
  <r>
    <n v="1"/>
    <s v="河北"/>
    <x v="0"/>
    <n v="414"/>
    <x v="0"/>
  </r>
  <r>
    <n v="1"/>
    <s v="河北"/>
    <x v="0"/>
    <n v="405"/>
    <x v="0"/>
  </r>
  <r>
    <n v="1"/>
    <s v="河北"/>
    <x v="0"/>
    <n v="271"/>
    <x v="0"/>
  </r>
  <r>
    <n v="1"/>
    <s v="河北"/>
    <x v="0"/>
    <n v="393"/>
    <x v="0"/>
  </r>
  <r>
    <n v="1"/>
    <s v="河北"/>
    <x v="0"/>
    <n v="1049"/>
    <x v="0"/>
  </r>
  <r>
    <n v="1"/>
    <s v="河北"/>
    <x v="0"/>
    <n v="1115"/>
    <x v="0"/>
  </r>
  <r>
    <n v="1"/>
    <s v="河北"/>
    <x v="0"/>
    <n v="68"/>
    <x v="0"/>
  </r>
  <r>
    <n v="1"/>
    <s v="河北"/>
    <x v="0"/>
    <n v="808"/>
    <x v="0"/>
  </r>
  <r>
    <n v="1"/>
    <s v="河北"/>
    <x v="0"/>
    <n v="304"/>
    <x v="0"/>
  </r>
  <r>
    <n v="1"/>
    <s v="河北"/>
    <x v="0"/>
    <n v="18"/>
    <x v="0"/>
  </r>
  <r>
    <n v="1"/>
    <s v="河北"/>
    <x v="0"/>
    <n v="56"/>
    <x v="0"/>
  </r>
  <r>
    <n v="2"/>
    <s v="安徽"/>
    <x v="0"/>
    <n v="330"/>
    <x v="0"/>
  </r>
  <r>
    <n v="2"/>
    <s v="安徽"/>
    <x v="0"/>
    <n v="338"/>
    <x v="0"/>
  </r>
  <r>
    <n v="2"/>
    <s v="安徽"/>
    <x v="0"/>
    <n v="821"/>
    <x v="0"/>
  </r>
  <r>
    <n v="2"/>
    <s v="安徽"/>
    <x v="0"/>
    <n v="338"/>
    <x v="0"/>
  </r>
  <r>
    <n v="2"/>
    <s v="安徽"/>
    <x v="0"/>
    <n v="140"/>
    <x v="0"/>
  </r>
  <r>
    <n v="2"/>
    <s v="安徽"/>
    <x v="0"/>
    <n v="849"/>
    <x v="0"/>
  </r>
  <r>
    <n v="2"/>
    <s v="安徽"/>
    <x v="0"/>
    <n v="248"/>
    <x v="0"/>
  </r>
  <r>
    <n v="2"/>
    <s v="安徽"/>
    <x v="0"/>
    <n v="888"/>
    <x v="0"/>
  </r>
  <r>
    <n v="2"/>
    <s v="安徽"/>
    <x v="0"/>
    <n v="2110"/>
    <x v="0"/>
  </r>
  <r>
    <n v="2"/>
    <s v="安徽"/>
    <x v="0"/>
    <n v="172"/>
    <x v="0"/>
  </r>
  <r>
    <n v="2"/>
    <s v="安徽"/>
    <x v="0"/>
    <n v="517"/>
    <x v="0"/>
  </r>
  <r>
    <n v="2"/>
    <s v="安徽"/>
    <x v="0"/>
    <n v="2049"/>
    <x v="0"/>
  </r>
  <r>
    <n v="2"/>
    <s v="安徽"/>
    <x v="0"/>
    <n v="4193"/>
    <x v="0"/>
  </r>
  <r>
    <n v="2"/>
    <s v="安徽"/>
    <x v="0"/>
    <n v="79"/>
    <x v="0"/>
  </r>
  <r>
    <n v="2"/>
    <s v="安徽"/>
    <x v="0"/>
    <n v="124"/>
    <x v="0"/>
  </r>
  <r>
    <n v="2"/>
    <s v="安徽"/>
    <x v="0"/>
    <n v="123"/>
    <x v="0"/>
  </r>
  <r>
    <n v="2"/>
    <s v="安徽"/>
    <x v="0"/>
    <n v="151"/>
    <x v="0"/>
  </r>
  <r>
    <n v="2"/>
    <s v="安徽"/>
    <x v="0"/>
    <n v="135"/>
    <x v="0"/>
  </r>
  <r>
    <n v="2"/>
    <s v="安徽"/>
    <x v="0"/>
    <n v="131"/>
    <x v="0"/>
  </r>
  <r>
    <n v="2"/>
    <s v="安徽"/>
    <x v="0"/>
    <n v="371"/>
    <x v="0"/>
  </r>
  <r>
    <n v="2"/>
    <s v="安徽"/>
    <x v="0"/>
    <n v="1875"/>
    <x v="0"/>
  </r>
  <r>
    <n v="2"/>
    <s v="安徽"/>
    <x v="0"/>
    <n v="360"/>
    <x v="0"/>
  </r>
  <r>
    <n v="3"/>
    <s v="广西"/>
    <x v="1"/>
    <n v="441"/>
    <x v="0"/>
  </r>
  <r>
    <n v="3"/>
    <s v="广西"/>
    <x v="1"/>
    <n v="1399"/>
    <x v="0"/>
  </r>
  <r>
    <n v="3"/>
    <s v="广西"/>
    <x v="1"/>
    <n v="394"/>
    <x v="0"/>
  </r>
  <r>
    <n v="3"/>
    <s v="广西"/>
    <x v="1"/>
    <n v="525"/>
    <x v="0"/>
  </r>
  <r>
    <n v="3"/>
    <s v="广西"/>
    <x v="1"/>
    <n v="341"/>
    <x v="0"/>
  </r>
  <r>
    <n v="3"/>
    <s v="广西"/>
    <x v="1"/>
    <n v="338"/>
    <x v="0"/>
  </r>
  <r>
    <n v="3"/>
    <s v="广西"/>
    <x v="1"/>
    <n v="1006"/>
    <x v="0"/>
  </r>
  <r>
    <n v="3"/>
    <s v="广西"/>
    <x v="1"/>
    <n v="1315"/>
    <x v="0"/>
  </r>
  <r>
    <n v="1"/>
    <s v="河北"/>
    <x v="0"/>
    <n v="303"/>
    <x v="0"/>
  </r>
  <r>
    <n v="1"/>
    <s v="河北"/>
    <x v="0"/>
    <n v="369"/>
    <x v="0"/>
  </r>
  <r>
    <n v="1"/>
    <s v="河北"/>
    <x v="0"/>
    <n v="564"/>
    <x v="0"/>
  </r>
  <r>
    <n v="1"/>
    <s v="河北"/>
    <x v="0"/>
    <n v="171"/>
    <x v="0"/>
  </r>
  <r>
    <n v="1"/>
    <s v="河北"/>
    <x v="0"/>
    <n v="60"/>
    <x v="0"/>
  </r>
  <r>
    <n v="1"/>
    <s v="河北"/>
    <x v="0"/>
    <n v="44"/>
    <x v="0"/>
  </r>
  <r>
    <n v="1"/>
    <s v="河北"/>
    <x v="0"/>
    <n v="99"/>
    <x v="0"/>
  </r>
  <r>
    <n v="1"/>
    <s v="河北"/>
    <x v="0"/>
    <n v="193"/>
    <x v="0"/>
  </r>
  <r>
    <n v="1"/>
    <s v="河北"/>
    <x v="0"/>
    <n v="293"/>
    <x v="0"/>
  </r>
  <r>
    <n v="1"/>
    <s v="河北"/>
    <x v="0"/>
    <n v="481"/>
    <x v="0"/>
  </r>
  <r>
    <n v="1"/>
    <s v="河北"/>
    <x v="0"/>
    <n v="1068"/>
    <x v="0"/>
  </r>
  <r>
    <n v="1"/>
    <s v="河北"/>
    <x v="0"/>
    <n v="400"/>
    <x v="0"/>
  </r>
  <r>
    <n v="1"/>
    <s v="河北"/>
    <x v="0"/>
    <n v="405"/>
    <x v="0"/>
  </r>
  <r>
    <n v="1"/>
    <s v="河北"/>
    <x v="0"/>
    <n v="280"/>
    <x v="0"/>
  </r>
  <r>
    <n v="1"/>
    <s v="河北"/>
    <x v="0"/>
    <n v="405"/>
    <x v="0"/>
  </r>
  <r>
    <n v="1"/>
    <s v="河北"/>
    <x v="0"/>
    <n v="416"/>
    <x v="0"/>
  </r>
  <r>
    <n v="1"/>
    <s v="河北"/>
    <x v="0"/>
    <n v="1204"/>
    <x v="0"/>
  </r>
  <r>
    <n v="1"/>
    <s v="河北"/>
    <x v="0"/>
    <n v="68"/>
    <x v="0"/>
  </r>
  <r>
    <n v="1"/>
    <s v="河北"/>
    <x v="0"/>
    <n v="840"/>
    <x v="0"/>
  </r>
  <r>
    <n v="1"/>
    <s v="河北"/>
    <x v="0"/>
    <n v="326"/>
    <x v="0"/>
  </r>
  <r>
    <n v="1"/>
    <s v="河北"/>
    <x v="0"/>
    <n v="18"/>
    <x v="0"/>
  </r>
  <r>
    <n v="1"/>
    <s v="河北"/>
    <x v="0"/>
    <n v="45"/>
    <x v="0"/>
  </r>
  <r>
    <n v="2"/>
    <s v="安徽"/>
    <x v="0"/>
    <n v="413"/>
    <x v="0"/>
  </r>
  <r>
    <n v="2"/>
    <s v="安徽"/>
    <x v="0"/>
    <n v="383"/>
    <x v="0"/>
  </r>
  <r>
    <n v="2"/>
    <s v="安徽"/>
    <x v="0"/>
    <n v="158"/>
    <x v="0"/>
  </r>
  <r>
    <n v="2"/>
    <s v="安徽"/>
    <x v="0"/>
    <n v="315"/>
    <x v="0"/>
  </r>
  <r>
    <n v="2"/>
    <s v="安徽"/>
    <x v="0"/>
    <n v="140"/>
    <x v="0"/>
  </r>
  <r>
    <n v="2"/>
    <s v="安徽"/>
    <x v="0"/>
    <n v="912"/>
    <x v="0"/>
  </r>
  <r>
    <n v="2"/>
    <s v="安徽"/>
    <x v="0"/>
    <n v="293"/>
    <x v="0"/>
  </r>
  <r>
    <n v="2"/>
    <s v="安徽"/>
    <x v="0"/>
    <n v="970"/>
    <x v="0"/>
  </r>
  <r>
    <n v="2"/>
    <s v="安徽"/>
    <x v="0"/>
    <n v="1358"/>
    <x v="0"/>
  </r>
  <r>
    <n v="2"/>
    <s v="安徽"/>
    <x v="0"/>
    <n v="186"/>
    <x v="0"/>
  </r>
  <r>
    <n v="2"/>
    <s v="安徽"/>
    <x v="0"/>
    <n v="693"/>
    <x v="0"/>
  </r>
  <r>
    <n v="2"/>
    <s v="安徽"/>
    <x v="0"/>
    <n v="2244"/>
    <x v="0"/>
  </r>
  <r>
    <n v="2"/>
    <s v="安徽"/>
    <x v="0"/>
    <n v="3730"/>
    <x v="0"/>
  </r>
  <r>
    <n v="2"/>
    <s v="安徽"/>
    <x v="0"/>
    <n v="96"/>
    <x v="0"/>
  </r>
  <r>
    <n v="2"/>
    <s v="安徽"/>
    <x v="0"/>
    <n v="135"/>
    <x v="0"/>
  </r>
  <r>
    <n v="2"/>
    <s v="安徽"/>
    <x v="0"/>
    <n v="114"/>
    <x v="0"/>
  </r>
  <r>
    <n v="2"/>
    <s v="安徽"/>
    <x v="0"/>
    <n v="151"/>
    <x v="0"/>
  </r>
  <r>
    <n v="2"/>
    <s v="安徽"/>
    <x v="0"/>
    <n v="124"/>
    <x v="0"/>
  </r>
  <r>
    <n v="2"/>
    <s v="安徽"/>
    <x v="0"/>
    <n v="149"/>
    <x v="0"/>
  </r>
  <r>
    <n v="2"/>
    <s v="安徽"/>
    <x v="0"/>
    <n v="360"/>
    <x v="0"/>
  </r>
  <r>
    <n v="2"/>
    <s v="安徽"/>
    <x v="0"/>
    <n v="1762"/>
    <x v="0"/>
  </r>
  <r>
    <n v="2"/>
    <s v="安徽"/>
    <x v="0"/>
    <n v="349"/>
    <x v="0"/>
  </r>
  <r>
    <n v="3"/>
    <s v="广西"/>
    <x v="1"/>
    <n v="1418"/>
    <x v="0"/>
  </r>
  <r>
    <n v="3"/>
    <s v="广西"/>
    <x v="1"/>
    <n v="836"/>
    <x v="0"/>
  </r>
  <r>
    <n v="3"/>
    <s v="广西"/>
    <x v="1"/>
    <n v="315"/>
    <x v="0"/>
  </r>
  <r>
    <n v="3"/>
    <s v="广西"/>
    <x v="1"/>
    <n v="405"/>
    <x v="0"/>
  </r>
  <r>
    <n v="3"/>
    <s v="广西"/>
    <x v="1"/>
    <n v="105"/>
    <x v="0"/>
  </r>
  <r>
    <n v="3"/>
    <s v="广西"/>
    <x v="1"/>
    <n v="270"/>
    <x v="0"/>
  </r>
  <r>
    <n v="3"/>
    <s v="广西"/>
    <x v="1"/>
    <n v="56"/>
    <x v="0"/>
  </r>
  <r>
    <n v="3"/>
    <s v="广西"/>
    <x v="1"/>
    <n v="185"/>
    <x v="0"/>
  </r>
  <r>
    <n v="3"/>
    <s v="广西"/>
    <x v="1"/>
    <n v="561"/>
    <x v="0"/>
  </r>
  <r>
    <n v="3"/>
    <s v="广西"/>
    <x v="1"/>
    <n v="1399"/>
    <x v="0"/>
  </r>
  <r>
    <n v="3"/>
    <s v="广西"/>
    <x v="1"/>
    <n v="394"/>
    <x v="0"/>
  </r>
  <r>
    <n v="3"/>
    <s v="广西"/>
    <x v="1"/>
    <n v="557"/>
    <x v="0"/>
  </r>
  <r>
    <n v="3"/>
    <s v="广西"/>
    <x v="1"/>
    <n v="289"/>
    <x v="0"/>
  </r>
  <r>
    <n v="3"/>
    <s v="广西"/>
    <x v="1"/>
    <n v="338"/>
    <x v="0"/>
  </r>
  <r>
    <n v="3"/>
    <s v="广西"/>
    <x v="1"/>
    <n v="930"/>
    <x v="0"/>
  </r>
  <r>
    <n v="3"/>
    <s v="广西"/>
    <x v="1"/>
    <n v="1980"/>
    <x v="0"/>
  </r>
  <r>
    <n v="1"/>
    <s v="河北"/>
    <x v="0"/>
    <n v="374"/>
    <x v="0"/>
  </r>
  <r>
    <n v="1"/>
    <s v="河北"/>
    <x v="0"/>
    <n v="432"/>
    <x v="0"/>
  </r>
  <r>
    <n v="1"/>
    <s v="河北"/>
    <x v="0"/>
    <n v="610"/>
    <x v="0"/>
  </r>
  <r>
    <n v="1"/>
    <s v="河北"/>
    <x v="0"/>
    <n v="180"/>
    <x v="0"/>
  </r>
  <r>
    <n v="1"/>
    <s v="河北"/>
    <x v="0"/>
    <n v="63"/>
    <x v="0"/>
  </r>
  <r>
    <n v="1"/>
    <s v="河北"/>
    <x v="0"/>
    <n v="55"/>
    <x v="0"/>
  </r>
  <r>
    <n v="1"/>
    <s v="河北"/>
    <x v="0"/>
    <n v="104"/>
    <x v="0"/>
  </r>
  <r>
    <n v="1"/>
    <s v="河北"/>
    <x v="0"/>
    <n v="175"/>
    <x v="0"/>
  </r>
  <r>
    <n v="1"/>
    <s v="河北"/>
    <x v="0"/>
    <n v="180"/>
    <x v="0"/>
  </r>
  <r>
    <n v="1"/>
    <s v="河北"/>
    <x v="0"/>
    <n v="511"/>
    <x v="0"/>
  </r>
  <r>
    <n v="1"/>
    <s v="河北"/>
    <x v="0"/>
    <n v="1480"/>
    <x v="0"/>
  </r>
  <r>
    <n v="1"/>
    <s v="河北"/>
    <x v="0"/>
    <n v="508"/>
    <x v="0"/>
  </r>
  <r>
    <n v="1"/>
    <s v="河北"/>
    <x v="0"/>
    <n v="469"/>
    <x v="0"/>
  </r>
  <r>
    <n v="1"/>
    <s v="河北"/>
    <x v="0"/>
    <n v="333"/>
    <x v="0"/>
  </r>
  <r>
    <n v="1"/>
    <s v="河北"/>
    <x v="0"/>
    <n v="503"/>
    <x v="0"/>
  </r>
  <r>
    <n v="1"/>
    <s v="河北"/>
    <x v="0"/>
    <n v="1359"/>
    <x v="0"/>
  </r>
  <r>
    <n v="1"/>
    <s v="河北"/>
    <x v="0"/>
    <n v="1387"/>
    <x v="0"/>
  </r>
  <r>
    <n v="1"/>
    <s v="河北"/>
    <x v="0"/>
    <n v="79"/>
    <x v="0"/>
  </r>
  <r>
    <n v="1"/>
    <s v="河北"/>
    <x v="0"/>
    <n v="998"/>
    <x v="0"/>
  </r>
  <r>
    <n v="1"/>
    <s v="河北"/>
    <x v="0"/>
    <n v="404"/>
    <x v="0"/>
  </r>
  <r>
    <n v="1"/>
    <s v="河北"/>
    <x v="0"/>
    <n v="26"/>
    <x v="0"/>
  </r>
  <r>
    <n v="1"/>
    <s v="河北"/>
    <x v="0"/>
    <n v="56"/>
    <x v="0"/>
  </r>
  <r>
    <n v="2"/>
    <s v="安徽"/>
    <x v="0"/>
    <n v="588"/>
    <x v="0"/>
  </r>
  <r>
    <n v="2"/>
    <s v="安徽"/>
    <x v="0"/>
    <n v="433"/>
    <x v="0"/>
  </r>
  <r>
    <n v="2"/>
    <s v="安徽"/>
    <x v="0"/>
    <n v="123"/>
    <x v="0"/>
  </r>
  <r>
    <n v="2"/>
    <s v="安徽"/>
    <x v="0"/>
    <n v="360"/>
    <x v="0"/>
  </r>
  <r>
    <n v="2"/>
    <s v="安徽"/>
    <x v="0"/>
    <n v="88"/>
    <x v="0"/>
  </r>
  <r>
    <n v="2"/>
    <s v="安徽"/>
    <x v="0"/>
    <n v="873"/>
    <x v="0"/>
  </r>
  <r>
    <n v="2"/>
    <s v="安徽"/>
    <x v="0"/>
    <n v="180"/>
    <x v="0"/>
  </r>
  <r>
    <n v="2"/>
    <s v="安徽"/>
    <x v="0"/>
    <n v="1080"/>
    <x v="0"/>
  </r>
  <r>
    <n v="2"/>
    <s v="安徽"/>
    <x v="0"/>
    <n v="1338"/>
    <x v="0"/>
  </r>
  <r>
    <n v="2"/>
    <s v="安徽"/>
    <x v="0"/>
    <n v="172"/>
    <x v="0"/>
  </r>
  <r>
    <n v="2"/>
    <s v="安徽"/>
    <x v="0"/>
    <n v="497"/>
    <x v="0"/>
  </r>
  <r>
    <n v="2"/>
    <s v="安徽"/>
    <x v="0"/>
    <n v="1849"/>
    <x v="0"/>
  </r>
  <r>
    <n v="2"/>
    <s v="安徽"/>
    <x v="0"/>
    <n v="3293"/>
    <x v="0"/>
  </r>
  <r>
    <n v="2"/>
    <s v="安徽"/>
    <x v="0"/>
    <n v="105"/>
    <x v="0"/>
  </r>
  <r>
    <n v="2"/>
    <s v="安徽"/>
    <x v="0"/>
    <n v="135"/>
    <x v="0"/>
  </r>
  <r>
    <n v="2"/>
    <s v="安徽"/>
    <x v="0"/>
    <n v="140"/>
    <x v="0"/>
  </r>
  <r>
    <n v="2"/>
    <s v="安徽"/>
    <x v="0"/>
    <n v="179"/>
    <x v="0"/>
  </r>
  <r>
    <n v="2"/>
    <s v="安徽"/>
    <x v="0"/>
    <n v="146"/>
    <x v="0"/>
  </r>
  <r>
    <n v="2"/>
    <s v="安徽"/>
    <x v="0"/>
    <n v="175"/>
    <x v="0"/>
  </r>
  <r>
    <n v="2"/>
    <s v="安徽"/>
    <x v="0"/>
    <n v="404"/>
    <x v="0"/>
  </r>
  <r>
    <n v="2"/>
    <s v="安徽"/>
    <x v="0"/>
    <n v="1983"/>
    <x v="0"/>
  </r>
  <r>
    <n v="2"/>
    <s v="安徽"/>
    <x v="0"/>
    <n v="394"/>
    <x v="0"/>
  </r>
  <r>
    <n v="3"/>
    <s v="广西"/>
    <x v="1"/>
    <n v="1129"/>
    <x v="0"/>
  </r>
  <r>
    <n v="3"/>
    <s v="广西"/>
    <x v="1"/>
    <n v="886"/>
    <x v="0"/>
  </r>
  <r>
    <n v="3"/>
    <s v="广西"/>
    <x v="1"/>
    <n v="368"/>
    <x v="0"/>
  </r>
  <r>
    <n v="3"/>
    <s v="广西"/>
    <x v="1"/>
    <n v="473"/>
    <x v="0"/>
  </r>
  <r>
    <n v="3"/>
    <s v="广西"/>
    <x v="1"/>
    <n v="105"/>
    <x v="0"/>
  </r>
  <r>
    <n v="3"/>
    <s v="广西"/>
    <x v="1"/>
    <n v="270"/>
    <x v="0"/>
  </r>
  <r>
    <n v="3"/>
    <s v="广西"/>
    <x v="1"/>
    <n v="63"/>
    <x v="0"/>
  </r>
  <r>
    <n v="3"/>
    <s v="广西"/>
    <x v="1"/>
    <n v="171"/>
    <x v="0"/>
  </r>
  <r>
    <n v="3"/>
    <s v="广西"/>
    <x v="1"/>
    <n v="521"/>
    <x v="0"/>
  </r>
  <r>
    <n v="3"/>
    <s v="广西"/>
    <x v="1"/>
    <n v="1567"/>
    <x v="0"/>
  </r>
  <r>
    <n v="3"/>
    <s v="广西"/>
    <x v="1"/>
    <n v="368"/>
    <x v="0"/>
  </r>
  <r>
    <n v="3"/>
    <s v="广西"/>
    <x v="1"/>
    <n v="524"/>
    <x v="0"/>
  </r>
  <r>
    <n v="3"/>
    <s v="广西"/>
    <x v="1"/>
    <n v="341"/>
    <x v="0"/>
  </r>
  <r>
    <n v="3"/>
    <s v="广西"/>
    <x v="1"/>
    <n v="371"/>
    <x v="0"/>
  </r>
  <r>
    <n v="3"/>
    <s v="广西"/>
    <x v="1"/>
    <n v="1203"/>
    <x v="0"/>
  </r>
  <r>
    <n v="3"/>
    <s v="广西"/>
    <x v="1"/>
    <n v="1854"/>
    <x v="0"/>
  </r>
  <r>
    <n v="1"/>
    <s v="河北"/>
    <x v="0"/>
    <n v="358"/>
    <x v="0"/>
  </r>
  <r>
    <n v="1"/>
    <s v="河北"/>
    <x v="0"/>
    <n v="504"/>
    <x v="0"/>
  </r>
  <r>
    <n v="1"/>
    <s v="河北"/>
    <x v="0"/>
    <n v="655"/>
    <x v="0"/>
  </r>
  <r>
    <n v="1"/>
    <s v="河北"/>
    <x v="0"/>
    <n v="171"/>
    <x v="0"/>
  </r>
  <r>
    <n v="1"/>
    <s v="河北"/>
    <x v="0"/>
    <n v="53"/>
    <x v="0"/>
  </r>
  <r>
    <n v="1"/>
    <s v="河北"/>
    <x v="0"/>
    <n v="55"/>
    <x v="0"/>
  </r>
  <r>
    <n v="1"/>
    <s v="河北"/>
    <x v="0"/>
    <n v="113"/>
    <x v="0"/>
  </r>
  <r>
    <n v="1"/>
    <s v="河北"/>
    <x v="0"/>
    <n v="193"/>
    <x v="0"/>
  </r>
  <r>
    <n v="1"/>
    <s v="河北"/>
    <x v="0"/>
    <n v="90"/>
    <x v="0"/>
  </r>
  <r>
    <n v="1"/>
    <s v="河北"/>
    <x v="0"/>
    <n v="637"/>
    <x v="0"/>
  </r>
  <r>
    <n v="1"/>
    <s v="河北"/>
    <x v="0"/>
    <n v="911"/>
    <x v="0"/>
  </r>
  <r>
    <n v="1"/>
    <s v="河北"/>
    <x v="0"/>
    <n v="275"/>
    <x v="0"/>
  </r>
  <r>
    <n v="1"/>
    <s v="河北"/>
    <x v="0"/>
    <n v="415"/>
    <x v="0"/>
  </r>
  <r>
    <n v="1"/>
    <s v="河北"/>
    <x v="0"/>
    <n v="263"/>
    <x v="0"/>
  </r>
  <r>
    <n v="1"/>
    <s v="河北"/>
    <x v="0"/>
    <n v="458"/>
    <x v="0"/>
  </r>
  <r>
    <n v="1"/>
    <s v="河北"/>
    <x v="0"/>
    <n v="2066"/>
    <x v="0"/>
  </r>
  <r>
    <n v="1"/>
    <s v="河北"/>
    <x v="0"/>
    <n v="1400"/>
    <x v="0"/>
  </r>
  <r>
    <n v="1"/>
    <s v="河北"/>
    <x v="0"/>
    <n v="90"/>
    <x v="0"/>
  </r>
  <r>
    <n v="1"/>
    <s v="河北"/>
    <x v="0"/>
    <n v="823"/>
    <x v="0"/>
  </r>
  <r>
    <n v="1"/>
    <s v="河北"/>
    <x v="0"/>
    <n v="281"/>
    <x v="0"/>
  </r>
  <r>
    <n v="1"/>
    <s v="河北"/>
    <x v="0"/>
    <n v="26"/>
    <x v="0"/>
  </r>
  <r>
    <n v="1"/>
    <s v="河北"/>
    <x v="0"/>
    <n v="56"/>
    <x v="0"/>
  </r>
  <r>
    <n v="2"/>
    <s v="安徽"/>
    <x v="0"/>
    <n v="440"/>
    <x v="0"/>
  </r>
  <r>
    <n v="2"/>
    <s v="安徽"/>
    <x v="0"/>
    <n v="338"/>
    <x v="0"/>
  </r>
  <r>
    <n v="2"/>
    <s v="安徽"/>
    <x v="0"/>
    <n v="193"/>
    <x v="0"/>
  </r>
  <r>
    <n v="2"/>
    <s v="安徽"/>
    <x v="0"/>
    <n v="338"/>
    <x v="0"/>
  </r>
  <r>
    <n v="2"/>
    <s v="安徽"/>
    <x v="0"/>
    <n v="70"/>
    <x v="0"/>
  </r>
  <r>
    <n v="2"/>
    <s v="安徽"/>
    <x v="0"/>
    <n v="841"/>
    <x v="0"/>
  </r>
  <r>
    <n v="2"/>
    <s v="安徽"/>
    <x v="0"/>
    <n v="90"/>
    <x v="0"/>
  </r>
  <r>
    <n v="2"/>
    <s v="安徽"/>
    <x v="0"/>
    <n v="105"/>
    <x v="0"/>
  </r>
  <r>
    <n v="2"/>
    <s v="安徽"/>
    <x v="0"/>
    <n v="2302"/>
    <x v="0"/>
  </r>
  <r>
    <n v="2"/>
    <s v="安徽"/>
    <x v="0"/>
    <n v="249"/>
    <x v="0"/>
  </r>
  <r>
    <n v="2"/>
    <s v="安徽"/>
    <x v="0"/>
    <n v="586"/>
    <x v="0"/>
  </r>
  <r>
    <n v="2"/>
    <s v="安徽"/>
    <x v="0"/>
    <n v="1515"/>
    <x v="0"/>
  </r>
  <r>
    <n v="2"/>
    <s v="安徽"/>
    <x v="0"/>
    <n v="3986"/>
    <x v="0"/>
  </r>
  <r>
    <n v="2"/>
    <s v="安徽"/>
    <x v="0"/>
    <n v="88"/>
    <x v="0"/>
  </r>
  <r>
    <n v="2"/>
    <s v="安徽"/>
    <x v="0"/>
    <n v="146"/>
    <x v="0"/>
  </r>
  <r>
    <n v="2"/>
    <s v="安徽"/>
    <x v="0"/>
    <n v="131"/>
    <x v="0"/>
  </r>
  <r>
    <n v="2"/>
    <s v="安徽"/>
    <x v="0"/>
    <n v="151"/>
    <x v="0"/>
  </r>
  <r>
    <n v="2"/>
    <s v="安徽"/>
    <x v="0"/>
    <n v="124"/>
    <x v="0"/>
  </r>
  <r>
    <n v="2"/>
    <s v="安徽"/>
    <x v="0"/>
    <n v="149"/>
    <x v="0"/>
  </r>
  <r>
    <n v="2"/>
    <s v="安徽"/>
    <x v="0"/>
    <n v="360"/>
    <x v="0"/>
  </r>
  <r>
    <n v="2"/>
    <s v="安徽"/>
    <x v="0"/>
    <n v="1811"/>
    <x v="0"/>
  </r>
  <r>
    <n v="2"/>
    <s v="安徽"/>
    <x v="0"/>
    <n v="394"/>
    <x v="0"/>
  </r>
  <r>
    <n v="3"/>
    <s v="广西"/>
    <x v="1"/>
    <n v="1451"/>
    <x v="0"/>
  </r>
  <r>
    <n v="3"/>
    <s v="广西"/>
    <x v="1"/>
    <n v="1092"/>
    <x v="0"/>
  </r>
  <r>
    <n v="3"/>
    <s v="广西"/>
    <x v="1"/>
    <n v="368"/>
    <x v="0"/>
  </r>
  <r>
    <n v="3"/>
    <s v="广西"/>
    <x v="1"/>
    <n v="411"/>
    <x v="0"/>
  </r>
  <r>
    <n v="3"/>
    <s v="广西"/>
    <x v="1"/>
    <n v="105"/>
    <x v="0"/>
  </r>
  <r>
    <n v="3"/>
    <s v="广西"/>
    <x v="1"/>
    <n v="270"/>
    <x v="0"/>
  </r>
  <r>
    <n v="3"/>
    <s v="广西"/>
    <x v="1"/>
    <n v="56"/>
    <x v="0"/>
  </r>
  <r>
    <n v="3"/>
    <s v="广西"/>
    <x v="1"/>
    <n v="252"/>
    <x v="0"/>
  </r>
  <r>
    <n v="3"/>
    <s v="广西"/>
    <x v="1"/>
    <n v="601"/>
    <x v="0"/>
  </r>
  <r>
    <n v="3"/>
    <s v="广西"/>
    <x v="1"/>
    <n v="2180"/>
    <x v="0"/>
  </r>
  <r>
    <n v="3"/>
    <s v="广西"/>
    <x v="1"/>
    <n v="433"/>
    <x v="0"/>
  </r>
  <r>
    <n v="3"/>
    <s v="广西"/>
    <x v="1"/>
    <n v="524"/>
    <x v="0"/>
  </r>
  <r>
    <n v="3"/>
    <s v="广西"/>
    <x v="1"/>
    <n v="408"/>
    <x v="0"/>
  </r>
  <r>
    <n v="3"/>
    <s v="广西"/>
    <x v="1"/>
    <n v="371"/>
    <x v="0"/>
  </r>
  <r>
    <n v="3"/>
    <s v="广西"/>
    <x v="1"/>
    <n v="1130"/>
    <x v="0"/>
  </r>
  <r>
    <n v="3"/>
    <s v="广西"/>
    <x v="1"/>
    <n v="1621"/>
    <x v="0"/>
  </r>
  <r>
    <n v="1"/>
    <s v="河北"/>
    <x v="0"/>
    <n v="385"/>
    <x v="0"/>
  </r>
  <r>
    <n v="1"/>
    <s v="河北"/>
    <x v="0"/>
    <n v="516"/>
    <x v="0"/>
  </r>
  <r>
    <n v="1"/>
    <s v="河北"/>
    <x v="0"/>
    <n v="633"/>
    <x v="0"/>
  </r>
  <r>
    <n v="1"/>
    <s v="河北"/>
    <x v="0"/>
    <n v="194"/>
    <x v="0"/>
  </r>
  <r>
    <n v="1"/>
    <s v="河北"/>
    <x v="0"/>
    <n v="46"/>
    <x v="0"/>
  </r>
  <r>
    <n v="1"/>
    <s v="河北"/>
    <x v="0"/>
    <n v="66"/>
    <x v="0"/>
  </r>
  <r>
    <n v="1"/>
    <s v="河北"/>
    <x v="0"/>
    <n v="126"/>
    <x v="0"/>
  </r>
  <r>
    <n v="1"/>
    <s v="河北"/>
    <x v="0"/>
    <n v="210"/>
    <x v="0"/>
  </r>
  <r>
    <n v="1"/>
    <s v="河北"/>
    <x v="0"/>
    <n v="113"/>
    <x v="0"/>
  </r>
  <r>
    <n v="1"/>
    <s v="河北"/>
    <x v="0"/>
    <n v="569"/>
    <x v="0"/>
  </r>
  <r>
    <n v="1"/>
    <s v="河北"/>
    <x v="0"/>
    <n v="1204"/>
    <x v="0"/>
  </r>
  <r>
    <n v="1"/>
    <s v="河北"/>
    <x v="0"/>
    <n v="330"/>
    <x v="0"/>
  </r>
  <r>
    <n v="1"/>
    <s v="河北"/>
    <x v="0"/>
    <n v="525"/>
    <x v="0"/>
  </r>
  <r>
    <n v="1"/>
    <s v="河北"/>
    <x v="0"/>
    <n v="280"/>
    <x v="0"/>
  </r>
  <r>
    <n v="1"/>
    <s v="河北"/>
    <x v="0"/>
    <n v="546"/>
    <x v="0"/>
  </r>
  <r>
    <n v="1"/>
    <s v="河北"/>
    <x v="0"/>
    <n v="1916"/>
    <x v="0"/>
  </r>
  <r>
    <n v="1"/>
    <s v="河北"/>
    <x v="0"/>
    <n v="1519"/>
    <x v="0"/>
  </r>
  <r>
    <n v="1"/>
    <s v="河北"/>
    <x v="0"/>
    <n v="113"/>
    <x v="0"/>
  </r>
  <r>
    <n v="1"/>
    <s v="河北"/>
    <x v="0"/>
    <n v="956"/>
    <x v="0"/>
  </r>
  <r>
    <n v="1"/>
    <s v="河北"/>
    <x v="0"/>
    <n v="236"/>
    <x v="0"/>
  </r>
  <r>
    <n v="1"/>
    <s v="河北"/>
    <x v="0"/>
    <n v="35"/>
    <x v="0"/>
  </r>
  <r>
    <n v="1"/>
    <s v="河北"/>
    <x v="0"/>
    <n v="56"/>
    <x v="0"/>
  </r>
  <r>
    <n v="2"/>
    <s v="安徽"/>
    <x v="0"/>
    <n v="523"/>
    <x v="0"/>
  </r>
  <r>
    <n v="2"/>
    <s v="安徽"/>
    <x v="0"/>
    <n v="180"/>
    <x v="0"/>
  </r>
  <r>
    <n v="2"/>
    <s v="安徽"/>
    <x v="0"/>
    <n v="175"/>
    <x v="0"/>
  </r>
  <r>
    <n v="2"/>
    <s v="安徽"/>
    <x v="0"/>
    <n v="315"/>
    <x v="0"/>
  </r>
  <r>
    <n v="2"/>
    <s v="安徽"/>
    <x v="0"/>
    <n v="70"/>
    <x v="0"/>
  </r>
  <r>
    <n v="2"/>
    <s v="安徽"/>
    <x v="0"/>
    <n v="921"/>
    <x v="0"/>
  </r>
  <r>
    <n v="2"/>
    <s v="安徽"/>
    <x v="0"/>
    <n v="113"/>
    <x v="0"/>
  </r>
  <r>
    <n v="2"/>
    <s v="安徽"/>
    <x v="0"/>
    <n v="123"/>
    <x v="0"/>
  </r>
  <r>
    <n v="2"/>
    <s v="安徽"/>
    <x v="0"/>
    <n v="1553"/>
    <x v="0"/>
  </r>
  <r>
    <n v="2"/>
    <s v="安徽"/>
    <x v="0"/>
    <n v="315"/>
    <x v="0"/>
  </r>
  <r>
    <n v="2"/>
    <s v="安徽"/>
    <x v="0"/>
    <n v="117"/>
    <x v="0"/>
  </r>
  <r>
    <n v="2"/>
    <s v="安徽"/>
    <x v="0"/>
    <n v="1888"/>
    <x v="0"/>
  </r>
  <r>
    <n v="2"/>
    <s v="安徽"/>
    <x v="0"/>
    <n v="2227"/>
    <x v="0"/>
  </r>
  <r>
    <n v="2"/>
    <s v="安徽"/>
    <x v="0"/>
    <n v="88"/>
    <x v="0"/>
  </r>
  <r>
    <n v="2"/>
    <s v="安徽"/>
    <x v="0"/>
    <n v="146"/>
    <x v="0"/>
  </r>
  <r>
    <n v="2"/>
    <s v="安徽"/>
    <x v="0"/>
    <n v="140"/>
    <x v="0"/>
  </r>
  <r>
    <n v="2"/>
    <s v="安徽"/>
    <x v="0"/>
    <n v="165"/>
    <x v="0"/>
  </r>
  <r>
    <n v="2"/>
    <s v="安徽"/>
    <x v="0"/>
    <n v="146"/>
    <x v="0"/>
  </r>
  <r>
    <n v="2"/>
    <s v="安徽"/>
    <x v="0"/>
    <n v="1345"/>
    <x v="0"/>
  </r>
  <r>
    <n v="2"/>
    <s v="安徽"/>
    <x v="0"/>
    <n v="437"/>
    <x v="0"/>
  </r>
  <r>
    <n v="2"/>
    <s v="安徽"/>
    <x v="0"/>
    <n v="2061"/>
    <x v="0"/>
  </r>
  <r>
    <n v="2"/>
    <s v="安徽"/>
    <x v="0"/>
    <n v="437"/>
    <x v="0"/>
  </r>
  <r>
    <n v="3"/>
    <s v="广西"/>
    <x v="1"/>
    <n v="814"/>
    <x v="0"/>
  </r>
  <r>
    <n v="3"/>
    <s v="广西"/>
    <x v="1"/>
    <n v="270"/>
    <x v="0"/>
  </r>
  <r>
    <n v="3"/>
    <s v="广西"/>
    <x v="1"/>
    <n v="263"/>
    <x v="0"/>
  </r>
  <r>
    <n v="3"/>
    <s v="广西"/>
    <x v="1"/>
    <n v="405"/>
    <x v="0"/>
  </r>
  <r>
    <n v="3"/>
    <s v="广西"/>
    <x v="1"/>
    <n v="210"/>
    <x v="0"/>
  </r>
  <r>
    <n v="3"/>
    <s v="广西"/>
    <x v="1"/>
    <n v="270"/>
    <x v="0"/>
  </r>
  <r>
    <n v="3"/>
    <s v="广西"/>
    <x v="1"/>
    <n v="63"/>
    <x v="0"/>
  </r>
  <r>
    <n v="3"/>
    <s v="广西"/>
    <x v="1"/>
    <n v="72"/>
    <x v="0"/>
  </r>
  <r>
    <n v="3"/>
    <s v="广西"/>
    <x v="1"/>
    <n v="521"/>
    <x v="0"/>
  </r>
  <r>
    <n v="3"/>
    <s v="广西"/>
    <x v="1"/>
    <n v="1782"/>
    <x v="0"/>
  </r>
  <r>
    <n v="3"/>
    <s v="广西"/>
    <x v="1"/>
    <n v="408"/>
    <x v="0"/>
  </r>
  <r>
    <n v="3"/>
    <s v="广西"/>
    <x v="1"/>
    <n v="492"/>
    <x v="0"/>
  </r>
  <r>
    <n v="3"/>
    <s v="广西"/>
    <x v="1"/>
    <n v="341"/>
    <x v="0"/>
  </r>
  <r>
    <n v="3"/>
    <s v="广西"/>
    <x v="1"/>
    <n v="459"/>
    <x v="0"/>
  </r>
  <r>
    <n v="3"/>
    <s v="广西"/>
    <x v="1"/>
    <n v="1006"/>
    <x v="0"/>
  </r>
  <r>
    <n v="3"/>
    <s v="广西"/>
    <x v="1"/>
    <n v="2370"/>
    <x v="0"/>
  </r>
  <r>
    <n v="4"/>
    <s v="江苏"/>
    <x v="1"/>
    <n v="151"/>
    <x v="0"/>
  </r>
  <r>
    <n v="4"/>
    <s v="江苏"/>
    <x v="1"/>
    <n v="135"/>
    <x v="0"/>
  </r>
  <r>
    <n v="4"/>
    <s v="江苏"/>
    <x v="1"/>
    <n v="96"/>
    <x v="0"/>
  </r>
  <r>
    <n v="4"/>
    <s v="江苏"/>
    <x v="1"/>
    <n v="135"/>
    <x v="0"/>
  </r>
  <r>
    <n v="4"/>
    <s v="江苏"/>
    <x v="1"/>
    <n v="88"/>
    <x v="0"/>
  </r>
  <r>
    <n v="4"/>
    <s v="江苏"/>
    <x v="1"/>
    <n v="124"/>
    <x v="0"/>
  </r>
  <r>
    <n v="4"/>
    <s v="江苏"/>
    <x v="1"/>
    <n v="61"/>
    <x v="0"/>
  </r>
  <r>
    <n v="4"/>
    <s v="江苏"/>
    <x v="1"/>
    <n v="90"/>
    <x v="0"/>
  </r>
  <r>
    <n v="1"/>
    <s v="河北"/>
    <x v="0"/>
    <n v="429"/>
    <x v="0"/>
  </r>
  <r>
    <n v="1"/>
    <s v="河北"/>
    <x v="0"/>
    <n v="608"/>
    <x v="0"/>
  </r>
  <r>
    <n v="1"/>
    <s v="河北"/>
    <x v="0"/>
    <n v="686"/>
    <x v="0"/>
  </r>
  <r>
    <n v="1"/>
    <s v="河北"/>
    <x v="0"/>
    <n v="203"/>
    <x v="0"/>
  </r>
  <r>
    <n v="1"/>
    <s v="河北"/>
    <x v="0"/>
    <n v="46"/>
    <x v="0"/>
  </r>
  <r>
    <n v="1"/>
    <s v="河北"/>
    <x v="0"/>
    <n v="72"/>
    <x v="0"/>
  </r>
  <r>
    <n v="1"/>
    <s v="河北"/>
    <x v="0"/>
    <n v="113"/>
    <x v="0"/>
  </r>
  <r>
    <n v="1"/>
    <s v="河北"/>
    <x v="0"/>
    <n v="175"/>
    <x v="0"/>
  </r>
  <r>
    <n v="1"/>
    <s v="河北"/>
    <x v="0"/>
    <n v="90"/>
    <x v="0"/>
  </r>
  <r>
    <n v="1"/>
    <s v="河北"/>
    <x v="0"/>
    <n v="778"/>
    <x v="0"/>
  </r>
  <r>
    <n v="1"/>
    <s v="河北"/>
    <x v="0"/>
    <n v="1785"/>
    <x v="0"/>
  </r>
  <r>
    <n v="1"/>
    <s v="河北"/>
    <x v="0"/>
    <n v="28"/>
    <x v="0"/>
  </r>
  <r>
    <n v="1"/>
    <s v="河北"/>
    <x v="0"/>
    <n v="44"/>
    <x v="0"/>
  </r>
  <r>
    <n v="1"/>
    <s v="河北"/>
    <x v="0"/>
    <n v="36"/>
    <x v="0"/>
  </r>
  <r>
    <n v="1"/>
    <s v="河北"/>
    <x v="0"/>
    <n v="385"/>
    <x v="0"/>
  </r>
  <r>
    <n v="1"/>
    <s v="河北"/>
    <x v="0"/>
    <n v="415"/>
    <x v="0"/>
  </r>
  <r>
    <n v="1"/>
    <s v="河北"/>
    <x v="0"/>
    <n v="289"/>
    <x v="0"/>
  </r>
  <r>
    <n v="1"/>
    <s v="河北"/>
    <x v="0"/>
    <n v="535"/>
    <x v="0"/>
  </r>
  <r>
    <n v="1"/>
    <s v="河北"/>
    <x v="0"/>
    <n v="1672"/>
    <x v="0"/>
  </r>
  <r>
    <n v="1"/>
    <s v="河北"/>
    <x v="0"/>
    <n v="1424"/>
    <x v="0"/>
  </r>
  <r>
    <n v="1"/>
    <s v="河北"/>
    <x v="0"/>
    <n v="90"/>
    <x v="0"/>
  </r>
  <r>
    <n v="1"/>
    <s v="河北"/>
    <x v="0"/>
    <n v="899"/>
    <x v="0"/>
  </r>
  <r>
    <n v="1"/>
    <s v="河北"/>
    <x v="0"/>
    <n v="259"/>
    <x v="0"/>
  </r>
  <r>
    <n v="1"/>
    <s v="河北"/>
    <x v="0"/>
    <n v="35"/>
    <x v="0"/>
  </r>
  <r>
    <n v="1"/>
    <s v="河北"/>
    <x v="0"/>
    <n v="68"/>
    <x v="0"/>
  </r>
  <r>
    <n v="1"/>
    <s v="河北"/>
    <x v="0"/>
    <n v="105"/>
    <x v="0"/>
  </r>
  <r>
    <n v="1"/>
    <s v="河北"/>
    <x v="0"/>
    <n v="179"/>
    <x v="0"/>
  </r>
  <r>
    <n v="1"/>
    <s v="河北"/>
    <x v="0"/>
    <n v="124"/>
    <x v="0"/>
  </r>
  <r>
    <n v="2"/>
    <s v="安徽"/>
    <x v="0"/>
    <n v="500"/>
    <x v="0"/>
  </r>
  <r>
    <n v="2"/>
    <s v="安徽"/>
    <x v="0"/>
    <n v="248"/>
    <x v="0"/>
  </r>
  <r>
    <n v="2"/>
    <s v="安徽"/>
    <x v="0"/>
    <n v="333"/>
    <x v="0"/>
  </r>
  <r>
    <n v="2"/>
    <s v="安徽"/>
    <x v="0"/>
    <n v="248"/>
    <x v="0"/>
  </r>
  <r>
    <n v="2"/>
    <s v="安徽"/>
    <x v="0"/>
    <n v="88"/>
    <x v="0"/>
  </r>
  <r>
    <n v="2"/>
    <s v="安徽"/>
    <x v="0"/>
    <n v="950"/>
    <x v="0"/>
  </r>
  <r>
    <n v="2"/>
    <s v="安徽"/>
    <x v="0"/>
    <n v="90"/>
    <x v="0"/>
  </r>
  <r>
    <n v="2"/>
    <s v="安徽"/>
    <x v="0"/>
    <n v="263"/>
    <x v="0"/>
  </r>
  <r>
    <n v="2"/>
    <s v="安徽"/>
    <x v="0"/>
    <n v="1132"/>
    <x v="0"/>
  </r>
  <r>
    <n v="2"/>
    <s v="安徽"/>
    <x v="0"/>
    <n v="501"/>
    <x v="0"/>
  </r>
  <r>
    <n v="2"/>
    <s v="安徽"/>
    <x v="0"/>
    <n v="153"/>
    <x v="0"/>
  </r>
  <r>
    <n v="2"/>
    <s v="安徽"/>
    <x v="0"/>
    <n v="140"/>
    <x v="0"/>
  </r>
  <r>
    <n v="2"/>
    <s v="安徽"/>
    <x v="0"/>
    <n v="220"/>
    <x v="0"/>
  </r>
  <r>
    <n v="2"/>
    <s v="安徽"/>
    <x v="0"/>
    <n v="180"/>
    <x v="0"/>
  </r>
  <r>
    <n v="2"/>
    <s v="安徽"/>
    <x v="0"/>
    <n v="2159"/>
    <x v="0"/>
  </r>
  <r>
    <n v="2"/>
    <s v="安徽"/>
    <x v="0"/>
    <n v="1667"/>
    <x v="0"/>
  </r>
  <r>
    <n v="2"/>
    <s v="安徽"/>
    <x v="0"/>
    <n v="96"/>
    <x v="0"/>
  </r>
  <r>
    <n v="2"/>
    <s v="安徽"/>
    <x v="0"/>
    <n v="169"/>
    <x v="0"/>
  </r>
  <r>
    <n v="2"/>
    <s v="安徽"/>
    <x v="0"/>
    <n v="140"/>
    <x v="0"/>
  </r>
  <r>
    <n v="2"/>
    <s v="安徽"/>
    <x v="0"/>
    <n v="193"/>
    <x v="0"/>
  </r>
  <r>
    <n v="2"/>
    <s v="安徽"/>
    <x v="0"/>
    <n v="180"/>
    <x v="0"/>
  </r>
  <r>
    <n v="2"/>
    <s v="安徽"/>
    <x v="0"/>
    <n v="1260"/>
    <x v="0"/>
  </r>
  <r>
    <n v="2"/>
    <s v="安徽"/>
    <x v="0"/>
    <n v="437"/>
    <x v="0"/>
  </r>
  <r>
    <n v="2"/>
    <s v="安徽"/>
    <x v="0"/>
    <n v="2104"/>
    <x v="0"/>
  </r>
  <r>
    <n v="2"/>
    <s v="安徽"/>
    <x v="0"/>
    <n v="405"/>
    <x v="0"/>
  </r>
  <r>
    <n v="2"/>
    <s v="安徽"/>
    <x v="0"/>
    <n v="158"/>
    <x v="0"/>
  </r>
  <r>
    <n v="2"/>
    <s v="安徽"/>
    <x v="0"/>
    <n v="193"/>
    <x v="0"/>
  </r>
  <r>
    <n v="2"/>
    <s v="安徽"/>
    <x v="0"/>
    <n v="180"/>
    <x v="0"/>
  </r>
  <r>
    <n v="3"/>
    <s v="广西"/>
    <x v="1"/>
    <n v="716"/>
    <x v="0"/>
  </r>
  <r>
    <n v="3"/>
    <s v="广西"/>
    <x v="1"/>
    <n v="270"/>
    <x v="0"/>
  </r>
  <r>
    <n v="3"/>
    <s v="广西"/>
    <x v="1"/>
    <n v="158"/>
    <x v="0"/>
  </r>
  <r>
    <n v="3"/>
    <s v="广西"/>
    <x v="1"/>
    <n v="270"/>
    <x v="0"/>
  </r>
  <r>
    <n v="3"/>
    <s v="广西"/>
    <x v="1"/>
    <n v="210"/>
    <x v="0"/>
  </r>
  <r>
    <n v="3"/>
    <s v="广西"/>
    <x v="1"/>
    <n v="203"/>
    <x v="0"/>
  </r>
  <r>
    <n v="3"/>
    <s v="广西"/>
    <x v="1"/>
    <n v="39"/>
    <x v="0"/>
  </r>
  <r>
    <n v="3"/>
    <s v="广西"/>
    <x v="1"/>
    <n v="50"/>
    <x v="0"/>
  </r>
  <r>
    <n v="3"/>
    <s v="广西"/>
    <x v="1"/>
    <n v="413"/>
    <x v="0"/>
  </r>
  <r>
    <n v="3"/>
    <s v="广西"/>
    <x v="1"/>
    <n v="68"/>
    <x v="0"/>
  </r>
  <r>
    <n v="3"/>
    <s v="广西"/>
    <x v="1"/>
    <n v="440"/>
    <x v="0"/>
  </r>
  <r>
    <n v="3"/>
    <s v="广西"/>
    <x v="1"/>
    <n v="1817"/>
    <x v="0"/>
  </r>
  <r>
    <n v="3"/>
    <s v="广西"/>
    <x v="1"/>
    <n v="433"/>
    <x v="0"/>
  </r>
  <r>
    <n v="3"/>
    <s v="广西"/>
    <x v="1"/>
    <n v="492"/>
    <x v="0"/>
  </r>
  <r>
    <n v="3"/>
    <s v="广西"/>
    <x v="1"/>
    <n v="210"/>
    <x v="0"/>
  </r>
  <r>
    <n v="3"/>
    <s v="广西"/>
    <x v="1"/>
    <n v="525"/>
    <x v="0"/>
  </r>
  <r>
    <n v="3"/>
    <s v="广西"/>
    <x v="1"/>
    <n v="1470"/>
    <x v="0"/>
  </r>
  <r>
    <n v="3"/>
    <s v="广西"/>
    <x v="1"/>
    <n v="1431"/>
    <x v="0"/>
  </r>
  <r>
    <n v="3"/>
    <s v="广西"/>
    <x v="1"/>
    <n v="210"/>
    <x v="0"/>
  </r>
  <r>
    <n v="3"/>
    <s v="广西"/>
    <x v="1"/>
    <n v="400"/>
    <x v="0"/>
  </r>
  <r>
    <n v="3"/>
    <s v="广西"/>
    <x v="1"/>
    <n v="304"/>
    <x v="0"/>
  </r>
  <r>
    <n v="4"/>
    <s v="江苏"/>
    <x v="1"/>
    <n v="151"/>
    <x v="0"/>
  </r>
  <r>
    <n v="4"/>
    <s v="江苏"/>
    <x v="1"/>
    <n v="113"/>
    <x v="0"/>
  </r>
  <r>
    <n v="4"/>
    <s v="江苏"/>
    <x v="1"/>
    <n v="96"/>
    <x v="0"/>
  </r>
  <r>
    <n v="4"/>
    <s v="江苏"/>
    <x v="1"/>
    <n v="146"/>
    <x v="0"/>
  </r>
  <r>
    <n v="4"/>
    <s v="江苏"/>
    <x v="1"/>
    <n v="88"/>
    <x v="0"/>
  </r>
  <r>
    <n v="4"/>
    <s v="江苏"/>
    <x v="1"/>
    <n v="124"/>
    <x v="0"/>
  </r>
  <r>
    <n v="4"/>
    <s v="江苏"/>
    <x v="1"/>
    <n v="61"/>
    <x v="0"/>
  </r>
  <r>
    <n v="4"/>
    <s v="江苏"/>
    <x v="1"/>
    <n v="90"/>
    <x v="0"/>
  </r>
  <r>
    <n v="4"/>
    <s v="江苏"/>
    <x v="1"/>
    <n v="79"/>
    <x v="0"/>
  </r>
  <r>
    <n v="4"/>
    <s v="江苏"/>
    <x v="1"/>
    <n v="138"/>
    <x v="0"/>
  </r>
  <r>
    <n v="4"/>
    <s v="江苏"/>
    <x v="1"/>
    <n v="124"/>
    <x v="0"/>
  </r>
  <r>
    <n v="1"/>
    <s v="河北"/>
    <x v="0"/>
    <n v="495"/>
    <x v="0"/>
  </r>
  <r>
    <n v="1"/>
    <s v="河北"/>
    <x v="0"/>
    <n v="525"/>
    <x v="0"/>
  </r>
  <r>
    <n v="1"/>
    <s v="河北"/>
    <x v="0"/>
    <n v="736"/>
    <x v="0"/>
  </r>
  <r>
    <n v="1"/>
    <s v="河北"/>
    <x v="0"/>
    <n v="216"/>
    <x v="0"/>
  </r>
  <r>
    <n v="1"/>
    <s v="河北"/>
    <x v="0"/>
    <n v="53"/>
    <x v="0"/>
  </r>
  <r>
    <n v="1"/>
    <s v="河北"/>
    <x v="0"/>
    <n v="94"/>
    <x v="0"/>
  </r>
  <r>
    <n v="1"/>
    <s v="河北"/>
    <x v="0"/>
    <n v="104"/>
    <x v="0"/>
  </r>
  <r>
    <n v="1"/>
    <s v="河北"/>
    <x v="0"/>
    <n v="140"/>
    <x v="0"/>
  </r>
  <r>
    <n v="1"/>
    <s v="河北"/>
    <x v="0"/>
    <n v="45"/>
    <x v="0"/>
  </r>
  <r>
    <n v="1"/>
    <s v="河北"/>
    <x v="0"/>
    <n v="737"/>
    <x v="0"/>
  </r>
  <r>
    <n v="1"/>
    <s v="河北"/>
    <x v="0"/>
    <n v="947"/>
    <x v="0"/>
  </r>
  <r>
    <n v="1"/>
    <s v="河北"/>
    <x v="0"/>
    <n v="28"/>
    <x v="0"/>
  </r>
  <r>
    <n v="1"/>
    <s v="河北"/>
    <x v="0"/>
    <n v="39"/>
    <x v="0"/>
  </r>
  <r>
    <n v="1"/>
    <s v="河北"/>
    <x v="0"/>
    <n v="41"/>
    <x v="0"/>
  </r>
  <r>
    <n v="1"/>
    <s v="河北"/>
    <x v="0"/>
    <n v="427"/>
    <x v="0"/>
  </r>
  <r>
    <n v="1"/>
    <s v="河北"/>
    <x v="0"/>
    <n v="513"/>
    <x v="0"/>
  </r>
  <r>
    <n v="1"/>
    <s v="河北"/>
    <x v="0"/>
    <n v="359"/>
    <x v="0"/>
  </r>
  <r>
    <n v="1"/>
    <s v="河北"/>
    <x v="0"/>
    <n v="721"/>
    <x v="0"/>
  </r>
  <r>
    <n v="1"/>
    <s v="河北"/>
    <x v="0"/>
    <n v="2443"/>
    <x v="0"/>
  </r>
  <r>
    <n v="1"/>
    <s v="河北"/>
    <x v="0"/>
    <n v="1554"/>
    <x v="0"/>
  </r>
  <r>
    <n v="1"/>
    <s v="河北"/>
    <x v="0"/>
    <n v="79"/>
    <x v="0"/>
  </r>
  <r>
    <n v="1"/>
    <s v="河北"/>
    <x v="0"/>
    <n v="980"/>
    <x v="0"/>
  </r>
  <r>
    <n v="1"/>
    <s v="河北"/>
    <x v="0"/>
    <n v="270"/>
    <x v="0"/>
  </r>
  <r>
    <n v="1"/>
    <s v="河北"/>
    <x v="0"/>
    <n v="44"/>
    <x v="0"/>
  </r>
  <r>
    <n v="1"/>
    <s v="河北"/>
    <x v="0"/>
    <n v="68"/>
    <x v="0"/>
  </r>
  <r>
    <n v="1"/>
    <s v="河北"/>
    <x v="0"/>
    <n v="96"/>
    <x v="0"/>
  </r>
  <r>
    <n v="1"/>
    <s v="河北"/>
    <x v="0"/>
    <n v="165"/>
    <x v="0"/>
  </r>
  <r>
    <n v="1"/>
    <s v="河北"/>
    <x v="0"/>
    <n v="146"/>
    <x v="0"/>
  </r>
  <r>
    <n v="2"/>
    <s v="安徽"/>
    <x v="0"/>
    <n v="896"/>
    <x v="0"/>
  </r>
  <r>
    <n v="2"/>
    <s v="安徽"/>
    <x v="0"/>
    <n v="225"/>
    <x v="0"/>
  </r>
  <r>
    <n v="2"/>
    <s v="安徽"/>
    <x v="0"/>
    <n v="315"/>
    <x v="0"/>
  </r>
  <r>
    <n v="2"/>
    <s v="安徽"/>
    <x v="0"/>
    <n v="293"/>
    <x v="0"/>
  </r>
  <r>
    <n v="2"/>
    <s v="安徽"/>
    <x v="0"/>
    <n v="123"/>
    <x v="0"/>
  </r>
  <r>
    <n v="2"/>
    <s v="安徽"/>
    <x v="0"/>
    <n v="549"/>
    <x v="0"/>
  </r>
  <r>
    <n v="2"/>
    <s v="安徽"/>
    <x v="0"/>
    <n v="45"/>
    <x v="0"/>
  </r>
  <r>
    <n v="2"/>
    <s v="安徽"/>
    <x v="0"/>
    <n v="245"/>
    <x v="0"/>
  </r>
  <r>
    <n v="2"/>
    <s v="安徽"/>
    <x v="0"/>
    <n v="1318"/>
    <x v="0"/>
  </r>
  <r>
    <n v="2"/>
    <s v="安徽"/>
    <x v="0"/>
    <n v="697"/>
    <x v="0"/>
  </r>
  <r>
    <n v="2"/>
    <s v="安徽"/>
    <x v="0"/>
    <n v="171"/>
    <x v="0"/>
  </r>
  <r>
    <n v="2"/>
    <s v="安徽"/>
    <x v="0"/>
    <n v="140"/>
    <x v="0"/>
  </r>
  <r>
    <n v="2"/>
    <s v="安徽"/>
    <x v="0"/>
    <n v="193"/>
    <x v="0"/>
  </r>
  <r>
    <n v="2"/>
    <s v="安徽"/>
    <x v="0"/>
    <n v="293"/>
    <x v="0"/>
  </r>
  <r>
    <n v="2"/>
    <s v="安徽"/>
    <x v="0"/>
    <n v="2131"/>
    <x v="0"/>
  </r>
  <r>
    <n v="2"/>
    <s v="安徽"/>
    <x v="0"/>
    <n v="1280"/>
    <x v="0"/>
  </r>
  <r>
    <n v="2"/>
    <s v="安徽"/>
    <x v="0"/>
    <n v="96"/>
    <x v="0"/>
  </r>
  <r>
    <n v="2"/>
    <s v="安徽"/>
    <x v="0"/>
    <n v="169"/>
    <x v="0"/>
  </r>
  <r>
    <n v="2"/>
    <s v="安徽"/>
    <x v="0"/>
    <n v="149"/>
    <x v="0"/>
  </r>
  <r>
    <n v="2"/>
    <s v="安徽"/>
    <x v="0"/>
    <n v="220"/>
    <x v="0"/>
  </r>
  <r>
    <n v="2"/>
    <s v="安徽"/>
    <x v="0"/>
    <n v="146"/>
    <x v="0"/>
  </r>
  <r>
    <n v="2"/>
    <s v="安徽"/>
    <x v="0"/>
    <n v="1286"/>
    <x v="0"/>
  </r>
  <r>
    <n v="2"/>
    <s v="安徽"/>
    <x v="0"/>
    <n v="416"/>
    <x v="0"/>
  </r>
  <r>
    <n v="2"/>
    <s v="安徽"/>
    <x v="0"/>
    <n v="2279"/>
    <x v="0"/>
  </r>
  <r>
    <n v="2"/>
    <s v="安徽"/>
    <x v="0"/>
    <n v="394"/>
    <x v="0"/>
  </r>
  <r>
    <n v="2"/>
    <s v="安徽"/>
    <x v="0"/>
    <n v="149"/>
    <x v="0"/>
  </r>
  <r>
    <n v="2"/>
    <s v="安徽"/>
    <x v="0"/>
    <n v="206"/>
    <x v="0"/>
  </r>
  <r>
    <n v="2"/>
    <s v="安徽"/>
    <x v="0"/>
    <n v="225"/>
    <x v="0"/>
  </r>
  <r>
    <n v="3"/>
    <s v="广西"/>
    <x v="1"/>
    <n v="717"/>
    <x v="0"/>
  </r>
  <r>
    <n v="3"/>
    <s v="广西"/>
    <x v="1"/>
    <n v="338"/>
    <x v="0"/>
  </r>
  <r>
    <n v="3"/>
    <s v="广西"/>
    <x v="1"/>
    <n v="315"/>
    <x v="0"/>
  </r>
  <r>
    <n v="3"/>
    <s v="广西"/>
    <x v="1"/>
    <n v="270"/>
    <x v="0"/>
  </r>
  <r>
    <n v="3"/>
    <s v="广西"/>
    <x v="1"/>
    <n v="263"/>
    <x v="0"/>
  </r>
  <r>
    <n v="3"/>
    <s v="广西"/>
    <x v="1"/>
    <n v="203"/>
    <x v="0"/>
  </r>
  <r>
    <n v="3"/>
    <s v="广西"/>
    <x v="1"/>
    <n v="56"/>
    <x v="0"/>
  </r>
  <r>
    <n v="3"/>
    <s v="广西"/>
    <x v="1"/>
    <n v="32"/>
    <x v="0"/>
  </r>
  <r>
    <n v="3"/>
    <s v="广西"/>
    <x v="1"/>
    <n v="53"/>
    <x v="0"/>
  </r>
  <r>
    <n v="3"/>
    <s v="广西"/>
    <x v="1"/>
    <n v="413"/>
    <x v="0"/>
  </r>
  <r>
    <n v="3"/>
    <s v="广西"/>
    <x v="1"/>
    <n v="540"/>
    <x v="0"/>
  </r>
  <r>
    <n v="3"/>
    <s v="广西"/>
    <x v="1"/>
    <n v="441"/>
    <x v="0"/>
  </r>
  <r>
    <n v="3"/>
    <s v="广西"/>
    <x v="1"/>
    <n v="1916"/>
    <x v="0"/>
  </r>
  <r>
    <n v="3"/>
    <s v="广西"/>
    <x v="1"/>
    <n v="459"/>
    <x v="0"/>
  </r>
  <r>
    <n v="3"/>
    <s v="广西"/>
    <x v="1"/>
    <n v="524"/>
    <x v="0"/>
  </r>
  <r>
    <n v="3"/>
    <s v="广西"/>
    <x v="1"/>
    <n v="210"/>
    <x v="0"/>
  </r>
  <r>
    <n v="3"/>
    <s v="广西"/>
    <x v="1"/>
    <n v="622"/>
    <x v="0"/>
  </r>
  <r>
    <n v="3"/>
    <s v="广西"/>
    <x v="1"/>
    <n v="1188"/>
    <x v="0"/>
  </r>
  <r>
    <n v="3"/>
    <s v="广西"/>
    <x v="1"/>
    <n v="2134"/>
    <x v="0"/>
  </r>
  <r>
    <n v="3"/>
    <s v="广西"/>
    <x v="1"/>
    <n v="210"/>
    <x v="0"/>
  </r>
  <r>
    <n v="3"/>
    <s v="广西"/>
    <x v="1"/>
    <n v="289"/>
    <x v="0"/>
  </r>
  <r>
    <n v="3"/>
    <s v="广西"/>
    <x v="1"/>
    <n v="338"/>
    <x v="0"/>
  </r>
  <r>
    <n v="4"/>
    <s v="江苏"/>
    <x v="1"/>
    <n v="151"/>
    <x v="0"/>
  </r>
  <r>
    <n v="4"/>
    <s v="江苏"/>
    <x v="1"/>
    <n v="113"/>
    <x v="0"/>
  </r>
  <r>
    <n v="4"/>
    <s v="江苏"/>
    <x v="1"/>
    <n v="105"/>
    <x v="0"/>
  </r>
  <r>
    <n v="4"/>
    <s v="江苏"/>
    <x v="1"/>
    <n v="169"/>
    <x v="0"/>
  </r>
  <r>
    <n v="4"/>
    <s v="江苏"/>
    <x v="1"/>
    <n v="96"/>
    <x v="0"/>
  </r>
  <r>
    <n v="4"/>
    <s v="江苏"/>
    <x v="1"/>
    <n v="135"/>
    <x v="0"/>
  </r>
  <r>
    <n v="4"/>
    <s v="江苏"/>
    <x v="1"/>
    <n v="70"/>
    <x v="0"/>
  </r>
  <r>
    <n v="4"/>
    <s v="江苏"/>
    <x v="1"/>
    <n v="90"/>
    <x v="0"/>
  </r>
  <r>
    <n v="4"/>
    <s v="江苏"/>
    <x v="1"/>
    <n v="88"/>
    <x v="0"/>
  </r>
  <r>
    <n v="4"/>
    <s v="江苏"/>
    <x v="1"/>
    <n v="151"/>
    <x v="0"/>
  </r>
  <r>
    <n v="4"/>
    <s v="江苏"/>
    <x v="1"/>
    <n v="135"/>
    <x v="0"/>
  </r>
  <r>
    <n v="1"/>
    <s v="河北"/>
    <x v="0"/>
    <n v="581"/>
    <x v="0"/>
  </r>
  <r>
    <n v="1"/>
    <s v="河北"/>
    <x v="0"/>
    <n v="730"/>
    <x v="0"/>
  </r>
  <r>
    <n v="1"/>
    <s v="河北"/>
    <x v="0"/>
    <n v="945"/>
    <x v="0"/>
  </r>
  <r>
    <n v="1"/>
    <s v="河北"/>
    <x v="0"/>
    <n v="261"/>
    <x v="0"/>
  </r>
  <r>
    <n v="1"/>
    <s v="河北"/>
    <x v="0"/>
    <n v="60"/>
    <x v="0"/>
  </r>
  <r>
    <n v="1"/>
    <s v="河北"/>
    <x v="0"/>
    <n v="72"/>
    <x v="0"/>
  </r>
  <r>
    <n v="1"/>
    <s v="河北"/>
    <x v="0"/>
    <n v="99"/>
    <x v="0"/>
  </r>
  <r>
    <n v="1"/>
    <s v="河北"/>
    <x v="0"/>
    <n v="140"/>
    <x v="0"/>
  </r>
  <r>
    <n v="1"/>
    <s v="河北"/>
    <x v="0"/>
    <n v="113"/>
    <x v="0"/>
  </r>
  <r>
    <n v="1"/>
    <s v="河北"/>
    <x v="0"/>
    <n v="650"/>
    <x v="0"/>
  </r>
  <r>
    <n v="1"/>
    <s v="河北"/>
    <x v="0"/>
    <n v="1220"/>
    <x v="0"/>
  </r>
  <r>
    <n v="1"/>
    <s v="河北"/>
    <x v="0"/>
    <n v="28"/>
    <x v="0"/>
  </r>
  <r>
    <n v="1"/>
    <s v="河北"/>
    <x v="0"/>
    <n v="39"/>
    <x v="0"/>
  </r>
  <r>
    <n v="1"/>
    <s v="河北"/>
    <x v="0"/>
    <n v="32"/>
    <x v="0"/>
  </r>
  <r>
    <n v="1"/>
    <s v="河北"/>
    <x v="0"/>
    <n v="303"/>
    <x v="0"/>
  </r>
  <r>
    <n v="1"/>
    <s v="河北"/>
    <x v="0"/>
    <n v="546"/>
    <x v="0"/>
  </r>
  <r>
    <n v="1"/>
    <s v="河北"/>
    <x v="0"/>
    <n v="341"/>
    <x v="0"/>
  </r>
  <r>
    <n v="1"/>
    <s v="河北"/>
    <x v="0"/>
    <n v="732"/>
    <x v="0"/>
  </r>
  <r>
    <n v="1"/>
    <s v="河北"/>
    <x v="0"/>
    <n v="1483"/>
    <x v="0"/>
  </r>
  <r>
    <n v="1"/>
    <s v="河北"/>
    <x v="0"/>
    <n v="1567"/>
    <x v="0"/>
  </r>
  <r>
    <n v="1"/>
    <s v="河北"/>
    <x v="0"/>
    <n v="56"/>
    <x v="0"/>
  </r>
  <r>
    <n v="1"/>
    <s v="河北"/>
    <x v="0"/>
    <n v="922"/>
    <x v="0"/>
  </r>
  <r>
    <n v="1"/>
    <s v="河北"/>
    <x v="0"/>
    <n v="259"/>
    <x v="0"/>
  </r>
  <r>
    <n v="1"/>
    <s v="河北"/>
    <x v="0"/>
    <n v="44"/>
    <x v="0"/>
  </r>
  <r>
    <n v="1"/>
    <s v="河北"/>
    <x v="0"/>
    <n v="68"/>
    <x v="0"/>
  </r>
  <r>
    <n v="1"/>
    <s v="河北"/>
    <x v="0"/>
    <n v="88"/>
    <x v="0"/>
  </r>
  <r>
    <n v="1"/>
    <s v="河北"/>
    <x v="0"/>
    <n v="124"/>
    <x v="0"/>
  </r>
  <r>
    <n v="1"/>
    <s v="河北"/>
    <x v="0"/>
    <n v="124"/>
    <x v="0"/>
  </r>
  <r>
    <n v="2"/>
    <s v="安徽"/>
    <x v="0"/>
    <n v="1040"/>
    <x v="0"/>
  </r>
  <r>
    <n v="2"/>
    <s v="安徽"/>
    <x v="0"/>
    <n v="338"/>
    <x v="0"/>
  </r>
  <r>
    <n v="2"/>
    <s v="安徽"/>
    <x v="0"/>
    <n v="640"/>
    <x v="0"/>
  </r>
  <r>
    <n v="2"/>
    <s v="安徽"/>
    <x v="0"/>
    <n v="477"/>
    <x v="0"/>
  </r>
  <r>
    <n v="2"/>
    <s v="安徽"/>
    <x v="0"/>
    <n v="175"/>
    <x v="0"/>
  </r>
  <r>
    <n v="2"/>
    <s v="安徽"/>
    <x v="0"/>
    <n v="766"/>
    <x v="0"/>
  </r>
  <r>
    <n v="2"/>
    <s v="安徽"/>
    <x v="0"/>
    <n v="113"/>
    <x v="0"/>
  </r>
  <r>
    <n v="2"/>
    <s v="安徽"/>
    <x v="0"/>
    <n v="403"/>
    <x v="0"/>
  </r>
  <r>
    <n v="2"/>
    <s v="安徽"/>
    <x v="0"/>
    <n v="1740"/>
    <x v="0"/>
  </r>
  <r>
    <n v="2"/>
    <s v="安徽"/>
    <x v="0"/>
    <n v="793"/>
    <x v="0"/>
  </r>
  <r>
    <n v="2"/>
    <s v="安徽"/>
    <x v="0"/>
    <n v="221"/>
    <x v="0"/>
  </r>
  <r>
    <n v="2"/>
    <s v="安徽"/>
    <x v="0"/>
    <n v="140"/>
    <x v="0"/>
  </r>
  <r>
    <n v="2"/>
    <s v="安徽"/>
    <x v="0"/>
    <n v="165"/>
    <x v="0"/>
  </r>
  <r>
    <n v="2"/>
    <s v="安徽"/>
    <x v="0"/>
    <n v="293"/>
    <x v="0"/>
  </r>
  <r>
    <n v="2"/>
    <s v="安徽"/>
    <x v="0"/>
    <n v="96"/>
    <x v="0"/>
  </r>
  <r>
    <n v="2"/>
    <s v="安徽"/>
    <x v="0"/>
    <n v="995"/>
    <x v="0"/>
  </r>
  <r>
    <n v="2"/>
    <s v="安徽"/>
    <x v="0"/>
    <n v="53"/>
    <x v="0"/>
  </r>
  <r>
    <n v="2"/>
    <s v="安徽"/>
    <x v="0"/>
    <n v="169"/>
    <x v="0"/>
  </r>
  <r>
    <n v="2"/>
    <s v="安徽"/>
    <x v="0"/>
    <n v="140"/>
    <x v="0"/>
  </r>
  <r>
    <n v="2"/>
    <s v="安徽"/>
    <x v="0"/>
    <n v="193"/>
    <x v="0"/>
  </r>
  <r>
    <n v="2"/>
    <s v="安徽"/>
    <x v="0"/>
    <n v="90"/>
    <x v="0"/>
  </r>
  <r>
    <n v="2"/>
    <s v="安徽"/>
    <x v="0"/>
    <n v="1138"/>
    <x v="0"/>
  </r>
  <r>
    <n v="2"/>
    <s v="安徽"/>
    <x v="0"/>
    <n v="383"/>
    <x v="0"/>
  </r>
  <r>
    <n v="2"/>
    <s v="安徽"/>
    <x v="0"/>
    <n v="1999"/>
    <x v="0"/>
  </r>
  <r>
    <n v="2"/>
    <s v="安徽"/>
    <x v="0"/>
    <n v="326"/>
    <x v="0"/>
  </r>
  <r>
    <n v="2"/>
    <s v="安徽"/>
    <x v="0"/>
    <n v="123"/>
    <x v="0"/>
  </r>
  <r>
    <n v="2"/>
    <s v="安徽"/>
    <x v="0"/>
    <n v="179"/>
    <x v="0"/>
  </r>
  <r>
    <n v="2"/>
    <s v="安徽"/>
    <x v="0"/>
    <n v="214"/>
    <x v="0"/>
  </r>
  <r>
    <n v="3"/>
    <s v="广西"/>
    <x v="1"/>
    <n v="570"/>
    <x v="0"/>
  </r>
  <r>
    <n v="3"/>
    <s v="广西"/>
    <x v="1"/>
    <n v="338"/>
    <x v="0"/>
  </r>
  <r>
    <n v="3"/>
    <s v="广西"/>
    <x v="1"/>
    <n v="420"/>
    <x v="0"/>
  </r>
  <r>
    <n v="3"/>
    <s v="广西"/>
    <x v="1"/>
    <n v="338"/>
    <x v="0"/>
  </r>
  <r>
    <n v="3"/>
    <s v="广西"/>
    <x v="1"/>
    <n v="315"/>
    <x v="0"/>
  </r>
  <r>
    <n v="3"/>
    <s v="广西"/>
    <x v="1"/>
    <n v="270"/>
    <x v="0"/>
  </r>
  <r>
    <n v="3"/>
    <s v="广西"/>
    <x v="1"/>
    <n v="81"/>
    <x v="0"/>
  </r>
  <r>
    <n v="3"/>
    <s v="广西"/>
    <x v="1"/>
    <n v="50"/>
    <x v="0"/>
  </r>
  <r>
    <n v="3"/>
    <s v="广西"/>
    <x v="1"/>
    <n v="53"/>
    <x v="0"/>
  </r>
  <r>
    <n v="3"/>
    <s v="广西"/>
    <x v="1"/>
    <n v="413"/>
    <x v="0"/>
  </r>
  <r>
    <n v="3"/>
    <s v="广西"/>
    <x v="1"/>
    <n v="657"/>
    <x v="0"/>
  </r>
  <r>
    <n v="3"/>
    <s v="广西"/>
    <x v="1"/>
    <n v="441"/>
    <x v="0"/>
  </r>
  <r>
    <n v="3"/>
    <s v="广西"/>
    <x v="1"/>
    <n v="1758"/>
    <x v="0"/>
  </r>
  <r>
    <n v="3"/>
    <s v="广西"/>
    <x v="1"/>
    <n v="407"/>
    <x v="0"/>
  </r>
  <r>
    <n v="3"/>
    <s v="广西"/>
    <x v="1"/>
    <n v="459"/>
    <x v="0"/>
  </r>
  <r>
    <n v="3"/>
    <s v="广西"/>
    <x v="1"/>
    <n v="184"/>
    <x v="0"/>
  </r>
  <r>
    <n v="3"/>
    <s v="广西"/>
    <x v="1"/>
    <n v="826"/>
    <x v="0"/>
  </r>
  <r>
    <n v="3"/>
    <s v="广西"/>
    <x v="1"/>
    <n v="1079"/>
    <x v="0"/>
  </r>
  <r>
    <n v="3"/>
    <s v="广西"/>
    <x v="1"/>
    <n v="2892"/>
    <x v="0"/>
  </r>
  <r>
    <n v="3"/>
    <s v="广西"/>
    <x v="1"/>
    <n v="236"/>
    <x v="0"/>
  </r>
  <r>
    <n v="3"/>
    <s v="广西"/>
    <x v="1"/>
    <n v="330"/>
    <x v="0"/>
  </r>
  <r>
    <n v="3"/>
    <s v="广西"/>
    <x v="1"/>
    <n v="426"/>
    <x v="0"/>
  </r>
  <r>
    <n v="4"/>
    <s v="江苏"/>
    <x v="1"/>
    <n v="72"/>
    <x v="0"/>
  </r>
  <r>
    <n v="4"/>
    <s v="江苏"/>
    <x v="1"/>
    <n v="122"/>
    <x v="0"/>
  </r>
  <r>
    <n v="4"/>
    <s v="江苏"/>
    <x v="1"/>
    <n v="67"/>
    <x v="0"/>
  </r>
  <r>
    <n v="4"/>
    <s v="江苏"/>
    <x v="1"/>
    <n v="54"/>
    <x v="0"/>
  </r>
  <r>
    <n v="4"/>
    <s v="江苏"/>
    <x v="1"/>
    <n v="53"/>
    <x v="0"/>
  </r>
  <r>
    <n v="4"/>
    <s v="江苏"/>
    <x v="1"/>
    <n v="86"/>
    <x v="0"/>
  </r>
  <r>
    <n v="4"/>
    <s v="江苏"/>
    <x v="1"/>
    <n v="49"/>
    <x v="0"/>
  </r>
  <r>
    <n v="4"/>
    <s v="江苏"/>
    <x v="1"/>
    <n v="27"/>
    <x v="0"/>
  </r>
  <r>
    <n v="4"/>
    <s v="江苏"/>
    <x v="1"/>
    <n v="67"/>
    <x v="0"/>
  </r>
  <r>
    <n v="4"/>
    <s v="江苏"/>
    <x v="1"/>
    <n v="127"/>
    <x v="0"/>
  </r>
  <r>
    <n v="4"/>
    <s v="江苏"/>
    <x v="1"/>
    <n v="122"/>
    <x v="0"/>
  </r>
  <r>
    <n v="4"/>
    <s v="江苏"/>
    <x v="1"/>
    <n v="151"/>
    <x v="0"/>
  </r>
  <r>
    <n v="4"/>
    <s v="江苏"/>
    <x v="1"/>
    <n v="101"/>
    <x v="0"/>
  </r>
  <r>
    <n v="4"/>
    <s v="江苏"/>
    <x v="1"/>
    <n v="105"/>
    <x v="0"/>
  </r>
  <r>
    <n v="4"/>
    <s v="江苏"/>
    <x v="1"/>
    <n v="146"/>
    <x v="0"/>
  </r>
  <r>
    <n v="4"/>
    <s v="江苏"/>
    <x v="1"/>
    <n v="96"/>
    <x v="0"/>
  </r>
  <r>
    <n v="4"/>
    <s v="江苏"/>
    <x v="1"/>
    <n v="124"/>
    <x v="0"/>
  </r>
  <r>
    <n v="4"/>
    <s v="江苏"/>
    <x v="1"/>
    <n v="61"/>
    <x v="0"/>
  </r>
  <r>
    <n v="4"/>
    <s v="江苏"/>
    <x v="1"/>
    <n v="90"/>
    <x v="0"/>
  </r>
  <r>
    <n v="4"/>
    <s v="江苏"/>
    <x v="1"/>
    <n v="79"/>
    <x v="0"/>
  </r>
  <r>
    <n v="4"/>
    <s v="江苏"/>
    <x v="1"/>
    <n v="138"/>
    <x v="0"/>
  </r>
  <r>
    <n v="4"/>
    <s v="江苏"/>
    <x v="1"/>
    <n v="124"/>
    <x v="0"/>
  </r>
  <r>
    <n v="1"/>
    <s v="河北"/>
    <x v="0"/>
    <n v="618"/>
    <x v="0"/>
  </r>
  <r>
    <n v="1"/>
    <s v="河北"/>
    <x v="0"/>
    <n v="594"/>
    <x v="0"/>
  </r>
  <r>
    <n v="1"/>
    <s v="河北"/>
    <x v="0"/>
    <n v="862"/>
    <x v="0"/>
  </r>
  <r>
    <n v="1"/>
    <s v="河北"/>
    <x v="0"/>
    <n v="279"/>
    <x v="0"/>
  </r>
  <r>
    <n v="1"/>
    <s v="河北"/>
    <x v="0"/>
    <n v="42"/>
    <x v="0"/>
  </r>
  <r>
    <n v="1"/>
    <s v="河北"/>
    <x v="0"/>
    <n v="66"/>
    <x v="0"/>
  </r>
  <r>
    <n v="1"/>
    <s v="河北"/>
    <x v="0"/>
    <n v="126"/>
    <x v="0"/>
  </r>
  <r>
    <n v="1"/>
    <s v="河北"/>
    <x v="0"/>
    <n v="88"/>
    <x v="0"/>
  </r>
  <r>
    <n v="1"/>
    <s v="河北"/>
    <x v="0"/>
    <n v="45"/>
    <x v="0"/>
  </r>
  <r>
    <n v="1"/>
    <s v="河北"/>
    <x v="0"/>
    <n v="936"/>
    <x v="0"/>
  </r>
  <r>
    <n v="1"/>
    <s v="河北"/>
    <x v="0"/>
    <n v="1787"/>
    <x v="0"/>
  </r>
  <r>
    <n v="1"/>
    <s v="河北"/>
    <x v="0"/>
    <n v="32"/>
    <x v="0"/>
  </r>
  <r>
    <n v="1"/>
    <s v="河北"/>
    <x v="0"/>
    <n v="44"/>
    <x v="0"/>
  </r>
  <r>
    <n v="1"/>
    <s v="河北"/>
    <x v="0"/>
    <n v="23"/>
    <x v="0"/>
  </r>
  <r>
    <n v="1"/>
    <s v="河北"/>
    <x v="0"/>
    <n v="303"/>
    <x v="0"/>
  </r>
  <r>
    <n v="1"/>
    <s v="河北"/>
    <x v="0"/>
    <n v="689"/>
    <x v="0"/>
  </r>
  <r>
    <n v="1"/>
    <s v="河北"/>
    <x v="0"/>
    <n v="368"/>
    <x v="0"/>
  </r>
  <r>
    <n v="1"/>
    <s v="河北"/>
    <x v="0"/>
    <n v="836"/>
    <x v="0"/>
  </r>
  <r>
    <n v="1"/>
    <s v="河北"/>
    <x v="0"/>
    <n v="2207"/>
    <x v="0"/>
  </r>
  <r>
    <n v="1"/>
    <s v="河北"/>
    <x v="0"/>
    <n v="1477"/>
    <x v="0"/>
  </r>
  <r>
    <n v="1"/>
    <s v="河北"/>
    <x v="0"/>
    <n v="68"/>
    <x v="0"/>
  </r>
  <r>
    <n v="1"/>
    <s v="河北"/>
    <x v="0"/>
    <n v="1039"/>
    <x v="0"/>
  </r>
  <r>
    <n v="1"/>
    <s v="河北"/>
    <x v="0"/>
    <n v="293"/>
    <x v="0"/>
  </r>
  <r>
    <n v="1"/>
    <s v="河北"/>
    <x v="0"/>
    <n v="44"/>
    <x v="0"/>
  </r>
  <r>
    <n v="1"/>
    <s v="河北"/>
    <x v="0"/>
    <n v="56"/>
    <x v="0"/>
  </r>
  <r>
    <n v="1"/>
    <s v="河北"/>
    <x v="0"/>
    <n v="96"/>
    <x v="0"/>
  </r>
  <r>
    <n v="1"/>
    <s v="河北"/>
    <x v="0"/>
    <n v="110"/>
    <x v="0"/>
  </r>
  <r>
    <n v="1"/>
    <s v="河北"/>
    <x v="0"/>
    <n v="135"/>
    <x v="0"/>
  </r>
  <r>
    <n v="2"/>
    <s v="安徽"/>
    <x v="0"/>
    <n v="1202"/>
    <x v="0"/>
  </r>
  <r>
    <n v="2"/>
    <s v="安徽"/>
    <x v="0"/>
    <n v="293"/>
    <x v="0"/>
  </r>
  <r>
    <n v="2"/>
    <s v="安徽"/>
    <x v="0"/>
    <n v="834"/>
    <x v="0"/>
  </r>
  <r>
    <n v="2"/>
    <s v="安徽"/>
    <x v="0"/>
    <n v="604"/>
    <x v="0"/>
  </r>
  <r>
    <n v="2"/>
    <s v="安徽"/>
    <x v="0"/>
    <n v="158"/>
    <x v="0"/>
  </r>
  <r>
    <n v="2"/>
    <s v="安徽"/>
    <x v="0"/>
    <n v="832"/>
    <x v="0"/>
  </r>
  <r>
    <n v="2"/>
    <s v="安徽"/>
    <x v="0"/>
    <n v="45"/>
    <x v="0"/>
  </r>
  <r>
    <n v="2"/>
    <s v="安徽"/>
    <x v="0"/>
    <n v="525"/>
    <x v="0"/>
  </r>
  <r>
    <n v="2"/>
    <s v="安徽"/>
    <x v="0"/>
    <n v="1560"/>
    <x v="0"/>
  </r>
  <r>
    <n v="2"/>
    <s v="安徽"/>
    <x v="0"/>
    <n v="863"/>
    <x v="0"/>
  </r>
  <r>
    <n v="2"/>
    <s v="安徽"/>
    <x v="0"/>
    <n v="221"/>
    <x v="0"/>
  </r>
  <r>
    <n v="2"/>
    <s v="安徽"/>
    <x v="0"/>
    <n v="123"/>
    <x v="0"/>
  </r>
  <r>
    <n v="2"/>
    <s v="安徽"/>
    <x v="0"/>
    <n v="193"/>
    <x v="0"/>
  </r>
  <r>
    <n v="2"/>
    <s v="安徽"/>
    <x v="0"/>
    <n v="315"/>
    <x v="0"/>
  </r>
  <r>
    <n v="2"/>
    <s v="安徽"/>
    <x v="0"/>
    <n v="138"/>
    <x v="0"/>
  </r>
  <r>
    <n v="2"/>
    <s v="安徽"/>
    <x v="0"/>
    <n v="860"/>
    <x v="0"/>
  </r>
  <r>
    <n v="2"/>
    <s v="安徽"/>
    <x v="0"/>
    <n v="70"/>
    <x v="0"/>
  </r>
  <r>
    <n v="2"/>
    <s v="安徽"/>
    <x v="0"/>
    <n v="180"/>
    <x v="0"/>
  </r>
  <r>
    <n v="2"/>
    <s v="安徽"/>
    <x v="0"/>
    <n v="140"/>
    <x v="0"/>
  </r>
  <r>
    <n v="2"/>
    <s v="安徽"/>
    <x v="0"/>
    <n v="206"/>
    <x v="0"/>
  </r>
  <r>
    <n v="2"/>
    <s v="安徽"/>
    <x v="0"/>
    <n v="90"/>
    <x v="0"/>
  </r>
  <r>
    <n v="2"/>
    <s v="安徽"/>
    <x v="0"/>
    <n v="1031"/>
    <x v="0"/>
  </r>
  <r>
    <n v="2"/>
    <s v="安徽"/>
    <x v="0"/>
    <n v="349"/>
    <x v="0"/>
  </r>
  <r>
    <n v="2"/>
    <s v="安徽"/>
    <x v="0"/>
    <n v="1850"/>
    <x v="0"/>
  </r>
  <r>
    <n v="2"/>
    <s v="安徽"/>
    <x v="0"/>
    <n v="360"/>
    <x v="0"/>
  </r>
  <r>
    <n v="2"/>
    <s v="安徽"/>
    <x v="0"/>
    <n v="123"/>
    <x v="0"/>
  </r>
  <r>
    <n v="2"/>
    <s v="安徽"/>
    <x v="0"/>
    <n v="151"/>
    <x v="0"/>
  </r>
  <r>
    <n v="2"/>
    <s v="安徽"/>
    <x v="0"/>
    <n v="214"/>
    <x v="0"/>
  </r>
  <r>
    <n v="3"/>
    <s v="广西"/>
    <x v="1"/>
    <n v="813"/>
    <x v="0"/>
  </r>
  <r>
    <n v="3"/>
    <s v="广西"/>
    <x v="1"/>
    <n v="203"/>
    <x v="0"/>
  </r>
  <r>
    <n v="3"/>
    <s v="广西"/>
    <x v="1"/>
    <n v="420"/>
    <x v="0"/>
  </r>
  <r>
    <n v="3"/>
    <s v="广西"/>
    <x v="1"/>
    <n v="270"/>
    <x v="0"/>
  </r>
  <r>
    <n v="3"/>
    <s v="广西"/>
    <x v="1"/>
    <n v="263"/>
    <x v="0"/>
  </r>
  <r>
    <n v="3"/>
    <s v="广西"/>
    <x v="1"/>
    <n v="203"/>
    <x v="0"/>
  </r>
  <r>
    <n v="3"/>
    <s v="广西"/>
    <x v="1"/>
    <n v="56"/>
    <x v="0"/>
  </r>
  <r>
    <n v="3"/>
    <s v="广西"/>
    <x v="1"/>
    <n v="50"/>
    <x v="0"/>
  </r>
  <r>
    <n v="3"/>
    <s v="广西"/>
    <x v="1"/>
    <n v="53"/>
    <x v="0"/>
  </r>
  <r>
    <n v="3"/>
    <s v="广西"/>
    <x v="1"/>
    <n v="330"/>
    <x v="0"/>
  </r>
  <r>
    <n v="3"/>
    <s v="广西"/>
    <x v="1"/>
    <n v="639"/>
    <x v="0"/>
  </r>
  <r>
    <n v="3"/>
    <s v="广西"/>
    <x v="1"/>
    <n v="440"/>
    <x v="0"/>
  </r>
  <r>
    <n v="3"/>
    <s v="广西"/>
    <x v="1"/>
    <n v="1943"/>
    <x v="0"/>
  </r>
  <r>
    <n v="3"/>
    <s v="广西"/>
    <x v="1"/>
    <n v="459"/>
    <x v="0"/>
  </r>
  <r>
    <n v="3"/>
    <s v="广西"/>
    <x v="1"/>
    <n v="557"/>
    <x v="0"/>
  </r>
  <r>
    <n v="3"/>
    <s v="广西"/>
    <x v="1"/>
    <n v="184"/>
    <x v="0"/>
  </r>
  <r>
    <n v="3"/>
    <s v="广西"/>
    <x v="1"/>
    <n v="688"/>
    <x v="0"/>
  </r>
  <r>
    <n v="3"/>
    <s v="广西"/>
    <x v="1"/>
    <n v="1041"/>
    <x v="0"/>
  </r>
  <r>
    <n v="3"/>
    <s v="广西"/>
    <x v="1"/>
    <n v="1741"/>
    <x v="0"/>
  </r>
  <r>
    <n v="3"/>
    <s v="广西"/>
    <x v="1"/>
    <n v="236"/>
    <x v="0"/>
  </r>
  <r>
    <n v="3"/>
    <s v="广西"/>
    <x v="1"/>
    <n v="165"/>
    <x v="0"/>
  </r>
  <r>
    <n v="3"/>
    <s v="广西"/>
    <x v="1"/>
    <n v="338"/>
    <x v="0"/>
  </r>
  <r>
    <n v="4"/>
    <s v="江苏"/>
    <x v="1"/>
    <n v="61"/>
    <x v="0"/>
  </r>
  <r>
    <n v="4"/>
    <s v="江苏"/>
    <x v="1"/>
    <n v="117"/>
    <x v="0"/>
  </r>
  <r>
    <n v="4"/>
    <s v="江苏"/>
    <x v="1"/>
    <n v="67"/>
    <x v="0"/>
  </r>
  <r>
    <n v="4"/>
    <s v="江苏"/>
    <x v="1"/>
    <n v="50"/>
    <x v="0"/>
  </r>
  <r>
    <n v="4"/>
    <s v="江苏"/>
    <x v="1"/>
    <n v="53"/>
    <x v="0"/>
  </r>
  <r>
    <n v="4"/>
    <s v="江苏"/>
    <x v="1"/>
    <n v="86"/>
    <x v="0"/>
  </r>
  <r>
    <n v="4"/>
    <s v="江苏"/>
    <x v="1"/>
    <n v="49"/>
    <x v="0"/>
  </r>
  <r>
    <n v="4"/>
    <s v="江苏"/>
    <x v="1"/>
    <n v="23"/>
    <x v="0"/>
  </r>
  <r>
    <n v="4"/>
    <s v="江苏"/>
    <x v="1"/>
    <n v="67"/>
    <x v="0"/>
  </r>
  <r>
    <n v="4"/>
    <s v="江苏"/>
    <x v="1"/>
    <n v="121"/>
    <x v="0"/>
  </r>
  <r>
    <n v="4"/>
    <s v="江苏"/>
    <x v="1"/>
    <n v="122"/>
    <x v="0"/>
  </r>
  <r>
    <n v="4"/>
    <s v="江苏"/>
    <x v="1"/>
    <n v="151"/>
    <x v="0"/>
  </r>
  <r>
    <n v="4"/>
    <s v="江苏"/>
    <x v="1"/>
    <n v="101"/>
    <x v="0"/>
  </r>
  <r>
    <n v="4"/>
    <s v="江苏"/>
    <x v="1"/>
    <n v="114"/>
    <x v="0"/>
  </r>
  <r>
    <n v="4"/>
    <s v="江苏"/>
    <x v="1"/>
    <n v="146"/>
    <x v="0"/>
  </r>
  <r>
    <n v="4"/>
    <s v="江苏"/>
    <x v="1"/>
    <n v="96"/>
    <x v="0"/>
  </r>
  <r>
    <n v="4"/>
    <s v="江苏"/>
    <x v="1"/>
    <n v="113"/>
    <x v="0"/>
  </r>
  <r>
    <n v="4"/>
    <s v="江苏"/>
    <x v="1"/>
    <n v="61"/>
    <x v="0"/>
  </r>
  <r>
    <n v="4"/>
    <s v="江苏"/>
    <x v="1"/>
    <n v="90"/>
    <x v="0"/>
  </r>
  <r>
    <n v="4"/>
    <s v="江苏"/>
    <x v="1"/>
    <n v="79"/>
    <x v="0"/>
  </r>
  <r>
    <n v="4"/>
    <s v="江苏"/>
    <x v="1"/>
    <n v="124"/>
    <x v="0"/>
  </r>
  <r>
    <n v="4"/>
    <s v="江苏"/>
    <x v="1"/>
    <n v="113"/>
    <x v="0"/>
  </r>
  <r>
    <n v="1"/>
    <s v="河北"/>
    <x v="0"/>
    <n v="666"/>
    <x v="0"/>
  </r>
  <r>
    <n v="1"/>
    <s v="河北"/>
    <x v="0"/>
    <n v="613"/>
    <x v="0"/>
  </r>
  <r>
    <n v="1"/>
    <s v="河北"/>
    <x v="0"/>
    <n v="834"/>
    <x v="0"/>
  </r>
  <r>
    <n v="1"/>
    <s v="河北"/>
    <x v="0"/>
    <n v="302"/>
    <x v="0"/>
  </r>
  <r>
    <n v="1"/>
    <s v="河北"/>
    <x v="0"/>
    <n v="60"/>
    <x v="0"/>
  </r>
  <r>
    <n v="1"/>
    <s v="河北"/>
    <x v="0"/>
    <n v="44"/>
    <x v="0"/>
  </r>
  <r>
    <n v="1"/>
    <s v="河北"/>
    <x v="0"/>
    <n v="126"/>
    <x v="0"/>
  </r>
  <r>
    <n v="1"/>
    <s v="河北"/>
    <x v="0"/>
    <n v="70"/>
    <x v="0"/>
  </r>
  <r>
    <n v="1"/>
    <s v="河北"/>
    <x v="0"/>
    <n v="68"/>
    <x v="0"/>
  </r>
  <r>
    <n v="1"/>
    <s v="河北"/>
    <x v="0"/>
    <n v="727"/>
    <x v="0"/>
  </r>
  <r>
    <n v="1"/>
    <s v="河北"/>
    <x v="0"/>
    <n v="1016"/>
    <x v="0"/>
  </r>
  <r>
    <n v="1"/>
    <s v="河北"/>
    <x v="0"/>
    <n v="28"/>
    <x v="0"/>
  </r>
  <r>
    <n v="1"/>
    <s v="河北"/>
    <x v="0"/>
    <n v="44"/>
    <x v="0"/>
  </r>
  <r>
    <n v="1"/>
    <s v="河北"/>
    <x v="0"/>
    <n v="23"/>
    <x v="0"/>
  </r>
  <r>
    <n v="1"/>
    <s v="河北"/>
    <x v="0"/>
    <n v="330"/>
    <x v="0"/>
  </r>
  <r>
    <n v="1"/>
    <s v="河北"/>
    <x v="0"/>
    <n v="732"/>
    <x v="0"/>
  </r>
  <r>
    <n v="1"/>
    <s v="河北"/>
    <x v="0"/>
    <n v="411"/>
    <x v="0"/>
  </r>
  <r>
    <n v="1"/>
    <s v="河北"/>
    <x v="0"/>
    <n v="859"/>
    <x v="0"/>
  </r>
  <r>
    <n v="1"/>
    <s v="河北"/>
    <x v="0"/>
    <n v="2999"/>
    <x v="0"/>
  </r>
  <r>
    <n v="1"/>
    <s v="河北"/>
    <x v="0"/>
    <n v="1609"/>
    <x v="0"/>
  </r>
  <r>
    <n v="1"/>
    <s v="河北"/>
    <x v="0"/>
    <n v="68"/>
    <x v="0"/>
  </r>
  <r>
    <n v="1"/>
    <s v="河北"/>
    <x v="0"/>
    <n v="1111"/>
    <x v="0"/>
  </r>
  <r>
    <n v="1"/>
    <s v="河北"/>
    <x v="0"/>
    <n v="304"/>
    <x v="0"/>
  </r>
  <r>
    <n v="1"/>
    <s v="河北"/>
    <x v="0"/>
    <n v="44"/>
    <x v="0"/>
  </r>
  <r>
    <n v="1"/>
    <s v="河北"/>
    <x v="0"/>
    <n v="68"/>
    <x v="0"/>
  </r>
  <r>
    <n v="1"/>
    <s v="河北"/>
    <x v="0"/>
    <n v="105"/>
    <x v="0"/>
  </r>
  <r>
    <n v="1"/>
    <s v="河北"/>
    <x v="0"/>
    <n v="124"/>
    <x v="0"/>
  </r>
  <r>
    <n v="1"/>
    <s v="河北"/>
    <x v="0"/>
    <n v="146"/>
    <x v="0"/>
  </r>
  <r>
    <n v="2"/>
    <s v="安徽"/>
    <x v="0"/>
    <n v="248"/>
    <x v="0"/>
  </r>
  <r>
    <n v="2"/>
    <s v="安徽"/>
    <x v="0"/>
    <n v="68"/>
    <x v="0"/>
  </r>
  <r>
    <n v="2"/>
    <s v="安徽"/>
    <x v="0"/>
    <n v="994"/>
    <x v="0"/>
  </r>
  <r>
    <n v="2"/>
    <s v="安徽"/>
    <x v="0"/>
    <n v="603"/>
    <x v="0"/>
  </r>
  <r>
    <n v="2"/>
    <s v="安徽"/>
    <x v="0"/>
    <n v="210"/>
    <x v="0"/>
  </r>
  <r>
    <n v="2"/>
    <s v="安徽"/>
    <x v="0"/>
    <n v="885"/>
    <x v="0"/>
  </r>
  <r>
    <n v="2"/>
    <s v="安徽"/>
    <x v="0"/>
    <n v="68"/>
    <x v="0"/>
  </r>
  <r>
    <n v="2"/>
    <s v="安徽"/>
    <x v="0"/>
    <n v="420"/>
    <x v="0"/>
  </r>
  <r>
    <n v="2"/>
    <s v="安徽"/>
    <x v="0"/>
    <n v="180"/>
    <x v="0"/>
  </r>
  <r>
    <n v="2"/>
    <s v="安徽"/>
    <x v="0"/>
    <n v="1176"/>
    <x v="0"/>
  </r>
  <r>
    <n v="2"/>
    <s v="安徽"/>
    <x v="0"/>
    <n v="221"/>
    <x v="0"/>
  </r>
  <r>
    <n v="2"/>
    <s v="安徽"/>
    <x v="0"/>
    <n v="140"/>
    <x v="0"/>
  </r>
  <r>
    <n v="2"/>
    <s v="安徽"/>
    <x v="0"/>
    <n v="165"/>
    <x v="0"/>
  </r>
  <r>
    <n v="2"/>
    <s v="安徽"/>
    <x v="0"/>
    <n v="533"/>
    <x v="0"/>
  </r>
  <r>
    <n v="2"/>
    <s v="安徽"/>
    <x v="0"/>
    <n v="330"/>
    <x v="0"/>
  </r>
  <r>
    <n v="2"/>
    <s v="安徽"/>
    <x v="0"/>
    <n v="68"/>
    <x v="0"/>
  </r>
  <r>
    <n v="2"/>
    <s v="安徽"/>
    <x v="0"/>
    <n v="96"/>
    <x v="0"/>
  </r>
  <r>
    <n v="2"/>
    <s v="安徽"/>
    <x v="0"/>
    <n v="203"/>
    <x v="0"/>
  </r>
  <r>
    <n v="2"/>
    <s v="安徽"/>
    <x v="0"/>
    <n v="131"/>
    <x v="0"/>
  </r>
  <r>
    <n v="2"/>
    <s v="安徽"/>
    <x v="0"/>
    <n v="206"/>
    <x v="0"/>
  </r>
  <r>
    <n v="2"/>
    <s v="安徽"/>
    <x v="0"/>
    <n v="79"/>
    <x v="0"/>
  </r>
  <r>
    <n v="2"/>
    <s v="安徽"/>
    <x v="0"/>
    <n v="990"/>
    <x v="0"/>
  </r>
  <r>
    <n v="2"/>
    <s v="安徽"/>
    <x v="0"/>
    <n v="326"/>
    <x v="0"/>
  </r>
  <r>
    <n v="2"/>
    <s v="安徽"/>
    <x v="0"/>
    <n v="1825"/>
    <x v="0"/>
  </r>
  <r>
    <n v="2"/>
    <s v="安徽"/>
    <x v="0"/>
    <n v="338"/>
    <x v="0"/>
  </r>
  <r>
    <n v="2"/>
    <s v="安徽"/>
    <x v="0"/>
    <n v="114"/>
    <x v="0"/>
  </r>
  <r>
    <n v="2"/>
    <s v="安徽"/>
    <x v="0"/>
    <n v="138"/>
    <x v="0"/>
  </r>
  <r>
    <n v="2"/>
    <s v="安徽"/>
    <x v="0"/>
    <n v="203"/>
    <x v="0"/>
  </r>
  <r>
    <n v="3"/>
    <s v="广西"/>
    <x v="1"/>
    <n v="1062"/>
    <x v="0"/>
  </r>
  <r>
    <n v="3"/>
    <s v="广西"/>
    <x v="1"/>
    <n v="338"/>
    <x v="0"/>
  </r>
  <r>
    <n v="3"/>
    <s v="广西"/>
    <x v="1"/>
    <n v="158"/>
    <x v="0"/>
  </r>
  <r>
    <n v="3"/>
    <s v="广西"/>
    <x v="1"/>
    <n v="473"/>
    <x v="0"/>
  </r>
  <r>
    <n v="3"/>
    <s v="广西"/>
    <x v="1"/>
    <n v="315"/>
    <x v="0"/>
  </r>
  <r>
    <n v="3"/>
    <s v="广西"/>
    <x v="1"/>
    <n v="338"/>
    <x v="0"/>
  </r>
  <r>
    <n v="3"/>
    <s v="广西"/>
    <x v="1"/>
    <n v="56"/>
    <x v="0"/>
  </r>
  <r>
    <n v="3"/>
    <s v="广西"/>
    <x v="1"/>
    <n v="50"/>
    <x v="0"/>
  </r>
  <r>
    <n v="3"/>
    <s v="广西"/>
    <x v="1"/>
    <n v="165"/>
    <x v="0"/>
  </r>
  <r>
    <n v="3"/>
    <s v="广西"/>
    <x v="1"/>
    <n v="597"/>
    <x v="0"/>
  </r>
  <r>
    <n v="3"/>
    <s v="广西"/>
    <x v="1"/>
    <n v="289"/>
    <x v="0"/>
  </r>
  <r>
    <n v="3"/>
    <s v="广西"/>
    <x v="1"/>
    <n v="1813"/>
    <x v="0"/>
  </r>
  <r>
    <n v="3"/>
    <s v="广西"/>
    <x v="1"/>
    <n v="394"/>
    <x v="0"/>
  </r>
  <r>
    <n v="3"/>
    <s v="广西"/>
    <x v="1"/>
    <n v="655"/>
    <x v="0"/>
  </r>
  <r>
    <n v="3"/>
    <s v="广西"/>
    <x v="1"/>
    <n v="210"/>
    <x v="0"/>
  </r>
  <r>
    <n v="3"/>
    <s v="广西"/>
    <x v="1"/>
    <n v="590"/>
    <x v="0"/>
  </r>
  <r>
    <n v="3"/>
    <s v="广西"/>
    <x v="1"/>
    <n v="1131"/>
    <x v="0"/>
  </r>
  <r>
    <n v="3"/>
    <s v="广西"/>
    <x v="1"/>
    <n v="3376"/>
    <x v="0"/>
  </r>
  <r>
    <n v="3"/>
    <s v="广西"/>
    <x v="1"/>
    <n v="289"/>
    <x v="0"/>
  </r>
  <r>
    <n v="3"/>
    <s v="广西"/>
    <x v="1"/>
    <n v="289"/>
    <x v="0"/>
  </r>
  <r>
    <n v="3"/>
    <s v="广西"/>
    <x v="1"/>
    <n v="371"/>
    <x v="0"/>
  </r>
  <r>
    <n v="4"/>
    <s v="江苏"/>
    <x v="1"/>
    <n v="72"/>
    <x v="0"/>
  </r>
  <r>
    <n v="4"/>
    <s v="江苏"/>
    <x v="1"/>
    <n v="99"/>
    <x v="0"/>
  </r>
  <r>
    <n v="4"/>
    <s v="江苏"/>
    <x v="1"/>
    <n v="102"/>
    <x v="0"/>
  </r>
  <r>
    <n v="4"/>
    <s v="江苏"/>
    <x v="1"/>
    <n v="63"/>
    <x v="0"/>
  </r>
  <r>
    <n v="4"/>
    <s v="江苏"/>
    <x v="1"/>
    <n v="49"/>
    <x v="0"/>
  </r>
  <r>
    <n v="4"/>
    <s v="江苏"/>
    <x v="1"/>
    <n v="72"/>
    <x v="0"/>
  </r>
  <r>
    <n v="4"/>
    <s v="江苏"/>
    <x v="1"/>
    <n v="60"/>
    <x v="0"/>
  </r>
  <r>
    <n v="4"/>
    <s v="江苏"/>
    <x v="1"/>
    <n v="32"/>
    <x v="0"/>
  </r>
  <r>
    <n v="4"/>
    <s v="江苏"/>
    <x v="1"/>
    <n v="77"/>
    <x v="0"/>
  </r>
  <r>
    <n v="4"/>
    <s v="江苏"/>
    <x v="1"/>
    <n v="94"/>
    <x v="0"/>
  </r>
  <r>
    <n v="4"/>
    <s v="江苏"/>
    <x v="1"/>
    <n v="126"/>
    <x v="0"/>
  </r>
  <r>
    <n v="4"/>
    <s v="江苏"/>
    <x v="1"/>
    <n v="179"/>
    <x v="0"/>
  </r>
  <r>
    <n v="4"/>
    <s v="江苏"/>
    <x v="1"/>
    <n v="113"/>
    <x v="0"/>
  </r>
  <r>
    <n v="4"/>
    <s v="江苏"/>
    <x v="1"/>
    <n v="96"/>
    <x v="0"/>
  </r>
  <r>
    <n v="4"/>
    <s v="江苏"/>
    <x v="1"/>
    <n v="146"/>
    <x v="0"/>
  </r>
  <r>
    <n v="4"/>
    <s v="江苏"/>
    <x v="1"/>
    <n v="114"/>
    <x v="0"/>
  </r>
  <r>
    <n v="4"/>
    <s v="江苏"/>
    <x v="1"/>
    <n v="113"/>
    <x v="0"/>
  </r>
  <r>
    <n v="4"/>
    <s v="江苏"/>
    <x v="1"/>
    <n v="70"/>
    <x v="0"/>
  </r>
  <r>
    <n v="4"/>
    <s v="江苏"/>
    <x v="1"/>
    <n v="101"/>
    <x v="0"/>
  </r>
  <r>
    <n v="4"/>
    <s v="江苏"/>
    <x v="1"/>
    <n v="105"/>
    <x v="0"/>
  </r>
  <r>
    <n v="4"/>
    <s v="江苏"/>
    <x v="1"/>
    <n v="165"/>
    <x v="0"/>
  </r>
  <r>
    <n v="4"/>
    <s v="江苏"/>
    <x v="1"/>
    <n v="124"/>
    <x v="0"/>
  </r>
  <r>
    <n v="5"/>
    <s v="天津"/>
    <x v="0"/>
    <n v="177"/>
    <x v="0"/>
  </r>
  <r>
    <n v="5"/>
    <s v="天津"/>
    <x v="0"/>
    <n v="43"/>
    <x v="0"/>
  </r>
  <r>
    <n v="5"/>
    <s v="天津"/>
    <x v="0"/>
    <n v="552"/>
    <x v="0"/>
  </r>
  <r>
    <n v="5"/>
    <s v="天津"/>
    <x v="0"/>
    <n v="286"/>
    <x v="0"/>
  </r>
  <r>
    <n v="5"/>
    <s v="天津"/>
    <x v="0"/>
    <n v="95"/>
    <x v="0"/>
  </r>
  <r>
    <n v="5"/>
    <s v="天津"/>
    <x v="0"/>
    <n v="469"/>
    <x v="0"/>
  </r>
  <r>
    <n v="5"/>
    <s v="天津"/>
    <x v="0"/>
    <n v="39"/>
    <x v="0"/>
  </r>
  <r>
    <n v="5"/>
    <s v="天津"/>
    <x v="0"/>
    <n v="251"/>
    <x v="0"/>
  </r>
  <r>
    <n v="5"/>
    <s v="天津"/>
    <x v="0"/>
    <n v="124"/>
    <x v="0"/>
  </r>
  <r>
    <n v="5"/>
    <s v="天津"/>
    <x v="0"/>
    <n v="938"/>
    <x v="0"/>
  </r>
  <r>
    <n v="5"/>
    <s v="天津"/>
    <x v="0"/>
    <n v="170"/>
    <x v="0"/>
  </r>
  <r>
    <n v="5"/>
    <s v="天津"/>
    <x v="0"/>
    <n v="88"/>
    <x v="0"/>
  </r>
  <r>
    <n v="5"/>
    <s v="天津"/>
    <x v="0"/>
    <n v="76"/>
    <x v="0"/>
  </r>
  <r>
    <n v="5"/>
    <s v="天津"/>
    <x v="0"/>
    <n v="382"/>
    <x v="0"/>
  </r>
  <r>
    <n v="5"/>
    <s v="天津"/>
    <x v="0"/>
    <n v="163"/>
    <x v="0"/>
  </r>
  <r>
    <n v="5"/>
    <s v="天津"/>
    <x v="0"/>
    <n v="38"/>
    <x v="0"/>
  </r>
  <r>
    <n v="5"/>
    <s v="天津"/>
    <x v="0"/>
    <n v="69"/>
    <x v="0"/>
  </r>
  <r>
    <n v="5"/>
    <s v="天津"/>
    <x v="0"/>
    <n v="142"/>
    <x v="0"/>
  </r>
  <r>
    <n v="5"/>
    <s v="天津"/>
    <x v="0"/>
    <n v="76"/>
    <x v="0"/>
  </r>
  <r>
    <n v="5"/>
    <s v="天津"/>
    <x v="0"/>
    <n v="92"/>
    <x v="0"/>
  </r>
  <r>
    <n v="5"/>
    <s v="天津"/>
    <x v="0"/>
    <n v="44"/>
    <x v="0"/>
  </r>
  <r>
    <n v="5"/>
    <s v="天津"/>
    <x v="0"/>
    <n v="733"/>
    <x v="0"/>
  </r>
  <r>
    <n v="5"/>
    <s v="天津"/>
    <x v="0"/>
    <n v="197"/>
    <x v="0"/>
  </r>
  <r>
    <n v="5"/>
    <s v="天津"/>
    <x v="0"/>
    <n v="1253"/>
    <x v="0"/>
  </r>
  <r>
    <n v="5"/>
    <s v="天津"/>
    <x v="0"/>
    <n v="246"/>
    <x v="0"/>
  </r>
  <r>
    <n v="5"/>
    <s v="天津"/>
    <x v="0"/>
    <n v="66"/>
    <x v="0"/>
  </r>
  <r>
    <n v="5"/>
    <s v="天津"/>
    <x v="0"/>
    <n v="87"/>
    <x v="0"/>
  </r>
  <r>
    <n v="5"/>
    <s v="天津"/>
    <x v="0"/>
    <n v="99"/>
    <x v="0"/>
  </r>
  <r>
    <n v="1"/>
    <s v="河北"/>
    <x v="0"/>
    <n v="734"/>
    <x v="0"/>
  </r>
  <r>
    <n v="1"/>
    <s v="河北"/>
    <x v="0"/>
    <n v="709"/>
    <x v="0"/>
  </r>
  <r>
    <n v="1"/>
    <s v="河北"/>
    <x v="0"/>
    <n v="873"/>
    <x v="0"/>
  </r>
  <r>
    <n v="1"/>
    <s v="河北"/>
    <x v="0"/>
    <n v="360"/>
    <x v="0"/>
  </r>
  <r>
    <n v="1"/>
    <s v="河北"/>
    <x v="0"/>
    <n v="70"/>
    <x v="0"/>
  </r>
  <r>
    <n v="1"/>
    <s v="河北"/>
    <x v="0"/>
    <n v="55"/>
    <x v="0"/>
  </r>
  <r>
    <n v="1"/>
    <s v="河北"/>
    <x v="0"/>
    <n v="122"/>
    <x v="0"/>
  </r>
  <r>
    <n v="1"/>
    <s v="河北"/>
    <x v="0"/>
    <n v="70"/>
    <x v="0"/>
  </r>
  <r>
    <n v="1"/>
    <s v="河北"/>
    <x v="0"/>
    <n v="68"/>
    <x v="0"/>
  </r>
  <r>
    <n v="1"/>
    <s v="河北"/>
    <x v="0"/>
    <n v="694"/>
    <x v="0"/>
  </r>
  <r>
    <n v="1"/>
    <s v="河北"/>
    <x v="0"/>
    <n v="1051"/>
    <x v="0"/>
  </r>
  <r>
    <n v="1"/>
    <s v="河北"/>
    <x v="0"/>
    <n v="28"/>
    <x v="0"/>
  </r>
  <r>
    <n v="1"/>
    <s v="河北"/>
    <x v="0"/>
    <n v="39"/>
    <x v="0"/>
  </r>
  <r>
    <n v="1"/>
    <s v="河北"/>
    <x v="0"/>
    <n v="23"/>
    <x v="0"/>
  </r>
  <r>
    <n v="1"/>
    <s v="河北"/>
    <x v="0"/>
    <n v="358"/>
    <x v="0"/>
  </r>
  <r>
    <n v="1"/>
    <s v="河北"/>
    <x v="0"/>
    <n v="776"/>
    <x v="0"/>
  </r>
  <r>
    <n v="1"/>
    <s v="河北"/>
    <x v="0"/>
    <n v="459"/>
    <x v="0"/>
  </r>
  <r>
    <n v="1"/>
    <s v="河北"/>
    <x v="0"/>
    <n v="846"/>
    <x v="0"/>
  </r>
  <r>
    <n v="1"/>
    <s v="河北"/>
    <x v="0"/>
    <n v="1810"/>
    <x v="0"/>
  </r>
  <r>
    <n v="1"/>
    <s v="河北"/>
    <x v="0"/>
    <n v="1681"/>
    <x v="0"/>
  </r>
  <r>
    <n v="1"/>
    <s v="河北"/>
    <x v="0"/>
    <n v="79"/>
    <x v="0"/>
  </r>
  <r>
    <n v="1"/>
    <s v="河北"/>
    <x v="0"/>
    <n v="1196"/>
    <x v="0"/>
  </r>
  <r>
    <n v="1"/>
    <s v="河北"/>
    <x v="0"/>
    <n v="326"/>
    <x v="0"/>
  </r>
  <r>
    <n v="1"/>
    <s v="河北"/>
    <x v="0"/>
    <n v="44"/>
    <x v="0"/>
  </r>
  <r>
    <n v="1"/>
    <s v="河北"/>
    <x v="0"/>
    <n v="68"/>
    <x v="0"/>
  </r>
  <r>
    <n v="1"/>
    <s v="河北"/>
    <x v="0"/>
    <n v="105"/>
    <x v="0"/>
  </r>
  <r>
    <n v="1"/>
    <s v="河北"/>
    <x v="0"/>
    <n v="124"/>
    <x v="0"/>
  </r>
  <r>
    <n v="1"/>
    <s v="河北"/>
    <x v="0"/>
    <n v="146"/>
    <x v="0"/>
  </r>
  <r>
    <n v="2"/>
    <s v="安徽"/>
    <x v="0"/>
    <n v="220"/>
    <x v="0"/>
  </r>
  <r>
    <n v="2"/>
    <s v="安徽"/>
    <x v="0"/>
    <n v="175"/>
    <x v="0"/>
  </r>
  <r>
    <n v="2"/>
    <s v="安徽"/>
    <x v="0"/>
    <n v="739"/>
    <x v="0"/>
  </r>
  <r>
    <n v="2"/>
    <s v="安徽"/>
    <x v="0"/>
    <n v="123"/>
    <x v="0"/>
  </r>
  <r>
    <n v="2"/>
    <s v="安徽"/>
    <x v="0"/>
    <n v="193"/>
    <x v="0"/>
  </r>
  <r>
    <n v="2"/>
    <s v="安徽"/>
    <x v="0"/>
    <n v="68"/>
    <x v="0"/>
  </r>
  <r>
    <n v="2"/>
    <s v="安徽"/>
    <x v="0"/>
    <n v="263"/>
    <x v="0"/>
  </r>
  <r>
    <n v="2"/>
    <s v="安徽"/>
    <x v="0"/>
    <n v="270"/>
    <x v="0"/>
  </r>
  <r>
    <n v="2"/>
    <s v="安徽"/>
    <x v="0"/>
    <n v="977"/>
    <x v="0"/>
  </r>
  <r>
    <n v="2"/>
    <s v="安徽"/>
    <x v="0"/>
    <n v="203"/>
    <x v="0"/>
  </r>
  <r>
    <n v="2"/>
    <s v="安徽"/>
    <x v="0"/>
    <n v="140"/>
    <x v="0"/>
  </r>
  <r>
    <n v="2"/>
    <s v="安徽"/>
    <x v="0"/>
    <n v="110"/>
    <x v="0"/>
  </r>
  <r>
    <n v="2"/>
    <s v="安徽"/>
    <x v="0"/>
    <n v="629"/>
    <x v="0"/>
  </r>
  <r>
    <n v="2"/>
    <s v="安徽"/>
    <x v="0"/>
    <n v="694"/>
    <x v="0"/>
  </r>
  <r>
    <n v="2"/>
    <s v="安徽"/>
    <x v="0"/>
    <n v="90"/>
    <x v="0"/>
  </r>
  <r>
    <n v="2"/>
    <s v="安徽"/>
    <x v="0"/>
    <n v="105"/>
    <x v="0"/>
  </r>
  <r>
    <n v="2"/>
    <s v="安徽"/>
    <x v="0"/>
    <n v="169"/>
    <x v="0"/>
  </r>
  <r>
    <n v="2"/>
    <s v="安徽"/>
    <x v="0"/>
    <n v="131"/>
    <x v="0"/>
  </r>
  <r>
    <n v="2"/>
    <s v="安徽"/>
    <x v="0"/>
    <n v="193"/>
    <x v="0"/>
  </r>
  <r>
    <n v="2"/>
    <s v="安徽"/>
    <x v="0"/>
    <n v="79"/>
    <x v="0"/>
  </r>
  <r>
    <n v="2"/>
    <s v="安徽"/>
    <x v="0"/>
    <n v="949"/>
    <x v="0"/>
  </r>
  <r>
    <n v="2"/>
    <s v="安徽"/>
    <x v="0"/>
    <n v="326"/>
    <x v="0"/>
  </r>
  <r>
    <n v="2"/>
    <s v="安徽"/>
    <x v="0"/>
    <n v="1783"/>
    <x v="0"/>
  </r>
  <r>
    <n v="2"/>
    <s v="安徽"/>
    <x v="0"/>
    <n v="338"/>
    <x v="0"/>
  </r>
  <r>
    <n v="2"/>
    <s v="安徽"/>
    <x v="0"/>
    <n v="114"/>
    <x v="0"/>
  </r>
  <r>
    <n v="2"/>
    <s v="安徽"/>
    <x v="0"/>
    <n v="138"/>
    <x v="0"/>
  </r>
  <r>
    <n v="2"/>
    <s v="安徽"/>
    <x v="0"/>
    <n v="191"/>
    <x v="0"/>
  </r>
  <r>
    <n v="3"/>
    <s v="广西"/>
    <x v="1"/>
    <n v="979"/>
    <x v="0"/>
  </r>
  <r>
    <n v="3"/>
    <s v="广西"/>
    <x v="1"/>
    <n v="270"/>
    <x v="0"/>
  </r>
  <r>
    <n v="3"/>
    <s v="广西"/>
    <x v="1"/>
    <n v="210"/>
    <x v="0"/>
  </r>
  <r>
    <n v="3"/>
    <s v="广西"/>
    <x v="1"/>
    <n v="472"/>
    <x v="0"/>
  </r>
  <r>
    <n v="3"/>
    <s v="广西"/>
    <x v="1"/>
    <n v="263"/>
    <x v="0"/>
  </r>
  <r>
    <n v="3"/>
    <s v="广西"/>
    <x v="1"/>
    <n v="405"/>
    <x v="0"/>
  </r>
  <r>
    <n v="3"/>
    <s v="广西"/>
    <x v="1"/>
    <n v="39"/>
    <x v="0"/>
  </r>
  <r>
    <n v="3"/>
    <s v="广西"/>
    <x v="1"/>
    <n v="72"/>
    <x v="0"/>
  </r>
  <r>
    <n v="3"/>
    <s v="广西"/>
    <x v="1"/>
    <n v="330"/>
    <x v="0"/>
  </r>
  <r>
    <n v="3"/>
    <s v="广西"/>
    <x v="1"/>
    <n v="777"/>
    <x v="0"/>
  </r>
  <r>
    <n v="3"/>
    <s v="广西"/>
    <x v="1"/>
    <n v="330"/>
    <x v="0"/>
  </r>
  <r>
    <n v="3"/>
    <s v="广西"/>
    <x v="1"/>
    <n v="2287"/>
    <x v="0"/>
  </r>
  <r>
    <n v="3"/>
    <s v="广西"/>
    <x v="1"/>
    <n v="341"/>
    <x v="0"/>
  </r>
  <r>
    <n v="3"/>
    <s v="广西"/>
    <x v="1"/>
    <n v="590"/>
    <x v="0"/>
  </r>
  <r>
    <n v="3"/>
    <s v="广西"/>
    <x v="1"/>
    <n v="210"/>
    <x v="0"/>
  </r>
  <r>
    <n v="3"/>
    <s v="广西"/>
    <x v="1"/>
    <n v="656"/>
    <x v="0"/>
  </r>
  <r>
    <n v="3"/>
    <s v="广西"/>
    <x v="1"/>
    <n v="908"/>
    <x v="0"/>
  </r>
  <r>
    <n v="3"/>
    <s v="广西"/>
    <x v="1"/>
    <n v="2797"/>
    <x v="0"/>
  </r>
  <r>
    <n v="3"/>
    <s v="广西"/>
    <x v="1"/>
    <n v="315"/>
    <x v="0"/>
  </r>
  <r>
    <n v="3"/>
    <s v="广西"/>
    <x v="1"/>
    <n v="206"/>
    <x v="0"/>
  </r>
  <r>
    <n v="3"/>
    <s v="广西"/>
    <x v="1"/>
    <n v="304"/>
    <x v="0"/>
  </r>
  <r>
    <n v="4"/>
    <s v="江苏"/>
    <x v="1"/>
    <n v="50"/>
    <x v="0"/>
  </r>
  <r>
    <n v="4"/>
    <s v="江苏"/>
    <x v="1"/>
    <n v="131"/>
    <x v="0"/>
  </r>
  <r>
    <n v="4"/>
    <s v="江苏"/>
    <x v="1"/>
    <n v="116"/>
    <x v="0"/>
  </r>
  <r>
    <n v="4"/>
    <s v="江苏"/>
    <x v="1"/>
    <n v="90"/>
    <x v="0"/>
  </r>
  <r>
    <n v="4"/>
    <s v="江苏"/>
    <x v="1"/>
    <n v="46"/>
    <x v="0"/>
  </r>
  <r>
    <n v="4"/>
    <s v="江苏"/>
    <x v="1"/>
    <n v="68"/>
    <x v="0"/>
  </r>
  <r>
    <n v="4"/>
    <s v="江苏"/>
    <x v="1"/>
    <n v="77"/>
    <x v="0"/>
  </r>
  <r>
    <n v="4"/>
    <s v="江苏"/>
    <x v="1"/>
    <n v="36"/>
    <x v="0"/>
  </r>
  <r>
    <n v="4"/>
    <s v="江苏"/>
    <x v="1"/>
    <n v="81"/>
    <x v="0"/>
  </r>
  <r>
    <n v="4"/>
    <s v="江苏"/>
    <x v="1"/>
    <n v="121"/>
    <x v="0"/>
  </r>
  <r>
    <n v="4"/>
    <s v="江苏"/>
    <x v="1"/>
    <n v="149"/>
    <x v="0"/>
  </r>
  <r>
    <n v="4"/>
    <s v="江苏"/>
    <x v="1"/>
    <n v="275"/>
    <x v="0"/>
  </r>
  <r>
    <n v="4"/>
    <s v="江苏"/>
    <x v="1"/>
    <n v="113"/>
    <x v="0"/>
  </r>
  <r>
    <n v="4"/>
    <s v="江苏"/>
    <x v="1"/>
    <n v="149"/>
    <x v="0"/>
  </r>
  <r>
    <n v="4"/>
    <s v="江苏"/>
    <x v="1"/>
    <n v="203"/>
    <x v="0"/>
  </r>
  <r>
    <n v="4"/>
    <s v="江苏"/>
    <x v="1"/>
    <n v="123"/>
    <x v="0"/>
  </r>
  <r>
    <n v="4"/>
    <s v="江苏"/>
    <x v="1"/>
    <n v="113"/>
    <x v="0"/>
  </r>
  <r>
    <n v="4"/>
    <s v="江苏"/>
    <x v="1"/>
    <n v="53"/>
    <x v="0"/>
  </r>
  <r>
    <n v="4"/>
    <s v="江苏"/>
    <x v="1"/>
    <n v="90"/>
    <x v="0"/>
  </r>
  <r>
    <n v="4"/>
    <s v="江苏"/>
    <x v="1"/>
    <n v="88"/>
    <x v="0"/>
  </r>
  <r>
    <n v="4"/>
    <s v="江苏"/>
    <x v="1"/>
    <n v="138"/>
    <x v="0"/>
  </r>
  <r>
    <n v="4"/>
    <s v="江苏"/>
    <x v="1"/>
    <n v="146"/>
    <x v="0"/>
  </r>
  <r>
    <n v="5"/>
    <s v="天津"/>
    <x v="0"/>
    <n v="119"/>
    <x v="0"/>
  </r>
  <r>
    <n v="5"/>
    <s v="天津"/>
    <x v="0"/>
    <n v="130"/>
    <x v="0"/>
  </r>
  <r>
    <n v="5"/>
    <s v="天津"/>
    <x v="0"/>
    <n v="427"/>
    <x v="0"/>
  </r>
  <r>
    <n v="5"/>
    <s v="天津"/>
    <x v="0"/>
    <n v="66"/>
    <x v="0"/>
  </r>
  <r>
    <n v="5"/>
    <s v="天津"/>
    <x v="0"/>
    <n v="127"/>
    <x v="0"/>
  </r>
  <r>
    <n v="5"/>
    <s v="天津"/>
    <x v="0"/>
    <n v="33"/>
    <x v="0"/>
  </r>
  <r>
    <n v="5"/>
    <s v="天津"/>
    <x v="0"/>
    <n v="146"/>
    <x v="0"/>
  </r>
  <r>
    <n v="5"/>
    <s v="天津"/>
    <x v="0"/>
    <n v="166"/>
    <x v="0"/>
  </r>
  <r>
    <n v="5"/>
    <s v="天津"/>
    <x v="0"/>
    <n v="675"/>
    <x v="0"/>
  </r>
  <r>
    <n v="5"/>
    <s v="天津"/>
    <x v="0"/>
    <n v="159"/>
    <x v="0"/>
  </r>
  <r>
    <n v="5"/>
    <s v="天津"/>
    <x v="0"/>
    <n v="78"/>
    <x v="0"/>
  </r>
  <r>
    <n v="5"/>
    <s v="天津"/>
    <x v="0"/>
    <n v="58"/>
    <x v="0"/>
  </r>
  <r>
    <n v="5"/>
    <s v="天津"/>
    <x v="0"/>
    <n v="350"/>
    <x v="0"/>
  </r>
  <r>
    <n v="5"/>
    <s v="天津"/>
    <x v="0"/>
    <n v="545"/>
    <x v="0"/>
  </r>
  <r>
    <n v="5"/>
    <s v="天津"/>
    <x v="0"/>
    <n v="41"/>
    <x v="0"/>
  </r>
  <r>
    <n v="5"/>
    <s v="天津"/>
    <x v="0"/>
    <n v="73"/>
    <x v="0"/>
  </r>
  <r>
    <n v="5"/>
    <s v="天津"/>
    <x v="0"/>
    <n v="85"/>
    <x v="0"/>
  </r>
  <r>
    <n v="5"/>
    <s v="天津"/>
    <x v="0"/>
    <n v="92"/>
    <x v="0"/>
  </r>
  <r>
    <n v="5"/>
    <s v="天津"/>
    <x v="0"/>
    <n v="143"/>
    <x v="0"/>
  </r>
  <r>
    <n v="5"/>
    <s v="天津"/>
    <x v="0"/>
    <n v="40"/>
    <x v="0"/>
  </r>
  <r>
    <n v="5"/>
    <s v="天津"/>
    <x v="0"/>
    <n v="717"/>
    <x v="0"/>
  </r>
  <r>
    <n v="5"/>
    <s v="天津"/>
    <x v="0"/>
    <n v="166"/>
    <x v="0"/>
  </r>
  <r>
    <n v="5"/>
    <s v="天津"/>
    <x v="0"/>
    <n v="1191"/>
    <x v="0"/>
  </r>
  <r>
    <n v="5"/>
    <s v="天津"/>
    <x v="0"/>
    <n v="235"/>
    <x v="0"/>
  </r>
  <r>
    <n v="5"/>
    <s v="天津"/>
    <x v="0"/>
    <n v="52"/>
    <x v="0"/>
  </r>
  <r>
    <n v="5"/>
    <s v="天津"/>
    <x v="0"/>
    <n v="92"/>
    <x v="0"/>
  </r>
  <r>
    <n v="5"/>
    <s v="天津"/>
    <x v="0"/>
    <n v="96"/>
    <x v="0"/>
  </r>
  <r>
    <n v="1"/>
    <s v="河北"/>
    <x v="0"/>
    <n v="658"/>
    <x v="0"/>
  </r>
  <r>
    <n v="1"/>
    <s v="河北"/>
    <x v="0"/>
    <n v="563"/>
    <x v="0"/>
  </r>
  <r>
    <n v="1"/>
    <s v="河北"/>
    <x v="0"/>
    <n v="690"/>
    <x v="0"/>
  </r>
  <r>
    <n v="1"/>
    <s v="河北"/>
    <x v="0"/>
    <n v="306"/>
    <x v="0"/>
  </r>
  <r>
    <n v="1"/>
    <s v="河北"/>
    <x v="0"/>
    <n v="81"/>
    <x v="0"/>
  </r>
  <r>
    <n v="1"/>
    <s v="河北"/>
    <x v="0"/>
    <n v="55"/>
    <x v="0"/>
  </r>
  <r>
    <n v="1"/>
    <s v="河北"/>
    <x v="0"/>
    <n v="113"/>
    <x v="0"/>
  </r>
  <r>
    <n v="1"/>
    <s v="河北"/>
    <x v="0"/>
    <n v="88"/>
    <x v="0"/>
  </r>
  <r>
    <n v="1"/>
    <s v="河北"/>
    <x v="0"/>
    <n v="90"/>
    <x v="0"/>
  </r>
  <r>
    <n v="1"/>
    <s v="河北"/>
    <x v="0"/>
    <n v="642"/>
    <x v="0"/>
  </r>
  <r>
    <n v="1"/>
    <s v="河北"/>
    <x v="0"/>
    <n v="586"/>
    <x v="0"/>
  </r>
  <r>
    <n v="1"/>
    <s v="河北"/>
    <x v="0"/>
    <n v="32"/>
    <x v="0"/>
  </r>
  <r>
    <n v="1"/>
    <s v="河北"/>
    <x v="0"/>
    <n v="44"/>
    <x v="0"/>
  </r>
  <r>
    <n v="1"/>
    <s v="河北"/>
    <x v="0"/>
    <n v="23"/>
    <x v="0"/>
  </r>
  <r>
    <n v="1"/>
    <s v="河北"/>
    <x v="0"/>
    <n v="427"/>
    <x v="0"/>
  </r>
  <r>
    <n v="1"/>
    <s v="河北"/>
    <x v="0"/>
    <n v="923"/>
    <x v="0"/>
  </r>
  <r>
    <n v="1"/>
    <s v="河北"/>
    <x v="0"/>
    <n v="620"/>
    <x v="0"/>
  </r>
  <r>
    <n v="1"/>
    <s v="河北"/>
    <x v="0"/>
    <n v="1124"/>
    <x v="0"/>
  </r>
  <r>
    <n v="1"/>
    <s v="河北"/>
    <x v="0"/>
    <n v="3490"/>
    <x v="0"/>
  </r>
  <r>
    <n v="1"/>
    <s v="河北"/>
    <x v="0"/>
    <n v="1975"/>
    <x v="0"/>
  </r>
  <r>
    <n v="1"/>
    <s v="河北"/>
    <x v="0"/>
    <n v="90"/>
    <x v="0"/>
  </r>
  <r>
    <n v="1"/>
    <s v="河北"/>
    <x v="0"/>
    <n v="1456"/>
    <x v="0"/>
  </r>
  <r>
    <n v="1"/>
    <s v="河北"/>
    <x v="0"/>
    <n v="394"/>
    <x v="0"/>
  </r>
  <r>
    <n v="1"/>
    <s v="河北"/>
    <x v="0"/>
    <n v="53"/>
    <x v="0"/>
  </r>
  <r>
    <n v="1"/>
    <s v="河北"/>
    <x v="0"/>
    <n v="90"/>
    <x v="0"/>
  </r>
  <r>
    <n v="1"/>
    <s v="河北"/>
    <x v="0"/>
    <n v="114"/>
    <x v="0"/>
  </r>
  <r>
    <n v="1"/>
    <s v="河北"/>
    <x v="0"/>
    <n v="151"/>
    <x v="0"/>
  </r>
  <r>
    <n v="1"/>
    <s v="河北"/>
    <x v="0"/>
    <n v="158"/>
    <x v="0"/>
  </r>
  <r>
    <n v="2"/>
    <s v="安徽"/>
    <x v="0"/>
    <n v="248"/>
    <x v="0"/>
  </r>
  <r>
    <n v="2"/>
    <s v="安徽"/>
    <x v="0"/>
    <n v="140"/>
    <x v="0"/>
  </r>
  <r>
    <n v="2"/>
    <s v="安徽"/>
    <x v="0"/>
    <n v="450"/>
    <x v="0"/>
  </r>
  <r>
    <n v="2"/>
    <s v="安徽"/>
    <x v="0"/>
    <n v="105"/>
    <x v="0"/>
  </r>
  <r>
    <n v="2"/>
    <s v="安徽"/>
    <x v="0"/>
    <n v="248"/>
    <x v="0"/>
  </r>
  <r>
    <n v="2"/>
    <s v="安徽"/>
    <x v="0"/>
    <n v="90"/>
    <x v="0"/>
  </r>
  <r>
    <n v="2"/>
    <s v="安徽"/>
    <x v="0"/>
    <n v="193"/>
    <x v="0"/>
  </r>
  <r>
    <n v="2"/>
    <s v="安徽"/>
    <x v="0"/>
    <n v="135"/>
    <x v="0"/>
  </r>
  <r>
    <n v="2"/>
    <s v="安徽"/>
    <x v="0"/>
    <n v="1238"/>
    <x v="0"/>
  </r>
  <r>
    <n v="2"/>
    <s v="安徽"/>
    <x v="0"/>
    <n v="252"/>
    <x v="0"/>
  </r>
  <r>
    <n v="2"/>
    <s v="安徽"/>
    <x v="0"/>
    <n v="175"/>
    <x v="0"/>
  </r>
  <r>
    <n v="2"/>
    <s v="安徽"/>
    <x v="0"/>
    <n v="138"/>
    <x v="0"/>
  </r>
  <r>
    <n v="2"/>
    <s v="安徽"/>
    <x v="0"/>
    <n v="1057"/>
    <x v="0"/>
  </r>
  <r>
    <n v="2"/>
    <s v="安徽"/>
    <x v="0"/>
    <n v="588"/>
    <x v="0"/>
  </r>
  <r>
    <n v="2"/>
    <s v="安徽"/>
    <x v="0"/>
    <n v="113"/>
    <x v="0"/>
  </r>
  <r>
    <n v="2"/>
    <s v="安徽"/>
    <x v="0"/>
    <n v="114"/>
    <x v="0"/>
  </r>
  <r>
    <n v="2"/>
    <s v="安徽"/>
    <x v="0"/>
    <n v="169"/>
    <x v="0"/>
  </r>
  <r>
    <n v="2"/>
    <s v="安徽"/>
    <x v="0"/>
    <n v="140"/>
    <x v="0"/>
  </r>
  <r>
    <n v="2"/>
    <s v="安徽"/>
    <x v="0"/>
    <n v="234"/>
    <x v="0"/>
  </r>
  <r>
    <n v="2"/>
    <s v="安徽"/>
    <x v="0"/>
    <n v="90"/>
    <x v="0"/>
  </r>
  <r>
    <n v="2"/>
    <s v="安徽"/>
    <x v="0"/>
    <n v="1055"/>
    <x v="0"/>
  </r>
  <r>
    <n v="2"/>
    <s v="安徽"/>
    <x v="0"/>
    <n v="349"/>
    <x v="0"/>
  </r>
  <r>
    <n v="2"/>
    <s v="安徽"/>
    <x v="0"/>
    <n v="1938"/>
    <x v="0"/>
  </r>
  <r>
    <n v="2"/>
    <s v="安徽"/>
    <x v="0"/>
    <n v="371"/>
    <x v="0"/>
  </r>
  <r>
    <n v="2"/>
    <s v="安徽"/>
    <x v="0"/>
    <n v="123"/>
    <x v="0"/>
  </r>
  <r>
    <n v="2"/>
    <s v="安徽"/>
    <x v="0"/>
    <n v="151"/>
    <x v="0"/>
  </r>
  <r>
    <n v="2"/>
    <s v="安徽"/>
    <x v="0"/>
    <n v="203"/>
    <x v="0"/>
  </r>
  <r>
    <n v="3"/>
    <s v="广西"/>
    <x v="1"/>
    <n v="972"/>
    <x v="0"/>
  </r>
  <r>
    <n v="3"/>
    <s v="广西"/>
    <x v="1"/>
    <n v="270"/>
    <x v="0"/>
  </r>
  <r>
    <n v="3"/>
    <s v="广西"/>
    <x v="1"/>
    <n v="263"/>
    <x v="0"/>
  </r>
  <r>
    <n v="3"/>
    <s v="广西"/>
    <x v="1"/>
    <n v="696"/>
    <x v="0"/>
  </r>
  <r>
    <n v="3"/>
    <s v="广西"/>
    <x v="1"/>
    <n v="210"/>
    <x v="0"/>
  </r>
  <r>
    <n v="3"/>
    <s v="广西"/>
    <x v="1"/>
    <n v="408"/>
    <x v="0"/>
  </r>
  <r>
    <n v="3"/>
    <s v="广西"/>
    <x v="1"/>
    <n v="56"/>
    <x v="0"/>
  </r>
  <r>
    <n v="3"/>
    <s v="广西"/>
    <x v="1"/>
    <n v="50"/>
    <x v="0"/>
  </r>
  <r>
    <n v="3"/>
    <s v="广西"/>
    <x v="1"/>
    <n v="413"/>
    <x v="0"/>
  </r>
  <r>
    <n v="3"/>
    <s v="广西"/>
    <x v="1"/>
    <n v="405"/>
    <x v="0"/>
  </r>
  <r>
    <n v="3"/>
    <s v="广西"/>
    <x v="1"/>
    <n v="413"/>
    <x v="0"/>
  </r>
  <r>
    <n v="3"/>
    <s v="广西"/>
    <x v="1"/>
    <n v="1600"/>
    <x v="0"/>
  </r>
  <r>
    <n v="3"/>
    <s v="广西"/>
    <x v="1"/>
    <n v="394"/>
    <x v="0"/>
  </r>
  <r>
    <n v="3"/>
    <s v="广西"/>
    <x v="1"/>
    <n v="623"/>
    <x v="0"/>
  </r>
  <r>
    <n v="3"/>
    <s v="广西"/>
    <x v="1"/>
    <n v="210"/>
    <x v="0"/>
  </r>
  <r>
    <n v="3"/>
    <s v="广西"/>
    <x v="1"/>
    <n v="623"/>
    <x v="0"/>
  </r>
  <r>
    <n v="3"/>
    <s v="广西"/>
    <x v="1"/>
    <n v="747"/>
    <x v="0"/>
  </r>
  <r>
    <n v="3"/>
    <s v="广西"/>
    <x v="1"/>
    <n v="1603"/>
    <x v="0"/>
  </r>
  <r>
    <n v="3"/>
    <s v="广西"/>
    <x v="1"/>
    <n v="263"/>
    <x v="0"/>
  </r>
  <r>
    <n v="3"/>
    <s v="广西"/>
    <x v="1"/>
    <n v="124"/>
    <x v="0"/>
  </r>
  <r>
    <n v="3"/>
    <s v="广西"/>
    <x v="1"/>
    <n v="270"/>
    <x v="0"/>
  </r>
  <r>
    <n v="4"/>
    <s v="江苏"/>
    <x v="1"/>
    <n v="66"/>
    <x v="0"/>
  </r>
  <r>
    <n v="4"/>
    <s v="江苏"/>
    <x v="1"/>
    <n v="212"/>
    <x v="0"/>
  </r>
  <r>
    <n v="4"/>
    <s v="江苏"/>
    <x v="1"/>
    <n v="196"/>
    <x v="0"/>
  </r>
  <r>
    <n v="4"/>
    <s v="江苏"/>
    <x v="1"/>
    <n v="144"/>
    <x v="0"/>
  </r>
  <r>
    <n v="4"/>
    <s v="江苏"/>
    <x v="1"/>
    <n v="53"/>
    <x v="0"/>
  </r>
  <r>
    <n v="4"/>
    <s v="江苏"/>
    <x v="1"/>
    <n v="81"/>
    <x v="0"/>
  </r>
  <r>
    <n v="4"/>
    <s v="江苏"/>
    <x v="1"/>
    <n v="102"/>
    <x v="0"/>
  </r>
  <r>
    <n v="4"/>
    <s v="江苏"/>
    <x v="1"/>
    <n v="45"/>
    <x v="0"/>
  </r>
  <r>
    <n v="4"/>
    <s v="江苏"/>
    <x v="1"/>
    <n v="105"/>
    <x v="0"/>
  </r>
  <r>
    <n v="4"/>
    <s v="江苏"/>
    <x v="1"/>
    <n v="171"/>
    <x v="0"/>
  </r>
  <r>
    <n v="4"/>
    <s v="江苏"/>
    <x v="1"/>
    <n v="135"/>
    <x v="0"/>
  </r>
  <r>
    <n v="4"/>
    <s v="江苏"/>
    <x v="1"/>
    <n v="248"/>
    <x v="0"/>
  </r>
  <r>
    <n v="4"/>
    <s v="江苏"/>
    <x v="1"/>
    <n v="169"/>
    <x v="0"/>
  </r>
  <r>
    <n v="4"/>
    <s v="江苏"/>
    <x v="1"/>
    <n v="245"/>
    <x v="0"/>
  </r>
  <r>
    <n v="4"/>
    <s v="江苏"/>
    <x v="1"/>
    <n v="315"/>
    <x v="0"/>
  </r>
  <r>
    <n v="4"/>
    <s v="江苏"/>
    <x v="1"/>
    <n v="166"/>
    <x v="0"/>
  </r>
  <r>
    <n v="4"/>
    <s v="江苏"/>
    <x v="1"/>
    <n v="113"/>
    <x v="0"/>
  </r>
  <r>
    <n v="4"/>
    <s v="江苏"/>
    <x v="1"/>
    <n v="79"/>
    <x v="0"/>
  </r>
  <r>
    <n v="4"/>
    <s v="江苏"/>
    <x v="1"/>
    <n v="90"/>
    <x v="0"/>
  </r>
  <r>
    <n v="4"/>
    <s v="江苏"/>
    <x v="1"/>
    <n v="105"/>
    <x v="0"/>
  </r>
  <r>
    <n v="4"/>
    <s v="江苏"/>
    <x v="1"/>
    <n v="151"/>
    <x v="0"/>
  </r>
  <r>
    <n v="4"/>
    <s v="江苏"/>
    <x v="1"/>
    <n v="203"/>
    <x v="0"/>
  </r>
  <r>
    <n v="5"/>
    <s v="天津"/>
    <x v="0"/>
    <n v="175"/>
    <x v="0"/>
  </r>
  <r>
    <n v="5"/>
    <s v="天津"/>
    <x v="0"/>
    <n v="85"/>
    <x v="0"/>
  </r>
  <r>
    <n v="5"/>
    <s v="天津"/>
    <x v="0"/>
    <n v="334"/>
    <x v="0"/>
  </r>
  <r>
    <n v="5"/>
    <s v="天津"/>
    <x v="0"/>
    <n v="79"/>
    <x v="0"/>
  </r>
  <r>
    <n v="5"/>
    <s v="天津"/>
    <x v="0"/>
    <n v="142"/>
    <x v="0"/>
  </r>
  <r>
    <n v="5"/>
    <s v="天津"/>
    <x v="0"/>
    <n v="45"/>
    <x v="0"/>
  </r>
  <r>
    <n v="5"/>
    <s v="天津"/>
    <x v="0"/>
    <n v="146"/>
    <x v="0"/>
  </r>
  <r>
    <n v="5"/>
    <s v="天津"/>
    <x v="0"/>
    <n v="71"/>
    <x v="0"/>
  </r>
  <r>
    <n v="5"/>
    <s v="天津"/>
    <x v="0"/>
    <n v="714"/>
    <x v="0"/>
  </r>
  <r>
    <n v="5"/>
    <s v="天津"/>
    <x v="0"/>
    <n v="168"/>
    <x v="0"/>
  </r>
  <r>
    <n v="5"/>
    <s v="天津"/>
    <x v="0"/>
    <n v="102"/>
    <x v="0"/>
  </r>
  <r>
    <n v="5"/>
    <s v="天津"/>
    <x v="0"/>
    <n v="93"/>
    <x v="0"/>
  </r>
  <r>
    <n v="5"/>
    <s v="天津"/>
    <x v="0"/>
    <n v="630"/>
    <x v="0"/>
  </r>
  <r>
    <n v="5"/>
    <s v="天津"/>
    <x v="0"/>
    <n v="360"/>
    <x v="0"/>
  </r>
  <r>
    <n v="5"/>
    <s v="天津"/>
    <x v="0"/>
    <n v="64"/>
    <x v="0"/>
  </r>
  <r>
    <n v="5"/>
    <s v="天津"/>
    <x v="0"/>
    <n v="87"/>
    <x v="0"/>
  </r>
  <r>
    <n v="5"/>
    <s v="天津"/>
    <x v="0"/>
    <n v="77"/>
    <x v="0"/>
  </r>
  <r>
    <n v="5"/>
    <s v="天津"/>
    <x v="0"/>
    <n v="79"/>
    <x v="0"/>
  </r>
  <r>
    <n v="5"/>
    <s v="天津"/>
    <x v="0"/>
    <n v="118"/>
    <x v="0"/>
  </r>
  <r>
    <n v="5"/>
    <s v="天津"/>
    <x v="0"/>
    <n v="67"/>
    <x v="0"/>
  </r>
  <r>
    <n v="5"/>
    <s v="天津"/>
    <x v="0"/>
    <n v="534"/>
    <x v="0"/>
  </r>
  <r>
    <n v="5"/>
    <s v="天津"/>
    <x v="0"/>
    <n v="253"/>
    <x v="0"/>
  </r>
  <r>
    <n v="5"/>
    <s v="天津"/>
    <x v="0"/>
    <n v="1045"/>
    <x v="0"/>
  </r>
  <r>
    <n v="5"/>
    <s v="天津"/>
    <x v="0"/>
    <n v="249"/>
    <x v="0"/>
  </r>
  <r>
    <n v="5"/>
    <s v="天津"/>
    <x v="0"/>
    <n v="60"/>
    <x v="0"/>
  </r>
  <r>
    <n v="5"/>
    <s v="天津"/>
    <x v="0"/>
    <n v="120"/>
    <x v="0"/>
  </r>
  <r>
    <n v="5"/>
    <s v="天津"/>
    <x v="0"/>
    <n v="150"/>
    <x v="0"/>
  </r>
  <r>
    <n v="8"/>
    <s v="广东"/>
    <x v="1"/>
    <n v="534"/>
    <x v="0"/>
  </r>
  <r>
    <n v="8"/>
    <s v="广东"/>
    <x v="1"/>
    <n v="902"/>
    <x v="0"/>
  </r>
  <r>
    <n v="8"/>
    <s v="广东"/>
    <x v="1"/>
    <n v="131"/>
    <x v="0"/>
  </r>
  <r>
    <n v="8"/>
    <s v="广东"/>
    <x v="1"/>
    <n v="214"/>
    <x v="0"/>
  </r>
  <r>
    <n v="8"/>
    <s v="广东"/>
    <x v="1"/>
    <n v="140"/>
    <x v="0"/>
  </r>
  <r>
    <n v="8"/>
    <s v="广东"/>
    <x v="1"/>
    <n v="79"/>
    <x v="0"/>
  </r>
  <r>
    <n v="8"/>
    <s v="广东"/>
    <x v="1"/>
    <n v="123"/>
    <x v="0"/>
  </r>
  <r>
    <n v="8"/>
    <s v="广东"/>
    <x v="1"/>
    <n v="113"/>
    <x v="0"/>
  </r>
  <r>
    <n v="8"/>
    <s v="广东"/>
    <x v="1"/>
    <n v="228"/>
    <x v="0"/>
  </r>
  <r>
    <n v="8"/>
    <s v="广东"/>
    <x v="1"/>
    <n v="110"/>
    <x v="0"/>
  </r>
  <r>
    <n v="8"/>
    <s v="广东"/>
    <x v="1"/>
    <n v="180"/>
    <x v="0"/>
  </r>
  <r>
    <n v="1"/>
    <s v="河北"/>
    <x v="0"/>
    <n v="659"/>
    <x v="0"/>
  </r>
  <r>
    <n v="1"/>
    <s v="河北"/>
    <x v="0"/>
    <n v="770"/>
    <x v="0"/>
  </r>
  <r>
    <n v="1"/>
    <s v="河北"/>
    <x v="0"/>
    <n v="630"/>
    <x v="0"/>
  </r>
  <r>
    <n v="1"/>
    <s v="河北"/>
    <x v="0"/>
    <n v="315"/>
    <x v="0"/>
  </r>
  <r>
    <n v="1"/>
    <s v="河北"/>
    <x v="0"/>
    <n v="70"/>
    <x v="0"/>
  </r>
  <r>
    <n v="1"/>
    <s v="河北"/>
    <x v="0"/>
    <n v="66"/>
    <x v="0"/>
  </r>
  <r>
    <n v="1"/>
    <s v="河北"/>
    <x v="0"/>
    <n v="126"/>
    <x v="0"/>
  </r>
  <r>
    <n v="1"/>
    <s v="河北"/>
    <x v="0"/>
    <n v="123"/>
    <x v="0"/>
  </r>
  <r>
    <n v="1"/>
    <s v="河北"/>
    <x v="0"/>
    <n v="90"/>
    <x v="0"/>
  </r>
  <r>
    <n v="1"/>
    <s v="河北"/>
    <x v="0"/>
    <n v="739"/>
    <x v="0"/>
  </r>
  <r>
    <n v="1"/>
    <s v="河北"/>
    <x v="0"/>
    <n v="1976"/>
    <x v="0"/>
  </r>
  <r>
    <n v="1"/>
    <s v="河北"/>
    <x v="0"/>
    <n v="28"/>
    <x v="0"/>
  </r>
  <r>
    <n v="1"/>
    <s v="河北"/>
    <x v="0"/>
    <n v="44"/>
    <x v="0"/>
  </r>
  <r>
    <n v="1"/>
    <s v="河北"/>
    <x v="0"/>
    <n v="27"/>
    <x v="0"/>
  </r>
  <r>
    <n v="1"/>
    <s v="河北"/>
    <x v="0"/>
    <n v="507"/>
    <x v="0"/>
  </r>
  <r>
    <n v="1"/>
    <s v="河北"/>
    <x v="0"/>
    <n v="836"/>
    <x v="0"/>
  </r>
  <r>
    <n v="1"/>
    <s v="河北"/>
    <x v="0"/>
    <n v="646"/>
    <x v="0"/>
  </r>
  <r>
    <n v="1"/>
    <s v="河北"/>
    <x v="0"/>
    <n v="838"/>
    <x v="0"/>
  </r>
  <r>
    <n v="1"/>
    <s v="河北"/>
    <x v="0"/>
    <n v="2875"/>
    <x v="0"/>
  </r>
  <r>
    <n v="1"/>
    <s v="河北"/>
    <x v="0"/>
    <n v="1874"/>
    <x v="0"/>
  </r>
  <r>
    <n v="1"/>
    <s v="河北"/>
    <x v="0"/>
    <n v="90"/>
    <x v="0"/>
  </r>
  <r>
    <n v="1"/>
    <s v="河北"/>
    <x v="0"/>
    <n v="1343"/>
    <x v="0"/>
  </r>
  <r>
    <n v="1"/>
    <s v="河北"/>
    <x v="0"/>
    <n v="404"/>
    <x v="0"/>
  </r>
  <r>
    <n v="1"/>
    <s v="河北"/>
    <x v="0"/>
    <n v="44"/>
    <x v="0"/>
  </r>
  <r>
    <n v="1"/>
    <s v="河北"/>
    <x v="0"/>
    <n v="79"/>
    <x v="0"/>
  </r>
  <r>
    <n v="1"/>
    <s v="河北"/>
    <x v="0"/>
    <n v="114"/>
    <x v="0"/>
  </r>
  <r>
    <n v="1"/>
    <s v="河北"/>
    <x v="0"/>
    <n v="124"/>
    <x v="0"/>
  </r>
  <r>
    <n v="1"/>
    <s v="河北"/>
    <x v="0"/>
    <n v="169"/>
    <x v="0"/>
  </r>
  <r>
    <n v="2"/>
    <s v="安徽"/>
    <x v="0"/>
    <n v="220"/>
    <x v="0"/>
  </r>
  <r>
    <n v="2"/>
    <s v="安徽"/>
    <x v="0"/>
    <n v="175"/>
    <x v="0"/>
  </r>
  <r>
    <n v="2"/>
    <s v="安徽"/>
    <x v="0"/>
    <n v="477"/>
    <x v="0"/>
  </r>
  <r>
    <n v="2"/>
    <s v="安徽"/>
    <x v="0"/>
    <n v="88"/>
    <x v="0"/>
  </r>
  <r>
    <n v="2"/>
    <s v="安徽"/>
    <x v="0"/>
    <n v="248"/>
    <x v="0"/>
  </r>
  <r>
    <n v="2"/>
    <s v="安徽"/>
    <x v="0"/>
    <n v="90"/>
    <x v="0"/>
  </r>
  <r>
    <n v="2"/>
    <s v="安徽"/>
    <x v="0"/>
    <n v="263"/>
    <x v="0"/>
  </r>
  <r>
    <n v="2"/>
    <s v="安徽"/>
    <x v="0"/>
    <n v="113"/>
    <x v="0"/>
  </r>
  <r>
    <n v="2"/>
    <s v="安徽"/>
    <x v="0"/>
    <n v="1206"/>
    <x v="0"/>
  </r>
  <r>
    <n v="2"/>
    <s v="安徽"/>
    <x v="0"/>
    <n v="239"/>
    <x v="0"/>
  </r>
  <r>
    <n v="2"/>
    <s v="安徽"/>
    <x v="0"/>
    <n v="158"/>
    <x v="0"/>
  </r>
  <r>
    <n v="2"/>
    <s v="安徽"/>
    <x v="0"/>
    <n v="110"/>
    <x v="0"/>
  </r>
  <r>
    <n v="2"/>
    <s v="安徽"/>
    <x v="0"/>
    <n v="1165"/>
    <x v="0"/>
  </r>
  <r>
    <n v="2"/>
    <s v="安徽"/>
    <x v="0"/>
    <n v="945"/>
    <x v="0"/>
  </r>
  <r>
    <n v="2"/>
    <s v="安徽"/>
    <x v="0"/>
    <n v="79"/>
    <x v="0"/>
  </r>
  <r>
    <n v="2"/>
    <s v="安徽"/>
    <x v="0"/>
    <n v="105"/>
    <x v="0"/>
  </r>
  <r>
    <n v="2"/>
    <s v="安徽"/>
    <x v="0"/>
    <n v="146"/>
    <x v="0"/>
  </r>
  <r>
    <n v="2"/>
    <s v="安徽"/>
    <x v="0"/>
    <n v="123"/>
    <x v="0"/>
  </r>
  <r>
    <n v="2"/>
    <s v="安徽"/>
    <x v="0"/>
    <n v="220"/>
    <x v="0"/>
  </r>
  <r>
    <n v="2"/>
    <s v="安徽"/>
    <x v="0"/>
    <n v="90"/>
    <x v="0"/>
  </r>
  <r>
    <n v="2"/>
    <s v="安徽"/>
    <x v="0"/>
    <n v="958"/>
    <x v="0"/>
  </r>
  <r>
    <n v="2"/>
    <s v="安徽"/>
    <x v="0"/>
    <n v="371"/>
    <x v="0"/>
  </r>
  <r>
    <n v="2"/>
    <s v="安徽"/>
    <x v="0"/>
    <n v="1867"/>
    <x v="0"/>
  </r>
  <r>
    <n v="2"/>
    <s v="安徽"/>
    <x v="0"/>
    <n v="371"/>
    <x v="0"/>
  </r>
  <r>
    <n v="2"/>
    <s v="安徽"/>
    <x v="0"/>
    <n v="114"/>
    <x v="0"/>
  </r>
  <r>
    <n v="2"/>
    <s v="安徽"/>
    <x v="0"/>
    <n v="151"/>
    <x v="0"/>
  </r>
  <r>
    <n v="2"/>
    <s v="安徽"/>
    <x v="0"/>
    <n v="180"/>
    <x v="0"/>
  </r>
  <r>
    <n v="3"/>
    <s v="广西"/>
    <x v="1"/>
    <n v="658"/>
    <x v="0"/>
  </r>
  <r>
    <n v="3"/>
    <s v="广西"/>
    <x v="1"/>
    <n v="270"/>
    <x v="0"/>
  </r>
  <r>
    <n v="3"/>
    <s v="广西"/>
    <x v="1"/>
    <n v="368"/>
    <x v="0"/>
  </r>
  <r>
    <n v="3"/>
    <s v="广西"/>
    <x v="1"/>
    <n v="862"/>
    <x v="0"/>
  </r>
  <r>
    <n v="3"/>
    <s v="广西"/>
    <x v="1"/>
    <n v="263"/>
    <x v="0"/>
  </r>
  <r>
    <n v="3"/>
    <s v="广西"/>
    <x v="1"/>
    <n v="706"/>
    <x v="0"/>
  </r>
  <r>
    <n v="3"/>
    <s v="广西"/>
    <x v="1"/>
    <n v="63"/>
    <x v="0"/>
  </r>
  <r>
    <n v="3"/>
    <s v="广西"/>
    <x v="1"/>
    <n v="72"/>
    <x v="0"/>
  </r>
  <r>
    <n v="3"/>
    <s v="广西"/>
    <x v="1"/>
    <n v="53"/>
    <x v="0"/>
  </r>
  <r>
    <n v="3"/>
    <s v="广西"/>
    <x v="1"/>
    <n v="413"/>
    <x v="0"/>
  </r>
  <r>
    <n v="3"/>
    <s v="广西"/>
    <x v="1"/>
    <n v="615"/>
    <x v="0"/>
  </r>
  <r>
    <n v="3"/>
    <s v="广西"/>
    <x v="1"/>
    <n v="124"/>
    <x v="0"/>
  </r>
  <r>
    <n v="3"/>
    <s v="广西"/>
    <x v="1"/>
    <n v="2068"/>
    <x v="0"/>
  </r>
  <r>
    <n v="3"/>
    <s v="广西"/>
    <x v="1"/>
    <n v="368"/>
    <x v="0"/>
  </r>
  <r>
    <n v="3"/>
    <s v="广西"/>
    <x v="1"/>
    <n v="557"/>
    <x v="0"/>
  </r>
  <r>
    <n v="3"/>
    <s v="广西"/>
    <x v="1"/>
    <n v="236"/>
    <x v="0"/>
  </r>
  <r>
    <n v="3"/>
    <s v="广西"/>
    <x v="1"/>
    <n v="859"/>
    <x v="0"/>
  </r>
  <r>
    <n v="3"/>
    <s v="广西"/>
    <x v="1"/>
    <n v="933"/>
    <x v="0"/>
  </r>
  <r>
    <n v="3"/>
    <s v="广西"/>
    <x v="1"/>
    <n v="1900"/>
    <x v="0"/>
  </r>
  <r>
    <n v="3"/>
    <s v="广西"/>
    <x v="1"/>
    <n v="263"/>
    <x v="0"/>
  </r>
  <r>
    <n v="3"/>
    <s v="广西"/>
    <x v="1"/>
    <n v="124"/>
    <x v="0"/>
  </r>
  <r>
    <n v="3"/>
    <s v="广西"/>
    <x v="1"/>
    <n v="270"/>
    <x v="0"/>
  </r>
  <r>
    <n v="4"/>
    <s v="江苏"/>
    <x v="1"/>
    <n v="61"/>
    <x v="0"/>
  </r>
  <r>
    <n v="4"/>
    <s v="江苏"/>
    <x v="1"/>
    <n v="230"/>
    <x v="0"/>
  </r>
  <r>
    <n v="4"/>
    <s v="江苏"/>
    <x v="1"/>
    <n v="214"/>
    <x v="0"/>
  </r>
  <r>
    <n v="4"/>
    <s v="江苏"/>
    <x v="1"/>
    <n v="176"/>
    <x v="0"/>
  </r>
  <r>
    <n v="4"/>
    <s v="江苏"/>
    <x v="1"/>
    <n v="49"/>
    <x v="0"/>
  </r>
  <r>
    <n v="4"/>
    <s v="江苏"/>
    <x v="1"/>
    <n v="72"/>
    <x v="0"/>
  </r>
  <r>
    <n v="4"/>
    <s v="江苏"/>
    <x v="1"/>
    <n v="98"/>
    <x v="0"/>
  </r>
  <r>
    <n v="4"/>
    <s v="江苏"/>
    <x v="1"/>
    <n v="50"/>
    <x v="0"/>
  </r>
  <r>
    <n v="4"/>
    <s v="江苏"/>
    <x v="1"/>
    <n v="95"/>
    <x v="0"/>
  </r>
  <r>
    <n v="4"/>
    <s v="江苏"/>
    <x v="1"/>
    <n v="149"/>
    <x v="0"/>
  </r>
  <r>
    <n v="4"/>
    <s v="江苏"/>
    <x v="1"/>
    <n v="149"/>
    <x v="0"/>
  </r>
  <r>
    <n v="4"/>
    <s v="江苏"/>
    <x v="1"/>
    <n v="220"/>
    <x v="0"/>
  </r>
  <r>
    <n v="4"/>
    <s v="江苏"/>
    <x v="1"/>
    <n v="191"/>
    <x v="0"/>
  </r>
  <r>
    <n v="4"/>
    <s v="江苏"/>
    <x v="1"/>
    <n v="201"/>
    <x v="0"/>
  </r>
  <r>
    <n v="4"/>
    <s v="江苏"/>
    <x v="1"/>
    <n v="259"/>
    <x v="0"/>
  </r>
  <r>
    <n v="4"/>
    <s v="江苏"/>
    <x v="1"/>
    <n v="149"/>
    <x v="0"/>
  </r>
  <r>
    <n v="4"/>
    <s v="江苏"/>
    <x v="1"/>
    <n v="113"/>
    <x v="0"/>
  </r>
  <r>
    <n v="4"/>
    <s v="江苏"/>
    <x v="1"/>
    <n v="70"/>
    <x v="0"/>
  </r>
  <r>
    <n v="4"/>
    <s v="江苏"/>
    <x v="1"/>
    <n v="79"/>
    <x v="0"/>
  </r>
  <r>
    <n v="4"/>
    <s v="江苏"/>
    <x v="1"/>
    <n v="96"/>
    <x v="0"/>
  </r>
  <r>
    <n v="4"/>
    <s v="江苏"/>
    <x v="1"/>
    <n v="151"/>
    <x v="0"/>
  </r>
  <r>
    <n v="4"/>
    <s v="江苏"/>
    <x v="1"/>
    <n v="191"/>
    <x v="0"/>
  </r>
  <r>
    <n v="5"/>
    <s v="天津"/>
    <x v="0"/>
    <n v="142"/>
    <x v="0"/>
  </r>
  <r>
    <n v="5"/>
    <s v="天津"/>
    <x v="0"/>
    <n v="136"/>
    <x v="0"/>
  </r>
  <r>
    <n v="5"/>
    <s v="天津"/>
    <x v="0"/>
    <n v="353"/>
    <x v="0"/>
  </r>
  <r>
    <n v="5"/>
    <s v="天津"/>
    <x v="0"/>
    <n v="66"/>
    <x v="0"/>
  </r>
  <r>
    <n v="5"/>
    <s v="天津"/>
    <x v="0"/>
    <n v="146"/>
    <x v="0"/>
  </r>
  <r>
    <n v="5"/>
    <s v="天津"/>
    <x v="0"/>
    <n v="63"/>
    <x v="0"/>
  </r>
  <r>
    <n v="5"/>
    <s v="天津"/>
    <x v="0"/>
    <n v="144"/>
    <x v="0"/>
  </r>
  <r>
    <n v="5"/>
    <s v="天津"/>
    <x v="0"/>
    <n v="79"/>
    <x v="0"/>
  </r>
  <r>
    <n v="5"/>
    <s v="天津"/>
    <x v="0"/>
    <n v="656"/>
    <x v="0"/>
  </r>
  <r>
    <n v="5"/>
    <s v="天津"/>
    <x v="0"/>
    <n v="133"/>
    <x v="0"/>
  </r>
  <r>
    <n v="5"/>
    <s v="天津"/>
    <x v="0"/>
    <n v="91"/>
    <x v="0"/>
  </r>
  <r>
    <n v="5"/>
    <s v="天津"/>
    <x v="0"/>
    <n v="55"/>
    <x v="0"/>
  </r>
  <r>
    <n v="5"/>
    <s v="天津"/>
    <x v="0"/>
    <n v="795"/>
    <x v="0"/>
  </r>
  <r>
    <n v="5"/>
    <s v="天津"/>
    <x v="0"/>
    <n v="579"/>
    <x v="0"/>
  </r>
  <r>
    <n v="5"/>
    <s v="天津"/>
    <x v="0"/>
    <n v="55"/>
    <x v="0"/>
  </r>
  <r>
    <n v="5"/>
    <s v="天津"/>
    <x v="0"/>
    <n v="75"/>
    <x v="0"/>
  </r>
  <r>
    <n v="5"/>
    <s v="天津"/>
    <x v="0"/>
    <n v="87"/>
    <x v="0"/>
  </r>
  <r>
    <n v="5"/>
    <s v="天津"/>
    <x v="0"/>
    <n v="69"/>
    <x v="0"/>
  </r>
  <r>
    <n v="5"/>
    <s v="天津"/>
    <x v="0"/>
    <n v="165"/>
    <x v="0"/>
  </r>
  <r>
    <n v="5"/>
    <s v="天津"/>
    <x v="0"/>
    <n v="51"/>
    <x v="0"/>
  </r>
  <r>
    <n v="5"/>
    <s v="天津"/>
    <x v="0"/>
    <n v="632"/>
    <x v="0"/>
  </r>
  <r>
    <n v="5"/>
    <s v="天津"/>
    <x v="0"/>
    <n v="204"/>
    <x v="0"/>
  </r>
  <r>
    <n v="5"/>
    <s v="天津"/>
    <x v="0"/>
    <n v="870"/>
    <x v="0"/>
  </r>
  <r>
    <n v="5"/>
    <s v="天津"/>
    <x v="0"/>
    <n v="246"/>
    <x v="0"/>
  </r>
  <r>
    <n v="5"/>
    <s v="天津"/>
    <x v="0"/>
    <n v="65"/>
    <x v="0"/>
  </r>
  <r>
    <n v="5"/>
    <s v="天津"/>
    <x v="0"/>
    <n v="84"/>
    <x v="0"/>
  </r>
  <r>
    <n v="5"/>
    <s v="天津"/>
    <x v="0"/>
    <n v="136"/>
    <x v="0"/>
  </r>
  <r>
    <n v="8"/>
    <s v="广东"/>
    <x v="1"/>
    <n v="534"/>
    <x v="0"/>
  </r>
  <r>
    <n v="8"/>
    <s v="广东"/>
    <x v="1"/>
    <n v="923"/>
    <x v="0"/>
  </r>
  <r>
    <n v="8"/>
    <s v="广东"/>
    <x v="1"/>
    <n v="131"/>
    <x v="0"/>
  </r>
  <r>
    <n v="8"/>
    <s v="广东"/>
    <x v="1"/>
    <n v="270"/>
    <x v="0"/>
  </r>
  <r>
    <n v="8"/>
    <s v="广东"/>
    <x v="1"/>
    <n v="140"/>
    <x v="0"/>
  </r>
  <r>
    <n v="8"/>
    <s v="广东"/>
    <x v="1"/>
    <n v="113"/>
    <x v="0"/>
  </r>
  <r>
    <n v="8"/>
    <s v="广东"/>
    <x v="1"/>
    <n v="175"/>
    <x v="0"/>
  </r>
  <r>
    <n v="8"/>
    <s v="广东"/>
    <x v="1"/>
    <n v="113"/>
    <x v="0"/>
  </r>
  <r>
    <n v="8"/>
    <s v="广东"/>
    <x v="1"/>
    <n v="254"/>
    <x v="0"/>
  </r>
  <r>
    <n v="8"/>
    <s v="广东"/>
    <x v="1"/>
    <n v="83"/>
    <x v="0"/>
  </r>
  <r>
    <n v="8"/>
    <s v="广东"/>
    <x v="1"/>
    <n v="225"/>
    <x v="0"/>
  </r>
  <r>
    <n v="1"/>
    <s v="河北"/>
    <x v="0"/>
    <n v="770"/>
    <x v="0"/>
  </r>
  <r>
    <n v="1"/>
    <s v="河北"/>
    <x v="0"/>
    <n v="735"/>
    <x v="0"/>
  </r>
  <r>
    <n v="1"/>
    <s v="河北"/>
    <x v="0"/>
    <n v="606"/>
    <x v="0"/>
  </r>
  <r>
    <n v="1"/>
    <s v="河北"/>
    <x v="0"/>
    <n v="315"/>
    <x v="0"/>
  </r>
  <r>
    <n v="1"/>
    <s v="河北"/>
    <x v="0"/>
    <n v="63"/>
    <x v="0"/>
  </r>
  <r>
    <n v="1"/>
    <s v="河北"/>
    <x v="0"/>
    <n v="72"/>
    <x v="0"/>
  </r>
  <r>
    <n v="1"/>
    <s v="河北"/>
    <x v="0"/>
    <n v="113"/>
    <x v="0"/>
  </r>
  <r>
    <n v="1"/>
    <s v="河北"/>
    <x v="0"/>
    <n v="175"/>
    <x v="0"/>
  </r>
  <r>
    <n v="1"/>
    <s v="河北"/>
    <x v="0"/>
    <n v="113"/>
    <x v="0"/>
  </r>
  <r>
    <n v="1"/>
    <s v="河北"/>
    <x v="0"/>
    <n v="644"/>
    <x v="0"/>
  </r>
  <r>
    <n v="1"/>
    <s v="河北"/>
    <x v="0"/>
    <n v="1630"/>
    <x v="0"/>
  </r>
  <r>
    <n v="1"/>
    <s v="河北"/>
    <x v="0"/>
    <n v="28"/>
    <x v="0"/>
  </r>
  <r>
    <n v="1"/>
    <s v="河北"/>
    <x v="0"/>
    <n v="61"/>
    <x v="0"/>
  </r>
  <r>
    <n v="1"/>
    <s v="河北"/>
    <x v="0"/>
    <n v="27"/>
    <x v="0"/>
  </r>
  <r>
    <n v="1"/>
    <s v="河北"/>
    <x v="0"/>
    <n v="681"/>
    <x v="0"/>
  </r>
  <r>
    <n v="1"/>
    <s v="河北"/>
    <x v="0"/>
    <n v="848"/>
    <x v="0"/>
  </r>
  <r>
    <n v="1"/>
    <s v="河北"/>
    <x v="0"/>
    <n v="696"/>
    <x v="0"/>
  </r>
  <r>
    <n v="1"/>
    <s v="河北"/>
    <x v="0"/>
    <n v="985"/>
    <x v="0"/>
  </r>
  <r>
    <n v="1"/>
    <s v="河北"/>
    <x v="0"/>
    <n v="1601"/>
    <x v="0"/>
  </r>
  <r>
    <n v="1"/>
    <s v="河北"/>
    <x v="0"/>
    <n v="2290"/>
    <x v="0"/>
  </r>
  <r>
    <n v="1"/>
    <s v="河北"/>
    <x v="0"/>
    <n v="90"/>
    <x v="0"/>
  </r>
  <r>
    <n v="1"/>
    <s v="河北"/>
    <x v="0"/>
    <n v="1310"/>
    <x v="0"/>
  </r>
  <r>
    <n v="1"/>
    <s v="河北"/>
    <x v="0"/>
    <n v="437"/>
    <x v="0"/>
  </r>
  <r>
    <n v="1"/>
    <s v="河北"/>
    <x v="0"/>
    <n v="44"/>
    <x v="0"/>
  </r>
  <r>
    <n v="1"/>
    <s v="河北"/>
    <x v="0"/>
    <n v="79"/>
    <x v="0"/>
  </r>
  <r>
    <n v="1"/>
    <s v="河北"/>
    <x v="0"/>
    <n v="131"/>
    <x v="0"/>
  </r>
  <r>
    <n v="1"/>
    <s v="河北"/>
    <x v="0"/>
    <n v="138"/>
    <x v="0"/>
  </r>
  <r>
    <n v="1"/>
    <s v="河北"/>
    <x v="0"/>
    <n v="191"/>
    <x v="0"/>
  </r>
  <r>
    <n v="2"/>
    <s v="安徽"/>
    <x v="0"/>
    <n v="248"/>
    <x v="0"/>
  </r>
  <r>
    <n v="2"/>
    <s v="安徽"/>
    <x v="0"/>
    <n v="175"/>
    <x v="0"/>
  </r>
  <r>
    <n v="2"/>
    <s v="安徽"/>
    <x v="0"/>
    <n v="630"/>
    <x v="0"/>
  </r>
  <r>
    <n v="2"/>
    <s v="安徽"/>
    <x v="0"/>
    <n v="140"/>
    <x v="0"/>
  </r>
  <r>
    <n v="2"/>
    <s v="安徽"/>
    <x v="0"/>
    <n v="358"/>
    <x v="0"/>
  </r>
  <r>
    <n v="2"/>
    <s v="安徽"/>
    <x v="0"/>
    <n v="113"/>
    <x v="0"/>
  </r>
  <r>
    <n v="2"/>
    <s v="安徽"/>
    <x v="0"/>
    <n v="440"/>
    <x v="0"/>
  </r>
  <r>
    <n v="2"/>
    <s v="安徽"/>
    <x v="0"/>
    <n v="45"/>
    <x v="0"/>
  </r>
  <r>
    <n v="2"/>
    <s v="安徽"/>
    <x v="0"/>
    <n v="1272"/>
    <x v="0"/>
  </r>
  <r>
    <n v="2"/>
    <s v="安徽"/>
    <x v="0"/>
    <n v="252"/>
    <x v="0"/>
  </r>
  <r>
    <n v="2"/>
    <s v="安徽"/>
    <x v="0"/>
    <n v="158"/>
    <x v="0"/>
  </r>
  <r>
    <n v="2"/>
    <s v="安徽"/>
    <x v="0"/>
    <n v="83"/>
    <x v="0"/>
  </r>
  <r>
    <n v="2"/>
    <s v="安徽"/>
    <x v="0"/>
    <n v="1136"/>
    <x v="0"/>
  </r>
  <r>
    <n v="2"/>
    <s v="安徽"/>
    <x v="0"/>
    <n v="1075"/>
    <x v="0"/>
  </r>
  <r>
    <n v="2"/>
    <s v="安徽"/>
    <x v="0"/>
    <n v="90"/>
    <x v="0"/>
  </r>
  <r>
    <n v="2"/>
    <s v="安徽"/>
    <x v="0"/>
    <n v="79"/>
    <x v="0"/>
  </r>
  <r>
    <n v="2"/>
    <s v="安徽"/>
    <x v="0"/>
    <n v="135"/>
    <x v="0"/>
  </r>
  <r>
    <n v="2"/>
    <s v="安徽"/>
    <x v="0"/>
    <n v="149"/>
    <x v="0"/>
  </r>
  <r>
    <n v="2"/>
    <s v="安徽"/>
    <x v="0"/>
    <n v="234"/>
    <x v="0"/>
  </r>
  <r>
    <n v="2"/>
    <s v="安徽"/>
    <x v="0"/>
    <n v="90"/>
    <x v="0"/>
  </r>
  <r>
    <n v="2"/>
    <s v="安徽"/>
    <x v="0"/>
    <n v="1115"/>
    <x v="0"/>
  </r>
  <r>
    <n v="2"/>
    <s v="安徽"/>
    <x v="0"/>
    <n v="458"/>
    <x v="0"/>
  </r>
  <r>
    <n v="2"/>
    <s v="安徽"/>
    <x v="0"/>
    <n v="2083"/>
    <x v="0"/>
  </r>
  <r>
    <n v="2"/>
    <s v="安徽"/>
    <x v="0"/>
    <n v="415"/>
    <x v="0"/>
  </r>
  <r>
    <n v="2"/>
    <s v="安徽"/>
    <x v="0"/>
    <n v="123"/>
    <x v="0"/>
  </r>
  <r>
    <n v="2"/>
    <s v="安徽"/>
    <x v="0"/>
    <n v="193"/>
    <x v="0"/>
  </r>
  <r>
    <n v="2"/>
    <s v="安徽"/>
    <x v="0"/>
    <n v="191"/>
    <x v="0"/>
  </r>
  <r>
    <n v="3"/>
    <s v="广西"/>
    <x v="1"/>
    <n v="782"/>
    <x v="0"/>
  </r>
  <r>
    <n v="3"/>
    <s v="广西"/>
    <x v="1"/>
    <n v="270"/>
    <x v="0"/>
  </r>
  <r>
    <n v="3"/>
    <s v="广西"/>
    <x v="1"/>
    <n v="420"/>
    <x v="0"/>
  </r>
  <r>
    <n v="3"/>
    <s v="广西"/>
    <x v="1"/>
    <n v="952"/>
    <x v="0"/>
  </r>
  <r>
    <n v="3"/>
    <s v="广西"/>
    <x v="1"/>
    <n v="210"/>
    <x v="0"/>
  </r>
  <r>
    <n v="3"/>
    <s v="广西"/>
    <x v="1"/>
    <n v="468"/>
    <x v="0"/>
  </r>
  <r>
    <n v="3"/>
    <s v="广西"/>
    <x v="1"/>
    <n v="56"/>
    <x v="0"/>
  </r>
  <r>
    <n v="3"/>
    <s v="广西"/>
    <x v="1"/>
    <n v="72"/>
    <x v="0"/>
  </r>
  <r>
    <n v="3"/>
    <s v="广西"/>
    <x v="1"/>
    <n v="655"/>
    <x v="0"/>
  </r>
  <r>
    <n v="3"/>
    <s v="广西"/>
    <x v="1"/>
    <n v="1180"/>
    <x v="0"/>
  </r>
  <r>
    <n v="3"/>
    <s v="广西"/>
    <x v="1"/>
    <n v="441"/>
    <x v="0"/>
  </r>
  <r>
    <n v="3"/>
    <s v="广西"/>
    <x v="1"/>
    <n v="2443"/>
    <x v="0"/>
  </r>
  <r>
    <n v="3"/>
    <s v="广西"/>
    <x v="1"/>
    <n v="394"/>
    <x v="0"/>
  </r>
  <r>
    <n v="3"/>
    <s v="广西"/>
    <x v="1"/>
    <n v="557"/>
    <x v="0"/>
  </r>
  <r>
    <n v="3"/>
    <s v="广西"/>
    <x v="1"/>
    <n v="184"/>
    <x v="0"/>
  </r>
  <r>
    <n v="3"/>
    <s v="广西"/>
    <x v="1"/>
    <n v="786"/>
    <x v="0"/>
  </r>
  <r>
    <n v="3"/>
    <s v="广西"/>
    <x v="1"/>
    <n v="1129"/>
    <x v="0"/>
  </r>
  <r>
    <n v="3"/>
    <s v="广西"/>
    <x v="1"/>
    <n v="912"/>
    <x v="0"/>
  </r>
  <r>
    <n v="3"/>
    <s v="广西"/>
    <x v="1"/>
    <n v="289"/>
    <x v="0"/>
  </r>
  <r>
    <n v="3"/>
    <s v="广西"/>
    <x v="1"/>
    <n v="206"/>
    <x v="0"/>
  </r>
  <r>
    <n v="3"/>
    <s v="广西"/>
    <x v="1"/>
    <n v="304"/>
    <x v="0"/>
  </r>
  <r>
    <n v="4"/>
    <s v="江苏"/>
    <x v="1"/>
    <n v="50"/>
    <x v="0"/>
  </r>
  <r>
    <n v="4"/>
    <s v="江苏"/>
    <x v="1"/>
    <n v="302"/>
    <x v="0"/>
  </r>
  <r>
    <n v="4"/>
    <s v="江苏"/>
    <x v="1"/>
    <n v="273"/>
    <x v="0"/>
  </r>
  <r>
    <n v="4"/>
    <s v="江苏"/>
    <x v="1"/>
    <n v="185"/>
    <x v="0"/>
  </r>
  <r>
    <n v="4"/>
    <s v="江苏"/>
    <x v="1"/>
    <n v="56"/>
    <x v="0"/>
  </r>
  <r>
    <n v="4"/>
    <s v="江苏"/>
    <x v="1"/>
    <n v="86"/>
    <x v="0"/>
  </r>
  <r>
    <n v="4"/>
    <s v="江苏"/>
    <x v="1"/>
    <n v="105"/>
    <x v="0"/>
  </r>
  <r>
    <n v="4"/>
    <s v="江苏"/>
    <x v="1"/>
    <n v="63"/>
    <x v="0"/>
  </r>
  <r>
    <n v="4"/>
    <s v="江苏"/>
    <x v="1"/>
    <n v="102"/>
    <x v="0"/>
  </r>
  <r>
    <n v="4"/>
    <s v="江苏"/>
    <x v="1"/>
    <n v="171"/>
    <x v="0"/>
  </r>
  <r>
    <n v="4"/>
    <s v="江苏"/>
    <x v="1"/>
    <n v="158"/>
    <x v="0"/>
  </r>
  <r>
    <n v="4"/>
    <s v="江苏"/>
    <x v="1"/>
    <n v="248"/>
    <x v="0"/>
  </r>
  <r>
    <n v="4"/>
    <s v="江苏"/>
    <x v="1"/>
    <n v="225"/>
    <x v="0"/>
  </r>
  <r>
    <n v="4"/>
    <s v="江苏"/>
    <x v="1"/>
    <n v="245"/>
    <x v="0"/>
  </r>
  <r>
    <n v="4"/>
    <s v="江苏"/>
    <x v="1"/>
    <n v="360"/>
    <x v="0"/>
  </r>
  <r>
    <n v="4"/>
    <s v="江苏"/>
    <x v="1"/>
    <n v="166"/>
    <x v="0"/>
  </r>
  <r>
    <n v="4"/>
    <s v="江苏"/>
    <x v="1"/>
    <n v="135"/>
    <x v="0"/>
  </r>
  <r>
    <n v="4"/>
    <s v="江苏"/>
    <x v="1"/>
    <n v="79"/>
    <x v="0"/>
  </r>
  <r>
    <n v="4"/>
    <s v="江苏"/>
    <x v="1"/>
    <n v="90"/>
    <x v="0"/>
  </r>
  <r>
    <n v="4"/>
    <s v="江苏"/>
    <x v="1"/>
    <n v="105"/>
    <x v="0"/>
  </r>
  <r>
    <n v="4"/>
    <s v="江苏"/>
    <x v="1"/>
    <n v="151"/>
    <x v="0"/>
  </r>
  <r>
    <n v="4"/>
    <s v="江苏"/>
    <x v="1"/>
    <n v="203"/>
    <x v="0"/>
  </r>
  <r>
    <n v="5"/>
    <s v="天津"/>
    <x v="0"/>
    <n v="119"/>
    <x v="0"/>
  </r>
  <r>
    <n v="5"/>
    <s v="天津"/>
    <x v="0"/>
    <n v="80"/>
    <x v="0"/>
  </r>
  <r>
    <n v="5"/>
    <s v="天津"/>
    <x v="0"/>
    <n v="340"/>
    <x v="0"/>
  </r>
  <r>
    <n v="5"/>
    <s v="天津"/>
    <x v="0"/>
    <n v="65"/>
    <x v="0"/>
  </r>
  <r>
    <n v="5"/>
    <s v="天津"/>
    <x v="0"/>
    <n v="167"/>
    <x v="0"/>
  </r>
  <r>
    <n v="5"/>
    <s v="天津"/>
    <x v="0"/>
    <n v="59"/>
    <x v="0"/>
  </r>
  <r>
    <n v="5"/>
    <s v="天津"/>
    <x v="0"/>
    <n v="198"/>
    <x v="0"/>
  </r>
  <r>
    <n v="5"/>
    <s v="天津"/>
    <x v="0"/>
    <n v="44"/>
    <x v="0"/>
  </r>
  <r>
    <n v="5"/>
    <s v="天津"/>
    <x v="0"/>
    <n v="740"/>
    <x v="0"/>
  </r>
  <r>
    <n v="5"/>
    <s v="天津"/>
    <x v="0"/>
    <n v="137"/>
    <x v="0"/>
  </r>
  <r>
    <n v="5"/>
    <s v="天津"/>
    <x v="0"/>
    <n v="118"/>
    <x v="0"/>
  </r>
  <r>
    <n v="5"/>
    <s v="天津"/>
    <x v="0"/>
    <n v="54"/>
    <x v="0"/>
  </r>
  <r>
    <n v="5"/>
    <s v="天津"/>
    <x v="0"/>
    <n v="820"/>
    <x v="0"/>
  </r>
  <r>
    <n v="5"/>
    <s v="天津"/>
    <x v="0"/>
    <n v="624"/>
    <x v="0"/>
  </r>
  <r>
    <n v="5"/>
    <s v="天津"/>
    <x v="0"/>
    <n v="62"/>
    <x v="0"/>
  </r>
  <r>
    <n v="5"/>
    <s v="天津"/>
    <x v="0"/>
    <n v="42"/>
    <x v="0"/>
  </r>
  <r>
    <n v="5"/>
    <s v="天津"/>
    <x v="0"/>
    <n v="61"/>
    <x v="0"/>
  </r>
  <r>
    <n v="5"/>
    <s v="天津"/>
    <x v="0"/>
    <n v="111"/>
    <x v="0"/>
  </r>
  <r>
    <n v="5"/>
    <s v="天津"/>
    <x v="0"/>
    <n v="171"/>
    <x v="0"/>
  </r>
  <r>
    <n v="5"/>
    <s v="天津"/>
    <x v="0"/>
    <n v="63"/>
    <x v="0"/>
  </r>
  <r>
    <n v="5"/>
    <s v="天津"/>
    <x v="0"/>
    <n v="696"/>
    <x v="0"/>
  </r>
  <r>
    <n v="5"/>
    <s v="天津"/>
    <x v="0"/>
    <n v="252"/>
    <x v="0"/>
  </r>
  <r>
    <n v="5"/>
    <s v="天津"/>
    <x v="0"/>
    <n v="1034"/>
    <x v="0"/>
  </r>
  <r>
    <n v="5"/>
    <s v="天津"/>
    <x v="0"/>
    <n v="289"/>
    <x v="0"/>
  </r>
  <r>
    <n v="5"/>
    <s v="天津"/>
    <x v="0"/>
    <n v="62"/>
    <x v="0"/>
  </r>
  <r>
    <n v="5"/>
    <s v="天津"/>
    <x v="0"/>
    <n v="122"/>
    <x v="0"/>
  </r>
  <r>
    <n v="5"/>
    <s v="天津"/>
    <x v="0"/>
    <n v="98"/>
    <x v="0"/>
  </r>
  <r>
    <n v="8"/>
    <s v="广东"/>
    <x v="1"/>
    <n v="588"/>
    <x v="0"/>
  </r>
  <r>
    <n v="8"/>
    <s v="广东"/>
    <x v="1"/>
    <n v="113"/>
    <x v="0"/>
  </r>
  <r>
    <n v="8"/>
    <s v="广东"/>
    <x v="1"/>
    <n v="123"/>
    <x v="0"/>
  </r>
  <r>
    <n v="8"/>
    <s v="广东"/>
    <x v="1"/>
    <n v="293"/>
    <x v="0"/>
  </r>
  <r>
    <n v="8"/>
    <s v="广东"/>
    <x v="1"/>
    <n v="131"/>
    <x v="0"/>
  </r>
  <r>
    <n v="8"/>
    <s v="广东"/>
    <x v="1"/>
    <n v="158"/>
    <x v="0"/>
  </r>
  <r>
    <n v="8"/>
    <s v="广东"/>
    <x v="1"/>
    <n v="140"/>
    <x v="0"/>
  </r>
  <r>
    <n v="8"/>
    <s v="广东"/>
    <x v="1"/>
    <n v="124"/>
    <x v="0"/>
  </r>
  <r>
    <n v="8"/>
    <s v="广东"/>
    <x v="1"/>
    <n v="236"/>
    <x v="0"/>
  </r>
  <r>
    <n v="8"/>
    <s v="广东"/>
    <x v="1"/>
    <n v="220"/>
    <x v="0"/>
  </r>
  <r>
    <n v="8"/>
    <s v="广东"/>
    <x v="1"/>
    <n v="113"/>
    <x v="0"/>
  </r>
  <r>
    <n v="1"/>
    <s v="河北"/>
    <x v="0"/>
    <n v="633"/>
    <x v="0"/>
  </r>
  <r>
    <n v="1"/>
    <s v="河北"/>
    <x v="0"/>
    <n v="774"/>
    <x v="0"/>
  </r>
  <r>
    <n v="1"/>
    <s v="河北"/>
    <x v="0"/>
    <n v="448"/>
    <x v="0"/>
  </r>
  <r>
    <n v="1"/>
    <s v="河北"/>
    <x v="0"/>
    <n v="261"/>
    <x v="0"/>
  </r>
  <r>
    <n v="1"/>
    <s v="河北"/>
    <x v="0"/>
    <n v="60"/>
    <x v="0"/>
  </r>
  <r>
    <n v="1"/>
    <s v="河北"/>
    <x v="0"/>
    <n v="72"/>
    <x v="0"/>
  </r>
  <r>
    <n v="1"/>
    <s v="河北"/>
    <x v="0"/>
    <n v="126"/>
    <x v="0"/>
  </r>
  <r>
    <n v="1"/>
    <s v="河北"/>
    <x v="0"/>
    <n v="158"/>
    <x v="0"/>
  </r>
  <r>
    <n v="1"/>
    <s v="河北"/>
    <x v="0"/>
    <n v="113"/>
    <x v="0"/>
  </r>
  <r>
    <n v="1"/>
    <s v="河北"/>
    <x v="0"/>
    <n v="511"/>
    <x v="0"/>
  </r>
  <r>
    <n v="1"/>
    <s v="河北"/>
    <x v="0"/>
    <n v="1431"/>
    <x v="0"/>
  </r>
  <r>
    <n v="1"/>
    <s v="河北"/>
    <x v="0"/>
    <n v="11"/>
    <x v="0"/>
  </r>
  <r>
    <n v="1"/>
    <s v="河北"/>
    <x v="0"/>
    <n v="28"/>
    <x v="0"/>
  </r>
  <r>
    <n v="1"/>
    <s v="河北"/>
    <x v="0"/>
    <n v="14"/>
    <x v="0"/>
  </r>
  <r>
    <n v="1"/>
    <s v="河北"/>
    <x v="0"/>
    <n v="615"/>
    <x v="0"/>
  </r>
  <r>
    <n v="1"/>
    <s v="河北"/>
    <x v="0"/>
    <n v="976"/>
    <x v="0"/>
  </r>
  <r>
    <n v="1"/>
    <s v="河北"/>
    <x v="0"/>
    <n v="782"/>
    <x v="0"/>
  </r>
  <r>
    <n v="1"/>
    <s v="河北"/>
    <x v="0"/>
    <n v="1365"/>
    <x v="0"/>
  </r>
  <r>
    <n v="1"/>
    <s v="河北"/>
    <x v="0"/>
    <n v="1979"/>
    <x v="0"/>
  </r>
  <r>
    <n v="1"/>
    <s v="河北"/>
    <x v="0"/>
    <n v="2166"/>
    <x v="0"/>
  </r>
  <r>
    <n v="1"/>
    <s v="河北"/>
    <x v="0"/>
    <n v="101"/>
    <x v="0"/>
  </r>
  <r>
    <n v="1"/>
    <s v="河北"/>
    <x v="0"/>
    <n v="1354"/>
    <x v="0"/>
  </r>
  <r>
    <n v="1"/>
    <s v="河北"/>
    <x v="0"/>
    <n v="525"/>
    <x v="0"/>
  </r>
  <r>
    <n v="1"/>
    <s v="河北"/>
    <x v="0"/>
    <n v="53"/>
    <x v="0"/>
  </r>
  <r>
    <n v="1"/>
    <s v="河北"/>
    <x v="0"/>
    <n v="79"/>
    <x v="0"/>
  </r>
  <r>
    <n v="1"/>
    <s v="河北"/>
    <x v="0"/>
    <n v="44"/>
    <x v="0"/>
  </r>
  <r>
    <n v="1"/>
    <s v="河北"/>
    <x v="0"/>
    <n v="55"/>
    <x v="0"/>
  </r>
  <r>
    <n v="1"/>
    <s v="河北"/>
    <x v="0"/>
    <n v="56"/>
    <x v="0"/>
  </r>
  <r>
    <n v="2"/>
    <s v="安徽"/>
    <x v="0"/>
    <n v="193"/>
    <x v="0"/>
  </r>
  <r>
    <n v="2"/>
    <s v="安徽"/>
    <x v="0"/>
    <n v="225"/>
    <x v="0"/>
  </r>
  <r>
    <n v="2"/>
    <s v="安徽"/>
    <x v="0"/>
    <n v="193"/>
    <x v="0"/>
  </r>
  <r>
    <n v="2"/>
    <s v="安徽"/>
    <x v="0"/>
    <n v="620"/>
    <x v="0"/>
  </r>
  <r>
    <n v="2"/>
    <s v="安徽"/>
    <x v="0"/>
    <n v="88"/>
    <x v="0"/>
  </r>
  <r>
    <n v="2"/>
    <s v="安徽"/>
    <x v="0"/>
    <n v="275"/>
    <x v="0"/>
  </r>
  <r>
    <n v="2"/>
    <s v="安徽"/>
    <x v="0"/>
    <n v="113"/>
    <x v="0"/>
  </r>
  <r>
    <n v="2"/>
    <s v="安徽"/>
    <x v="0"/>
    <n v="630"/>
    <x v="0"/>
  </r>
  <r>
    <n v="2"/>
    <s v="安徽"/>
    <x v="0"/>
    <n v="68"/>
    <x v="0"/>
  </r>
  <r>
    <n v="2"/>
    <s v="安徽"/>
    <x v="0"/>
    <n v="1050"/>
    <x v="0"/>
  </r>
  <r>
    <n v="2"/>
    <s v="安徽"/>
    <x v="0"/>
    <n v="374"/>
    <x v="0"/>
  </r>
  <r>
    <n v="2"/>
    <s v="安徽"/>
    <x v="0"/>
    <n v="53"/>
    <x v="0"/>
  </r>
  <r>
    <n v="2"/>
    <s v="安徽"/>
    <x v="0"/>
    <n v="94"/>
    <x v="0"/>
  </r>
  <r>
    <n v="2"/>
    <s v="安徽"/>
    <x v="0"/>
    <n v="627"/>
    <x v="0"/>
  </r>
  <r>
    <n v="2"/>
    <s v="安徽"/>
    <x v="0"/>
    <n v="1475"/>
    <x v="0"/>
  </r>
  <r>
    <n v="2"/>
    <s v="安徽"/>
    <x v="0"/>
    <n v="45"/>
    <x v="0"/>
  </r>
  <r>
    <n v="2"/>
    <s v="安徽"/>
    <x v="0"/>
    <n v="70"/>
    <x v="0"/>
  </r>
  <r>
    <n v="2"/>
    <s v="安徽"/>
    <x v="0"/>
    <n v="90"/>
    <x v="0"/>
  </r>
  <r>
    <n v="2"/>
    <s v="安徽"/>
    <x v="0"/>
    <n v="175"/>
    <x v="0"/>
  </r>
  <r>
    <n v="2"/>
    <s v="安徽"/>
    <x v="0"/>
    <n v="248"/>
    <x v="0"/>
  </r>
  <r>
    <n v="2"/>
    <s v="安徽"/>
    <x v="0"/>
    <n v="101"/>
    <x v="0"/>
  </r>
  <r>
    <n v="2"/>
    <s v="安徽"/>
    <x v="0"/>
    <n v="1326"/>
    <x v="0"/>
  </r>
  <r>
    <n v="2"/>
    <s v="安徽"/>
    <x v="0"/>
    <n v="611"/>
    <x v="0"/>
  </r>
  <r>
    <n v="2"/>
    <s v="安徽"/>
    <x v="0"/>
    <n v="2516"/>
    <x v="0"/>
  </r>
  <r>
    <n v="2"/>
    <s v="安徽"/>
    <x v="0"/>
    <n v="601"/>
    <x v="0"/>
  </r>
  <r>
    <n v="2"/>
    <s v="安徽"/>
    <x v="0"/>
    <n v="53"/>
    <x v="0"/>
  </r>
  <r>
    <n v="2"/>
    <s v="安徽"/>
    <x v="0"/>
    <n v="69"/>
    <x v="0"/>
  </r>
  <r>
    <n v="2"/>
    <s v="安徽"/>
    <x v="0"/>
    <n v="79"/>
    <x v="0"/>
  </r>
  <r>
    <n v="3"/>
    <s v="广西"/>
    <x v="1"/>
    <n v="1039"/>
    <x v="0"/>
  </r>
  <r>
    <n v="3"/>
    <s v="广西"/>
    <x v="1"/>
    <n v="270"/>
    <x v="0"/>
  </r>
  <r>
    <n v="3"/>
    <s v="广西"/>
    <x v="1"/>
    <n v="368"/>
    <x v="0"/>
  </r>
  <r>
    <n v="3"/>
    <s v="广西"/>
    <x v="1"/>
    <n v="270"/>
    <x v="0"/>
  </r>
  <r>
    <n v="3"/>
    <s v="广西"/>
    <x v="1"/>
    <n v="210"/>
    <x v="0"/>
  </r>
  <r>
    <n v="3"/>
    <s v="广西"/>
    <x v="1"/>
    <n v="540"/>
    <x v="0"/>
  </r>
  <r>
    <n v="3"/>
    <s v="广西"/>
    <x v="1"/>
    <n v="56"/>
    <x v="0"/>
  </r>
  <r>
    <n v="3"/>
    <s v="广西"/>
    <x v="1"/>
    <n v="81"/>
    <x v="0"/>
  </r>
  <r>
    <n v="3"/>
    <s v="广西"/>
    <x v="1"/>
    <n v="165"/>
    <x v="0"/>
  </r>
  <r>
    <n v="3"/>
    <s v="广西"/>
    <x v="1"/>
    <n v="158"/>
    <x v="0"/>
  </r>
  <r>
    <n v="3"/>
    <s v="广西"/>
    <x v="1"/>
    <n v="371"/>
    <x v="0"/>
  </r>
  <r>
    <n v="3"/>
    <s v="广西"/>
    <x v="1"/>
    <n v="2517"/>
    <x v="0"/>
  </r>
  <r>
    <n v="3"/>
    <s v="广西"/>
    <x v="1"/>
    <n v="368"/>
    <x v="0"/>
  </r>
  <r>
    <n v="3"/>
    <s v="广西"/>
    <x v="1"/>
    <n v="688"/>
    <x v="0"/>
  </r>
  <r>
    <n v="3"/>
    <s v="广西"/>
    <x v="1"/>
    <n v="210"/>
    <x v="0"/>
  </r>
  <r>
    <n v="3"/>
    <s v="广西"/>
    <x v="1"/>
    <n v="858"/>
    <x v="0"/>
  </r>
  <r>
    <n v="3"/>
    <s v="广西"/>
    <x v="1"/>
    <n v="1131"/>
    <x v="0"/>
  </r>
  <r>
    <n v="3"/>
    <s v="广西"/>
    <x v="1"/>
    <n v="3002"/>
    <x v="0"/>
  </r>
  <r>
    <n v="3"/>
    <s v="广西"/>
    <x v="1"/>
    <n v="96"/>
    <x v="0"/>
  </r>
  <r>
    <n v="3"/>
    <s v="广西"/>
    <x v="1"/>
    <n v="83"/>
    <x v="0"/>
  </r>
  <r>
    <n v="3"/>
    <s v="广西"/>
    <x v="1"/>
    <n v="113"/>
    <x v="0"/>
  </r>
  <r>
    <n v="4"/>
    <s v="江苏"/>
    <x v="1"/>
    <n v="66"/>
    <x v="0"/>
  </r>
  <r>
    <n v="4"/>
    <s v="江苏"/>
    <x v="1"/>
    <n v="441"/>
    <x v="0"/>
  </r>
  <r>
    <n v="4"/>
    <s v="江苏"/>
    <x v="1"/>
    <n v="312"/>
    <x v="0"/>
  </r>
  <r>
    <n v="4"/>
    <s v="江苏"/>
    <x v="1"/>
    <n v="230"/>
    <x v="0"/>
  </r>
  <r>
    <n v="4"/>
    <s v="江苏"/>
    <x v="1"/>
    <n v="63"/>
    <x v="0"/>
  </r>
  <r>
    <n v="4"/>
    <s v="江苏"/>
    <x v="1"/>
    <n v="99"/>
    <x v="0"/>
  </r>
  <r>
    <n v="4"/>
    <s v="江苏"/>
    <x v="1"/>
    <n v="123"/>
    <x v="0"/>
  </r>
  <r>
    <n v="4"/>
    <s v="江苏"/>
    <x v="1"/>
    <n v="63"/>
    <x v="0"/>
  </r>
  <r>
    <n v="4"/>
    <s v="江苏"/>
    <x v="1"/>
    <n v="39"/>
    <x v="0"/>
  </r>
  <r>
    <n v="4"/>
    <s v="江苏"/>
    <x v="1"/>
    <n v="77"/>
    <x v="0"/>
  </r>
  <r>
    <n v="4"/>
    <s v="江苏"/>
    <x v="1"/>
    <n v="54"/>
    <x v="0"/>
  </r>
  <r>
    <n v="4"/>
    <s v="江苏"/>
    <x v="1"/>
    <n v="330"/>
    <x v="0"/>
  </r>
  <r>
    <n v="4"/>
    <s v="江苏"/>
    <x v="1"/>
    <n v="270"/>
    <x v="0"/>
  </r>
  <r>
    <n v="4"/>
    <s v="江苏"/>
    <x v="1"/>
    <n v="263"/>
    <x v="0"/>
  </r>
  <r>
    <n v="4"/>
    <s v="江苏"/>
    <x v="1"/>
    <n v="480"/>
    <x v="0"/>
  </r>
  <r>
    <n v="4"/>
    <s v="江苏"/>
    <x v="1"/>
    <n v="201"/>
    <x v="0"/>
  </r>
  <r>
    <n v="4"/>
    <s v="江苏"/>
    <x v="1"/>
    <n v="169"/>
    <x v="0"/>
  </r>
  <r>
    <n v="4"/>
    <s v="江苏"/>
    <x v="1"/>
    <n v="96"/>
    <x v="0"/>
  </r>
  <r>
    <n v="4"/>
    <s v="江苏"/>
    <x v="1"/>
    <n v="124"/>
    <x v="0"/>
  </r>
  <r>
    <n v="4"/>
    <s v="江苏"/>
    <x v="1"/>
    <n v="44"/>
    <x v="0"/>
  </r>
  <r>
    <n v="4"/>
    <s v="江苏"/>
    <x v="1"/>
    <n v="69"/>
    <x v="0"/>
  </r>
  <r>
    <n v="4"/>
    <s v="江苏"/>
    <x v="1"/>
    <n v="90"/>
    <x v="0"/>
  </r>
  <r>
    <n v="5"/>
    <s v="天津"/>
    <x v="0"/>
    <n v="135"/>
    <x v="0"/>
  </r>
  <r>
    <n v="5"/>
    <s v="天津"/>
    <x v="0"/>
    <n v="115"/>
    <x v="0"/>
  </r>
  <r>
    <n v="5"/>
    <s v="天津"/>
    <x v="0"/>
    <n v="126"/>
    <x v="0"/>
  </r>
  <r>
    <n v="5"/>
    <s v="天津"/>
    <x v="0"/>
    <n v="461"/>
    <x v="0"/>
  </r>
  <r>
    <n v="5"/>
    <s v="天津"/>
    <x v="0"/>
    <n v="65"/>
    <x v="0"/>
  </r>
  <r>
    <n v="5"/>
    <s v="天津"/>
    <x v="0"/>
    <n v="199"/>
    <x v="0"/>
  </r>
  <r>
    <n v="5"/>
    <s v="天津"/>
    <x v="0"/>
    <n v="70"/>
    <x v="0"/>
  </r>
  <r>
    <n v="5"/>
    <s v="天津"/>
    <x v="0"/>
    <n v="289"/>
    <x v="0"/>
  </r>
  <r>
    <n v="5"/>
    <s v="天津"/>
    <x v="0"/>
    <n v="31"/>
    <x v="0"/>
  </r>
  <r>
    <n v="5"/>
    <s v="天津"/>
    <x v="0"/>
    <n v="801"/>
    <x v="0"/>
  </r>
  <r>
    <n v="5"/>
    <s v="天津"/>
    <x v="0"/>
    <n v="244"/>
    <x v="0"/>
  </r>
  <r>
    <n v="5"/>
    <s v="天津"/>
    <x v="0"/>
    <n v="30"/>
    <x v="0"/>
  </r>
  <r>
    <n v="5"/>
    <s v="天津"/>
    <x v="0"/>
    <n v="51"/>
    <x v="0"/>
  </r>
  <r>
    <n v="5"/>
    <s v="天津"/>
    <x v="0"/>
    <n v="441"/>
    <x v="0"/>
  </r>
  <r>
    <n v="5"/>
    <s v="天津"/>
    <x v="0"/>
    <n v="953"/>
    <x v="0"/>
  </r>
  <r>
    <n v="5"/>
    <s v="天津"/>
    <x v="0"/>
    <n v="43"/>
    <x v="0"/>
  </r>
  <r>
    <n v="5"/>
    <s v="天津"/>
    <x v="0"/>
    <n v="37"/>
    <x v="0"/>
  </r>
  <r>
    <n v="5"/>
    <s v="天津"/>
    <x v="0"/>
    <n v="48"/>
    <x v="0"/>
  </r>
  <r>
    <n v="5"/>
    <s v="天津"/>
    <x v="0"/>
    <n v="111"/>
    <x v="0"/>
  </r>
  <r>
    <n v="5"/>
    <s v="天津"/>
    <x v="0"/>
    <n v="167"/>
    <x v="0"/>
  </r>
  <r>
    <n v="5"/>
    <s v="天津"/>
    <x v="0"/>
    <n v="62"/>
    <x v="0"/>
  </r>
  <r>
    <n v="5"/>
    <s v="天津"/>
    <x v="0"/>
    <n v="1012"/>
    <x v="0"/>
  </r>
  <r>
    <n v="5"/>
    <s v="天津"/>
    <x v="0"/>
    <n v="434"/>
    <x v="0"/>
  </r>
  <r>
    <n v="5"/>
    <s v="天津"/>
    <x v="0"/>
    <n v="1751"/>
    <x v="0"/>
  </r>
  <r>
    <n v="5"/>
    <s v="天津"/>
    <x v="0"/>
    <n v="317"/>
    <x v="0"/>
  </r>
  <r>
    <n v="5"/>
    <s v="天津"/>
    <x v="0"/>
    <n v="39"/>
    <x v="0"/>
  </r>
  <r>
    <n v="5"/>
    <s v="天津"/>
    <x v="0"/>
    <n v="54"/>
    <x v="0"/>
  </r>
  <r>
    <n v="5"/>
    <s v="天津"/>
    <x v="0"/>
    <n v="49"/>
    <x v="0"/>
  </r>
  <r>
    <n v="8"/>
    <s v="广东"/>
    <x v="1"/>
    <n v="1081"/>
    <x v="0"/>
  </r>
  <r>
    <n v="8"/>
    <s v="广东"/>
    <x v="1"/>
    <n v="1134"/>
    <x v="0"/>
  </r>
  <r>
    <n v="8"/>
    <s v="广东"/>
    <x v="1"/>
    <n v="473"/>
    <x v="0"/>
  </r>
  <r>
    <n v="8"/>
    <s v="广东"/>
    <x v="1"/>
    <n v="653"/>
    <x v="0"/>
  </r>
  <r>
    <n v="8"/>
    <s v="广东"/>
    <x v="1"/>
    <n v="668"/>
    <x v="0"/>
  </r>
  <r>
    <n v="8"/>
    <s v="广东"/>
    <x v="1"/>
    <n v="630"/>
    <x v="0"/>
  </r>
  <r>
    <n v="8"/>
    <s v="广东"/>
    <x v="1"/>
    <n v="291"/>
    <x v="0"/>
  </r>
  <r>
    <n v="8"/>
    <s v="广东"/>
    <x v="1"/>
    <n v="356"/>
    <x v="0"/>
  </r>
  <r>
    <n v="8"/>
    <s v="广东"/>
    <x v="1"/>
    <n v="1662"/>
    <x v="0"/>
  </r>
  <r>
    <n v="8"/>
    <s v="广东"/>
    <x v="1"/>
    <n v="1164"/>
    <x v="0"/>
  </r>
  <r>
    <n v="8"/>
    <s v="广东"/>
    <x v="1"/>
    <n v="306"/>
    <x v="0"/>
  </r>
  <r>
    <n v="8"/>
    <s v="广东"/>
    <x v="1"/>
    <n v="587"/>
    <x v="0"/>
  </r>
  <r>
    <n v="8"/>
    <s v="广东"/>
    <x v="1"/>
    <n v="124"/>
    <x v="0"/>
  </r>
  <r>
    <n v="8"/>
    <s v="广东"/>
    <x v="1"/>
    <n v="149"/>
    <x v="0"/>
  </r>
  <r>
    <n v="8"/>
    <s v="广东"/>
    <x v="1"/>
    <n v="146"/>
    <x v="0"/>
  </r>
  <r>
    <n v="8"/>
    <s v="广东"/>
    <x v="1"/>
    <n v="131"/>
    <x v="0"/>
  </r>
  <r>
    <n v="8"/>
    <s v="广东"/>
    <x v="1"/>
    <n v="124"/>
    <x v="0"/>
  </r>
  <r>
    <n v="8"/>
    <s v="广东"/>
    <x v="1"/>
    <n v="123"/>
    <x v="0"/>
  </r>
  <r>
    <n v="8"/>
    <s v="广东"/>
    <x v="1"/>
    <n v="113"/>
    <x v="0"/>
  </r>
  <r>
    <n v="8"/>
    <s v="广东"/>
    <x v="1"/>
    <n v="79"/>
    <x v="0"/>
  </r>
  <r>
    <n v="8"/>
    <s v="广东"/>
    <x v="1"/>
    <n v="96"/>
    <x v="0"/>
  </r>
  <r>
    <n v="8"/>
    <s v="广东"/>
    <x v="1"/>
    <n v="23"/>
    <x v="0"/>
  </r>
  <r>
    <n v="1"/>
    <s v="河北"/>
    <x v="0"/>
    <n v="699"/>
    <x v="0"/>
  </r>
  <r>
    <n v="1"/>
    <s v="河北"/>
    <x v="0"/>
    <n v="825"/>
    <x v="0"/>
  </r>
  <r>
    <n v="1"/>
    <s v="河北"/>
    <x v="0"/>
    <n v="377"/>
    <x v="0"/>
  </r>
  <r>
    <n v="1"/>
    <s v="河北"/>
    <x v="0"/>
    <n v="257"/>
    <x v="0"/>
  </r>
  <r>
    <n v="1"/>
    <s v="河北"/>
    <x v="0"/>
    <n v="63"/>
    <x v="0"/>
  </r>
  <r>
    <n v="1"/>
    <s v="河北"/>
    <x v="0"/>
    <n v="72"/>
    <x v="0"/>
  </r>
  <r>
    <n v="1"/>
    <s v="河北"/>
    <x v="0"/>
    <n v="149"/>
    <x v="0"/>
  </r>
  <r>
    <n v="1"/>
    <s v="河北"/>
    <x v="0"/>
    <n v="210"/>
    <x v="0"/>
  </r>
  <r>
    <n v="1"/>
    <s v="河北"/>
    <x v="0"/>
    <n v="135"/>
    <x v="0"/>
  </r>
  <r>
    <n v="1"/>
    <s v="河北"/>
    <x v="0"/>
    <n v="590"/>
    <x v="0"/>
  </r>
  <r>
    <n v="1"/>
    <s v="河北"/>
    <x v="0"/>
    <n v="1549"/>
    <x v="0"/>
  </r>
  <r>
    <n v="1"/>
    <s v="河北"/>
    <x v="0"/>
    <n v="11"/>
    <x v="0"/>
  </r>
  <r>
    <n v="1"/>
    <s v="河北"/>
    <x v="0"/>
    <n v="33"/>
    <x v="0"/>
  </r>
  <r>
    <n v="1"/>
    <s v="河北"/>
    <x v="0"/>
    <n v="9"/>
    <x v="0"/>
  </r>
  <r>
    <n v="1"/>
    <s v="河北"/>
    <x v="0"/>
    <n v="11"/>
    <x v="0"/>
  </r>
  <r>
    <n v="1"/>
    <s v="河北"/>
    <x v="0"/>
    <n v="32"/>
    <x v="0"/>
  </r>
  <r>
    <n v="1"/>
    <s v="河北"/>
    <x v="0"/>
    <n v="534"/>
    <x v="0"/>
  </r>
  <r>
    <n v="1"/>
    <s v="河北"/>
    <x v="0"/>
    <n v="1156"/>
    <x v="0"/>
  </r>
  <r>
    <n v="1"/>
    <s v="河北"/>
    <x v="0"/>
    <n v="697"/>
    <x v="0"/>
  </r>
  <r>
    <n v="1"/>
    <s v="河北"/>
    <x v="0"/>
    <n v="923"/>
    <x v="0"/>
  </r>
  <r>
    <n v="1"/>
    <s v="河北"/>
    <x v="0"/>
    <n v="950"/>
    <x v="0"/>
  </r>
  <r>
    <n v="1"/>
    <s v="河北"/>
    <x v="0"/>
    <n v="1976"/>
    <x v="0"/>
  </r>
  <r>
    <n v="1"/>
    <s v="河北"/>
    <x v="0"/>
    <n v="101"/>
    <x v="0"/>
  </r>
  <r>
    <n v="1"/>
    <s v="河北"/>
    <x v="0"/>
    <n v="1062"/>
    <x v="0"/>
  </r>
  <r>
    <n v="1"/>
    <s v="河北"/>
    <x v="0"/>
    <n v="448"/>
    <x v="0"/>
  </r>
  <r>
    <n v="1"/>
    <s v="河北"/>
    <x v="0"/>
    <n v="44"/>
    <x v="0"/>
  </r>
  <r>
    <n v="1"/>
    <s v="河北"/>
    <x v="0"/>
    <n v="56"/>
    <x v="0"/>
  </r>
  <r>
    <n v="1"/>
    <s v="河北"/>
    <x v="0"/>
    <n v="44"/>
    <x v="0"/>
  </r>
  <r>
    <n v="1"/>
    <s v="河北"/>
    <x v="0"/>
    <n v="41"/>
    <x v="0"/>
  </r>
  <r>
    <n v="1"/>
    <s v="河北"/>
    <x v="0"/>
    <n v="56"/>
    <x v="0"/>
  </r>
  <r>
    <n v="1"/>
    <s v="河北"/>
    <x v="0"/>
    <n v="35"/>
    <x v="0"/>
  </r>
  <r>
    <n v="1"/>
    <s v="河北"/>
    <x v="0"/>
    <n v="34"/>
    <x v="0"/>
  </r>
  <r>
    <n v="2"/>
    <s v="安徽"/>
    <x v="0"/>
    <n v="248"/>
    <x v="0"/>
  </r>
  <r>
    <n v="2"/>
    <s v="安徽"/>
    <x v="0"/>
    <n v="225"/>
    <x v="0"/>
  </r>
  <r>
    <n v="2"/>
    <s v="安徽"/>
    <x v="0"/>
    <n v="175"/>
    <x v="0"/>
  </r>
  <r>
    <n v="2"/>
    <s v="安徽"/>
    <x v="0"/>
    <n v="495"/>
    <x v="0"/>
  </r>
  <r>
    <n v="2"/>
    <s v="安徽"/>
    <x v="0"/>
    <n v="88"/>
    <x v="0"/>
  </r>
  <r>
    <n v="2"/>
    <s v="安徽"/>
    <x v="0"/>
    <n v="275"/>
    <x v="0"/>
  </r>
  <r>
    <n v="2"/>
    <s v="安徽"/>
    <x v="0"/>
    <n v="135"/>
    <x v="0"/>
  </r>
  <r>
    <n v="2"/>
    <s v="安徽"/>
    <x v="0"/>
    <n v="565"/>
    <x v="0"/>
  </r>
  <r>
    <n v="2"/>
    <s v="安徽"/>
    <x v="0"/>
    <n v="135"/>
    <x v="0"/>
  </r>
  <r>
    <n v="2"/>
    <s v="安徽"/>
    <x v="0"/>
    <n v="1269"/>
    <x v="0"/>
  </r>
  <r>
    <n v="2"/>
    <s v="安徽"/>
    <x v="0"/>
    <n v="455"/>
    <x v="0"/>
  </r>
  <r>
    <n v="2"/>
    <s v="安徽"/>
    <x v="0"/>
    <n v="42"/>
    <x v="0"/>
  </r>
  <r>
    <n v="2"/>
    <s v="安徽"/>
    <x v="0"/>
    <n v="66"/>
    <x v="0"/>
  </r>
  <r>
    <n v="2"/>
    <s v="安徽"/>
    <x v="0"/>
    <n v="450"/>
    <x v="0"/>
  </r>
  <r>
    <n v="2"/>
    <s v="安徽"/>
    <x v="0"/>
    <n v="287"/>
    <x v="0"/>
  </r>
  <r>
    <n v="2"/>
    <s v="安徽"/>
    <x v="0"/>
    <n v="594"/>
    <x v="0"/>
  </r>
  <r>
    <n v="2"/>
    <s v="安徽"/>
    <x v="0"/>
    <n v="827"/>
    <x v="0"/>
  </r>
  <r>
    <n v="2"/>
    <s v="安徽"/>
    <x v="0"/>
    <n v="79"/>
    <x v="0"/>
  </r>
  <r>
    <n v="2"/>
    <s v="安徽"/>
    <x v="0"/>
    <n v="79"/>
    <x v="0"/>
  </r>
  <r>
    <n v="2"/>
    <s v="安徽"/>
    <x v="0"/>
    <n v="124"/>
    <x v="0"/>
  </r>
  <r>
    <n v="2"/>
    <s v="安徽"/>
    <x v="0"/>
    <n v="158"/>
    <x v="0"/>
  </r>
  <r>
    <n v="2"/>
    <s v="安徽"/>
    <x v="0"/>
    <n v="220"/>
    <x v="0"/>
  </r>
  <r>
    <n v="2"/>
    <s v="安徽"/>
    <x v="0"/>
    <n v="79"/>
    <x v="0"/>
  </r>
  <r>
    <n v="2"/>
    <s v="安徽"/>
    <x v="0"/>
    <n v="1047"/>
    <x v="0"/>
  </r>
  <r>
    <n v="2"/>
    <s v="安徽"/>
    <x v="0"/>
    <n v="525"/>
    <x v="0"/>
  </r>
  <r>
    <n v="2"/>
    <s v="安徽"/>
    <x v="0"/>
    <n v="2338"/>
    <x v="0"/>
  </r>
  <r>
    <n v="2"/>
    <s v="安徽"/>
    <x v="0"/>
    <n v="481"/>
    <x v="0"/>
  </r>
  <r>
    <n v="2"/>
    <s v="安徽"/>
    <x v="0"/>
    <n v="44"/>
    <x v="0"/>
  </r>
  <r>
    <n v="2"/>
    <s v="安徽"/>
    <x v="0"/>
    <n v="83"/>
    <x v="0"/>
  </r>
  <r>
    <n v="2"/>
    <s v="安徽"/>
    <x v="0"/>
    <n v="79"/>
    <x v="0"/>
  </r>
  <r>
    <n v="2"/>
    <s v="安徽"/>
    <x v="0"/>
    <n v="79"/>
    <x v="0"/>
  </r>
  <r>
    <n v="2"/>
    <s v="安徽"/>
    <x v="0"/>
    <n v="79"/>
    <x v="0"/>
  </r>
  <r>
    <n v="3"/>
    <s v="广西"/>
    <x v="1"/>
    <n v="1050"/>
    <x v="0"/>
  </r>
  <r>
    <n v="3"/>
    <s v="广西"/>
    <x v="1"/>
    <n v="270"/>
    <x v="0"/>
  </r>
  <r>
    <n v="3"/>
    <s v="广西"/>
    <x v="1"/>
    <n v="315"/>
    <x v="0"/>
  </r>
  <r>
    <n v="3"/>
    <s v="广西"/>
    <x v="1"/>
    <n v="203"/>
    <x v="0"/>
  </r>
  <r>
    <n v="3"/>
    <s v="广西"/>
    <x v="1"/>
    <n v="158"/>
    <x v="0"/>
  </r>
  <r>
    <n v="3"/>
    <s v="广西"/>
    <x v="1"/>
    <n v="473"/>
    <x v="0"/>
  </r>
  <r>
    <n v="3"/>
    <s v="广西"/>
    <x v="1"/>
    <n v="56"/>
    <x v="0"/>
  </r>
  <r>
    <n v="3"/>
    <s v="广西"/>
    <x v="1"/>
    <n v="72"/>
    <x v="0"/>
  </r>
  <r>
    <n v="3"/>
    <s v="广西"/>
    <x v="1"/>
    <n v="18"/>
    <x v="0"/>
  </r>
  <r>
    <n v="3"/>
    <s v="广西"/>
    <x v="1"/>
    <n v="165"/>
    <x v="0"/>
  </r>
  <r>
    <n v="3"/>
    <s v="广西"/>
    <x v="1"/>
    <n v="180"/>
    <x v="0"/>
  </r>
  <r>
    <n v="3"/>
    <s v="广西"/>
    <x v="1"/>
    <n v="70"/>
    <x v="0"/>
  </r>
  <r>
    <n v="3"/>
    <s v="广西"/>
    <x v="1"/>
    <n v="338"/>
    <x v="0"/>
  </r>
  <r>
    <n v="3"/>
    <s v="广西"/>
    <x v="1"/>
    <n v="855"/>
    <x v="0"/>
  </r>
  <r>
    <n v="3"/>
    <s v="广西"/>
    <x v="1"/>
    <n v="338"/>
    <x v="0"/>
  </r>
  <r>
    <n v="3"/>
    <s v="广西"/>
    <x v="1"/>
    <n v="484"/>
    <x v="0"/>
  </r>
  <r>
    <n v="3"/>
    <s v="广西"/>
    <x v="1"/>
    <n v="492"/>
    <x v="0"/>
  </r>
  <r>
    <n v="3"/>
    <s v="广西"/>
    <x v="1"/>
    <n v="184"/>
    <x v="0"/>
  </r>
  <r>
    <n v="3"/>
    <s v="广西"/>
    <x v="1"/>
    <n v="1079"/>
    <x v="0"/>
  </r>
  <r>
    <n v="3"/>
    <s v="广西"/>
    <x v="1"/>
    <n v="44"/>
    <x v="0"/>
  </r>
  <r>
    <n v="3"/>
    <s v="广西"/>
    <x v="1"/>
    <n v="3157"/>
    <x v="0"/>
  </r>
  <r>
    <n v="3"/>
    <s v="广西"/>
    <x v="1"/>
    <n v="53"/>
    <x v="0"/>
  </r>
  <r>
    <n v="3"/>
    <s v="广西"/>
    <x v="1"/>
    <n v="83"/>
    <x v="0"/>
  </r>
  <r>
    <n v="3"/>
    <s v="广西"/>
    <x v="1"/>
    <n v="79"/>
    <x v="0"/>
  </r>
  <r>
    <n v="3"/>
    <s v="广西"/>
    <x v="1"/>
    <n v="158"/>
    <x v="0"/>
  </r>
  <r>
    <n v="3"/>
    <s v="广西"/>
    <x v="1"/>
    <n v="79"/>
    <x v="0"/>
  </r>
  <r>
    <n v="4"/>
    <s v="江苏"/>
    <x v="1"/>
    <n v="55"/>
    <x v="0"/>
  </r>
  <r>
    <n v="4"/>
    <s v="江苏"/>
    <x v="1"/>
    <n v="410"/>
    <x v="0"/>
  </r>
  <r>
    <n v="4"/>
    <s v="江苏"/>
    <x v="1"/>
    <n v="322"/>
    <x v="0"/>
  </r>
  <r>
    <n v="4"/>
    <s v="江苏"/>
    <x v="1"/>
    <n v="248"/>
    <x v="0"/>
  </r>
  <r>
    <n v="4"/>
    <s v="江苏"/>
    <x v="1"/>
    <n v="53"/>
    <x v="0"/>
  </r>
  <r>
    <n v="4"/>
    <s v="江苏"/>
    <x v="1"/>
    <n v="86"/>
    <x v="0"/>
  </r>
  <r>
    <n v="4"/>
    <s v="江苏"/>
    <x v="1"/>
    <n v="112"/>
    <x v="0"/>
  </r>
  <r>
    <n v="4"/>
    <s v="江苏"/>
    <x v="1"/>
    <n v="50"/>
    <x v="0"/>
  </r>
  <r>
    <n v="4"/>
    <s v="江苏"/>
    <x v="1"/>
    <n v="35"/>
    <x v="0"/>
  </r>
  <r>
    <n v="4"/>
    <s v="江苏"/>
    <x v="1"/>
    <n v="88"/>
    <x v="0"/>
  </r>
  <r>
    <n v="4"/>
    <s v="江苏"/>
    <x v="1"/>
    <n v="50"/>
    <x v="0"/>
  </r>
  <r>
    <n v="4"/>
    <s v="江苏"/>
    <x v="1"/>
    <n v="46"/>
    <x v="0"/>
  </r>
  <r>
    <n v="4"/>
    <s v="江苏"/>
    <x v="1"/>
    <n v="23"/>
    <x v="0"/>
  </r>
  <r>
    <n v="4"/>
    <s v="江苏"/>
    <x v="1"/>
    <n v="371"/>
    <x v="0"/>
  </r>
  <r>
    <n v="4"/>
    <s v="江苏"/>
    <x v="1"/>
    <n v="214"/>
    <x v="0"/>
  </r>
  <r>
    <n v="4"/>
    <s v="江苏"/>
    <x v="1"/>
    <n v="245"/>
    <x v="0"/>
  </r>
  <r>
    <n v="4"/>
    <s v="江苏"/>
    <x v="1"/>
    <n v="513"/>
    <x v="0"/>
  </r>
  <r>
    <n v="4"/>
    <s v="江苏"/>
    <x v="1"/>
    <n v="184"/>
    <x v="0"/>
  </r>
  <r>
    <n v="4"/>
    <s v="江苏"/>
    <x v="1"/>
    <n v="135"/>
    <x v="0"/>
  </r>
  <r>
    <n v="4"/>
    <s v="江苏"/>
    <x v="1"/>
    <n v="79"/>
    <x v="0"/>
  </r>
  <r>
    <n v="4"/>
    <s v="江苏"/>
    <x v="1"/>
    <n v="124"/>
    <x v="0"/>
  </r>
  <r>
    <n v="4"/>
    <s v="江苏"/>
    <x v="1"/>
    <n v="35"/>
    <x v="0"/>
  </r>
  <r>
    <n v="4"/>
    <s v="江苏"/>
    <x v="1"/>
    <n v="69"/>
    <x v="0"/>
  </r>
  <r>
    <n v="4"/>
    <s v="江苏"/>
    <x v="1"/>
    <n v="90"/>
    <x v="0"/>
  </r>
  <r>
    <n v="4"/>
    <s v="江苏"/>
    <x v="1"/>
    <n v="70"/>
    <x v="0"/>
  </r>
  <r>
    <n v="4"/>
    <s v="江苏"/>
    <x v="1"/>
    <n v="23"/>
    <x v="0"/>
  </r>
  <r>
    <n v="5"/>
    <s v="天津"/>
    <x v="0"/>
    <n v="118"/>
    <x v="0"/>
  </r>
  <r>
    <n v="5"/>
    <s v="天津"/>
    <x v="0"/>
    <n v="170"/>
    <x v="0"/>
  </r>
  <r>
    <n v="5"/>
    <s v="天津"/>
    <x v="0"/>
    <n v="113"/>
    <x v="0"/>
  </r>
  <r>
    <n v="5"/>
    <s v="天津"/>
    <x v="0"/>
    <n v="311"/>
    <x v="0"/>
  </r>
  <r>
    <n v="5"/>
    <s v="天津"/>
    <x v="0"/>
    <n v="69"/>
    <x v="0"/>
  </r>
  <r>
    <n v="5"/>
    <s v="天津"/>
    <x v="0"/>
    <n v="176"/>
    <x v="0"/>
  </r>
  <r>
    <n v="5"/>
    <s v="天津"/>
    <x v="0"/>
    <n v="69"/>
    <x v="0"/>
  </r>
  <r>
    <n v="5"/>
    <s v="天津"/>
    <x v="0"/>
    <n v="414"/>
    <x v="0"/>
  </r>
  <r>
    <n v="5"/>
    <s v="天津"/>
    <x v="0"/>
    <n v="103"/>
    <x v="0"/>
  </r>
  <r>
    <n v="5"/>
    <s v="天津"/>
    <x v="0"/>
    <n v="969"/>
    <x v="0"/>
  </r>
  <r>
    <n v="5"/>
    <s v="天津"/>
    <x v="0"/>
    <n v="241"/>
    <x v="0"/>
  </r>
  <r>
    <n v="5"/>
    <s v="天津"/>
    <x v="0"/>
    <n v="37"/>
    <x v="0"/>
  </r>
  <r>
    <n v="5"/>
    <s v="天津"/>
    <x v="0"/>
    <n v="49"/>
    <x v="0"/>
  </r>
  <r>
    <n v="5"/>
    <s v="天津"/>
    <x v="0"/>
    <n v="313"/>
    <x v="0"/>
  </r>
  <r>
    <n v="5"/>
    <s v="天津"/>
    <x v="0"/>
    <n v="134"/>
    <x v="0"/>
  </r>
  <r>
    <n v="5"/>
    <s v="天津"/>
    <x v="0"/>
    <n v="359"/>
    <x v="0"/>
  </r>
  <r>
    <n v="5"/>
    <s v="天津"/>
    <x v="0"/>
    <n v="454"/>
    <x v="0"/>
  </r>
  <r>
    <n v="5"/>
    <s v="天津"/>
    <x v="0"/>
    <n v="56"/>
    <x v="0"/>
  </r>
  <r>
    <n v="5"/>
    <s v="天津"/>
    <x v="0"/>
    <n v="36"/>
    <x v="0"/>
  </r>
  <r>
    <n v="5"/>
    <s v="天津"/>
    <x v="0"/>
    <n v="56"/>
    <x v="0"/>
  </r>
  <r>
    <n v="5"/>
    <s v="天津"/>
    <x v="0"/>
    <n v="108"/>
    <x v="0"/>
  </r>
  <r>
    <n v="5"/>
    <s v="天津"/>
    <x v="0"/>
    <n v="136"/>
    <x v="0"/>
  </r>
  <r>
    <n v="5"/>
    <s v="天津"/>
    <x v="0"/>
    <n v="42"/>
    <x v="0"/>
  </r>
  <r>
    <n v="5"/>
    <s v="天津"/>
    <x v="0"/>
    <n v="779"/>
    <x v="0"/>
  </r>
  <r>
    <n v="5"/>
    <s v="天津"/>
    <x v="0"/>
    <n v="344"/>
    <x v="0"/>
  </r>
  <r>
    <n v="5"/>
    <s v="天津"/>
    <x v="0"/>
    <n v="1859"/>
    <x v="0"/>
  </r>
  <r>
    <n v="5"/>
    <s v="天津"/>
    <x v="0"/>
    <n v="294"/>
    <x v="0"/>
  </r>
  <r>
    <n v="5"/>
    <s v="天津"/>
    <x v="0"/>
    <n v="38"/>
    <x v="0"/>
  </r>
  <r>
    <n v="5"/>
    <s v="天津"/>
    <x v="0"/>
    <n v="61"/>
    <x v="0"/>
  </r>
  <r>
    <n v="5"/>
    <s v="天津"/>
    <x v="0"/>
    <n v="56"/>
    <x v="0"/>
  </r>
  <r>
    <n v="5"/>
    <s v="天津"/>
    <x v="0"/>
    <n v="37"/>
    <x v="0"/>
  </r>
  <r>
    <n v="5"/>
    <s v="天津"/>
    <x v="0"/>
    <n v="35"/>
    <x v="0"/>
  </r>
  <r>
    <n v="8"/>
    <s v="广东"/>
    <x v="1"/>
    <n v="1142"/>
    <x v="0"/>
  </r>
  <r>
    <n v="8"/>
    <s v="广东"/>
    <x v="1"/>
    <n v="1182"/>
    <x v="0"/>
  </r>
  <r>
    <n v="8"/>
    <s v="广东"/>
    <x v="1"/>
    <n v="438"/>
    <x v="0"/>
  </r>
  <r>
    <n v="8"/>
    <s v="广东"/>
    <x v="1"/>
    <n v="653"/>
    <x v="0"/>
  </r>
  <r>
    <n v="8"/>
    <s v="广东"/>
    <x v="1"/>
    <n v="525"/>
    <x v="0"/>
  </r>
  <r>
    <n v="8"/>
    <s v="广东"/>
    <x v="1"/>
    <n v="408"/>
    <x v="0"/>
  </r>
  <r>
    <n v="8"/>
    <s v="广东"/>
    <x v="1"/>
    <n v="277"/>
    <x v="0"/>
  </r>
  <r>
    <n v="8"/>
    <s v="广东"/>
    <x v="1"/>
    <n v="716"/>
    <x v="0"/>
  </r>
  <r>
    <n v="8"/>
    <s v="广东"/>
    <x v="1"/>
    <n v="1172"/>
    <x v="0"/>
  </r>
  <r>
    <n v="8"/>
    <s v="广东"/>
    <x v="1"/>
    <n v="1860"/>
    <x v="0"/>
  </r>
  <r>
    <n v="8"/>
    <s v="广东"/>
    <x v="1"/>
    <n v="338"/>
    <x v="0"/>
  </r>
  <r>
    <n v="8"/>
    <s v="广东"/>
    <x v="1"/>
    <n v="116"/>
    <x v="0"/>
  </r>
  <r>
    <n v="8"/>
    <s v="广东"/>
    <x v="1"/>
    <n v="167"/>
    <x v="0"/>
  </r>
  <r>
    <n v="8"/>
    <s v="广东"/>
    <x v="1"/>
    <n v="681"/>
    <x v="0"/>
  </r>
  <r>
    <n v="8"/>
    <s v="广东"/>
    <x v="1"/>
    <n v="124"/>
    <x v="0"/>
  </r>
  <r>
    <n v="8"/>
    <s v="广东"/>
    <x v="1"/>
    <n v="140"/>
    <x v="0"/>
  </r>
  <r>
    <n v="8"/>
    <s v="广东"/>
    <x v="1"/>
    <n v="101"/>
    <x v="0"/>
  </r>
  <r>
    <n v="8"/>
    <s v="广东"/>
    <x v="1"/>
    <n v="140"/>
    <x v="0"/>
  </r>
  <r>
    <n v="8"/>
    <s v="广东"/>
    <x v="1"/>
    <n v="146"/>
    <x v="0"/>
  </r>
  <r>
    <n v="8"/>
    <s v="广东"/>
    <x v="1"/>
    <n v="131"/>
    <x v="0"/>
  </r>
  <r>
    <n v="8"/>
    <s v="广东"/>
    <x v="1"/>
    <n v="124"/>
    <x v="0"/>
  </r>
  <r>
    <n v="8"/>
    <s v="广东"/>
    <x v="1"/>
    <n v="61"/>
    <x v="0"/>
  </r>
  <r>
    <n v="8"/>
    <s v="广东"/>
    <x v="1"/>
    <n v="83"/>
    <x v="0"/>
  </r>
  <r>
    <n v="8"/>
    <s v="广东"/>
    <x v="1"/>
    <n v="34"/>
    <x v="0"/>
  </r>
  <r>
    <n v="8"/>
    <s v="广东"/>
    <x v="1"/>
    <n v="18"/>
    <x v="0"/>
  </r>
  <r>
    <n v="8"/>
    <s v="广东"/>
    <x v="1"/>
    <n v="23"/>
    <x v="0"/>
  </r>
  <r>
    <n v="1"/>
    <s v="河北"/>
    <x v="0"/>
    <n v="671"/>
    <x v="0"/>
  </r>
  <r>
    <n v="1"/>
    <s v="河北"/>
    <x v="0"/>
    <n v="885"/>
    <x v="0"/>
  </r>
  <r>
    <n v="1"/>
    <s v="河北"/>
    <x v="0"/>
    <n v="410"/>
    <x v="0"/>
  </r>
  <r>
    <n v="1"/>
    <s v="河北"/>
    <x v="0"/>
    <n v="279"/>
    <x v="0"/>
  </r>
  <r>
    <n v="1"/>
    <s v="河北"/>
    <x v="0"/>
    <n v="70"/>
    <x v="0"/>
  </r>
  <r>
    <n v="1"/>
    <s v="河北"/>
    <x v="0"/>
    <n v="83"/>
    <x v="0"/>
  </r>
  <r>
    <n v="1"/>
    <s v="河北"/>
    <x v="0"/>
    <n v="126"/>
    <x v="0"/>
  </r>
  <r>
    <n v="1"/>
    <s v="河北"/>
    <x v="0"/>
    <n v="123"/>
    <x v="0"/>
  </r>
  <r>
    <n v="1"/>
    <s v="河北"/>
    <x v="0"/>
    <n v="135"/>
    <x v="0"/>
  </r>
  <r>
    <n v="1"/>
    <s v="河北"/>
    <x v="0"/>
    <n v="700"/>
    <x v="0"/>
  </r>
  <r>
    <n v="1"/>
    <s v="河北"/>
    <x v="0"/>
    <n v="1850"/>
    <x v="0"/>
  </r>
  <r>
    <n v="1"/>
    <s v="河北"/>
    <x v="0"/>
    <n v="11"/>
    <x v="0"/>
  </r>
  <r>
    <n v="1"/>
    <s v="河北"/>
    <x v="0"/>
    <n v="28"/>
    <x v="0"/>
  </r>
  <r>
    <n v="1"/>
    <s v="河北"/>
    <x v="0"/>
    <n v="14"/>
    <x v="0"/>
  </r>
  <r>
    <n v="1"/>
    <s v="河北"/>
    <x v="0"/>
    <n v="11"/>
    <x v="0"/>
  </r>
  <r>
    <n v="1"/>
    <s v="河北"/>
    <x v="0"/>
    <n v="32"/>
    <x v="0"/>
  </r>
  <r>
    <n v="1"/>
    <s v="河北"/>
    <x v="0"/>
    <n v="774"/>
    <x v="0"/>
  </r>
  <r>
    <n v="1"/>
    <s v="河北"/>
    <x v="0"/>
    <n v="1543"/>
    <x v="0"/>
  </r>
  <r>
    <n v="1"/>
    <s v="河北"/>
    <x v="0"/>
    <n v="697"/>
    <x v="0"/>
  </r>
  <r>
    <n v="1"/>
    <s v="河北"/>
    <x v="0"/>
    <n v="1242"/>
    <x v="0"/>
  </r>
  <r>
    <n v="1"/>
    <s v="河北"/>
    <x v="0"/>
    <n v="3135"/>
    <x v="0"/>
  </r>
  <r>
    <n v="1"/>
    <s v="河北"/>
    <x v="0"/>
    <n v="2812"/>
    <x v="0"/>
  </r>
  <r>
    <n v="1"/>
    <s v="河北"/>
    <x v="0"/>
    <n v="124"/>
    <x v="0"/>
  </r>
  <r>
    <n v="1"/>
    <s v="河北"/>
    <x v="0"/>
    <n v="890"/>
    <x v="0"/>
  </r>
  <r>
    <n v="1"/>
    <s v="河北"/>
    <x v="0"/>
    <n v="458"/>
    <x v="0"/>
  </r>
  <r>
    <n v="1"/>
    <s v="河北"/>
    <x v="0"/>
    <n v="44"/>
    <x v="0"/>
  </r>
  <r>
    <n v="1"/>
    <s v="河北"/>
    <x v="0"/>
    <n v="68"/>
    <x v="0"/>
  </r>
  <r>
    <n v="1"/>
    <s v="河北"/>
    <x v="0"/>
    <n v="44"/>
    <x v="0"/>
  </r>
  <r>
    <n v="1"/>
    <s v="河北"/>
    <x v="0"/>
    <n v="55"/>
    <x v="0"/>
  </r>
  <r>
    <n v="1"/>
    <s v="河北"/>
    <x v="0"/>
    <n v="45"/>
    <x v="0"/>
  </r>
  <r>
    <n v="1"/>
    <s v="河北"/>
    <x v="0"/>
    <n v="26"/>
    <x v="0"/>
  </r>
  <r>
    <n v="1"/>
    <s v="河北"/>
    <x v="0"/>
    <n v="34"/>
    <x v="0"/>
  </r>
  <r>
    <n v="2"/>
    <s v="安徽"/>
    <x v="0"/>
    <n v="248"/>
    <x v="0"/>
  </r>
  <r>
    <n v="2"/>
    <s v="安徽"/>
    <x v="0"/>
    <n v="225"/>
    <x v="0"/>
  </r>
  <r>
    <n v="2"/>
    <s v="安徽"/>
    <x v="0"/>
    <n v="245"/>
    <x v="0"/>
  </r>
  <r>
    <n v="2"/>
    <s v="安徽"/>
    <x v="0"/>
    <n v="495"/>
    <x v="0"/>
  </r>
  <r>
    <n v="2"/>
    <s v="安徽"/>
    <x v="0"/>
    <n v="88"/>
    <x v="0"/>
  </r>
  <r>
    <n v="2"/>
    <s v="安徽"/>
    <x v="0"/>
    <n v="220"/>
    <x v="0"/>
  </r>
  <r>
    <n v="2"/>
    <s v="安徽"/>
    <x v="0"/>
    <n v="135"/>
    <x v="0"/>
  </r>
  <r>
    <n v="2"/>
    <s v="安徽"/>
    <x v="0"/>
    <n v="657"/>
    <x v="0"/>
  </r>
  <r>
    <n v="2"/>
    <s v="安徽"/>
    <x v="0"/>
    <n v="270"/>
    <x v="0"/>
  </r>
  <r>
    <n v="2"/>
    <s v="安徽"/>
    <x v="0"/>
    <n v="1072"/>
    <x v="0"/>
  </r>
  <r>
    <n v="2"/>
    <s v="安徽"/>
    <x v="0"/>
    <n v="491"/>
    <x v="0"/>
  </r>
  <r>
    <n v="2"/>
    <s v="安徽"/>
    <x v="0"/>
    <n v="46"/>
    <x v="0"/>
  </r>
  <r>
    <n v="2"/>
    <s v="安徽"/>
    <x v="0"/>
    <n v="66"/>
    <x v="0"/>
  </r>
  <r>
    <n v="2"/>
    <s v="安徽"/>
    <x v="0"/>
    <n v="560"/>
    <x v="0"/>
  </r>
  <r>
    <n v="2"/>
    <s v="安徽"/>
    <x v="0"/>
    <n v="322"/>
    <x v="0"/>
  </r>
  <r>
    <n v="2"/>
    <s v="安徽"/>
    <x v="0"/>
    <n v="605"/>
    <x v="0"/>
  </r>
  <r>
    <n v="2"/>
    <s v="安徽"/>
    <x v="0"/>
    <n v="358"/>
    <x v="0"/>
  </r>
  <r>
    <n v="2"/>
    <s v="安徽"/>
    <x v="0"/>
    <n v="56"/>
    <x v="0"/>
  </r>
  <r>
    <n v="2"/>
    <s v="安徽"/>
    <x v="0"/>
    <n v="79"/>
    <x v="0"/>
  </r>
  <r>
    <n v="2"/>
    <s v="安徽"/>
    <x v="0"/>
    <n v="68"/>
    <x v="0"/>
  </r>
  <r>
    <n v="2"/>
    <s v="安徽"/>
    <x v="0"/>
    <n v="166"/>
    <x v="0"/>
  </r>
  <r>
    <n v="2"/>
    <s v="安徽"/>
    <x v="0"/>
    <n v="248"/>
    <x v="0"/>
  </r>
  <r>
    <n v="2"/>
    <s v="安徽"/>
    <x v="0"/>
    <n v="90"/>
    <x v="0"/>
  </r>
  <r>
    <n v="2"/>
    <s v="安徽"/>
    <x v="0"/>
    <n v="1089"/>
    <x v="0"/>
  </r>
  <r>
    <n v="2"/>
    <s v="安徽"/>
    <x v="0"/>
    <n v="546"/>
    <x v="0"/>
  </r>
  <r>
    <n v="2"/>
    <s v="安徽"/>
    <x v="0"/>
    <n v="2406"/>
    <x v="0"/>
  </r>
  <r>
    <n v="2"/>
    <s v="安徽"/>
    <x v="0"/>
    <n v="503"/>
    <x v="0"/>
  </r>
  <r>
    <n v="2"/>
    <s v="安徽"/>
    <x v="0"/>
    <n v="53"/>
    <x v="0"/>
  </r>
  <r>
    <n v="2"/>
    <s v="安徽"/>
    <x v="0"/>
    <n v="124"/>
    <x v="0"/>
  </r>
  <r>
    <n v="2"/>
    <s v="安徽"/>
    <x v="0"/>
    <n v="101"/>
    <x v="0"/>
  </r>
  <r>
    <n v="2"/>
    <s v="安徽"/>
    <x v="0"/>
    <n v="79"/>
    <x v="0"/>
  </r>
  <r>
    <n v="2"/>
    <s v="安徽"/>
    <x v="0"/>
    <n v="79"/>
    <x v="0"/>
  </r>
  <r>
    <n v="3"/>
    <s v="广西"/>
    <x v="1"/>
    <n v="892"/>
    <x v="0"/>
  </r>
  <r>
    <n v="3"/>
    <s v="广西"/>
    <x v="1"/>
    <n v="470"/>
    <x v="0"/>
  </r>
  <r>
    <n v="3"/>
    <s v="广西"/>
    <x v="1"/>
    <n v="315"/>
    <x v="0"/>
  </r>
  <r>
    <n v="3"/>
    <s v="广西"/>
    <x v="1"/>
    <n v="270"/>
    <x v="0"/>
  </r>
  <r>
    <n v="3"/>
    <s v="广西"/>
    <x v="1"/>
    <n v="263"/>
    <x v="0"/>
  </r>
  <r>
    <n v="3"/>
    <s v="广西"/>
    <x v="1"/>
    <n v="405"/>
    <x v="0"/>
  </r>
  <r>
    <n v="3"/>
    <s v="广西"/>
    <x v="1"/>
    <n v="39"/>
    <x v="0"/>
  </r>
  <r>
    <n v="3"/>
    <s v="广西"/>
    <x v="1"/>
    <n v="72"/>
    <x v="0"/>
  </r>
  <r>
    <n v="3"/>
    <s v="广西"/>
    <x v="1"/>
    <n v="18"/>
    <x v="0"/>
  </r>
  <r>
    <n v="3"/>
    <s v="广西"/>
    <x v="1"/>
    <n v="55"/>
    <x v="0"/>
  </r>
  <r>
    <n v="3"/>
    <s v="广西"/>
    <x v="1"/>
    <n v="180"/>
    <x v="0"/>
  </r>
  <r>
    <n v="3"/>
    <s v="广西"/>
    <x v="1"/>
    <n v="88"/>
    <x v="0"/>
  </r>
  <r>
    <n v="3"/>
    <s v="广西"/>
    <x v="1"/>
    <n v="450"/>
    <x v="0"/>
  </r>
  <r>
    <n v="3"/>
    <s v="广西"/>
    <x v="1"/>
    <n v="1318"/>
    <x v="0"/>
  </r>
  <r>
    <n v="3"/>
    <s v="广西"/>
    <x v="1"/>
    <n v="371"/>
    <x v="0"/>
  </r>
  <r>
    <n v="3"/>
    <s v="广西"/>
    <x v="1"/>
    <n v="612"/>
    <x v="0"/>
  </r>
  <r>
    <n v="3"/>
    <s v="广西"/>
    <x v="1"/>
    <n v="426"/>
    <x v="0"/>
  </r>
  <r>
    <n v="3"/>
    <s v="广西"/>
    <x v="1"/>
    <n v="158"/>
    <x v="0"/>
  </r>
  <r>
    <n v="3"/>
    <s v="广西"/>
    <x v="1"/>
    <n v="1208"/>
    <x v="0"/>
  </r>
  <r>
    <n v="3"/>
    <s v="广西"/>
    <x v="1"/>
    <n v="61"/>
    <x v="0"/>
  </r>
  <r>
    <n v="3"/>
    <s v="广西"/>
    <x v="1"/>
    <n v="2829"/>
    <x v="0"/>
  </r>
  <r>
    <n v="3"/>
    <s v="广西"/>
    <x v="1"/>
    <n v="70"/>
    <x v="0"/>
  </r>
  <r>
    <n v="3"/>
    <s v="广西"/>
    <x v="1"/>
    <n v="96"/>
    <x v="0"/>
  </r>
  <r>
    <n v="3"/>
    <s v="广西"/>
    <x v="1"/>
    <n v="113"/>
    <x v="0"/>
  </r>
  <r>
    <n v="3"/>
    <s v="广西"/>
    <x v="1"/>
    <n v="149"/>
    <x v="0"/>
  </r>
  <r>
    <n v="3"/>
    <s v="广西"/>
    <x v="1"/>
    <n v="113"/>
    <x v="0"/>
  </r>
  <r>
    <n v="4"/>
    <s v="江苏"/>
    <x v="1"/>
    <n v="66"/>
    <x v="0"/>
  </r>
  <r>
    <n v="4"/>
    <s v="江苏"/>
    <x v="1"/>
    <n v="378"/>
    <x v="0"/>
  </r>
  <r>
    <n v="4"/>
    <s v="江苏"/>
    <x v="1"/>
    <n v="375"/>
    <x v="0"/>
  </r>
  <r>
    <n v="4"/>
    <s v="江苏"/>
    <x v="1"/>
    <n v="365"/>
    <x v="0"/>
  </r>
  <r>
    <n v="4"/>
    <s v="江苏"/>
    <x v="1"/>
    <n v="49"/>
    <x v="0"/>
  </r>
  <r>
    <n v="4"/>
    <s v="江苏"/>
    <x v="1"/>
    <n v="90"/>
    <x v="0"/>
  </r>
  <r>
    <n v="4"/>
    <s v="江苏"/>
    <x v="1"/>
    <n v="119"/>
    <x v="0"/>
  </r>
  <r>
    <n v="4"/>
    <s v="江苏"/>
    <x v="1"/>
    <n v="50"/>
    <x v="0"/>
  </r>
  <r>
    <n v="4"/>
    <s v="江苏"/>
    <x v="1"/>
    <n v="39"/>
    <x v="0"/>
  </r>
  <r>
    <n v="4"/>
    <s v="江苏"/>
    <x v="1"/>
    <n v="116"/>
    <x v="0"/>
  </r>
  <r>
    <n v="4"/>
    <s v="江苏"/>
    <x v="1"/>
    <n v="41"/>
    <x v="0"/>
  </r>
  <r>
    <n v="4"/>
    <s v="江苏"/>
    <x v="1"/>
    <n v="49"/>
    <x v="0"/>
  </r>
  <r>
    <n v="4"/>
    <s v="江苏"/>
    <x v="1"/>
    <n v="23"/>
    <x v="0"/>
  </r>
  <r>
    <n v="4"/>
    <s v="江苏"/>
    <x v="1"/>
    <n v="358"/>
    <x v="0"/>
  </r>
  <r>
    <n v="4"/>
    <s v="江苏"/>
    <x v="1"/>
    <n v="180"/>
    <x v="0"/>
  </r>
  <r>
    <n v="4"/>
    <s v="江苏"/>
    <x v="1"/>
    <n v="236"/>
    <x v="0"/>
  </r>
  <r>
    <n v="4"/>
    <s v="江苏"/>
    <x v="1"/>
    <n v="513"/>
    <x v="0"/>
  </r>
  <r>
    <n v="4"/>
    <s v="江苏"/>
    <x v="1"/>
    <n v="158"/>
    <x v="0"/>
  </r>
  <r>
    <n v="4"/>
    <s v="江苏"/>
    <x v="1"/>
    <n v="135"/>
    <x v="0"/>
  </r>
  <r>
    <n v="4"/>
    <s v="江苏"/>
    <x v="1"/>
    <n v="88"/>
    <x v="0"/>
  </r>
  <r>
    <n v="4"/>
    <s v="江苏"/>
    <x v="1"/>
    <n v="135"/>
    <x v="0"/>
  </r>
  <r>
    <n v="4"/>
    <s v="江苏"/>
    <x v="1"/>
    <n v="44"/>
    <x v="0"/>
  </r>
  <r>
    <n v="4"/>
    <s v="江苏"/>
    <x v="1"/>
    <n v="69"/>
    <x v="0"/>
  </r>
  <r>
    <n v="4"/>
    <s v="江苏"/>
    <x v="1"/>
    <n v="101"/>
    <x v="0"/>
  </r>
  <r>
    <n v="4"/>
    <s v="江苏"/>
    <x v="1"/>
    <n v="70"/>
    <x v="0"/>
  </r>
  <r>
    <n v="4"/>
    <s v="江苏"/>
    <x v="1"/>
    <n v="34"/>
    <x v="0"/>
  </r>
  <r>
    <n v="5"/>
    <s v="天津"/>
    <x v="0"/>
    <n v="163"/>
    <x v="0"/>
  </r>
  <r>
    <n v="5"/>
    <s v="天津"/>
    <x v="0"/>
    <n v="134"/>
    <x v="0"/>
  </r>
  <r>
    <n v="5"/>
    <s v="天津"/>
    <x v="0"/>
    <n v="120"/>
    <x v="0"/>
  </r>
  <r>
    <n v="5"/>
    <s v="天津"/>
    <x v="0"/>
    <n v="373"/>
    <x v="0"/>
  </r>
  <r>
    <n v="5"/>
    <s v="天津"/>
    <x v="0"/>
    <n v="67"/>
    <x v="0"/>
  </r>
  <r>
    <n v="5"/>
    <s v="天津"/>
    <x v="0"/>
    <n v="119"/>
    <x v="0"/>
  </r>
  <r>
    <n v="5"/>
    <s v="天津"/>
    <x v="0"/>
    <n v="86"/>
    <x v="0"/>
  </r>
  <r>
    <n v="5"/>
    <s v="天津"/>
    <x v="0"/>
    <n v="475"/>
    <x v="0"/>
  </r>
  <r>
    <n v="5"/>
    <s v="天津"/>
    <x v="0"/>
    <n v="162"/>
    <x v="0"/>
  </r>
  <r>
    <n v="5"/>
    <s v="天津"/>
    <x v="0"/>
    <n v="772"/>
    <x v="0"/>
  </r>
  <r>
    <n v="5"/>
    <s v="天津"/>
    <x v="0"/>
    <n v="275"/>
    <x v="0"/>
  </r>
  <r>
    <n v="5"/>
    <s v="天津"/>
    <x v="0"/>
    <n v="42"/>
    <x v="0"/>
  </r>
  <r>
    <n v="5"/>
    <s v="天津"/>
    <x v="0"/>
    <n v="47"/>
    <x v="0"/>
  </r>
  <r>
    <n v="5"/>
    <s v="天津"/>
    <x v="0"/>
    <n v="367"/>
    <x v="0"/>
  </r>
  <r>
    <n v="5"/>
    <s v="天津"/>
    <x v="0"/>
    <n v="158"/>
    <x v="0"/>
  </r>
  <r>
    <n v="5"/>
    <s v="天津"/>
    <x v="0"/>
    <n v="360"/>
    <x v="0"/>
  </r>
  <r>
    <n v="5"/>
    <s v="天津"/>
    <x v="0"/>
    <n v="265"/>
    <x v="0"/>
  </r>
  <r>
    <n v="5"/>
    <s v="天津"/>
    <x v="0"/>
    <n v="35"/>
    <x v="0"/>
  </r>
  <r>
    <n v="5"/>
    <s v="天津"/>
    <x v="0"/>
    <n v="47"/>
    <x v="0"/>
  </r>
  <r>
    <n v="5"/>
    <s v="天津"/>
    <x v="0"/>
    <n v="54"/>
    <x v="0"/>
  </r>
  <r>
    <n v="5"/>
    <s v="天津"/>
    <x v="0"/>
    <n v="120"/>
    <x v="0"/>
  </r>
  <r>
    <n v="5"/>
    <s v="天津"/>
    <x v="0"/>
    <n v="168"/>
    <x v="0"/>
  </r>
  <r>
    <n v="5"/>
    <s v="天津"/>
    <x v="0"/>
    <n v="52"/>
    <x v="0"/>
  </r>
  <r>
    <n v="5"/>
    <s v="天津"/>
    <x v="0"/>
    <n v="789"/>
    <x v="0"/>
  </r>
  <r>
    <n v="5"/>
    <s v="天津"/>
    <x v="0"/>
    <n v="372"/>
    <x v="0"/>
  </r>
  <r>
    <n v="5"/>
    <s v="天津"/>
    <x v="0"/>
    <n v="1635"/>
    <x v="0"/>
  </r>
  <r>
    <n v="5"/>
    <s v="天津"/>
    <x v="0"/>
    <n v="391"/>
    <x v="0"/>
  </r>
  <r>
    <n v="5"/>
    <s v="天津"/>
    <x v="0"/>
    <n v="28"/>
    <x v="0"/>
  </r>
  <r>
    <n v="5"/>
    <s v="天津"/>
    <x v="0"/>
    <n v="58"/>
    <x v="0"/>
  </r>
  <r>
    <n v="5"/>
    <s v="天津"/>
    <x v="0"/>
    <n v="78"/>
    <x v="0"/>
  </r>
  <r>
    <n v="5"/>
    <s v="天津"/>
    <x v="0"/>
    <n v="55"/>
    <x v="0"/>
  </r>
  <r>
    <n v="5"/>
    <s v="天津"/>
    <x v="0"/>
    <n v="55"/>
    <x v="0"/>
  </r>
  <r>
    <n v="8"/>
    <s v="广东"/>
    <x v="1"/>
    <n v="1106"/>
    <x v="0"/>
  </r>
  <r>
    <n v="8"/>
    <s v="广东"/>
    <x v="1"/>
    <n v="786"/>
    <x v="0"/>
  </r>
  <r>
    <n v="8"/>
    <s v="广东"/>
    <x v="1"/>
    <n v="473"/>
    <x v="0"/>
  </r>
  <r>
    <n v="8"/>
    <s v="广东"/>
    <x v="1"/>
    <n v="698"/>
    <x v="0"/>
  </r>
  <r>
    <n v="8"/>
    <s v="广东"/>
    <x v="1"/>
    <n v="664"/>
    <x v="0"/>
  </r>
  <r>
    <n v="8"/>
    <s v="广东"/>
    <x v="1"/>
    <n v="430"/>
    <x v="0"/>
  </r>
  <r>
    <n v="8"/>
    <s v="广东"/>
    <x v="1"/>
    <n v="263"/>
    <x v="0"/>
  </r>
  <r>
    <n v="8"/>
    <s v="广东"/>
    <x v="1"/>
    <n v="1325"/>
    <x v="0"/>
  </r>
  <r>
    <n v="8"/>
    <s v="广东"/>
    <x v="1"/>
    <n v="1238"/>
    <x v="0"/>
  </r>
  <r>
    <n v="8"/>
    <s v="广东"/>
    <x v="1"/>
    <n v="1048"/>
    <x v="0"/>
  </r>
  <r>
    <n v="8"/>
    <s v="广东"/>
    <x v="1"/>
    <n v="261"/>
    <x v="0"/>
  </r>
  <r>
    <n v="8"/>
    <s v="广东"/>
    <x v="1"/>
    <n v="123"/>
    <x v="0"/>
  </r>
  <r>
    <n v="8"/>
    <s v="广东"/>
    <x v="1"/>
    <n v="122"/>
    <x v="0"/>
  </r>
  <r>
    <n v="8"/>
    <s v="广东"/>
    <x v="1"/>
    <n v="944"/>
    <x v="0"/>
  </r>
  <r>
    <n v="8"/>
    <s v="广东"/>
    <x v="1"/>
    <n v="169"/>
    <x v="0"/>
  </r>
  <r>
    <n v="8"/>
    <s v="广东"/>
    <x v="1"/>
    <n v="149"/>
    <x v="0"/>
  </r>
  <r>
    <n v="8"/>
    <s v="广东"/>
    <x v="1"/>
    <n v="79"/>
    <x v="0"/>
  </r>
  <r>
    <n v="8"/>
    <s v="广东"/>
    <x v="1"/>
    <n v="123"/>
    <x v="0"/>
  </r>
  <r>
    <n v="8"/>
    <s v="广东"/>
    <x v="1"/>
    <n v="158"/>
    <x v="0"/>
  </r>
  <r>
    <n v="8"/>
    <s v="广东"/>
    <x v="1"/>
    <n v="123"/>
    <x v="0"/>
  </r>
  <r>
    <n v="8"/>
    <s v="广东"/>
    <x v="1"/>
    <n v="158"/>
    <x v="0"/>
  </r>
  <r>
    <n v="8"/>
    <s v="广东"/>
    <x v="1"/>
    <n v="70"/>
    <x v="0"/>
  </r>
  <r>
    <n v="8"/>
    <s v="广东"/>
    <x v="1"/>
    <n v="83"/>
    <x v="0"/>
  </r>
  <r>
    <n v="8"/>
    <s v="广东"/>
    <x v="1"/>
    <n v="34"/>
    <x v="0"/>
  </r>
  <r>
    <n v="8"/>
    <s v="广东"/>
    <x v="1"/>
    <n v="26"/>
    <x v="0"/>
  </r>
  <r>
    <n v="8"/>
    <s v="广东"/>
    <x v="1"/>
    <n v="56"/>
    <x v="0"/>
  </r>
  <r>
    <n v="1"/>
    <s v="河北"/>
    <x v="0"/>
    <n v="684"/>
    <x v="0"/>
  </r>
  <r>
    <n v="1"/>
    <s v="河北"/>
    <x v="0"/>
    <n v="1069"/>
    <x v="0"/>
  </r>
  <r>
    <n v="1"/>
    <s v="河北"/>
    <x v="0"/>
    <n v="343"/>
    <x v="0"/>
  </r>
  <r>
    <n v="1"/>
    <s v="河北"/>
    <x v="0"/>
    <n v="284"/>
    <x v="0"/>
  </r>
  <r>
    <n v="1"/>
    <s v="河北"/>
    <x v="0"/>
    <n v="70"/>
    <x v="0"/>
  </r>
  <r>
    <n v="1"/>
    <s v="河北"/>
    <x v="0"/>
    <n v="83"/>
    <x v="0"/>
  </r>
  <r>
    <n v="1"/>
    <s v="河北"/>
    <x v="0"/>
    <n v="27"/>
    <x v="0"/>
  </r>
  <r>
    <n v="1"/>
    <s v="河北"/>
    <x v="0"/>
    <n v="105"/>
    <x v="0"/>
  </r>
  <r>
    <n v="1"/>
    <s v="河北"/>
    <x v="0"/>
    <n v="135"/>
    <x v="0"/>
  </r>
  <r>
    <n v="1"/>
    <s v="河北"/>
    <x v="0"/>
    <n v="715"/>
    <x v="0"/>
  </r>
  <r>
    <n v="1"/>
    <s v="河北"/>
    <x v="0"/>
    <n v="1137"/>
    <x v="0"/>
  </r>
  <r>
    <n v="1"/>
    <s v="河北"/>
    <x v="0"/>
    <n v="11"/>
    <x v="0"/>
  </r>
  <r>
    <n v="1"/>
    <s v="河北"/>
    <x v="0"/>
    <n v="39"/>
    <x v="0"/>
  </r>
  <r>
    <n v="1"/>
    <s v="河北"/>
    <x v="0"/>
    <n v="9"/>
    <x v="0"/>
  </r>
  <r>
    <n v="1"/>
    <s v="河北"/>
    <x v="0"/>
    <n v="14"/>
    <x v="0"/>
  </r>
  <r>
    <n v="1"/>
    <s v="河北"/>
    <x v="0"/>
    <n v="36"/>
    <x v="0"/>
  </r>
  <r>
    <n v="1"/>
    <s v="河北"/>
    <x v="0"/>
    <n v="614"/>
    <x v="0"/>
  </r>
  <r>
    <n v="1"/>
    <s v="河北"/>
    <x v="0"/>
    <n v="1862"/>
    <x v="0"/>
  </r>
  <r>
    <n v="1"/>
    <s v="河北"/>
    <x v="0"/>
    <n v="766"/>
    <x v="0"/>
  </r>
  <r>
    <n v="1"/>
    <s v="河北"/>
    <x v="0"/>
    <n v="1412"/>
    <x v="0"/>
  </r>
  <r>
    <n v="1"/>
    <s v="河北"/>
    <x v="0"/>
    <n v="3296"/>
    <x v="0"/>
  </r>
  <r>
    <n v="1"/>
    <s v="河北"/>
    <x v="0"/>
    <n v="2265"/>
    <x v="0"/>
  </r>
  <r>
    <n v="1"/>
    <s v="河北"/>
    <x v="0"/>
    <n v="135"/>
    <x v="0"/>
  </r>
  <r>
    <n v="1"/>
    <s v="河北"/>
    <x v="0"/>
    <n v="856"/>
    <x v="0"/>
  </r>
  <r>
    <n v="1"/>
    <s v="河北"/>
    <x v="0"/>
    <n v="459"/>
    <x v="0"/>
  </r>
  <r>
    <n v="1"/>
    <s v="河北"/>
    <x v="0"/>
    <n v="53"/>
    <x v="0"/>
  </r>
  <r>
    <n v="1"/>
    <s v="河北"/>
    <x v="0"/>
    <n v="68"/>
    <x v="0"/>
  </r>
  <r>
    <n v="1"/>
    <s v="河北"/>
    <x v="0"/>
    <n v="53"/>
    <x v="0"/>
  </r>
  <r>
    <n v="1"/>
    <s v="河北"/>
    <x v="0"/>
    <n v="41"/>
    <x v="0"/>
  </r>
  <r>
    <n v="1"/>
    <s v="河北"/>
    <x v="0"/>
    <n v="68"/>
    <x v="0"/>
  </r>
  <r>
    <n v="1"/>
    <s v="河北"/>
    <x v="0"/>
    <n v="35"/>
    <x v="0"/>
  </r>
  <r>
    <n v="1"/>
    <s v="河北"/>
    <x v="0"/>
    <n v="34"/>
    <x v="0"/>
  </r>
  <r>
    <n v="2"/>
    <s v="安徽"/>
    <x v="0"/>
    <n v="220"/>
    <x v="0"/>
  </r>
  <r>
    <n v="2"/>
    <s v="安徽"/>
    <x v="0"/>
    <n v="270"/>
    <x v="0"/>
  </r>
  <r>
    <n v="2"/>
    <s v="安徽"/>
    <x v="0"/>
    <n v="298"/>
    <x v="0"/>
  </r>
  <r>
    <n v="2"/>
    <s v="安徽"/>
    <x v="0"/>
    <n v="540"/>
    <x v="0"/>
  </r>
  <r>
    <n v="2"/>
    <s v="安徽"/>
    <x v="0"/>
    <n v="88"/>
    <x v="0"/>
  </r>
  <r>
    <n v="2"/>
    <s v="安徽"/>
    <x v="0"/>
    <n v="248"/>
    <x v="0"/>
  </r>
  <r>
    <n v="2"/>
    <s v="安徽"/>
    <x v="0"/>
    <n v="135"/>
    <x v="0"/>
  </r>
  <r>
    <n v="2"/>
    <s v="安徽"/>
    <x v="0"/>
    <n v="590"/>
    <x v="0"/>
  </r>
  <r>
    <n v="2"/>
    <s v="安徽"/>
    <x v="0"/>
    <n v="383"/>
    <x v="0"/>
  </r>
  <r>
    <n v="2"/>
    <s v="安徽"/>
    <x v="0"/>
    <n v="1236"/>
    <x v="0"/>
  </r>
  <r>
    <n v="2"/>
    <s v="安徽"/>
    <x v="0"/>
    <n v="565"/>
    <x v="0"/>
  </r>
  <r>
    <n v="2"/>
    <s v="安徽"/>
    <x v="0"/>
    <n v="46"/>
    <x v="0"/>
  </r>
  <r>
    <n v="2"/>
    <s v="安徽"/>
    <x v="0"/>
    <n v="44"/>
    <x v="0"/>
  </r>
  <r>
    <n v="2"/>
    <s v="安徽"/>
    <x v="0"/>
    <n v="624"/>
    <x v="0"/>
  </r>
  <r>
    <n v="2"/>
    <s v="安徽"/>
    <x v="0"/>
    <n v="508"/>
    <x v="0"/>
  </r>
  <r>
    <n v="2"/>
    <s v="安徽"/>
    <x v="0"/>
    <n v="853"/>
    <x v="0"/>
  </r>
  <r>
    <n v="2"/>
    <s v="安徽"/>
    <x v="0"/>
    <n v="868"/>
    <x v="0"/>
  </r>
  <r>
    <n v="2"/>
    <s v="安徽"/>
    <x v="0"/>
    <n v="34"/>
    <x v="0"/>
  </r>
  <r>
    <n v="2"/>
    <s v="安徽"/>
    <x v="0"/>
    <n v="96"/>
    <x v="0"/>
  </r>
  <r>
    <n v="2"/>
    <s v="安徽"/>
    <x v="0"/>
    <n v="45"/>
    <x v="0"/>
  </r>
  <r>
    <n v="2"/>
    <s v="安徽"/>
    <x v="0"/>
    <n v="149"/>
    <x v="0"/>
  </r>
  <r>
    <n v="2"/>
    <s v="安徽"/>
    <x v="0"/>
    <n v="206"/>
    <x v="0"/>
  </r>
  <r>
    <n v="2"/>
    <s v="安徽"/>
    <x v="0"/>
    <n v="79"/>
    <x v="0"/>
  </r>
  <r>
    <n v="2"/>
    <s v="安徽"/>
    <x v="0"/>
    <n v="922"/>
    <x v="0"/>
  </r>
  <r>
    <n v="2"/>
    <s v="安徽"/>
    <x v="0"/>
    <n v="491"/>
    <x v="0"/>
  </r>
  <r>
    <n v="2"/>
    <s v="安徽"/>
    <x v="0"/>
    <n v="2182"/>
    <x v="0"/>
  </r>
  <r>
    <n v="2"/>
    <s v="安徽"/>
    <x v="0"/>
    <n v="524"/>
    <x v="0"/>
  </r>
  <r>
    <n v="2"/>
    <s v="安徽"/>
    <x v="0"/>
    <n v="53"/>
    <x v="0"/>
  </r>
  <r>
    <n v="2"/>
    <s v="安徽"/>
    <x v="0"/>
    <n v="96"/>
    <x v="0"/>
  </r>
  <r>
    <n v="2"/>
    <s v="安徽"/>
    <x v="0"/>
    <n v="113"/>
    <x v="0"/>
  </r>
  <r>
    <n v="2"/>
    <s v="安徽"/>
    <x v="0"/>
    <n v="70"/>
    <x v="0"/>
  </r>
  <r>
    <n v="2"/>
    <s v="安徽"/>
    <x v="0"/>
    <n v="79"/>
    <x v="0"/>
  </r>
  <r>
    <n v="3"/>
    <s v="广西"/>
    <x v="1"/>
    <n v="1257"/>
    <x v="0"/>
  </r>
  <r>
    <n v="3"/>
    <s v="广西"/>
    <x v="1"/>
    <n v="611"/>
    <x v="0"/>
  </r>
  <r>
    <n v="3"/>
    <s v="广西"/>
    <x v="1"/>
    <n v="315"/>
    <x v="0"/>
  </r>
  <r>
    <n v="3"/>
    <s v="广西"/>
    <x v="1"/>
    <n v="270"/>
    <x v="0"/>
  </r>
  <r>
    <n v="3"/>
    <s v="广西"/>
    <x v="1"/>
    <n v="315"/>
    <x v="0"/>
  </r>
  <r>
    <n v="3"/>
    <s v="广西"/>
    <x v="1"/>
    <n v="405"/>
    <x v="0"/>
  </r>
  <r>
    <n v="3"/>
    <s v="广西"/>
    <x v="1"/>
    <n v="39"/>
    <x v="0"/>
  </r>
  <r>
    <n v="3"/>
    <s v="广西"/>
    <x v="1"/>
    <n v="50"/>
    <x v="0"/>
  </r>
  <r>
    <n v="3"/>
    <s v="广西"/>
    <x v="1"/>
    <n v="18"/>
    <x v="0"/>
  </r>
  <r>
    <n v="3"/>
    <s v="广西"/>
    <x v="1"/>
    <n v="83"/>
    <x v="0"/>
  </r>
  <r>
    <n v="3"/>
    <s v="广西"/>
    <x v="1"/>
    <n v="225"/>
    <x v="0"/>
  </r>
  <r>
    <n v="3"/>
    <s v="广西"/>
    <x v="1"/>
    <n v="105"/>
    <x v="0"/>
  </r>
  <r>
    <n v="3"/>
    <s v="广西"/>
    <x v="1"/>
    <n v="530"/>
    <x v="0"/>
  </r>
  <r>
    <n v="3"/>
    <s v="广西"/>
    <x v="1"/>
    <n v="206"/>
    <x v="0"/>
  </r>
  <r>
    <n v="3"/>
    <s v="广西"/>
    <x v="1"/>
    <n v="371"/>
    <x v="0"/>
  </r>
  <r>
    <n v="3"/>
    <s v="广西"/>
    <x v="1"/>
    <n v="663"/>
    <x v="0"/>
  </r>
  <r>
    <n v="3"/>
    <s v="广西"/>
    <x v="1"/>
    <n v="236"/>
    <x v="0"/>
  </r>
  <r>
    <n v="3"/>
    <s v="广西"/>
    <x v="1"/>
    <n v="184"/>
    <x v="0"/>
  </r>
  <r>
    <n v="3"/>
    <s v="广西"/>
    <x v="1"/>
    <n v="590"/>
    <x v="0"/>
  </r>
  <r>
    <n v="3"/>
    <s v="广西"/>
    <x v="1"/>
    <n v="158"/>
    <x v="0"/>
  </r>
  <r>
    <n v="3"/>
    <s v="广西"/>
    <x v="1"/>
    <n v="2460"/>
    <x v="0"/>
  </r>
  <r>
    <n v="3"/>
    <s v="广西"/>
    <x v="1"/>
    <n v="96"/>
    <x v="0"/>
  </r>
  <r>
    <n v="3"/>
    <s v="广西"/>
    <x v="1"/>
    <n v="110"/>
    <x v="0"/>
  </r>
  <r>
    <n v="3"/>
    <s v="广西"/>
    <x v="1"/>
    <n v="135"/>
    <x v="0"/>
  </r>
  <r>
    <n v="3"/>
    <s v="广西"/>
    <x v="1"/>
    <n v="158"/>
    <x v="0"/>
  </r>
  <r>
    <n v="3"/>
    <s v="广西"/>
    <x v="1"/>
    <n v="90"/>
    <x v="0"/>
  </r>
  <r>
    <n v="4"/>
    <s v="江苏"/>
    <x v="1"/>
    <n v="77"/>
    <x v="0"/>
  </r>
  <r>
    <n v="4"/>
    <s v="江苏"/>
    <x v="1"/>
    <n v="315"/>
    <x v="0"/>
  </r>
  <r>
    <n v="4"/>
    <s v="江苏"/>
    <x v="1"/>
    <n v="371"/>
    <x v="0"/>
  </r>
  <r>
    <n v="4"/>
    <s v="江苏"/>
    <x v="1"/>
    <n v="428"/>
    <x v="0"/>
  </r>
  <r>
    <n v="4"/>
    <s v="江苏"/>
    <x v="1"/>
    <n v="42"/>
    <x v="0"/>
  </r>
  <r>
    <n v="4"/>
    <s v="江苏"/>
    <x v="1"/>
    <n v="81"/>
    <x v="0"/>
  </r>
  <r>
    <n v="4"/>
    <s v="江苏"/>
    <x v="1"/>
    <n v="105"/>
    <x v="0"/>
  </r>
  <r>
    <n v="4"/>
    <s v="江苏"/>
    <x v="1"/>
    <n v="63"/>
    <x v="0"/>
  </r>
  <r>
    <n v="4"/>
    <s v="江苏"/>
    <x v="1"/>
    <n v="35"/>
    <x v="0"/>
  </r>
  <r>
    <n v="4"/>
    <s v="江苏"/>
    <x v="1"/>
    <n v="94"/>
    <x v="0"/>
  </r>
  <r>
    <n v="4"/>
    <s v="江苏"/>
    <x v="1"/>
    <n v="41"/>
    <x v="0"/>
  </r>
  <r>
    <n v="4"/>
    <s v="江苏"/>
    <x v="1"/>
    <n v="42"/>
    <x v="0"/>
  </r>
  <r>
    <n v="4"/>
    <s v="江苏"/>
    <x v="1"/>
    <n v="23"/>
    <x v="0"/>
  </r>
  <r>
    <n v="4"/>
    <s v="江苏"/>
    <x v="1"/>
    <n v="399"/>
    <x v="0"/>
  </r>
  <r>
    <n v="4"/>
    <s v="江苏"/>
    <x v="1"/>
    <n v="158"/>
    <x v="0"/>
  </r>
  <r>
    <n v="4"/>
    <s v="江苏"/>
    <x v="1"/>
    <n v="228"/>
    <x v="0"/>
  </r>
  <r>
    <n v="4"/>
    <s v="江苏"/>
    <x v="1"/>
    <n v="557"/>
    <x v="0"/>
  </r>
  <r>
    <n v="4"/>
    <s v="江苏"/>
    <x v="1"/>
    <n v="131"/>
    <x v="0"/>
  </r>
  <r>
    <n v="4"/>
    <s v="江苏"/>
    <x v="1"/>
    <n v="124"/>
    <x v="0"/>
  </r>
  <r>
    <n v="4"/>
    <s v="江苏"/>
    <x v="1"/>
    <n v="79"/>
    <x v="0"/>
  </r>
  <r>
    <n v="4"/>
    <s v="江苏"/>
    <x v="1"/>
    <n v="146"/>
    <x v="0"/>
  </r>
  <r>
    <n v="4"/>
    <s v="江苏"/>
    <x v="1"/>
    <n v="35"/>
    <x v="0"/>
  </r>
  <r>
    <n v="4"/>
    <s v="江苏"/>
    <x v="1"/>
    <n v="69"/>
    <x v="0"/>
  </r>
  <r>
    <n v="4"/>
    <s v="江苏"/>
    <x v="1"/>
    <n v="113"/>
    <x v="0"/>
  </r>
  <r>
    <n v="4"/>
    <s v="江苏"/>
    <x v="1"/>
    <n v="61"/>
    <x v="0"/>
  </r>
  <r>
    <n v="4"/>
    <s v="江苏"/>
    <x v="1"/>
    <n v="23"/>
    <x v="0"/>
  </r>
  <r>
    <n v="5"/>
    <s v="天津"/>
    <x v="0"/>
    <n v="116"/>
    <x v="0"/>
  </r>
  <r>
    <n v="5"/>
    <s v="天津"/>
    <x v="0"/>
    <n v="125"/>
    <x v="0"/>
  </r>
  <r>
    <n v="5"/>
    <s v="天津"/>
    <x v="0"/>
    <n v="207"/>
    <x v="0"/>
  </r>
  <r>
    <n v="5"/>
    <s v="天津"/>
    <x v="0"/>
    <n v="334"/>
    <x v="0"/>
  </r>
  <r>
    <n v="5"/>
    <s v="天津"/>
    <x v="0"/>
    <n v="59"/>
    <x v="0"/>
  </r>
  <r>
    <n v="5"/>
    <s v="天津"/>
    <x v="0"/>
    <n v="181"/>
    <x v="0"/>
  </r>
  <r>
    <n v="5"/>
    <s v="天津"/>
    <x v="0"/>
    <n v="86"/>
    <x v="0"/>
  </r>
  <r>
    <n v="5"/>
    <s v="天津"/>
    <x v="0"/>
    <n v="441"/>
    <x v="0"/>
  </r>
  <r>
    <n v="5"/>
    <s v="天津"/>
    <x v="0"/>
    <n v="295"/>
    <x v="0"/>
  </r>
  <r>
    <n v="5"/>
    <s v="天津"/>
    <x v="0"/>
    <n v="778"/>
    <x v="0"/>
  </r>
  <r>
    <n v="5"/>
    <s v="天津"/>
    <x v="0"/>
    <n v="418"/>
    <x v="0"/>
  </r>
  <r>
    <n v="5"/>
    <s v="天津"/>
    <x v="0"/>
    <n v="44"/>
    <x v="0"/>
  </r>
  <r>
    <n v="5"/>
    <s v="天津"/>
    <x v="0"/>
    <n v="41"/>
    <x v="0"/>
  </r>
  <r>
    <n v="5"/>
    <s v="天津"/>
    <x v="0"/>
    <n v="308"/>
    <x v="0"/>
  </r>
  <r>
    <n v="5"/>
    <s v="天津"/>
    <x v="0"/>
    <n v="232"/>
    <x v="0"/>
  </r>
  <r>
    <n v="5"/>
    <s v="天津"/>
    <x v="0"/>
    <n v="591"/>
    <x v="0"/>
  </r>
  <r>
    <n v="5"/>
    <s v="天津"/>
    <x v="0"/>
    <n v="428"/>
    <x v="0"/>
  </r>
  <r>
    <n v="5"/>
    <s v="天津"/>
    <x v="0"/>
    <n v="26"/>
    <x v="0"/>
  </r>
  <r>
    <n v="5"/>
    <s v="天津"/>
    <x v="0"/>
    <n v="67"/>
    <x v="0"/>
  </r>
  <r>
    <n v="5"/>
    <s v="天津"/>
    <x v="0"/>
    <n v="38"/>
    <x v="0"/>
  </r>
  <r>
    <n v="5"/>
    <s v="天津"/>
    <x v="0"/>
    <n v="114"/>
    <x v="0"/>
  </r>
  <r>
    <n v="5"/>
    <s v="天津"/>
    <x v="0"/>
    <n v="152"/>
    <x v="0"/>
  </r>
  <r>
    <n v="5"/>
    <s v="天津"/>
    <x v="0"/>
    <n v="47"/>
    <x v="0"/>
  </r>
  <r>
    <n v="5"/>
    <s v="天津"/>
    <x v="0"/>
    <n v="712"/>
    <x v="0"/>
  </r>
  <r>
    <n v="5"/>
    <s v="天津"/>
    <x v="0"/>
    <n v="354"/>
    <x v="0"/>
  </r>
  <r>
    <n v="5"/>
    <s v="天津"/>
    <x v="0"/>
    <n v="1272"/>
    <x v="0"/>
  </r>
  <r>
    <n v="5"/>
    <s v="天津"/>
    <x v="0"/>
    <n v="289"/>
    <x v="0"/>
  </r>
  <r>
    <n v="5"/>
    <s v="天津"/>
    <x v="0"/>
    <n v="24"/>
    <x v="0"/>
  </r>
  <r>
    <n v="5"/>
    <s v="天津"/>
    <x v="0"/>
    <n v="74"/>
    <x v="0"/>
  </r>
  <r>
    <n v="5"/>
    <s v="天津"/>
    <x v="0"/>
    <n v="83"/>
    <x v="0"/>
  </r>
  <r>
    <n v="5"/>
    <s v="天津"/>
    <x v="0"/>
    <n v="44"/>
    <x v="0"/>
  </r>
  <r>
    <n v="5"/>
    <s v="天津"/>
    <x v="0"/>
    <n v="53"/>
    <x v="0"/>
  </r>
  <r>
    <n v="6"/>
    <s v="福建"/>
    <x v="1"/>
    <n v="681"/>
    <x v="0"/>
  </r>
  <r>
    <n v="6"/>
    <s v="福建"/>
    <x v="1"/>
    <n v="1430"/>
    <x v="0"/>
  </r>
  <r>
    <n v="6"/>
    <s v="福建"/>
    <x v="1"/>
    <n v="1012"/>
    <x v="0"/>
  </r>
  <r>
    <n v="6"/>
    <s v="福建"/>
    <x v="1"/>
    <n v="459"/>
    <x v="0"/>
  </r>
  <r>
    <n v="6"/>
    <s v="福建"/>
    <x v="1"/>
    <n v="394"/>
    <x v="0"/>
  </r>
  <r>
    <n v="6"/>
    <s v="福建"/>
    <x v="1"/>
    <n v="491"/>
    <x v="0"/>
  </r>
  <r>
    <n v="6"/>
    <s v="福建"/>
    <x v="1"/>
    <n v="254"/>
    <x v="0"/>
  </r>
  <r>
    <n v="6"/>
    <s v="福建"/>
    <x v="1"/>
    <n v="259"/>
    <x v="0"/>
  </r>
  <r>
    <n v="6"/>
    <s v="福建"/>
    <x v="1"/>
    <n v="671"/>
    <x v="0"/>
  </r>
  <r>
    <n v="6"/>
    <s v="福建"/>
    <x v="1"/>
    <n v="508"/>
    <x v="0"/>
  </r>
  <r>
    <n v="6"/>
    <s v="福建"/>
    <x v="1"/>
    <n v="2214"/>
    <x v="0"/>
  </r>
  <r>
    <n v="6"/>
    <s v="福建"/>
    <x v="1"/>
    <n v="210"/>
    <x v="0"/>
  </r>
  <r>
    <n v="6"/>
    <s v="福建"/>
    <x v="1"/>
    <n v="557"/>
    <x v="0"/>
  </r>
  <r>
    <n v="8"/>
    <s v="广东"/>
    <x v="1"/>
    <n v="1560"/>
    <x v="0"/>
  </r>
  <r>
    <n v="8"/>
    <s v="广东"/>
    <x v="1"/>
    <n v="770"/>
    <x v="0"/>
  </r>
  <r>
    <n v="8"/>
    <s v="广东"/>
    <x v="1"/>
    <n v="578"/>
    <x v="0"/>
  </r>
  <r>
    <n v="8"/>
    <s v="广东"/>
    <x v="1"/>
    <n v="673"/>
    <x v="0"/>
  </r>
  <r>
    <n v="8"/>
    <s v="广东"/>
    <x v="1"/>
    <n v="751"/>
    <x v="0"/>
  </r>
  <r>
    <n v="8"/>
    <s v="广东"/>
    <x v="1"/>
    <n v="473"/>
    <x v="0"/>
  </r>
  <r>
    <n v="8"/>
    <s v="广东"/>
    <x v="1"/>
    <n v="224"/>
    <x v="0"/>
  </r>
  <r>
    <n v="8"/>
    <s v="广东"/>
    <x v="1"/>
    <n v="1285"/>
    <x v="0"/>
  </r>
  <r>
    <n v="8"/>
    <s v="广东"/>
    <x v="1"/>
    <n v="1256"/>
    <x v="0"/>
  </r>
  <r>
    <n v="8"/>
    <s v="广东"/>
    <x v="1"/>
    <n v="1370"/>
    <x v="0"/>
  </r>
  <r>
    <n v="8"/>
    <s v="广东"/>
    <x v="1"/>
    <n v="315"/>
    <x v="0"/>
  </r>
  <r>
    <n v="8"/>
    <s v="广东"/>
    <x v="1"/>
    <n v="112"/>
    <x v="0"/>
  </r>
  <r>
    <n v="8"/>
    <s v="广东"/>
    <x v="1"/>
    <n v="90"/>
    <x v="0"/>
  </r>
  <r>
    <n v="8"/>
    <s v="广东"/>
    <x v="1"/>
    <n v="774"/>
    <x v="0"/>
  </r>
  <r>
    <n v="8"/>
    <s v="广东"/>
    <x v="1"/>
    <n v="101"/>
    <x v="0"/>
  </r>
  <r>
    <n v="8"/>
    <s v="广东"/>
    <x v="1"/>
    <n v="158"/>
    <x v="0"/>
  </r>
  <r>
    <n v="8"/>
    <s v="广东"/>
    <x v="1"/>
    <n v="68"/>
    <x v="0"/>
  </r>
  <r>
    <n v="8"/>
    <s v="广东"/>
    <x v="1"/>
    <n v="149"/>
    <x v="0"/>
  </r>
  <r>
    <n v="8"/>
    <s v="广东"/>
    <x v="1"/>
    <n v="191"/>
    <x v="0"/>
  </r>
  <r>
    <n v="8"/>
    <s v="广东"/>
    <x v="1"/>
    <n v="175"/>
    <x v="0"/>
  </r>
  <r>
    <n v="8"/>
    <s v="广东"/>
    <x v="1"/>
    <n v="124"/>
    <x v="0"/>
  </r>
  <r>
    <n v="8"/>
    <s v="广东"/>
    <x v="1"/>
    <n v="88"/>
    <x v="0"/>
  </r>
  <r>
    <n v="8"/>
    <s v="广东"/>
    <x v="1"/>
    <n v="83"/>
    <x v="0"/>
  </r>
  <r>
    <n v="8"/>
    <s v="广东"/>
    <x v="1"/>
    <n v="68"/>
    <x v="0"/>
  </r>
  <r>
    <n v="8"/>
    <s v="广东"/>
    <x v="1"/>
    <n v="26"/>
    <x v="0"/>
  </r>
  <r>
    <n v="8"/>
    <s v="广东"/>
    <x v="1"/>
    <n v="56"/>
    <x v="0"/>
  </r>
  <r>
    <n v="1"/>
    <s v="河北"/>
    <x v="0"/>
    <n v="451"/>
    <x v="0"/>
  </r>
  <r>
    <n v="1"/>
    <s v="河北"/>
    <x v="0"/>
    <n v="789"/>
    <x v="0"/>
  </r>
  <r>
    <n v="1"/>
    <s v="河北"/>
    <x v="0"/>
    <n v="203"/>
    <x v="0"/>
  </r>
  <r>
    <n v="1"/>
    <s v="河北"/>
    <x v="0"/>
    <n v="171"/>
    <x v="0"/>
  </r>
  <r>
    <n v="1"/>
    <s v="河北"/>
    <x v="0"/>
    <n v="77"/>
    <x v="0"/>
  </r>
  <r>
    <n v="1"/>
    <s v="河北"/>
    <x v="0"/>
    <n v="99"/>
    <x v="0"/>
  </r>
  <r>
    <n v="1"/>
    <s v="河北"/>
    <x v="0"/>
    <n v="23"/>
    <x v="0"/>
  </r>
  <r>
    <n v="1"/>
    <s v="河北"/>
    <x v="0"/>
    <n v="88"/>
    <x v="0"/>
  </r>
  <r>
    <n v="1"/>
    <s v="河北"/>
    <x v="0"/>
    <n v="135"/>
    <x v="0"/>
  </r>
  <r>
    <n v="1"/>
    <s v="河北"/>
    <x v="0"/>
    <n v="32"/>
    <x v="0"/>
  </r>
  <r>
    <n v="1"/>
    <s v="河北"/>
    <x v="0"/>
    <n v="835"/>
    <x v="0"/>
  </r>
  <r>
    <n v="1"/>
    <s v="河北"/>
    <x v="0"/>
    <n v="7"/>
    <x v="0"/>
  </r>
  <r>
    <n v="1"/>
    <s v="河北"/>
    <x v="0"/>
    <n v="33"/>
    <x v="0"/>
  </r>
  <r>
    <n v="1"/>
    <s v="河北"/>
    <x v="0"/>
    <n v="9"/>
    <x v="0"/>
  </r>
  <r>
    <n v="1"/>
    <s v="河北"/>
    <x v="0"/>
    <n v="35"/>
    <x v="0"/>
  </r>
  <r>
    <n v="1"/>
    <s v="河北"/>
    <x v="0"/>
    <n v="203"/>
    <x v="0"/>
  </r>
  <r>
    <n v="1"/>
    <s v="河北"/>
    <x v="0"/>
    <n v="520"/>
    <x v="0"/>
  </r>
  <r>
    <n v="1"/>
    <s v="河北"/>
    <x v="0"/>
    <n v="1655"/>
    <x v="0"/>
  </r>
  <r>
    <n v="1"/>
    <s v="河北"/>
    <x v="0"/>
    <n v="645"/>
    <x v="0"/>
  </r>
  <r>
    <n v="1"/>
    <s v="河北"/>
    <x v="0"/>
    <n v="1207"/>
    <x v="0"/>
  </r>
  <r>
    <n v="1"/>
    <s v="河北"/>
    <x v="0"/>
    <n v="2914"/>
    <x v="0"/>
  </r>
  <r>
    <n v="1"/>
    <s v="河北"/>
    <x v="0"/>
    <n v="2110"/>
    <x v="0"/>
  </r>
  <r>
    <n v="1"/>
    <s v="河北"/>
    <x v="0"/>
    <n v="113"/>
    <x v="0"/>
  </r>
  <r>
    <n v="1"/>
    <s v="河北"/>
    <x v="0"/>
    <n v="655"/>
    <x v="0"/>
  </r>
  <r>
    <n v="1"/>
    <s v="河北"/>
    <x v="0"/>
    <n v="394"/>
    <x v="0"/>
  </r>
  <r>
    <n v="1"/>
    <s v="河北"/>
    <x v="0"/>
    <n v="44"/>
    <x v="0"/>
  </r>
  <r>
    <n v="1"/>
    <s v="河北"/>
    <x v="0"/>
    <n v="56"/>
    <x v="0"/>
  </r>
  <r>
    <n v="1"/>
    <s v="河北"/>
    <x v="0"/>
    <n v="44"/>
    <x v="0"/>
  </r>
  <r>
    <n v="1"/>
    <s v="河北"/>
    <x v="0"/>
    <n v="41"/>
    <x v="0"/>
  </r>
  <r>
    <n v="1"/>
    <s v="河北"/>
    <x v="0"/>
    <n v="68"/>
    <x v="0"/>
  </r>
  <r>
    <n v="1"/>
    <s v="河北"/>
    <x v="0"/>
    <n v="105"/>
    <x v="0"/>
  </r>
  <r>
    <n v="1"/>
    <s v="河北"/>
    <x v="0"/>
    <n v="101"/>
    <x v="0"/>
  </r>
  <r>
    <n v="2"/>
    <s v="安徽"/>
    <x v="0"/>
    <n v="248"/>
    <x v="0"/>
  </r>
  <r>
    <n v="2"/>
    <s v="安徽"/>
    <x v="0"/>
    <n v="383"/>
    <x v="0"/>
  </r>
  <r>
    <n v="2"/>
    <s v="安徽"/>
    <x v="0"/>
    <n v="350"/>
    <x v="0"/>
  </r>
  <r>
    <n v="2"/>
    <s v="安徽"/>
    <x v="0"/>
    <n v="509"/>
    <x v="0"/>
  </r>
  <r>
    <n v="2"/>
    <s v="安徽"/>
    <x v="0"/>
    <n v="105"/>
    <x v="0"/>
  </r>
  <r>
    <n v="2"/>
    <s v="安徽"/>
    <x v="0"/>
    <n v="248"/>
    <x v="0"/>
  </r>
  <r>
    <n v="2"/>
    <s v="安徽"/>
    <x v="0"/>
    <n v="135"/>
    <x v="0"/>
  </r>
  <r>
    <n v="2"/>
    <s v="安徽"/>
    <x v="0"/>
    <n v="724"/>
    <x v="0"/>
  </r>
  <r>
    <n v="2"/>
    <s v="安徽"/>
    <x v="0"/>
    <n v="360"/>
    <x v="0"/>
  </r>
  <r>
    <n v="2"/>
    <s v="安徽"/>
    <x v="0"/>
    <n v="1483"/>
    <x v="0"/>
  </r>
  <r>
    <n v="2"/>
    <s v="安徽"/>
    <x v="0"/>
    <n v="423"/>
    <x v="0"/>
  </r>
  <r>
    <n v="2"/>
    <s v="安徽"/>
    <x v="0"/>
    <n v="42"/>
    <x v="0"/>
  </r>
  <r>
    <n v="2"/>
    <s v="安徽"/>
    <x v="0"/>
    <n v="44"/>
    <x v="0"/>
  </r>
  <r>
    <n v="2"/>
    <s v="安徽"/>
    <x v="0"/>
    <n v="719"/>
    <x v="0"/>
  </r>
  <r>
    <n v="2"/>
    <s v="安徽"/>
    <x v="0"/>
    <n v="934"/>
    <x v="0"/>
  </r>
  <r>
    <n v="2"/>
    <s v="安徽"/>
    <x v="0"/>
    <n v="1193"/>
    <x v="0"/>
  </r>
  <r>
    <n v="2"/>
    <s v="安徽"/>
    <x v="0"/>
    <n v="1596"/>
    <x v="0"/>
  </r>
  <r>
    <n v="2"/>
    <s v="安徽"/>
    <x v="0"/>
    <n v="34"/>
    <x v="0"/>
  </r>
  <r>
    <n v="2"/>
    <s v="安徽"/>
    <x v="0"/>
    <n v="79"/>
    <x v="0"/>
  </r>
  <r>
    <n v="2"/>
    <s v="安徽"/>
    <x v="0"/>
    <n v="124"/>
    <x v="0"/>
  </r>
  <r>
    <n v="2"/>
    <s v="安徽"/>
    <x v="0"/>
    <n v="149"/>
    <x v="0"/>
  </r>
  <r>
    <n v="2"/>
    <s v="安徽"/>
    <x v="0"/>
    <n v="179"/>
    <x v="0"/>
  </r>
  <r>
    <n v="2"/>
    <s v="安徽"/>
    <x v="0"/>
    <n v="68"/>
    <x v="0"/>
  </r>
  <r>
    <n v="2"/>
    <s v="安徽"/>
    <x v="0"/>
    <n v="748"/>
    <x v="0"/>
  </r>
  <r>
    <n v="2"/>
    <s v="安徽"/>
    <x v="0"/>
    <n v="448"/>
    <x v="0"/>
  </r>
  <r>
    <n v="2"/>
    <s v="安徽"/>
    <x v="0"/>
    <n v="2031"/>
    <x v="0"/>
  </r>
  <r>
    <n v="2"/>
    <s v="安徽"/>
    <x v="0"/>
    <n v="470"/>
    <x v="0"/>
  </r>
  <r>
    <n v="2"/>
    <s v="安徽"/>
    <x v="0"/>
    <n v="44"/>
    <x v="0"/>
  </r>
  <r>
    <n v="2"/>
    <s v="安徽"/>
    <x v="0"/>
    <n v="83"/>
    <x v="0"/>
  </r>
  <r>
    <n v="2"/>
    <s v="安徽"/>
    <x v="0"/>
    <n v="101"/>
    <x v="0"/>
  </r>
  <r>
    <n v="2"/>
    <s v="安徽"/>
    <x v="0"/>
    <n v="158"/>
    <x v="0"/>
  </r>
  <r>
    <n v="2"/>
    <s v="安徽"/>
    <x v="0"/>
    <n v="191"/>
    <x v="0"/>
  </r>
  <r>
    <n v="3"/>
    <s v="广西"/>
    <x v="1"/>
    <n v="1055"/>
    <x v="0"/>
  </r>
  <r>
    <n v="3"/>
    <s v="广西"/>
    <x v="1"/>
    <n v="678"/>
    <x v="0"/>
  </r>
  <r>
    <n v="3"/>
    <s v="广西"/>
    <x v="1"/>
    <n v="315"/>
    <x v="0"/>
  </r>
  <r>
    <n v="3"/>
    <s v="广西"/>
    <x v="1"/>
    <n v="270"/>
    <x v="0"/>
  </r>
  <r>
    <n v="3"/>
    <s v="广西"/>
    <x v="1"/>
    <n v="368"/>
    <x v="0"/>
  </r>
  <r>
    <n v="3"/>
    <s v="广西"/>
    <x v="1"/>
    <n v="405"/>
    <x v="0"/>
  </r>
  <r>
    <n v="3"/>
    <s v="广西"/>
    <x v="1"/>
    <n v="39"/>
    <x v="0"/>
  </r>
  <r>
    <n v="3"/>
    <s v="广西"/>
    <x v="1"/>
    <n v="50"/>
    <x v="0"/>
  </r>
  <r>
    <n v="3"/>
    <s v="广西"/>
    <x v="1"/>
    <n v="18"/>
    <x v="0"/>
  </r>
  <r>
    <n v="3"/>
    <s v="广西"/>
    <x v="1"/>
    <n v="203"/>
    <x v="0"/>
  </r>
  <r>
    <n v="3"/>
    <s v="广西"/>
    <x v="1"/>
    <n v="315"/>
    <x v="0"/>
  </r>
  <r>
    <n v="3"/>
    <s v="广西"/>
    <x v="1"/>
    <n v="1521"/>
    <x v="0"/>
  </r>
  <r>
    <n v="3"/>
    <s v="广西"/>
    <x v="1"/>
    <n v="83"/>
    <x v="0"/>
  </r>
  <r>
    <n v="3"/>
    <s v="广西"/>
    <x v="1"/>
    <n v="492"/>
    <x v="0"/>
  </r>
  <r>
    <n v="3"/>
    <s v="广西"/>
    <x v="1"/>
    <n v="341"/>
    <x v="0"/>
  </r>
  <r>
    <n v="3"/>
    <s v="广西"/>
    <x v="1"/>
    <n v="338"/>
    <x v="0"/>
  </r>
  <r>
    <n v="3"/>
    <s v="广西"/>
    <x v="1"/>
    <n v="158"/>
    <x v="0"/>
  </r>
  <r>
    <n v="3"/>
    <s v="广西"/>
    <x v="1"/>
    <n v="557"/>
    <x v="0"/>
  </r>
  <r>
    <n v="3"/>
    <s v="广西"/>
    <x v="1"/>
    <n v="333"/>
    <x v="0"/>
  </r>
  <r>
    <n v="3"/>
    <s v="广西"/>
    <x v="1"/>
    <n v="2981"/>
    <x v="0"/>
  </r>
  <r>
    <n v="3"/>
    <s v="广西"/>
    <x v="1"/>
    <n v="105"/>
    <x v="0"/>
  </r>
  <r>
    <n v="3"/>
    <s v="广西"/>
    <x v="1"/>
    <n v="138"/>
    <x v="0"/>
  </r>
  <r>
    <n v="3"/>
    <s v="广西"/>
    <x v="1"/>
    <n v="158"/>
    <x v="0"/>
  </r>
  <r>
    <n v="3"/>
    <s v="广西"/>
    <x v="1"/>
    <n v="420"/>
    <x v="0"/>
  </r>
  <r>
    <n v="3"/>
    <s v="广西"/>
    <x v="1"/>
    <n v="557"/>
    <x v="0"/>
  </r>
  <r>
    <n v="4"/>
    <s v="江苏"/>
    <x v="1"/>
    <n v="50"/>
    <x v="0"/>
  </r>
  <r>
    <n v="4"/>
    <s v="江苏"/>
    <x v="1"/>
    <n v="369"/>
    <x v="0"/>
  </r>
  <r>
    <n v="4"/>
    <s v="江苏"/>
    <x v="1"/>
    <n v="277"/>
    <x v="0"/>
  </r>
  <r>
    <n v="4"/>
    <s v="江苏"/>
    <x v="1"/>
    <n v="369"/>
    <x v="0"/>
  </r>
  <r>
    <n v="4"/>
    <s v="江苏"/>
    <x v="1"/>
    <n v="39"/>
    <x v="0"/>
  </r>
  <r>
    <n v="4"/>
    <s v="江苏"/>
    <x v="1"/>
    <n v="77"/>
    <x v="0"/>
  </r>
  <r>
    <n v="4"/>
    <s v="江苏"/>
    <x v="1"/>
    <n v="95"/>
    <x v="0"/>
  </r>
  <r>
    <n v="4"/>
    <s v="江苏"/>
    <x v="1"/>
    <n v="68"/>
    <x v="0"/>
  </r>
  <r>
    <n v="4"/>
    <s v="江苏"/>
    <x v="1"/>
    <n v="35"/>
    <x v="0"/>
  </r>
  <r>
    <n v="4"/>
    <s v="江苏"/>
    <x v="1"/>
    <n v="88"/>
    <x v="0"/>
  </r>
  <r>
    <n v="4"/>
    <s v="江苏"/>
    <x v="1"/>
    <n v="50"/>
    <x v="0"/>
  </r>
  <r>
    <n v="4"/>
    <s v="江苏"/>
    <x v="1"/>
    <n v="112"/>
    <x v="0"/>
  </r>
  <r>
    <n v="4"/>
    <s v="江苏"/>
    <x v="1"/>
    <n v="63"/>
    <x v="0"/>
  </r>
  <r>
    <n v="4"/>
    <s v="江苏"/>
    <x v="1"/>
    <n v="344"/>
    <x v="0"/>
  </r>
  <r>
    <n v="4"/>
    <s v="江苏"/>
    <x v="1"/>
    <n v="135"/>
    <x v="0"/>
  </r>
  <r>
    <n v="4"/>
    <s v="江苏"/>
    <x v="1"/>
    <n v="210"/>
    <x v="0"/>
  </r>
  <r>
    <n v="4"/>
    <s v="江苏"/>
    <x v="1"/>
    <n v="426"/>
    <x v="0"/>
  </r>
  <r>
    <n v="4"/>
    <s v="江苏"/>
    <x v="1"/>
    <n v="105"/>
    <x v="0"/>
  </r>
  <r>
    <n v="4"/>
    <s v="江苏"/>
    <x v="1"/>
    <n v="113"/>
    <x v="0"/>
  </r>
  <r>
    <n v="4"/>
    <s v="江苏"/>
    <x v="1"/>
    <n v="70"/>
    <x v="0"/>
  </r>
  <r>
    <n v="4"/>
    <s v="江苏"/>
    <x v="1"/>
    <n v="124"/>
    <x v="0"/>
  </r>
  <r>
    <n v="4"/>
    <s v="江苏"/>
    <x v="1"/>
    <n v="35"/>
    <x v="0"/>
  </r>
  <r>
    <n v="4"/>
    <s v="江苏"/>
    <x v="1"/>
    <n v="69"/>
    <x v="0"/>
  </r>
  <r>
    <n v="4"/>
    <s v="江苏"/>
    <x v="1"/>
    <n v="90"/>
    <x v="0"/>
  </r>
  <r>
    <n v="4"/>
    <s v="江苏"/>
    <x v="1"/>
    <n v="166"/>
    <x v="0"/>
  </r>
  <r>
    <n v="4"/>
    <s v="江苏"/>
    <x v="1"/>
    <n v="68"/>
    <x v="0"/>
  </r>
  <r>
    <n v="5"/>
    <s v="天津"/>
    <x v="0"/>
    <n v="163"/>
    <x v="0"/>
  </r>
  <r>
    <n v="5"/>
    <s v="天津"/>
    <x v="0"/>
    <n v="286"/>
    <x v="0"/>
  </r>
  <r>
    <n v="5"/>
    <s v="天津"/>
    <x v="0"/>
    <n v="181"/>
    <x v="0"/>
  </r>
  <r>
    <n v="5"/>
    <s v="天津"/>
    <x v="0"/>
    <n v="262"/>
    <x v="0"/>
  </r>
  <r>
    <n v="5"/>
    <s v="天津"/>
    <x v="0"/>
    <n v="71"/>
    <x v="0"/>
  </r>
  <r>
    <n v="5"/>
    <s v="天津"/>
    <x v="0"/>
    <n v="155"/>
    <x v="0"/>
  </r>
  <r>
    <n v="5"/>
    <s v="天津"/>
    <x v="0"/>
    <n v="102"/>
    <x v="0"/>
  </r>
  <r>
    <n v="5"/>
    <s v="天津"/>
    <x v="0"/>
    <n v="445"/>
    <x v="0"/>
  </r>
  <r>
    <n v="5"/>
    <s v="天津"/>
    <x v="0"/>
    <n v="193"/>
    <x v="0"/>
  </r>
  <r>
    <n v="5"/>
    <s v="天津"/>
    <x v="0"/>
    <n v="1039"/>
    <x v="0"/>
  </r>
  <r>
    <n v="5"/>
    <s v="天津"/>
    <x v="0"/>
    <n v="203"/>
    <x v="0"/>
  </r>
  <r>
    <n v="5"/>
    <s v="天津"/>
    <x v="0"/>
    <n v="40"/>
    <x v="0"/>
  </r>
  <r>
    <n v="5"/>
    <s v="天津"/>
    <x v="0"/>
    <n v="38"/>
    <x v="0"/>
  </r>
  <r>
    <n v="5"/>
    <s v="天津"/>
    <x v="0"/>
    <n v="326"/>
    <x v="0"/>
  </r>
  <r>
    <n v="5"/>
    <s v="天津"/>
    <x v="0"/>
    <n v="652"/>
    <x v="0"/>
  </r>
  <r>
    <n v="5"/>
    <s v="天津"/>
    <x v="0"/>
    <n v="665"/>
    <x v="0"/>
  </r>
  <r>
    <n v="5"/>
    <s v="天津"/>
    <x v="0"/>
    <n v="1145"/>
    <x v="0"/>
  </r>
  <r>
    <n v="5"/>
    <s v="天津"/>
    <x v="0"/>
    <n v="27"/>
    <x v="0"/>
  </r>
  <r>
    <n v="5"/>
    <s v="天津"/>
    <x v="0"/>
    <n v="39"/>
    <x v="0"/>
  </r>
  <r>
    <n v="5"/>
    <s v="天津"/>
    <x v="0"/>
    <n v="89"/>
    <x v="0"/>
  </r>
  <r>
    <n v="5"/>
    <s v="天津"/>
    <x v="0"/>
    <n v="79"/>
    <x v="0"/>
  </r>
  <r>
    <n v="5"/>
    <s v="天津"/>
    <x v="0"/>
    <n v="121"/>
    <x v="0"/>
  </r>
  <r>
    <n v="5"/>
    <s v="天津"/>
    <x v="0"/>
    <n v="31"/>
    <x v="0"/>
  </r>
  <r>
    <n v="5"/>
    <s v="天津"/>
    <x v="0"/>
    <n v="495"/>
    <x v="0"/>
  </r>
  <r>
    <n v="5"/>
    <s v="天津"/>
    <x v="0"/>
    <n v="322"/>
    <x v="0"/>
  </r>
  <r>
    <n v="5"/>
    <s v="天津"/>
    <x v="0"/>
    <n v="1588"/>
    <x v="0"/>
  </r>
  <r>
    <n v="5"/>
    <s v="天津"/>
    <x v="0"/>
    <n v="314"/>
    <x v="0"/>
  </r>
  <r>
    <n v="5"/>
    <s v="天津"/>
    <x v="0"/>
    <n v="36"/>
    <x v="0"/>
  </r>
  <r>
    <n v="5"/>
    <s v="天津"/>
    <x v="0"/>
    <n v="45"/>
    <x v="0"/>
  </r>
  <r>
    <n v="5"/>
    <s v="天津"/>
    <x v="0"/>
    <n v="58"/>
    <x v="0"/>
  </r>
  <r>
    <n v="5"/>
    <s v="天津"/>
    <x v="0"/>
    <n v="93"/>
    <x v="0"/>
  </r>
  <r>
    <n v="5"/>
    <s v="天津"/>
    <x v="0"/>
    <n v="107"/>
    <x v="0"/>
  </r>
  <r>
    <n v="6"/>
    <s v="福建"/>
    <x v="1"/>
    <n v="760"/>
    <x v="0"/>
  </r>
  <r>
    <n v="6"/>
    <s v="福建"/>
    <x v="1"/>
    <n v="1812"/>
    <x v="0"/>
  </r>
  <r>
    <n v="6"/>
    <s v="福建"/>
    <x v="1"/>
    <n v="1337"/>
    <x v="0"/>
  </r>
  <r>
    <n v="6"/>
    <s v="福建"/>
    <x v="1"/>
    <n v="557"/>
    <x v="0"/>
  </r>
  <r>
    <n v="6"/>
    <s v="福建"/>
    <x v="1"/>
    <n v="535"/>
    <x v="0"/>
  </r>
  <r>
    <n v="6"/>
    <s v="福建"/>
    <x v="1"/>
    <n v="459"/>
    <x v="0"/>
  </r>
  <r>
    <n v="6"/>
    <s v="福建"/>
    <x v="1"/>
    <n v="376"/>
    <x v="0"/>
  </r>
  <r>
    <n v="6"/>
    <s v="福建"/>
    <x v="1"/>
    <n v="203"/>
    <x v="0"/>
  </r>
  <r>
    <n v="6"/>
    <s v="福建"/>
    <x v="1"/>
    <n v="679"/>
    <x v="0"/>
  </r>
  <r>
    <n v="6"/>
    <s v="福建"/>
    <x v="1"/>
    <n v="641"/>
    <x v="0"/>
  </r>
  <r>
    <n v="6"/>
    <s v="福建"/>
    <x v="1"/>
    <n v="1565"/>
    <x v="0"/>
  </r>
  <r>
    <n v="6"/>
    <s v="福建"/>
    <x v="1"/>
    <n v="714"/>
    <x v="0"/>
  </r>
  <r>
    <n v="6"/>
    <s v="福建"/>
    <x v="1"/>
    <n v="1461"/>
    <x v="0"/>
  </r>
  <r>
    <n v="8"/>
    <s v="广东"/>
    <x v="1"/>
    <n v="1210"/>
    <x v="0"/>
  </r>
  <r>
    <n v="8"/>
    <s v="广东"/>
    <x v="1"/>
    <n v="834"/>
    <x v="0"/>
  </r>
  <r>
    <n v="8"/>
    <s v="广东"/>
    <x v="1"/>
    <n v="489"/>
    <x v="0"/>
  </r>
  <r>
    <n v="8"/>
    <s v="广东"/>
    <x v="1"/>
    <n v="848"/>
    <x v="0"/>
  </r>
  <r>
    <n v="8"/>
    <s v="广东"/>
    <x v="1"/>
    <n v="1036"/>
    <x v="0"/>
  </r>
  <r>
    <n v="8"/>
    <s v="广东"/>
    <x v="1"/>
    <n v="473"/>
    <x v="0"/>
  </r>
  <r>
    <n v="8"/>
    <s v="广东"/>
    <x v="1"/>
    <n v="249"/>
    <x v="0"/>
  </r>
  <r>
    <n v="8"/>
    <s v="广东"/>
    <x v="1"/>
    <n v="1615"/>
    <x v="0"/>
  </r>
  <r>
    <n v="8"/>
    <s v="广东"/>
    <x v="1"/>
    <n v="1020"/>
    <x v="0"/>
  </r>
  <r>
    <n v="8"/>
    <s v="广东"/>
    <x v="1"/>
    <n v="1319"/>
    <x v="0"/>
  </r>
  <r>
    <n v="8"/>
    <s v="广东"/>
    <x v="1"/>
    <n v="306"/>
    <x v="0"/>
  </r>
  <r>
    <n v="8"/>
    <s v="广东"/>
    <x v="1"/>
    <n v="175"/>
    <x v="0"/>
  </r>
  <r>
    <n v="8"/>
    <s v="广东"/>
    <x v="1"/>
    <n v="225"/>
    <x v="0"/>
  </r>
  <r>
    <n v="8"/>
    <s v="广东"/>
    <x v="1"/>
    <n v="790"/>
    <x v="0"/>
  </r>
  <r>
    <n v="8"/>
    <s v="广东"/>
    <x v="1"/>
    <n v="124"/>
    <x v="0"/>
  </r>
  <r>
    <n v="8"/>
    <s v="广东"/>
    <x v="1"/>
    <n v="140"/>
    <x v="0"/>
  </r>
  <r>
    <n v="8"/>
    <s v="广东"/>
    <x v="1"/>
    <n v="135"/>
    <x v="0"/>
  </r>
  <r>
    <n v="8"/>
    <s v="广东"/>
    <x v="1"/>
    <n v="175"/>
    <x v="0"/>
  </r>
  <r>
    <n v="8"/>
    <s v="广东"/>
    <x v="1"/>
    <n v="101"/>
    <x v="0"/>
  </r>
  <r>
    <n v="8"/>
    <s v="广东"/>
    <x v="1"/>
    <n v="158"/>
    <x v="0"/>
  </r>
  <r>
    <n v="8"/>
    <s v="广东"/>
    <x v="1"/>
    <n v="146"/>
    <x v="0"/>
  </r>
  <r>
    <n v="8"/>
    <s v="广东"/>
    <x v="1"/>
    <n v="105"/>
    <x v="0"/>
  </r>
  <r>
    <n v="8"/>
    <s v="广东"/>
    <x v="1"/>
    <n v="83"/>
    <x v="0"/>
  </r>
  <r>
    <n v="8"/>
    <s v="广东"/>
    <x v="1"/>
    <n v="34"/>
    <x v="0"/>
  </r>
  <r>
    <n v="8"/>
    <s v="广东"/>
    <x v="1"/>
    <n v="70"/>
    <x v="0"/>
  </r>
  <r>
    <n v="8"/>
    <s v="广东"/>
    <x v="1"/>
    <n v="146"/>
    <x v="0"/>
  </r>
  <r>
    <n v="1"/>
    <s v="河北"/>
    <x v="0"/>
    <n v="506"/>
    <x v="0"/>
  </r>
  <r>
    <n v="1"/>
    <s v="河北"/>
    <x v="0"/>
    <n v="678"/>
    <x v="0"/>
  </r>
  <r>
    <n v="1"/>
    <s v="河北"/>
    <x v="0"/>
    <n v="238"/>
    <x v="0"/>
  </r>
  <r>
    <n v="1"/>
    <s v="河北"/>
    <x v="0"/>
    <n v="239"/>
    <x v="0"/>
  </r>
  <r>
    <n v="1"/>
    <s v="河北"/>
    <x v="0"/>
    <n v="77"/>
    <x v="0"/>
  </r>
  <r>
    <n v="1"/>
    <s v="河北"/>
    <x v="0"/>
    <n v="110"/>
    <x v="0"/>
  </r>
  <r>
    <n v="1"/>
    <s v="河北"/>
    <x v="0"/>
    <n v="27"/>
    <x v="0"/>
  </r>
  <r>
    <n v="1"/>
    <s v="河北"/>
    <x v="0"/>
    <n v="140"/>
    <x v="0"/>
  </r>
  <r>
    <n v="1"/>
    <s v="河北"/>
    <x v="0"/>
    <n v="158"/>
    <x v="0"/>
  </r>
  <r>
    <n v="1"/>
    <s v="河北"/>
    <x v="0"/>
    <n v="46"/>
    <x v="0"/>
  </r>
  <r>
    <n v="1"/>
    <s v="河北"/>
    <x v="0"/>
    <n v="590"/>
    <x v="0"/>
  </r>
  <r>
    <n v="1"/>
    <s v="河北"/>
    <x v="0"/>
    <n v="11"/>
    <x v="0"/>
  </r>
  <r>
    <n v="1"/>
    <s v="河北"/>
    <x v="0"/>
    <n v="39"/>
    <x v="0"/>
  </r>
  <r>
    <n v="1"/>
    <s v="河北"/>
    <x v="0"/>
    <n v="14"/>
    <x v="0"/>
  </r>
  <r>
    <n v="1"/>
    <s v="河北"/>
    <x v="0"/>
    <n v="42"/>
    <x v="0"/>
  </r>
  <r>
    <n v="1"/>
    <s v="河北"/>
    <x v="0"/>
    <n v="239"/>
    <x v="0"/>
  </r>
  <r>
    <n v="1"/>
    <s v="河北"/>
    <x v="0"/>
    <n v="494"/>
    <x v="0"/>
  </r>
  <r>
    <n v="1"/>
    <s v="河北"/>
    <x v="0"/>
    <n v="1681"/>
    <x v="0"/>
  </r>
  <r>
    <n v="1"/>
    <s v="河北"/>
    <x v="0"/>
    <n v="646"/>
    <x v="0"/>
  </r>
  <r>
    <n v="1"/>
    <s v="河北"/>
    <x v="0"/>
    <n v="1292"/>
    <x v="0"/>
  </r>
  <r>
    <n v="1"/>
    <s v="河北"/>
    <x v="0"/>
    <n v="2560"/>
    <x v="0"/>
  </r>
  <r>
    <n v="1"/>
    <s v="河北"/>
    <x v="0"/>
    <n v="2058"/>
    <x v="0"/>
  </r>
  <r>
    <n v="1"/>
    <s v="河北"/>
    <x v="0"/>
    <n v="113"/>
    <x v="0"/>
  </r>
  <r>
    <n v="1"/>
    <s v="河北"/>
    <x v="0"/>
    <n v="637"/>
    <x v="0"/>
  </r>
  <r>
    <n v="1"/>
    <s v="河北"/>
    <x v="0"/>
    <n v="383"/>
    <x v="0"/>
  </r>
  <r>
    <n v="1"/>
    <s v="河北"/>
    <x v="0"/>
    <n v="44"/>
    <x v="0"/>
  </r>
  <r>
    <n v="1"/>
    <s v="河北"/>
    <x v="0"/>
    <n v="56"/>
    <x v="0"/>
  </r>
  <r>
    <n v="1"/>
    <s v="河北"/>
    <x v="0"/>
    <n v="44"/>
    <x v="0"/>
  </r>
  <r>
    <n v="1"/>
    <s v="河北"/>
    <x v="0"/>
    <n v="41"/>
    <x v="0"/>
  </r>
  <r>
    <n v="1"/>
    <s v="河北"/>
    <x v="0"/>
    <n v="56"/>
    <x v="0"/>
  </r>
  <r>
    <n v="1"/>
    <s v="河北"/>
    <x v="0"/>
    <n v="88"/>
    <x v="0"/>
  </r>
  <r>
    <n v="1"/>
    <s v="河北"/>
    <x v="0"/>
    <n v="101"/>
    <x v="0"/>
  </r>
  <r>
    <n v="2"/>
    <s v="安徽"/>
    <x v="0"/>
    <n v="220"/>
    <x v="0"/>
  </r>
  <r>
    <n v="2"/>
    <s v="安徽"/>
    <x v="0"/>
    <n v="203"/>
    <x v="0"/>
  </r>
  <r>
    <n v="2"/>
    <s v="安徽"/>
    <x v="0"/>
    <n v="228"/>
    <x v="0"/>
  </r>
  <r>
    <n v="2"/>
    <s v="安徽"/>
    <x v="0"/>
    <n v="620"/>
    <x v="0"/>
  </r>
  <r>
    <n v="2"/>
    <s v="安徽"/>
    <x v="0"/>
    <n v="140"/>
    <x v="0"/>
  </r>
  <r>
    <n v="2"/>
    <s v="安徽"/>
    <x v="0"/>
    <n v="248"/>
    <x v="0"/>
  </r>
  <r>
    <n v="2"/>
    <s v="安徽"/>
    <x v="0"/>
    <n v="158"/>
    <x v="0"/>
  </r>
  <r>
    <n v="2"/>
    <s v="安徽"/>
    <x v="0"/>
    <n v="581"/>
    <x v="0"/>
  </r>
  <r>
    <n v="2"/>
    <s v="安徽"/>
    <x v="0"/>
    <n v="495"/>
    <x v="0"/>
  </r>
  <r>
    <n v="2"/>
    <s v="安徽"/>
    <x v="0"/>
    <n v="1444"/>
    <x v="0"/>
  </r>
  <r>
    <n v="2"/>
    <s v="安徽"/>
    <x v="0"/>
    <n v="356"/>
    <x v="0"/>
  </r>
  <r>
    <n v="2"/>
    <s v="安徽"/>
    <x v="0"/>
    <n v="42"/>
    <x v="0"/>
  </r>
  <r>
    <n v="2"/>
    <s v="安徽"/>
    <x v="0"/>
    <n v="39"/>
    <x v="0"/>
  </r>
  <r>
    <n v="2"/>
    <s v="安徽"/>
    <x v="0"/>
    <n v="714"/>
    <x v="0"/>
  </r>
  <r>
    <n v="2"/>
    <s v="安徽"/>
    <x v="0"/>
    <n v="123"/>
    <x v="0"/>
  </r>
  <r>
    <n v="2"/>
    <s v="安徽"/>
    <x v="0"/>
    <n v="1845"/>
    <x v="0"/>
  </r>
  <r>
    <n v="2"/>
    <s v="安徽"/>
    <x v="0"/>
    <n v="655"/>
    <x v="0"/>
  </r>
  <r>
    <n v="2"/>
    <s v="安徽"/>
    <x v="0"/>
    <n v="56"/>
    <x v="0"/>
  </r>
  <r>
    <n v="2"/>
    <s v="安徽"/>
    <x v="0"/>
    <n v="88"/>
    <x v="0"/>
  </r>
  <r>
    <n v="2"/>
    <s v="安徽"/>
    <x v="0"/>
    <n v="146"/>
    <x v="0"/>
  </r>
  <r>
    <n v="2"/>
    <s v="安徽"/>
    <x v="0"/>
    <n v="184"/>
    <x v="0"/>
  </r>
  <r>
    <n v="2"/>
    <s v="安徽"/>
    <x v="0"/>
    <n v="206"/>
    <x v="0"/>
  </r>
  <r>
    <n v="2"/>
    <s v="安徽"/>
    <x v="0"/>
    <n v="79"/>
    <x v="0"/>
  </r>
  <r>
    <n v="2"/>
    <s v="安徽"/>
    <x v="0"/>
    <n v="697"/>
    <x v="0"/>
  </r>
  <r>
    <n v="2"/>
    <s v="安徽"/>
    <x v="0"/>
    <n v="437"/>
    <x v="0"/>
  </r>
  <r>
    <n v="2"/>
    <s v="安徽"/>
    <x v="0"/>
    <n v="1928"/>
    <x v="0"/>
  </r>
  <r>
    <n v="2"/>
    <s v="安徽"/>
    <x v="0"/>
    <n v="536"/>
    <x v="0"/>
  </r>
  <r>
    <n v="2"/>
    <s v="安徽"/>
    <x v="0"/>
    <n v="35"/>
    <x v="0"/>
  </r>
  <r>
    <n v="2"/>
    <s v="安徽"/>
    <x v="0"/>
    <n v="96"/>
    <x v="0"/>
  </r>
  <r>
    <n v="2"/>
    <s v="安徽"/>
    <x v="0"/>
    <n v="113"/>
    <x v="0"/>
  </r>
  <r>
    <n v="2"/>
    <s v="安徽"/>
    <x v="0"/>
    <n v="175"/>
    <x v="0"/>
  </r>
  <r>
    <n v="2"/>
    <s v="安徽"/>
    <x v="0"/>
    <n v="214"/>
    <x v="0"/>
  </r>
  <r>
    <n v="3"/>
    <s v="广西"/>
    <x v="1"/>
    <n v="1529"/>
    <x v="0"/>
  </r>
  <r>
    <n v="3"/>
    <s v="广西"/>
    <x v="1"/>
    <n v="203"/>
    <x v="0"/>
  </r>
  <r>
    <n v="3"/>
    <s v="广西"/>
    <x v="1"/>
    <n v="315"/>
    <x v="0"/>
  </r>
  <r>
    <n v="3"/>
    <s v="广西"/>
    <x v="1"/>
    <n v="203"/>
    <x v="0"/>
  </r>
  <r>
    <n v="3"/>
    <s v="广西"/>
    <x v="1"/>
    <n v="210"/>
    <x v="0"/>
  </r>
  <r>
    <n v="3"/>
    <s v="广西"/>
    <x v="1"/>
    <n v="464"/>
    <x v="0"/>
  </r>
  <r>
    <n v="3"/>
    <s v="广西"/>
    <x v="1"/>
    <n v="63"/>
    <x v="0"/>
  </r>
  <r>
    <n v="3"/>
    <s v="广西"/>
    <x v="1"/>
    <n v="72"/>
    <x v="0"/>
  </r>
  <r>
    <n v="3"/>
    <s v="广西"/>
    <x v="1"/>
    <n v="18"/>
    <x v="0"/>
  </r>
  <r>
    <n v="3"/>
    <s v="广西"/>
    <x v="1"/>
    <n v="28"/>
    <x v="0"/>
  </r>
  <r>
    <n v="3"/>
    <s v="广西"/>
    <x v="1"/>
    <n v="248"/>
    <x v="0"/>
  </r>
  <r>
    <n v="3"/>
    <s v="广西"/>
    <x v="1"/>
    <n v="420"/>
    <x v="0"/>
  </r>
  <r>
    <n v="3"/>
    <s v="广西"/>
    <x v="1"/>
    <n v="270"/>
    <x v="0"/>
  </r>
  <r>
    <n v="3"/>
    <s v="广西"/>
    <x v="1"/>
    <n v="83"/>
    <x v="0"/>
  </r>
  <r>
    <n v="3"/>
    <s v="广西"/>
    <x v="1"/>
    <n v="304"/>
    <x v="0"/>
  </r>
  <r>
    <n v="3"/>
    <s v="广西"/>
    <x v="1"/>
    <n v="236"/>
    <x v="0"/>
  </r>
  <r>
    <n v="3"/>
    <s v="广西"/>
    <x v="1"/>
    <n v="459"/>
    <x v="0"/>
  </r>
  <r>
    <n v="3"/>
    <s v="广西"/>
    <x v="1"/>
    <n v="158"/>
    <x v="0"/>
  </r>
  <r>
    <n v="3"/>
    <s v="广西"/>
    <x v="1"/>
    <n v="459"/>
    <x v="0"/>
  </r>
  <r>
    <n v="3"/>
    <s v="广西"/>
    <x v="1"/>
    <n v="298"/>
    <x v="0"/>
  </r>
  <r>
    <n v="3"/>
    <s v="广西"/>
    <x v="1"/>
    <n v="1716"/>
    <x v="0"/>
  </r>
  <r>
    <n v="3"/>
    <s v="广西"/>
    <x v="1"/>
    <n v="114"/>
    <x v="0"/>
  </r>
  <r>
    <n v="3"/>
    <s v="广西"/>
    <x v="1"/>
    <n v="110"/>
    <x v="0"/>
  </r>
  <r>
    <n v="3"/>
    <s v="广西"/>
    <x v="1"/>
    <n v="135"/>
    <x v="0"/>
  </r>
  <r>
    <n v="3"/>
    <s v="广西"/>
    <x v="1"/>
    <n v="434"/>
    <x v="0"/>
  </r>
  <r>
    <n v="3"/>
    <s v="广西"/>
    <x v="1"/>
    <n v="338"/>
    <x v="0"/>
  </r>
  <r>
    <n v="4"/>
    <s v="江苏"/>
    <x v="1"/>
    <n v="72"/>
    <x v="0"/>
  </r>
  <r>
    <n v="4"/>
    <s v="江苏"/>
    <x v="1"/>
    <n v="428"/>
    <x v="0"/>
  </r>
  <r>
    <n v="4"/>
    <s v="江苏"/>
    <x v="1"/>
    <n v="354"/>
    <x v="0"/>
  </r>
  <r>
    <n v="4"/>
    <s v="江苏"/>
    <x v="1"/>
    <n v="257"/>
    <x v="0"/>
  </r>
  <r>
    <n v="4"/>
    <s v="江苏"/>
    <x v="1"/>
    <n v="42"/>
    <x v="0"/>
  </r>
  <r>
    <n v="4"/>
    <s v="江苏"/>
    <x v="1"/>
    <n v="99"/>
    <x v="0"/>
  </r>
  <r>
    <n v="4"/>
    <s v="江苏"/>
    <x v="1"/>
    <n v="102"/>
    <x v="0"/>
  </r>
  <r>
    <n v="4"/>
    <s v="江苏"/>
    <x v="1"/>
    <n v="108"/>
    <x v="0"/>
  </r>
  <r>
    <n v="4"/>
    <s v="江苏"/>
    <x v="1"/>
    <n v="39"/>
    <x v="0"/>
  </r>
  <r>
    <n v="4"/>
    <s v="江苏"/>
    <x v="1"/>
    <n v="143"/>
    <x v="0"/>
  </r>
  <r>
    <n v="4"/>
    <s v="江苏"/>
    <x v="1"/>
    <n v="59"/>
    <x v="0"/>
  </r>
  <r>
    <n v="4"/>
    <s v="江苏"/>
    <x v="1"/>
    <n v="172"/>
    <x v="0"/>
  </r>
  <r>
    <n v="4"/>
    <s v="江苏"/>
    <x v="1"/>
    <n v="45"/>
    <x v="0"/>
  </r>
  <r>
    <n v="4"/>
    <s v="江苏"/>
    <x v="1"/>
    <n v="385"/>
    <x v="0"/>
  </r>
  <r>
    <n v="4"/>
    <s v="江苏"/>
    <x v="1"/>
    <n v="158"/>
    <x v="0"/>
  </r>
  <r>
    <n v="4"/>
    <s v="江苏"/>
    <x v="1"/>
    <n v="245"/>
    <x v="0"/>
  </r>
  <r>
    <n v="4"/>
    <s v="江苏"/>
    <x v="1"/>
    <n v="426"/>
    <x v="0"/>
  </r>
  <r>
    <n v="4"/>
    <s v="江苏"/>
    <x v="1"/>
    <n v="123"/>
    <x v="0"/>
  </r>
  <r>
    <n v="4"/>
    <s v="江苏"/>
    <x v="1"/>
    <n v="124"/>
    <x v="0"/>
  </r>
  <r>
    <n v="4"/>
    <s v="江苏"/>
    <x v="1"/>
    <n v="79"/>
    <x v="0"/>
  </r>
  <r>
    <n v="4"/>
    <s v="江苏"/>
    <x v="1"/>
    <n v="135"/>
    <x v="0"/>
  </r>
  <r>
    <n v="4"/>
    <s v="江苏"/>
    <x v="1"/>
    <n v="35"/>
    <x v="0"/>
  </r>
  <r>
    <n v="4"/>
    <s v="江苏"/>
    <x v="1"/>
    <n v="69"/>
    <x v="0"/>
  </r>
  <r>
    <n v="4"/>
    <s v="江苏"/>
    <x v="1"/>
    <n v="101"/>
    <x v="0"/>
  </r>
  <r>
    <n v="4"/>
    <s v="江苏"/>
    <x v="1"/>
    <n v="193"/>
    <x v="0"/>
  </r>
  <r>
    <n v="4"/>
    <s v="江苏"/>
    <x v="1"/>
    <n v="68"/>
    <x v="0"/>
  </r>
  <r>
    <n v="5"/>
    <s v="天津"/>
    <x v="0"/>
    <n v="108"/>
    <x v="0"/>
  </r>
  <r>
    <n v="5"/>
    <s v="天津"/>
    <x v="0"/>
    <n v="138"/>
    <x v="0"/>
  </r>
  <r>
    <n v="5"/>
    <s v="天津"/>
    <x v="0"/>
    <n v="147"/>
    <x v="0"/>
  </r>
  <r>
    <n v="5"/>
    <s v="天津"/>
    <x v="0"/>
    <n v="403"/>
    <x v="0"/>
  </r>
  <r>
    <n v="5"/>
    <s v="天津"/>
    <x v="0"/>
    <n v="91"/>
    <x v="0"/>
  </r>
  <r>
    <n v="5"/>
    <s v="天津"/>
    <x v="0"/>
    <n v="122"/>
    <x v="0"/>
  </r>
  <r>
    <n v="5"/>
    <s v="天津"/>
    <x v="0"/>
    <n v="112"/>
    <x v="0"/>
  </r>
  <r>
    <n v="5"/>
    <s v="天津"/>
    <x v="0"/>
    <n v="438"/>
    <x v="0"/>
  </r>
  <r>
    <n v="5"/>
    <s v="天津"/>
    <x v="0"/>
    <n v="318"/>
    <x v="0"/>
  </r>
  <r>
    <n v="5"/>
    <s v="天津"/>
    <x v="0"/>
    <n v="770"/>
    <x v="0"/>
  </r>
  <r>
    <n v="5"/>
    <s v="天津"/>
    <x v="0"/>
    <n v="189"/>
    <x v="0"/>
  </r>
  <r>
    <n v="5"/>
    <s v="天津"/>
    <x v="0"/>
    <n v="40"/>
    <x v="0"/>
  </r>
  <r>
    <n v="5"/>
    <s v="天津"/>
    <x v="0"/>
    <n v="36"/>
    <x v="0"/>
  </r>
  <r>
    <n v="5"/>
    <s v="天津"/>
    <x v="0"/>
    <n v="373"/>
    <x v="0"/>
  </r>
  <r>
    <n v="5"/>
    <s v="天津"/>
    <x v="0"/>
    <n v="84"/>
    <x v="0"/>
  </r>
  <r>
    <n v="5"/>
    <s v="天津"/>
    <x v="0"/>
    <n v="1317"/>
    <x v="0"/>
  </r>
  <r>
    <n v="5"/>
    <s v="天津"/>
    <x v="0"/>
    <n v="456"/>
    <x v="0"/>
  </r>
  <r>
    <n v="5"/>
    <s v="天津"/>
    <x v="0"/>
    <n v="35"/>
    <x v="0"/>
  </r>
  <r>
    <n v="5"/>
    <s v="天津"/>
    <x v="0"/>
    <n v="67"/>
    <x v="0"/>
  </r>
  <r>
    <n v="5"/>
    <s v="天津"/>
    <x v="0"/>
    <n v="66"/>
    <x v="0"/>
  </r>
  <r>
    <n v="5"/>
    <s v="天津"/>
    <x v="0"/>
    <n v="103"/>
    <x v="0"/>
  </r>
  <r>
    <n v="5"/>
    <s v="天津"/>
    <x v="0"/>
    <n v="122"/>
    <x v="0"/>
  </r>
  <r>
    <n v="5"/>
    <s v="天津"/>
    <x v="0"/>
    <n v="39"/>
    <x v="0"/>
  </r>
  <r>
    <n v="5"/>
    <s v="天津"/>
    <x v="0"/>
    <n v="489"/>
    <x v="0"/>
  </r>
  <r>
    <n v="5"/>
    <s v="天津"/>
    <x v="0"/>
    <n v="292"/>
    <x v="0"/>
  </r>
  <r>
    <n v="5"/>
    <s v="天津"/>
    <x v="0"/>
    <n v="1449"/>
    <x v="0"/>
  </r>
  <r>
    <n v="5"/>
    <s v="天津"/>
    <x v="0"/>
    <n v="365"/>
    <x v="0"/>
  </r>
  <r>
    <n v="5"/>
    <s v="天津"/>
    <x v="0"/>
    <n v="28"/>
    <x v="0"/>
  </r>
  <r>
    <n v="5"/>
    <s v="天津"/>
    <x v="0"/>
    <n v="53"/>
    <x v="0"/>
  </r>
  <r>
    <n v="5"/>
    <s v="天津"/>
    <x v="0"/>
    <n v="73"/>
    <x v="0"/>
  </r>
  <r>
    <n v="5"/>
    <s v="天津"/>
    <x v="0"/>
    <n v="118"/>
    <x v="0"/>
  </r>
  <r>
    <n v="5"/>
    <s v="天津"/>
    <x v="0"/>
    <n v="132"/>
    <x v="0"/>
  </r>
  <r>
    <n v="6"/>
    <s v="福建"/>
    <x v="1"/>
    <n v="776"/>
    <x v="0"/>
  </r>
  <r>
    <n v="6"/>
    <s v="福建"/>
    <x v="1"/>
    <n v="1932"/>
    <x v="0"/>
  </r>
  <r>
    <n v="6"/>
    <s v="福建"/>
    <x v="1"/>
    <n v="1534"/>
    <x v="0"/>
  </r>
  <r>
    <n v="6"/>
    <s v="福建"/>
    <x v="1"/>
    <n v="655"/>
    <x v="0"/>
  </r>
  <r>
    <n v="6"/>
    <s v="福建"/>
    <x v="1"/>
    <n v="560"/>
    <x v="0"/>
  </r>
  <r>
    <n v="6"/>
    <s v="福建"/>
    <x v="1"/>
    <n v="371"/>
    <x v="0"/>
  </r>
  <r>
    <n v="6"/>
    <s v="福建"/>
    <x v="1"/>
    <n v="476"/>
    <x v="0"/>
  </r>
  <r>
    <n v="6"/>
    <s v="福建"/>
    <x v="1"/>
    <n v="124"/>
    <x v="0"/>
  </r>
  <r>
    <n v="6"/>
    <s v="福建"/>
    <x v="1"/>
    <n v="782"/>
    <x v="0"/>
  </r>
  <r>
    <n v="6"/>
    <s v="福建"/>
    <x v="1"/>
    <n v="507"/>
    <x v="0"/>
  </r>
  <r>
    <n v="6"/>
    <s v="福建"/>
    <x v="1"/>
    <n v="1689"/>
    <x v="0"/>
  </r>
  <r>
    <n v="6"/>
    <s v="福建"/>
    <x v="1"/>
    <n v="792"/>
    <x v="0"/>
  </r>
  <r>
    <n v="6"/>
    <s v="福建"/>
    <x v="1"/>
    <n v="1271"/>
    <x v="0"/>
  </r>
  <r>
    <n v="8"/>
    <s v="广东"/>
    <x v="1"/>
    <n v="2414"/>
    <x v="0"/>
  </r>
  <r>
    <n v="8"/>
    <s v="广东"/>
    <x v="1"/>
    <n v="1061"/>
    <x v="0"/>
  </r>
  <r>
    <n v="8"/>
    <s v="广东"/>
    <x v="1"/>
    <n v="648"/>
    <x v="0"/>
  </r>
  <r>
    <n v="8"/>
    <s v="广东"/>
    <x v="1"/>
    <n v="917"/>
    <x v="0"/>
  </r>
  <r>
    <n v="8"/>
    <s v="广东"/>
    <x v="1"/>
    <n v="210"/>
    <x v="0"/>
  </r>
  <r>
    <n v="8"/>
    <s v="广东"/>
    <x v="1"/>
    <n v="540"/>
    <x v="0"/>
  </r>
  <r>
    <n v="8"/>
    <s v="广东"/>
    <x v="1"/>
    <n v="249"/>
    <x v="0"/>
  </r>
  <r>
    <n v="8"/>
    <s v="广东"/>
    <x v="1"/>
    <n v="1258"/>
    <x v="0"/>
  </r>
  <r>
    <n v="8"/>
    <s v="广东"/>
    <x v="1"/>
    <n v="1023"/>
    <x v="0"/>
  </r>
  <r>
    <n v="8"/>
    <s v="广东"/>
    <x v="1"/>
    <n v="1532"/>
    <x v="0"/>
  </r>
  <r>
    <n v="8"/>
    <s v="广东"/>
    <x v="1"/>
    <n v="351"/>
    <x v="0"/>
  </r>
  <r>
    <n v="8"/>
    <s v="广东"/>
    <x v="1"/>
    <n v="140"/>
    <x v="0"/>
  </r>
  <r>
    <n v="8"/>
    <s v="广东"/>
    <x v="1"/>
    <n v="225"/>
    <x v="0"/>
  </r>
  <r>
    <n v="8"/>
    <s v="广东"/>
    <x v="1"/>
    <n v="829"/>
    <x v="0"/>
  </r>
  <r>
    <n v="8"/>
    <s v="广东"/>
    <x v="1"/>
    <n v="124"/>
    <x v="0"/>
  </r>
  <r>
    <n v="8"/>
    <s v="广东"/>
    <x v="1"/>
    <n v="158"/>
    <x v="0"/>
  </r>
  <r>
    <n v="8"/>
    <s v="广东"/>
    <x v="1"/>
    <n v="158"/>
    <x v="0"/>
  </r>
  <r>
    <n v="8"/>
    <s v="广东"/>
    <x v="1"/>
    <n v="158"/>
    <x v="0"/>
  </r>
  <r>
    <n v="8"/>
    <s v="广东"/>
    <x v="1"/>
    <n v="113"/>
    <x v="0"/>
  </r>
  <r>
    <n v="8"/>
    <s v="广东"/>
    <x v="1"/>
    <n v="175"/>
    <x v="0"/>
  </r>
  <r>
    <n v="8"/>
    <s v="广东"/>
    <x v="1"/>
    <n v="146"/>
    <x v="0"/>
  </r>
  <r>
    <n v="8"/>
    <s v="广东"/>
    <x v="1"/>
    <n v="26"/>
    <x v="0"/>
  </r>
  <r>
    <n v="8"/>
    <s v="广东"/>
    <x v="1"/>
    <n v="83"/>
    <x v="0"/>
  </r>
  <r>
    <n v="8"/>
    <s v="广东"/>
    <x v="1"/>
    <n v="79"/>
    <x v="0"/>
  </r>
  <r>
    <n v="8"/>
    <s v="广东"/>
    <x v="1"/>
    <n v="79"/>
    <x v="0"/>
  </r>
  <r>
    <n v="8"/>
    <s v="广东"/>
    <x v="1"/>
    <n v="124"/>
    <x v="0"/>
  </r>
  <r>
    <n v="1"/>
    <s v="河北"/>
    <x v="0"/>
    <n v="694"/>
    <x v="0"/>
  </r>
  <r>
    <n v="1"/>
    <s v="河北"/>
    <x v="0"/>
    <n v="912"/>
    <x v="0"/>
  </r>
  <r>
    <n v="1"/>
    <s v="河北"/>
    <x v="0"/>
    <n v="200"/>
    <x v="0"/>
  </r>
  <r>
    <n v="1"/>
    <s v="河北"/>
    <x v="0"/>
    <n v="293"/>
    <x v="0"/>
  </r>
  <r>
    <n v="1"/>
    <s v="河北"/>
    <x v="0"/>
    <n v="88"/>
    <x v="0"/>
  </r>
  <r>
    <n v="1"/>
    <s v="河北"/>
    <x v="0"/>
    <n v="94"/>
    <x v="0"/>
  </r>
  <r>
    <n v="1"/>
    <s v="河北"/>
    <x v="0"/>
    <n v="23"/>
    <x v="0"/>
  </r>
  <r>
    <n v="1"/>
    <s v="河北"/>
    <x v="0"/>
    <n v="88"/>
    <x v="0"/>
  </r>
  <r>
    <n v="1"/>
    <s v="河北"/>
    <x v="0"/>
    <n v="180"/>
    <x v="0"/>
  </r>
  <r>
    <n v="1"/>
    <s v="河北"/>
    <x v="0"/>
    <n v="105"/>
    <x v="0"/>
  </r>
  <r>
    <n v="1"/>
    <s v="河北"/>
    <x v="0"/>
    <n v="531"/>
    <x v="0"/>
  </r>
  <r>
    <n v="1"/>
    <s v="河北"/>
    <x v="0"/>
    <n v="7"/>
    <x v="0"/>
  </r>
  <r>
    <n v="1"/>
    <s v="河北"/>
    <x v="0"/>
    <n v="44"/>
    <x v="0"/>
  </r>
  <r>
    <n v="1"/>
    <s v="河北"/>
    <x v="0"/>
    <n v="9"/>
    <x v="0"/>
  </r>
  <r>
    <n v="1"/>
    <s v="河北"/>
    <x v="0"/>
    <n v="46"/>
    <x v="0"/>
  </r>
  <r>
    <n v="1"/>
    <s v="河北"/>
    <x v="0"/>
    <n v="392"/>
    <x v="0"/>
  </r>
  <r>
    <n v="1"/>
    <s v="河北"/>
    <x v="0"/>
    <n v="494"/>
    <x v="0"/>
  </r>
  <r>
    <n v="1"/>
    <s v="河北"/>
    <x v="0"/>
    <n v="1906"/>
    <x v="0"/>
  </r>
  <r>
    <n v="1"/>
    <s v="河北"/>
    <x v="0"/>
    <n v="680"/>
    <x v="0"/>
  </r>
  <r>
    <n v="1"/>
    <s v="河北"/>
    <x v="0"/>
    <n v="1366"/>
    <x v="0"/>
  </r>
  <r>
    <n v="1"/>
    <s v="河北"/>
    <x v="0"/>
    <n v="3105"/>
    <x v="0"/>
  </r>
  <r>
    <n v="1"/>
    <s v="河北"/>
    <x v="0"/>
    <n v="2170"/>
    <x v="0"/>
  </r>
  <r>
    <n v="1"/>
    <s v="河北"/>
    <x v="0"/>
    <n v="124"/>
    <x v="0"/>
  </r>
  <r>
    <n v="1"/>
    <s v="河北"/>
    <x v="0"/>
    <n v="595"/>
    <x v="0"/>
  </r>
  <r>
    <n v="1"/>
    <s v="河北"/>
    <x v="0"/>
    <n v="416"/>
    <x v="0"/>
  </r>
  <r>
    <n v="1"/>
    <s v="河北"/>
    <x v="0"/>
    <n v="44"/>
    <x v="0"/>
  </r>
  <r>
    <n v="1"/>
    <s v="河北"/>
    <x v="0"/>
    <n v="68"/>
    <x v="0"/>
  </r>
  <r>
    <n v="1"/>
    <s v="河北"/>
    <x v="0"/>
    <n v="35"/>
    <x v="0"/>
  </r>
  <r>
    <n v="1"/>
    <s v="河北"/>
    <x v="0"/>
    <n v="41"/>
    <x v="0"/>
  </r>
  <r>
    <n v="1"/>
    <s v="河北"/>
    <x v="0"/>
    <n v="56"/>
    <x v="0"/>
  </r>
  <r>
    <n v="1"/>
    <s v="河北"/>
    <x v="0"/>
    <n v="70"/>
    <x v="0"/>
  </r>
  <r>
    <n v="1"/>
    <s v="河北"/>
    <x v="0"/>
    <n v="101"/>
    <x v="0"/>
  </r>
  <r>
    <n v="2"/>
    <s v="安徽"/>
    <x v="0"/>
    <n v="248"/>
    <x v="0"/>
  </r>
  <r>
    <n v="2"/>
    <s v="安徽"/>
    <x v="0"/>
    <n v="383"/>
    <x v="0"/>
  </r>
  <r>
    <n v="2"/>
    <s v="安徽"/>
    <x v="0"/>
    <n v="263"/>
    <x v="0"/>
  </r>
  <r>
    <n v="2"/>
    <s v="安徽"/>
    <x v="0"/>
    <n v="770"/>
    <x v="0"/>
  </r>
  <r>
    <n v="2"/>
    <s v="安徽"/>
    <x v="0"/>
    <n v="123"/>
    <x v="0"/>
  </r>
  <r>
    <n v="2"/>
    <s v="安徽"/>
    <x v="0"/>
    <n v="275"/>
    <x v="0"/>
  </r>
  <r>
    <n v="2"/>
    <s v="安徽"/>
    <x v="0"/>
    <n v="180"/>
    <x v="0"/>
  </r>
  <r>
    <n v="2"/>
    <s v="安徽"/>
    <x v="0"/>
    <n v="708"/>
    <x v="0"/>
  </r>
  <r>
    <n v="2"/>
    <s v="安徽"/>
    <x v="0"/>
    <n v="626"/>
    <x v="0"/>
  </r>
  <r>
    <n v="2"/>
    <s v="安徽"/>
    <x v="0"/>
    <n v="1476"/>
    <x v="0"/>
  </r>
  <r>
    <n v="2"/>
    <s v="安徽"/>
    <x v="0"/>
    <n v="387"/>
    <x v="0"/>
  </r>
  <r>
    <n v="2"/>
    <s v="安徽"/>
    <x v="0"/>
    <n v="46"/>
    <x v="0"/>
  </r>
  <r>
    <n v="2"/>
    <s v="安徽"/>
    <x v="0"/>
    <n v="39"/>
    <x v="0"/>
  </r>
  <r>
    <n v="2"/>
    <s v="安徽"/>
    <x v="0"/>
    <n v="810"/>
    <x v="0"/>
  </r>
  <r>
    <n v="2"/>
    <s v="安徽"/>
    <x v="0"/>
    <n v="175"/>
    <x v="0"/>
  </r>
  <r>
    <n v="2"/>
    <s v="安徽"/>
    <x v="0"/>
    <n v="2210"/>
    <x v="0"/>
  </r>
  <r>
    <n v="2"/>
    <s v="安徽"/>
    <x v="0"/>
    <n v="2003"/>
    <x v="0"/>
  </r>
  <r>
    <n v="2"/>
    <s v="安徽"/>
    <x v="0"/>
    <n v="68"/>
    <x v="0"/>
  </r>
  <r>
    <n v="2"/>
    <s v="安徽"/>
    <x v="0"/>
    <n v="114"/>
    <x v="0"/>
  </r>
  <r>
    <n v="2"/>
    <s v="安徽"/>
    <x v="0"/>
    <n v="124"/>
    <x v="0"/>
  </r>
  <r>
    <n v="2"/>
    <s v="安徽"/>
    <x v="0"/>
    <n v="131"/>
    <x v="0"/>
  </r>
  <r>
    <n v="2"/>
    <s v="安徽"/>
    <x v="0"/>
    <n v="193"/>
    <x v="0"/>
  </r>
  <r>
    <n v="2"/>
    <s v="安徽"/>
    <x v="0"/>
    <n v="68"/>
    <x v="0"/>
  </r>
  <r>
    <n v="2"/>
    <s v="安徽"/>
    <x v="0"/>
    <n v="527"/>
    <x v="0"/>
  </r>
  <r>
    <n v="2"/>
    <s v="安徽"/>
    <x v="0"/>
    <n v="404"/>
    <x v="0"/>
  </r>
  <r>
    <n v="2"/>
    <s v="安徽"/>
    <x v="0"/>
    <n v="1658"/>
    <x v="0"/>
  </r>
  <r>
    <n v="2"/>
    <s v="安徽"/>
    <x v="0"/>
    <n v="480"/>
    <x v="0"/>
  </r>
  <r>
    <n v="2"/>
    <s v="安徽"/>
    <x v="0"/>
    <n v="26"/>
    <x v="0"/>
  </r>
  <r>
    <n v="2"/>
    <s v="安徽"/>
    <x v="0"/>
    <n v="83"/>
    <x v="0"/>
  </r>
  <r>
    <n v="2"/>
    <s v="安徽"/>
    <x v="0"/>
    <n v="101"/>
    <x v="0"/>
  </r>
  <r>
    <n v="2"/>
    <s v="安徽"/>
    <x v="0"/>
    <n v="184"/>
    <x v="0"/>
  </r>
  <r>
    <n v="2"/>
    <s v="安徽"/>
    <x v="0"/>
    <n v="214"/>
    <x v="0"/>
  </r>
  <r>
    <n v="3"/>
    <s v="广西"/>
    <x v="1"/>
    <n v="980"/>
    <x v="0"/>
  </r>
  <r>
    <n v="3"/>
    <s v="广西"/>
    <x v="1"/>
    <n v="203"/>
    <x v="0"/>
  </r>
  <r>
    <n v="3"/>
    <s v="广西"/>
    <x v="1"/>
    <n v="210"/>
    <x v="0"/>
  </r>
  <r>
    <n v="3"/>
    <s v="广西"/>
    <x v="1"/>
    <n v="203"/>
    <x v="0"/>
  </r>
  <r>
    <n v="3"/>
    <s v="广西"/>
    <x v="1"/>
    <n v="158"/>
    <x v="0"/>
  </r>
  <r>
    <n v="3"/>
    <s v="广西"/>
    <x v="1"/>
    <n v="338"/>
    <x v="0"/>
  </r>
  <r>
    <n v="3"/>
    <s v="广西"/>
    <x v="1"/>
    <n v="56"/>
    <x v="0"/>
  </r>
  <r>
    <n v="3"/>
    <s v="广西"/>
    <x v="1"/>
    <n v="72"/>
    <x v="0"/>
  </r>
  <r>
    <n v="3"/>
    <s v="广西"/>
    <x v="1"/>
    <n v="18"/>
    <x v="0"/>
  </r>
  <r>
    <n v="3"/>
    <s v="广西"/>
    <x v="1"/>
    <n v="248"/>
    <x v="0"/>
  </r>
  <r>
    <n v="3"/>
    <s v="广西"/>
    <x v="1"/>
    <n v="473"/>
    <x v="0"/>
  </r>
  <r>
    <n v="3"/>
    <s v="广西"/>
    <x v="1"/>
    <n v="270"/>
    <x v="0"/>
  </r>
  <r>
    <n v="3"/>
    <s v="广西"/>
    <x v="1"/>
    <n v="83"/>
    <x v="0"/>
  </r>
  <r>
    <n v="3"/>
    <s v="广西"/>
    <x v="1"/>
    <n v="371"/>
    <x v="0"/>
  </r>
  <r>
    <n v="3"/>
    <s v="广西"/>
    <x v="1"/>
    <n v="184"/>
    <x v="0"/>
  </r>
  <r>
    <n v="3"/>
    <s v="广西"/>
    <x v="1"/>
    <n v="371"/>
    <x v="0"/>
  </r>
  <r>
    <n v="3"/>
    <s v="广西"/>
    <x v="1"/>
    <n v="131"/>
    <x v="0"/>
  </r>
  <r>
    <n v="3"/>
    <s v="广西"/>
    <x v="1"/>
    <n v="459"/>
    <x v="0"/>
  </r>
  <r>
    <n v="3"/>
    <s v="广西"/>
    <x v="1"/>
    <n v="459"/>
    <x v="0"/>
  </r>
  <r>
    <n v="3"/>
    <s v="广西"/>
    <x v="1"/>
    <n v="1291"/>
    <x v="0"/>
  </r>
  <r>
    <n v="3"/>
    <s v="广西"/>
    <x v="1"/>
    <n v="105"/>
    <x v="0"/>
  </r>
  <r>
    <n v="3"/>
    <s v="广西"/>
    <x v="1"/>
    <n v="96"/>
    <x v="0"/>
  </r>
  <r>
    <n v="3"/>
    <s v="广西"/>
    <x v="1"/>
    <n v="124"/>
    <x v="0"/>
  </r>
  <r>
    <n v="3"/>
    <s v="广西"/>
    <x v="1"/>
    <n v="535"/>
    <x v="0"/>
  </r>
  <r>
    <n v="3"/>
    <s v="广西"/>
    <x v="1"/>
    <n v="722"/>
    <x v="0"/>
  </r>
  <r>
    <n v="4"/>
    <s v="江苏"/>
    <x v="1"/>
    <n v="83"/>
    <x v="0"/>
  </r>
  <r>
    <n v="4"/>
    <s v="江苏"/>
    <x v="1"/>
    <n v="414"/>
    <x v="0"/>
  </r>
  <r>
    <n v="4"/>
    <s v="江苏"/>
    <x v="1"/>
    <n v="322"/>
    <x v="0"/>
  </r>
  <r>
    <n v="4"/>
    <s v="江苏"/>
    <x v="1"/>
    <n v="342"/>
    <x v="0"/>
  </r>
  <r>
    <n v="4"/>
    <s v="江苏"/>
    <x v="1"/>
    <n v="42"/>
    <x v="0"/>
  </r>
  <r>
    <n v="4"/>
    <s v="江苏"/>
    <x v="1"/>
    <n v="108"/>
    <x v="0"/>
  </r>
  <r>
    <n v="4"/>
    <s v="江苏"/>
    <x v="1"/>
    <n v="112"/>
    <x v="0"/>
  </r>
  <r>
    <n v="4"/>
    <s v="江苏"/>
    <x v="1"/>
    <n v="104"/>
    <x v="0"/>
  </r>
  <r>
    <n v="4"/>
    <s v="江苏"/>
    <x v="1"/>
    <n v="39"/>
    <x v="0"/>
  </r>
  <r>
    <n v="4"/>
    <s v="江苏"/>
    <x v="1"/>
    <n v="138"/>
    <x v="0"/>
  </r>
  <r>
    <n v="4"/>
    <s v="江苏"/>
    <x v="1"/>
    <n v="41"/>
    <x v="0"/>
  </r>
  <r>
    <n v="4"/>
    <s v="江苏"/>
    <x v="1"/>
    <n v="196"/>
    <x v="0"/>
  </r>
  <r>
    <n v="4"/>
    <s v="江苏"/>
    <x v="1"/>
    <n v="54"/>
    <x v="0"/>
  </r>
  <r>
    <n v="4"/>
    <s v="江苏"/>
    <x v="1"/>
    <n v="385"/>
    <x v="0"/>
  </r>
  <r>
    <n v="4"/>
    <s v="江苏"/>
    <x v="1"/>
    <n v="146"/>
    <x v="0"/>
  </r>
  <r>
    <n v="4"/>
    <s v="江苏"/>
    <x v="1"/>
    <n v="228"/>
    <x v="0"/>
  </r>
  <r>
    <n v="4"/>
    <s v="江苏"/>
    <x v="1"/>
    <n v="448"/>
    <x v="0"/>
  </r>
  <r>
    <n v="4"/>
    <s v="江苏"/>
    <x v="1"/>
    <n v="114"/>
    <x v="0"/>
  </r>
  <r>
    <n v="4"/>
    <s v="江苏"/>
    <x v="1"/>
    <n v="113"/>
    <x v="0"/>
  </r>
  <r>
    <n v="4"/>
    <s v="江苏"/>
    <x v="1"/>
    <n v="70"/>
    <x v="0"/>
  </r>
  <r>
    <n v="4"/>
    <s v="江苏"/>
    <x v="1"/>
    <n v="146"/>
    <x v="0"/>
  </r>
  <r>
    <n v="4"/>
    <s v="江苏"/>
    <x v="1"/>
    <n v="35"/>
    <x v="0"/>
  </r>
  <r>
    <n v="4"/>
    <s v="江苏"/>
    <x v="1"/>
    <n v="69"/>
    <x v="0"/>
  </r>
  <r>
    <n v="4"/>
    <s v="江苏"/>
    <x v="1"/>
    <n v="90"/>
    <x v="0"/>
  </r>
  <r>
    <n v="4"/>
    <s v="江苏"/>
    <x v="1"/>
    <n v="175"/>
    <x v="0"/>
  </r>
  <r>
    <n v="4"/>
    <s v="江苏"/>
    <x v="1"/>
    <n v="56"/>
    <x v="0"/>
  </r>
  <r>
    <n v="5"/>
    <s v="天津"/>
    <x v="0"/>
    <n v="139"/>
    <x v="0"/>
  </r>
  <r>
    <n v="5"/>
    <s v="天津"/>
    <x v="0"/>
    <n v="220"/>
    <x v="0"/>
  </r>
  <r>
    <n v="5"/>
    <s v="天津"/>
    <x v="0"/>
    <n v="136"/>
    <x v="0"/>
  </r>
  <r>
    <n v="5"/>
    <s v="天津"/>
    <x v="0"/>
    <n v="368"/>
    <x v="0"/>
  </r>
  <r>
    <n v="5"/>
    <s v="天津"/>
    <x v="0"/>
    <n v="64"/>
    <x v="0"/>
  </r>
  <r>
    <n v="5"/>
    <s v="天津"/>
    <x v="0"/>
    <n v="152"/>
    <x v="0"/>
  </r>
  <r>
    <n v="5"/>
    <s v="天津"/>
    <x v="0"/>
    <n v="129"/>
    <x v="0"/>
  </r>
  <r>
    <n v="5"/>
    <s v="天津"/>
    <x v="0"/>
    <n v="470"/>
    <x v="0"/>
  </r>
  <r>
    <n v="5"/>
    <s v="天津"/>
    <x v="0"/>
    <n v="422"/>
    <x v="0"/>
  </r>
  <r>
    <n v="5"/>
    <s v="天津"/>
    <x v="0"/>
    <n v="1019"/>
    <x v="0"/>
  </r>
  <r>
    <n v="5"/>
    <s v="天津"/>
    <x v="0"/>
    <n v="306"/>
    <x v="0"/>
  </r>
  <r>
    <n v="5"/>
    <s v="天津"/>
    <x v="0"/>
    <n v="45"/>
    <x v="0"/>
  </r>
  <r>
    <n v="5"/>
    <s v="天津"/>
    <x v="0"/>
    <n v="33"/>
    <x v="0"/>
  </r>
  <r>
    <n v="5"/>
    <s v="天津"/>
    <x v="0"/>
    <n v="469"/>
    <x v="0"/>
  </r>
  <r>
    <n v="5"/>
    <s v="天津"/>
    <x v="0"/>
    <n v="86"/>
    <x v="0"/>
  </r>
  <r>
    <n v="5"/>
    <s v="天津"/>
    <x v="0"/>
    <n v="1695"/>
    <x v="0"/>
  </r>
  <r>
    <n v="5"/>
    <s v="天津"/>
    <x v="0"/>
    <n v="992"/>
    <x v="0"/>
  </r>
  <r>
    <n v="5"/>
    <s v="天津"/>
    <x v="0"/>
    <n v="32"/>
    <x v="0"/>
  </r>
  <r>
    <n v="5"/>
    <s v="天津"/>
    <x v="0"/>
    <n v="59"/>
    <x v="0"/>
  </r>
  <r>
    <n v="5"/>
    <s v="天津"/>
    <x v="0"/>
    <n v="81"/>
    <x v="0"/>
  </r>
  <r>
    <n v="5"/>
    <s v="天津"/>
    <x v="0"/>
    <n v="84"/>
    <x v="0"/>
  </r>
  <r>
    <n v="5"/>
    <s v="天津"/>
    <x v="0"/>
    <n v="151"/>
    <x v="0"/>
  </r>
  <r>
    <n v="5"/>
    <s v="天津"/>
    <x v="0"/>
    <n v="38"/>
    <x v="0"/>
  </r>
  <r>
    <n v="5"/>
    <s v="天津"/>
    <x v="0"/>
    <n v="331"/>
    <x v="0"/>
  </r>
  <r>
    <n v="5"/>
    <s v="天津"/>
    <x v="0"/>
    <n v="291"/>
    <x v="0"/>
  </r>
  <r>
    <n v="5"/>
    <s v="天津"/>
    <x v="0"/>
    <n v="895"/>
    <x v="0"/>
  </r>
  <r>
    <n v="5"/>
    <s v="天津"/>
    <x v="0"/>
    <n v="291"/>
    <x v="0"/>
  </r>
  <r>
    <n v="5"/>
    <s v="天津"/>
    <x v="0"/>
    <n v="22"/>
    <x v="0"/>
  </r>
  <r>
    <n v="5"/>
    <s v="天津"/>
    <x v="0"/>
    <n v="53"/>
    <x v="0"/>
  </r>
  <r>
    <n v="5"/>
    <s v="天津"/>
    <x v="0"/>
    <n v="46"/>
    <x v="0"/>
  </r>
  <r>
    <n v="5"/>
    <s v="天津"/>
    <x v="0"/>
    <n v="144"/>
    <x v="0"/>
  </r>
  <r>
    <n v="5"/>
    <s v="天津"/>
    <x v="0"/>
    <n v="97"/>
    <x v="0"/>
  </r>
  <r>
    <n v="6"/>
    <s v="福建"/>
    <x v="1"/>
    <n v="248"/>
    <x v="0"/>
  </r>
  <r>
    <n v="6"/>
    <s v="福建"/>
    <x v="1"/>
    <n v="248"/>
    <x v="0"/>
  </r>
  <r>
    <n v="6"/>
    <s v="福建"/>
    <x v="1"/>
    <n v="140"/>
    <x v="0"/>
  </r>
  <r>
    <n v="6"/>
    <s v="福建"/>
    <x v="1"/>
    <n v="248"/>
    <x v="0"/>
  </r>
  <r>
    <n v="6"/>
    <s v="福建"/>
    <x v="1"/>
    <n v="245"/>
    <x v="0"/>
  </r>
  <r>
    <n v="6"/>
    <s v="福建"/>
    <x v="1"/>
    <n v="360"/>
    <x v="0"/>
  </r>
  <r>
    <n v="6"/>
    <s v="福建"/>
    <x v="1"/>
    <n v="105"/>
    <x v="0"/>
  </r>
  <r>
    <n v="6"/>
    <s v="福建"/>
    <x v="1"/>
    <n v="221"/>
    <x v="0"/>
  </r>
  <r>
    <n v="6"/>
    <s v="福建"/>
    <x v="1"/>
    <n v="77"/>
    <x v="0"/>
  </r>
  <r>
    <n v="6"/>
    <s v="福建"/>
    <x v="1"/>
    <n v="204"/>
    <x v="0"/>
  </r>
  <r>
    <n v="6"/>
    <s v="福建"/>
    <x v="1"/>
    <n v="77"/>
    <x v="0"/>
  </r>
  <r>
    <n v="6"/>
    <s v="福建"/>
    <x v="1"/>
    <n v="158"/>
    <x v="0"/>
  </r>
  <r>
    <n v="6"/>
    <s v="福建"/>
    <x v="1"/>
    <n v="203"/>
    <x v="0"/>
  </r>
  <r>
    <n v="6"/>
    <s v="福建"/>
    <x v="1"/>
    <n v="441"/>
    <x v="0"/>
  </r>
  <r>
    <n v="6"/>
    <s v="福建"/>
    <x v="1"/>
    <n v="304"/>
    <x v="0"/>
  </r>
  <r>
    <n v="6"/>
    <s v="福建"/>
    <x v="1"/>
    <n v="263"/>
    <x v="0"/>
  </r>
  <r>
    <n v="6"/>
    <s v="福建"/>
    <x v="1"/>
    <n v="426"/>
    <x v="0"/>
  </r>
  <r>
    <n v="6"/>
    <s v="福建"/>
    <x v="1"/>
    <n v="131"/>
    <x v="0"/>
  </r>
  <r>
    <n v="6"/>
    <s v="福建"/>
    <x v="1"/>
    <n v="426"/>
    <x v="0"/>
  </r>
  <r>
    <n v="6"/>
    <s v="福建"/>
    <x v="1"/>
    <n v="526"/>
    <x v="0"/>
  </r>
  <r>
    <n v="6"/>
    <s v="福建"/>
    <x v="1"/>
    <n v="90"/>
    <x v="0"/>
  </r>
  <r>
    <n v="6"/>
    <s v="福建"/>
    <x v="1"/>
    <n v="898"/>
    <x v="0"/>
  </r>
  <r>
    <n v="6"/>
    <s v="福建"/>
    <x v="1"/>
    <n v="627"/>
    <x v="0"/>
  </r>
  <r>
    <n v="6"/>
    <s v="福建"/>
    <x v="1"/>
    <n v="1863"/>
    <x v="0"/>
  </r>
  <r>
    <n v="6"/>
    <s v="福建"/>
    <x v="1"/>
    <n v="561"/>
    <x v="0"/>
  </r>
  <r>
    <n v="6"/>
    <s v="福建"/>
    <x v="1"/>
    <n v="1785"/>
    <x v="0"/>
  </r>
  <r>
    <n v="8"/>
    <s v="广东"/>
    <x v="1"/>
    <n v="1351"/>
    <x v="0"/>
  </r>
  <r>
    <n v="8"/>
    <s v="广东"/>
    <x v="1"/>
    <n v="225"/>
    <x v="0"/>
  </r>
  <r>
    <n v="8"/>
    <s v="广东"/>
    <x v="1"/>
    <n v="560"/>
    <x v="0"/>
  </r>
  <r>
    <n v="8"/>
    <s v="广东"/>
    <x v="1"/>
    <n v="836"/>
    <x v="0"/>
  </r>
  <r>
    <n v="8"/>
    <s v="广东"/>
    <x v="1"/>
    <n v="263"/>
    <x v="0"/>
  </r>
  <r>
    <n v="8"/>
    <s v="广东"/>
    <x v="1"/>
    <n v="470"/>
    <x v="0"/>
  </r>
  <r>
    <n v="8"/>
    <s v="广东"/>
    <x v="1"/>
    <n v="238"/>
    <x v="0"/>
  </r>
  <r>
    <n v="8"/>
    <s v="广东"/>
    <x v="1"/>
    <n v="1873"/>
    <x v="0"/>
  </r>
  <r>
    <n v="8"/>
    <s v="广东"/>
    <x v="1"/>
    <n v="954"/>
    <x v="0"/>
  </r>
  <r>
    <n v="8"/>
    <s v="广东"/>
    <x v="1"/>
    <n v="1560"/>
    <x v="0"/>
  </r>
  <r>
    <n v="8"/>
    <s v="广东"/>
    <x v="1"/>
    <n v="347"/>
    <x v="0"/>
  </r>
  <r>
    <n v="8"/>
    <s v="广东"/>
    <x v="1"/>
    <n v="228"/>
    <x v="0"/>
  </r>
  <r>
    <n v="8"/>
    <s v="广东"/>
    <x v="1"/>
    <n v="203"/>
    <x v="0"/>
  </r>
  <r>
    <n v="8"/>
    <s v="广东"/>
    <x v="1"/>
    <n v="761"/>
    <x v="0"/>
  </r>
  <r>
    <n v="8"/>
    <s v="广东"/>
    <x v="1"/>
    <n v="146"/>
    <x v="0"/>
  </r>
  <r>
    <n v="8"/>
    <s v="广东"/>
    <x v="1"/>
    <n v="131"/>
    <x v="0"/>
  </r>
  <r>
    <n v="8"/>
    <s v="广东"/>
    <x v="1"/>
    <n v="146"/>
    <x v="0"/>
  </r>
  <r>
    <n v="8"/>
    <s v="广东"/>
    <x v="1"/>
    <n v="166"/>
    <x v="0"/>
  </r>
  <r>
    <n v="8"/>
    <s v="广东"/>
    <x v="1"/>
    <n v="135"/>
    <x v="0"/>
  </r>
  <r>
    <n v="8"/>
    <s v="广东"/>
    <x v="1"/>
    <n v="228"/>
    <x v="0"/>
  </r>
  <r>
    <n v="8"/>
    <s v="广东"/>
    <x v="1"/>
    <n v="124"/>
    <x v="0"/>
  </r>
  <r>
    <n v="8"/>
    <s v="广东"/>
    <x v="1"/>
    <n v="26"/>
    <x v="0"/>
  </r>
  <r>
    <n v="8"/>
    <s v="广东"/>
    <x v="1"/>
    <n v="69"/>
    <x v="0"/>
  </r>
  <r>
    <n v="8"/>
    <s v="广东"/>
    <x v="1"/>
    <n v="113"/>
    <x v="0"/>
  </r>
  <r>
    <n v="8"/>
    <s v="广东"/>
    <x v="1"/>
    <n v="61"/>
    <x v="0"/>
  </r>
  <r>
    <n v="8"/>
    <s v="广东"/>
    <x v="1"/>
    <n v="113"/>
    <x v="0"/>
  </r>
  <r>
    <n v="1"/>
    <s v="河北"/>
    <x v="0"/>
    <n v="633"/>
    <x v="0"/>
  </r>
  <r>
    <n v="1"/>
    <s v="河北"/>
    <x v="0"/>
    <n v="743"/>
    <x v="0"/>
  </r>
  <r>
    <n v="1"/>
    <s v="河北"/>
    <x v="0"/>
    <n v="228"/>
    <x v="0"/>
  </r>
  <r>
    <n v="1"/>
    <s v="河北"/>
    <x v="0"/>
    <n v="315"/>
    <x v="0"/>
  </r>
  <r>
    <n v="1"/>
    <s v="河北"/>
    <x v="0"/>
    <n v="88"/>
    <x v="0"/>
  </r>
  <r>
    <n v="1"/>
    <s v="河北"/>
    <x v="0"/>
    <n v="94"/>
    <x v="0"/>
  </r>
  <r>
    <n v="1"/>
    <s v="河北"/>
    <x v="0"/>
    <n v="23"/>
    <x v="0"/>
  </r>
  <r>
    <n v="1"/>
    <s v="河北"/>
    <x v="0"/>
    <n v="88"/>
    <x v="0"/>
  </r>
  <r>
    <n v="1"/>
    <s v="河北"/>
    <x v="0"/>
    <n v="158"/>
    <x v="0"/>
  </r>
  <r>
    <n v="1"/>
    <s v="河北"/>
    <x v="0"/>
    <n v="228"/>
    <x v="0"/>
  </r>
  <r>
    <n v="1"/>
    <s v="河北"/>
    <x v="0"/>
    <n v="455"/>
    <x v="0"/>
  </r>
  <r>
    <n v="1"/>
    <s v="河北"/>
    <x v="0"/>
    <n v="11"/>
    <x v="0"/>
  </r>
  <r>
    <n v="1"/>
    <s v="河北"/>
    <x v="0"/>
    <n v="50"/>
    <x v="0"/>
  </r>
  <r>
    <n v="1"/>
    <s v="河北"/>
    <x v="0"/>
    <n v="14"/>
    <x v="0"/>
  </r>
  <r>
    <n v="1"/>
    <s v="河北"/>
    <x v="0"/>
    <n v="46"/>
    <x v="0"/>
  </r>
  <r>
    <n v="1"/>
    <s v="河北"/>
    <x v="0"/>
    <n v="428"/>
    <x v="0"/>
  </r>
  <r>
    <n v="1"/>
    <s v="河北"/>
    <x v="0"/>
    <n v="587"/>
    <x v="0"/>
  </r>
  <r>
    <n v="1"/>
    <s v="河北"/>
    <x v="0"/>
    <n v="2211"/>
    <x v="0"/>
  </r>
  <r>
    <n v="1"/>
    <s v="河北"/>
    <x v="0"/>
    <n v="723"/>
    <x v="0"/>
  </r>
  <r>
    <n v="1"/>
    <s v="河北"/>
    <x v="0"/>
    <n v="1842"/>
    <x v="0"/>
  </r>
  <r>
    <n v="1"/>
    <s v="河北"/>
    <x v="0"/>
    <n v="1786"/>
    <x v="0"/>
  </r>
  <r>
    <n v="1"/>
    <s v="河北"/>
    <x v="0"/>
    <n v="1849"/>
    <x v="0"/>
  </r>
  <r>
    <n v="1"/>
    <s v="河北"/>
    <x v="0"/>
    <n v="124"/>
    <x v="0"/>
  </r>
  <r>
    <n v="1"/>
    <s v="河北"/>
    <x v="0"/>
    <n v="502"/>
    <x v="0"/>
  </r>
  <r>
    <n v="1"/>
    <s v="河北"/>
    <x v="0"/>
    <n v="415"/>
    <x v="0"/>
  </r>
  <r>
    <n v="1"/>
    <s v="河北"/>
    <x v="0"/>
    <n v="44"/>
    <x v="0"/>
  </r>
  <r>
    <n v="1"/>
    <s v="河北"/>
    <x v="0"/>
    <n v="68"/>
    <x v="0"/>
  </r>
  <r>
    <n v="1"/>
    <s v="河北"/>
    <x v="0"/>
    <n v="35"/>
    <x v="0"/>
  </r>
  <r>
    <n v="1"/>
    <s v="河北"/>
    <x v="0"/>
    <n v="41"/>
    <x v="0"/>
  </r>
  <r>
    <n v="1"/>
    <s v="河北"/>
    <x v="0"/>
    <n v="68"/>
    <x v="0"/>
  </r>
  <r>
    <n v="1"/>
    <s v="河北"/>
    <x v="0"/>
    <n v="70"/>
    <x v="0"/>
  </r>
  <r>
    <n v="1"/>
    <s v="河北"/>
    <x v="0"/>
    <n v="90"/>
    <x v="0"/>
  </r>
  <r>
    <n v="2"/>
    <s v="安徽"/>
    <x v="0"/>
    <n v="220"/>
    <x v="0"/>
  </r>
  <r>
    <n v="2"/>
    <s v="安徽"/>
    <x v="0"/>
    <n v="428"/>
    <x v="0"/>
  </r>
  <r>
    <n v="2"/>
    <s v="安徽"/>
    <x v="0"/>
    <n v="368"/>
    <x v="0"/>
  </r>
  <r>
    <n v="2"/>
    <s v="安徽"/>
    <x v="0"/>
    <n v="858"/>
    <x v="0"/>
  </r>
  <r>
    <n v="2"/>
    <s v="安徽"/>
    <x v="0"/>
    <n v="123"/>
    <x v="0"/>
  </r>
  <r>
    <n v="2"/>
    <s v="安徽"/>
    <x v="0"/>
    <n v="303"/>
    <x v="0"/>
  </r>
  <r>
    <n v="2"/>
    <s v="安徽"/>
    <x v="0"/>
    <n v="158"/>
    <x v="0"/>
  </r>
  <r>
    <n v="2"/>
    <s v="安徽"/>
    <x v="0"/>
    <n v="767"/>
    <x v="0"/>
  </r>
  <r>
    <n v="2"/>
    <s v="安徽"/>
    <x v="0"/>
    <n v="657"/>
    <x v="0"/>
  </r>
  <r>
    <n v="2"/>
    <s v="安徽"/>
    <x v="0"/>
    <n v="1727"/>
    <x v="0"/>
  </r>
  <r>
    <n v="2"/>
    <s v="安徽"/>
    <x v="0"/>
    <n v="405"/>
    <x v="0"/>
  </r>
  <r>
    <n v="2"/>
    <s v="安徽"/>
    <x v="0"/>
    <n v="46"/>
    <x v="0"/>
  </r>
  <r>
    <n v="2"/>
    <s v="安徽"/>
    <x v="0"/>
    <n v="55"/>
    <x v="0"/>
  </r>
  <r>
    <n v="2"/>
    <s v="安徽"/>
    <x v="0"/>
    <n v="716"/>
    <x v="0"/>
  </r>
  <r>
    <n v="2"/>
    <s v="安徽"/>
    <x v="0"/>
    <n v="158"/>
    <x v="0"/>
  </r>
  <r>
    <n v="2"/>
    <s v="安徽"/>
    <x v="0"/>
    <n v="1730"/>
    <x v="0"/>
  </r>
  <r>
    <n v="2"/>
    <s v="安徽"/>
    <x v="0"/>
    <n v="3148"/>
    <x v="0"/>
  </r>
  <r>
    <n v="2"/>
    <s v="安徽"/>
    <x v="0"/>
    <n v="68"/>
    <x v="0"/>
  </r>
  <r>
    <n v="2"/>
    <s v="安徽"/>
    <x v="0"/>
    <n v="88"/>
    <x v="0"/>
  </r>
  <r>
    <n v="2"/>
    <s v="安徽"/>
    <x v="0"/>
    <n v="135"/>
    <x v="0"/>
  </r>
  <r>
    <n v="2"/>
    <s v="安徽"/>
    <x v="0"/>
    <n v="114"/>
    <x v="0"/>
  </r>
  <r>
    <n v="2"/>
    <s v="安徽"/>
    <x v="0"/>
    <n v="206"/>
    <x v="0"/>
  </r>
  <r>
    <n v="2"/>
    <s v="安徽"/>
    <x v="0"/>
    <n v="68"/>
    <x v="0"/>
  </r>
  <r>
    <n v="2"/>
    <s v="安徽"/>
    <x v="0"/>
    <n v="561"/>
    <x v="0"/>
  </r>
  <r>
    <n v="2"/>
    <s v="安徽"/>
    <x v="0"/>
    <n v="469"/>
    <x v="0"/>
  </r>
  <r>
    <n v="2"/>
    <s v="安徽"/>
    <x v="0"/>
    <n v="1664"/>
    <x v="0"/>
  </r>
  <r>
    <n v="2"/>
    <s v="安徽"/>
    <x v="0"/>
    <n v="644"/>
    <x v="0"/>
  </r>
  <r>
    <n v="2"/>
    <s v="安徽"/>
    <x v="0"/>
    <n v="35"/>
    <x v="0"/>
  </r>
  <r>
    <n v="2"/>
    <s v="安徽"/>
    <x v="0"/>
    <n v="124"/>
    <x v="0"/>
  </r>
  <r>
    <n v="2"/>
    <s v="安徽"/>
    <x v="0"/>
    <n v="101"/>
    <x v="0"/>
  </r>
  <r>
    <n v="2"/>
    <s v="安徽"/>
    <x v="0"/>
    <n v="166"/>
    <x v="0"/>
  </r>
  <r>
    <n v="2"/>
    <s v="安徽"/>
    <x v="0"/>
    <n v="203"/>
    <x v="0"/>
  </r>
  <r>
    <n v="3"/>
    <s v="广西"/>
    <x v="1"/>
    <n v="948"/>
    <x v="0"/>
  </r>
  <r>
    <n v="3"/>
    <s v="广西"/>
    <x v="1"/>
    <n v="338"/>
    <x v="0"/>
  </r>
  <r>
    <n v="3"/>
    <s v="广西"/>
    <x v="1"/>
    <n v="315"/>
    <x v="0"/>
  </r>
  <r>
    <n v="3"/>
    <s v="广西"/>
    <x v="1"/>
    <n v="203"/>
    <x v="0"/>
  </r>
  <r>
    <n v="3"/>
    <s v="广西"/>
    <x v="1"/>
    <n v="210"/>
    <x v="0"/>
  </r>
  <r>
    <n v="3"/>
    <s v="广西"/>
    <x v="1"/>
    <n v="529"/>
    <x v="0"/>
  </r>
  <r>
    <n v="3"/>
    <s v="广西"/>
    <x v="1"/>
    <n v="56"/>
    <x v="0"/>
  </r>
  <r>
    <n v="3"/>
    <s v="广西"/>
    <x v="1"/>
    <n v="72"/>
    <x v="0"/>
  </r>
  <r>
    <n v="3"/>
    <s v="广西"/>
    <x v="1"/>
    <n v="270"/>
    <x v="0"/>
  </r>
  <r>
    <n v="3"/>
    <s v="广西"/>
    <x v="1"/>
    <n v="420"/>
    <x v="0"/>
  </r>
  <r>
    <n v="3"/>
    <s v="广西"/>
    <x v="1"/>
    <n v="338"/>
    <x v="0"/>
  </r>
  <r>
    <n v="3"/>
    <s v="广西"/>
    <x v="1"/>
    <n v="83"/>
    <x v="0"/>
  </r>
  <r>
    <n v="3"/>
    <s v="广西"/>
    <x v="1"/>
    <n v="371"/>
    <x v="0"/>
  </r>
  <r>
    <n v="3"/>
    <s v="广西"/>
    <x v="1"/>
    <n v="158"/>
    <x v="0"/>
  </r>
  <r>
    <n v="3"/>
    <s v="广西"/>
    <x v="1"/>
    <n v="426"/>
    <x v="0"/>
  </r>
  <r>
    <n v="3"/>
    <s v="广西"/>
    <x v="1"/>
    <n v="158"/>
    <x v="0"/>
  </r>
  <r>
    <n v="3"/>
    <s v="广西"/>
    <x v="1"/>
    <n v="426"/>
    <x v="0"/>
  </r>
  <r>
    <n v="3"/>
    <s v="广西"/>
    <x v="1"/>
    <n v="536"/>
    <x v="0"/>
  </r>
  <r>
    <n v="3"/>
    <s v="广西"/>
    <x v="1"/>
    <n v="955"/>
    <x v="0"/>
  </r>
  <r>
    <n v="3"/>
    <s v="广西"/>
    <x v="1"/>
    <n v="79"/>
    <x v="0"/>
  </r>
  <r>
    <n v="3"/>
    <s v="广西"/>
    <x v="1"/>
    <n v="69"/>
    <x v="0"/>
  </r>
  <r>
    <n v="3"/>
    <s v="广西"/>
    <x v="1"/>
    <n v="113"/>
    <x v="0"/>
  </r>
  <r>
    <n v="3"/>
    <s v="广西"/>
    <x v="1"/>
    <n v="560"/>
    <x v="0"/>
  </r>
  <r>
    <n v="3"/>
    <s v="广西"/>
    <x v="1"/>
    <n v="921"/>
    <x v="0"/>
  </r>
  <r>
    <n v="4"/>
    <s v="江苏"/>
    <x v="1"/>
    <n v="160"/>
    <x v="0"/>
  </r>
  <r>
    <n v="4"/>
    <s v="江苏"/>
    <x v="1"/>
    <n v="387"/>
    <x v="0"/>
  </r>
  <r>
    <n v="4"/>
    <s v="江苏"/>
    <x v="1"/>
    <n v="343"/>
    <x v="0"/>
  </r>
  <r>
    <n v="4"/>
    <s v="江苏"/>
    <x v="1"/>
    <n v="428"/>
    <x v="0"/>
  </r>
  <r>
    <n v="4"/>
    <s v="江苏"/>
    <x v="1"/>
    <n v="46"/>
    <x v="0"/>
  </r>
  <r>
    <n v="4"/>
    <s v="江苏"/>
    <x v="1"/>
    <n v="144"/>
    <x v="0"/>
  </r>
  <r>
    <n v="4"/>
    <s v="江苏"/>
    <x v="1"/>
    <n v="123"/>
    <x v="0"/>
  </r>
  <r>
    <n v="4"/>
    <s v="江苏"/>
    <x v="1"/>
    <n v="140"/>
    <x v="0"/>
  </r>
  <r>
    <n v="4"/>
    <s v="江苏"/>
    <x v="1"/>
    <n v="42"/>
    <x v="0"/>
  </r>
  <r>
    <n v="4"/>
    <s v="江苏"/>
    <x v="1"/>
    <n v="116"/>
    <x v="0"/>
  </r>
  <r>
    <n v="4"/>
    <s v="江苏"/>
    <x v="1"/>
    <n v="63"/>
    <x v="0"/>
  </r>
  <r>
    <n v="4"/>
    <s v="江苏"/>
    <x v="1"/>
    <n v="210"/>
    <x v="0"/>
  </r>
  <r>
    <n v="4"/>
    <s v="江苏"/>
    <x v="1"/>
    <n v="81"/>
    <x v="0"/>
  </r>
  <r>
    <n v="4"/>
    <s v="江苏"/>
    <x v="1"/>
    <n v="344"/>
    <x v="0"/>
  </r>
  <r>
    <n v="4"/>
    <s v="江苏"/>
    <x v="1"/>
    <n v="124"/>
    <x v="0"/>
  </r>
  <r>
    <n v="4"/>
    <s v="江苏"/>
    <x v="1"/>
    <n v="254"/>
    <x v="0"/>
  </r>
  <r>
    <n v="4"/>
    <s v="江苏"/>
    <x v="1"/>
    <n v="524"/>
    <x v="0"/>
  </r>
  <r>
    <n v="4"/>
    <s v="江苏"/>
    <x v="1"/>
    <n v="105"/>
    <x v="0"/>
  </r>
  <r>
    <n v="4"/>
    <s v="江苏"/>
    <x v="1"/>
    <n v="135"/>
    <x v="0"/>
  </r>
  <r>
    <n v="4"/>
    <s v="江苏"/>
    <x v="1"/>
    <n v="79"/>
    <x v="0"/>
  </r>
  <r>
    <n v="4"/>
    <s v="江苏"/>
    <x v="1"/>
    <n v="225"/>
    <x v="0"/>
  </r>
  <r>
    <n v="4"/>
    <s v="江苏"/>
    <x v="1"/>
    <n v="35"/>
    <x v="0"/>
  </r>
  <r>
    <n v="4"/>
    <s v="江苏"/>
    <x v="1"/>
    <n v="96"/>
    <x v="0"/>
  </r>
  <r>
    <n v="4"/>
    <s v="江苏"/>
    <x v="1"/>
    <n v="146"/>
    <x v="0"/>
  </r>
  <r>
    <n v="4"/>
    <s v="江苏"/>
    <x v="1"/>
    <n v="201"/>
    <x v="0"/>
  </r>
  <r>
    <n v="4"/>
    <s v="江苏"/>
    <x v="1"/>
    <n v="79"/>
    <x v="0"/>
  </r>
  <r>
    <n v="5"/>
    <s v="天津"/>
    <x v="0"/>
    <n v="148"/>
    <x v="0"/>
  </r>
  <r>
    <n v="5"/>
    <s v="天津"/>
    <x v="0"/>
    <n v="288"/>
    <x v="0"/>
  </r>
  <r>
    <n v="5"/>
    <s v="天津"/>
    <x v="0"/>
    <n v="181"/>
    <x v="0"/>
  </r>
  <r>
    <n v="5"/>
    <s v="天津"/>
    <x v="0"/>
    <n v="622"/>
    <x v="0"/>
  </r>
  <r>
    <n v="5"/>
    <s v="天津"/>
    <x v="0"/>
    <n v="59"/>
    <x v="0"/>
  </r>
  <r>
    <n v="5"/>
    <s v="天津"/>
    <x v="0"/>
    <n v="141"/>
    <x v="0"/>
  </r>
  <r>
    <n v="5"/>
    <s v="天津"/>
    <x v="0"/>
    <n v="116"/>
    <x v="0"/>
  </r>
  <r>
    <n v="5"/>
    <s v="天津"/>
    <x v="0"/>
    <n v="388"/>
    <x v="0"/>
  </r>
  <r>
    <n v="5"/>
    <s v="天津"/>
    <x v="0"/>
    <n v="350"/>
    <x v="0"/>
  </r>
  <r>
    <n v="5"/>
    <s v="天津"/>
    <x v="0"/>
    <n v="831"/>
    <x v="0"/>
  </r>
  <r>
    <n v="5"/>
    <s v="天津"/>
    <x v="0"/>
    <n v="251"/>
    <x v="0"/>
  </r>
  <r>
    <n v="5"/>
    <s v="天津"/>
    <x v="0"/>
    <n v="42"/>
    <x v="0"/>
  </r>
  <r>
    <n v="5"/>
    <s v="天津"/>
    <x v="0"/>
    <n v="38"/>
    <x v="0"/>
  </r>
  <r>
    <n v="5"/>
    <s v="天津"/>
    <x v="0"/>
    <n v="513"/>
    <x v="0"/>
  </r>
  <r>
    <n v="5"/>
    <s v="天津"/>
    <x v="0"/>
    <n v="108"/>
    <x v="0"/>
  </r>
  <r>
    <n v="5"/>
    <s v="天津"/>
    <x v="0"/>
    <n v="1181"/>
    <x v="0"/>
  </r>
  <r>
    <n v="5"/>
    <s v="天津"/>
    <x v="0"/>
    <n v="1592"/>
    <x v="0"/>
  </r>
  <r>
    <n v="5"/>
    <s v="天津"/>
    <x v="0"/>
    <n v="45"/>
    <x v="0"/>
  </r>
  <r>
    <n v="5"/>
    <s v="天津"/>
    <x v="0"/>
    <n v="63"/>
    <x v="0"/>
  </r>
  <r>
    <n v="5"/>
    <s v="天津"/>
    <x v="0"/>
    <n v="93"/>
    <x v="0"/>
  </r>
  <r>
    <n v="5"/>
    <s v="天津"/>
    <x v="0"/>
    <n v="67"/>
    <x v="0"/>
  </r>
  <r>
    <n v="5"/>
    <s v="天津"/>
    <x v="0"/>
    <n v="95"/>
    <x v="0"/>
  </r>
  <r>
    <n v="5"/>
    <s v="天津"/>
    <x v="0"/>
    <n v="48"/>
    <x v="0"/>
  </r>
  <r>
    <n v="5"/>
    <s v="天津"/>
    <x v="0"/>
    <n v="377"/>
    <x v="0"/>
  </r>
  <r>
    <n v="5"/>
    <s v="天津"/>
    <x v="0"/>
    <n v="319"/>
    <x v="0"/>
  </r>
  <r>
    <n v="5"/>
    <s v="天津"/>
    <x v="0"/>
    <n v="886"/>
    <x v="0"/>
  </r>
  <r>
    <n v="5"/>
    <s v="天津"/>
    <x v="0"/>
    <n v="512"/>
    <x v="0"/>
  </r>
  <r>
    <n v="5"/>
    <s v="天津"/>
    <x v="0"/>
    <n v="27"/>
    <x v="0"/>
  </r>
  <r>
    <n v="5"/>
    <s v="天津"/>
    <x v="0"/>
    <n v="87"/>
    <x v="0"/>
  </r>
  <r>
    <n v="5"/>
    <s v="天津"/>
    <x v="0"/>
    <n v="78"/>
    <x v="0"/>
  </r>
  <r>
    <n v="5"/>
    <s v="天津"/>
    <x v="0"/>
    <n v="90"/>
    <x v="0"/>
  </r>
  <r>
    <n v="5"/>
    <s v="天津"/>
    <x v="0"/>
    <n v="132"/>
    <x v="0"/>
  </r>
  <r>
    <n v="6"/>
    <s v="福建"/>
    <x v="1"/>
    <n v="220"/>
    <x v="0"/>
  </r>
  <r>
    <n v="6"/>
    <s v="福建"/>
    <x v="1"/>
    <n v="360"/>
    <x v="0"/>
  </r>
  <r>
    <n v="6"/>
    <s v="福建"/>
    <x v="1"/>
    <n v="298"/>
    <x v="0"/>
  </r>
  <r>
    <n v="6"/>
    <s v="福建"/>
    <x v="1"/>
    <n v="315"/>
    <x v="0"/>
  </r>
  <r>
    <n v="6"/>
    <s v="福建"/>
    <x v="1"/>
    <n v="368"/>
    <x v="0"/>
  </r>
  <r>
    <n v="6"/>
    <s v="福建"/>
    <x v="1"/>
    <n v="428"/>
    <x v="0"/>
  </r>
  <r>
    <n v="6"/>
    <s v="福建"/>
    <x v="1"/>
    <n v="186"/>
    <x v="0"/>
  </r>
  <r>
    <n v="6"/>
    <s v="福建"/>
    <x v="1"/>
    <n v="153"/>
    <x v="0"/>
  </r>
  <r>
    <n v="6"/>
    <s v="福建"/>
    <x v="1"/>
    <n v="18"/>
    <x v="0"/>
  </r>
  <r>
    <n v="6"/>
    <s v="福建"/>
    <x v="1"/>
    <n v="138"/>
    <x v="0"/>
  </r>
  <r>
    <n v="6"/>
    <s v="福建"/>
    <x v="1"/>
    <n v="77"/>
    <x v="0"/>
  </r>
  <r>
    <n v="6"/>
    <s v="福建"/>
    <x v="1"/>
    <n v="140"/>
    <x v="0"/>
  </r>
  <r>
    <n v="6"/>
    <s v="福建"/>
    <x v="1"/>
    <n v="203"/>
    <x v="0"/>
  </r>
  <r>
    <n v="6"/>
    <s v="福建"/>
    <x v="1"/>
    <n v="400"/>
    <x v="0"/>
  </r>
  <r>
    <n v="6"/>
    <s v="福建"/>
    <x v="1"/>
    <n v="236"/>
    <x v="0"/>
  </r>
  <r>
    <n v="6"/>
    <s v="福建"/>
    <x v="1"/>
    <n v="210"/>
    <x v="0"/>
  </r>
  <r>
    <n v="6"/>
    <s v="福建"/>
    <x v="1"/>
    <n v="492"/>
    <x v="0"/>
  </r>
  <r>
    <n v="6"/>
    <s v="福建"/>
    <x v="1"/>
    <n v="158"/>
    <x v="0"/>
  </r>
  <r>
    <n v="6"/>
    <s v="福建"/>
    <x v="1"/>
    <n v="761"/>
    <x v="0"/>
  </r>
  <r>
    <n v="6"/>
    <s v="福建"/>
    <x v="1"/>
    <n v="44"/>
    <x v="0"/>
  </r>
  <r>
    <n v="6"/>
    <s v="福建"/>
    <x v="1"/>
    <n v="124"/>
    <x v="0"/>
  </r>
  <r>
    <n v="6"/>
    <s v="福建"/>
    <x v="1"/>
    <n v="1237"/>
    <x v="0"/>
  </r>
  <r>
    <n v="6"/>
    <s v="福建"/>
    <x v="1"/>
    <n v="668"/>
    <x v="0"/>
  </r>
  <r>
    <n v="6"/>
    <s v="福建"/>
    <x v="1"/>
    <n v="1849"/>
    <x v="0"/>
  </r>
  <r>
    <n v="6"/>
    <s v="福建"/>
    <x v="1"/>
    <n v="561"/>
    <x v="0"/>
  </r>
  <r>
    <n v="6"/>
    <s v="福建"/>
    <x v="1"/>
    <n v="1463"/>
    <x v="0"/>
  </r>
  <r>
    <n v="8"/>
    <s v="广东"/>
    <x v="1"/>
    <n v="2096"/>
    <x v="0"/>
  </r>
  <r>
    <n v="8"/>
    <s v="广东"/>
    <x v="1"/>
    <n v="293"/>
    <x v="0"/>
  </r>
  <r>
    <n v="8"/>
    <s v="广东"/>
    <x v="1"/>
    <n v="631"/>
    <x v="0"/>
  </r>
  <r>
    <n v="8"/>
    <s v="广东"/>
    <x v="1"/>
    <n v="844"/>
    <x v="0"/>
  </r>
  <r>
    <n v="8"/>
    <s v="广东"/>
    <x v="1"/>
    <n v="280"/>
    <x v="0"/>
  </r>
  <r>
    <n v="8"/>
    <s v="广东"/>
    <x v="1"/>
    <n v="506"/>
    <x v="0"/>
  </r>
  <r>
    <n v="8"/>
    <s v="广东"/>
    <x v="1"/>
    <n v="224"/>
    <x v="0"/>
  </r>
  <r>
    <n v="8"/>
    <s v="广东"/>
    <x v="1"/>
    <n v="2687"/>
    <x v="0"/>
  </r>
  <r>
    <n v="8"/>
    <s v="广东"/>
    <x v="1"/>
    <n v="1185"/>
    <x v="0"/>
  </r>
  <r>
    <n v="8"/>
    <s v="广东"/>
    <x v="1"/>
    <n v="1496"/>
    <x v="0"/>
  </r>
  <r>
    <n v="8"/>
    <s v="广东"/>
    <x v="1"/>
    <n v="396"/>
    <x v="0"/>
  </r>
  <r>
    <n v="8"/>
    <s v="广东"/>
    <x v="1"/>
    <n v="333"/>
    <x v="0"/>
  </r>
  <r>
    <n v="8"/>
    <s v="广东"/>
    <x v="1"/>
    <n v="203"/>
    <x v="0"/>
  </r>
  <r>
    <n v="8"/>
    <s v="广东"/>
    <x v="1"/>
    <n v="843"/>
    <x v="0"/>
  </r>
  <r>
    <n v="8"/>
    <s v="广东"/>
    <x v="1"/>
    <n v="124"/>
    <x v="0"/>
  </r>
  <r>
    <n v="8"/>
    <s v="广东"/>
    <x v="1"/>
    <n v="114"/>
    <x v="0"/>
  </r>
  <r>
    <n v="8"/>
    <s v="广东"/>
    <x v="1"/>
    <n v="180"/>
    <x v="0"/>
  </r>
  <r>
    <n v="8"/>
    <s v="广东"/>
    <x v="1"/>
    <n v="149"/>
    <x v="0"/>
  </r>
  <r>
    <n v="8"/>
    <s v="广东"/>
    <x v="1"/>
    <n v="124"/>
    <x v="0"/>
  </r>
  <r>
    <n v="8"/>
    <s v="广东"/>
    <x v="1"/>
    <n v="254"/>
    <x v="0"/>
  </r>
  <r>
    <n v="8"/>
    <s v="广东"/>
    <x v="1"/>
    <n v="101"/>
    <x v="0"/>
  </r>
  <r>
    <n v="8"/>
    <s v="广东"/>
    <x v="1"/>
    <n v="44"/>
    <x v="0"/>
  </r>
  <r>
    <n v="8"/>
    <s v="广东"/>
    <x v="1"/>
    <n v="83"/>
    <x v="0"/>
  </r>
  <r>
    <n v="8"/>
    <s v="广东"/>
    <x v="1"/>
    <n v="124"/>
    <x v="0"/>
  </r>
  <r>
    <n v="8"/>
    <s v="广东"/>
    <x v="1"/>
    <n v="70"/>
    <x v="0"/>
  </r>
  <r>
    <n v="8"/>
    <s v="广东"/>
    <x v="1"/>
    <n v="113"/>
    <x v="0"/>
  </r>
  <r>
    <n v="1"/>
    <s v="河北"/>
    <x v="0"/>
    <n v="66"/>
    <x v="0"/>
  </r>
  <r>
    <n v="1"/>
    <s v="河北"/>
    <x v="0"/>
    <n v="45"/>
    <x v="0"/>
  </r>
  <r>
    <n v="1"/>
    <s v="河北"/>
    <x v="0"/>
    <n v="42"/>
    <x v="0"/>
  </r>
  <r>
    <n v="1"/>
    <s v="河北"/>
    <x v="0"/>
    <n v="54"/>
    <x v="0"/>
  </r>
  <r>
    <n v="1"/>
    <s v="河北"/>
    <x v="0"/>
    <n v="88"/>
    <x v="0"/>
  </r>
  <r>
    <n v="1"/>
    <s v="河北"/>
    <x v="0"/>
    <n v="99"/>
    <x v="0"/>
  </r>
  <r>
    <n v="1"/>
    <s v="河北"/>
    <x v="0"/>
    <n v="18"/>
    <x v="0"/>
  </r>
  <r>
    <n v="1"/>
    <s v="河北"/>
    <x v="0"/>
    <n v="88"/>
    <x v="0"/>
  </r>
  <r>
    <n v="1"/>
    <s v="河北"/>
    <x v="0"/>
    <n v="158"/>
    <x v="0"/>
  </r>
  <r>
    <n v="1"/>
    <s v="河北"/>
    <x v="0"/>
    <n v="193"/>
    <x v="0"/>
  </r>
  <r>
    <n v="1"/>
    <s v="河北"/>
    <x v="0"/>
    <n v="36"/>
    <x v="0"/>
  </r>
  <r>
    <n v="1"/>
    <s v="河北"/>
    <x v="0"/>
    <n v="7"/>
    <x v="0"/>
  </r>
  <r>
    <n v="1"/>
    <s v="河北"/>
    <x v="0"/>
    <n v="44"/>
    <x v="0"/>
  </r>
  <r>
    <n v="1"/>
    <s v="河北"/>
    <x v="0"/>
    <n v="9"/>
    <x v="0"/>
  </r>
  <r>
    <n v="1"/>
    <s v="河北"/>
    <x v="0"/>
    <n v="46"/>
    <x v="0"/>
  </r>
  <r>
    <n v="1"/>
    <s v="河北"/>
    <x v="0"/>
    <n v="464"/>
    <x v="0"/>
  </r>
  <r>
    <n v="1"/>
    <s v="河北"/>
    <x v="0"/>
    <n v="508"/>
    <x v="0"/>
  </r>
  <r>
    <n v="1"/>
    <s v="河北"/>
    <x v="0"/>
    <n v="1566"/>
    <x v="0"/>
  </r>
  <r>
    <n v="1"/>
    <s v="河北"/>
    <x v="0"/>
    <n v="417"/>
    <x v="0"/>
  </r>
  <r>
    <n v="1"/>
    <s v="河北"/>
    <x v="0"/>
    <n v="1221"/>
    <x v="0"/>
  </r>
  <r>
    <n v="1"/>
    <s v="河北"/>
    <x v="0"/>
    <n v="1337"/>
    <x v="0"/>
  </r>
  <r>
    <n v="1"/>
    <s v="河北"/>
    <x v="0"/>
    <n v="1518"/>
    <x v="0"/>
  </r>
  <r>
    <n v="1"/>
    <s v="河北"/>
    <x v="0"/>
    <n v="68"/>
    <x v="0"/>
  </r>
  <r>
    <n v="1"/>
    <s v="河北"/>
    <x v="0"/>
    <n v="306"/>
    <x v="0"/>
  </r>
  <r>
    <n v="1"/>
    <s v="河北"/>
    <x v="0"/>
    <n v="259"/>
    <x v="0"/>
  </r>
  <r>
    <n v="1"/>
    <s v="河北"/>
    <x v="0"/>
    <n v="26"/>
    <x v="0"/>
  </r>
  <r>
    <n v="1"/>
    <s v="河北"/>
    <x v="0"/>
    <n v="34"/>
    <x v="0"/>
  </r>
  <r>
    <n v="1"/>
    <s v="河北"/>
    <x v="0"/>
    <n v="26"/>
    <x v="0"/>
  </r>
  <r>
    <n v="1"/>
    <s v="河北"/>
    <x v="0"/>
    <n v="28"/>
    <x v="0"/>
  </r>
  <r>
    <n v="1"/>
    <s v="河北"/>
    <x v="0"/>
    <n v="56"/>
    <x v="0"/>
  </r>
  <r>
    <n v="1"/>
    <s v="河北"/>
    <x v="0"/>
    <n v="44"/>
    <x v="0"/>
  </r>
  <r>
    <n v="1"/>
    <s v="河北"/>
    <x v="0"/>
    <n v="68"/>
    <x v="0"/>
  </r>
  <r>
    <n v="2"/>
    <s v="安徽"/>
    <x v="0"/>
    <n v="385"/>
    <x v="0"/>
  </r>
  <r>
    <n v="2"/>
    <s v="安徽"/>
    <x v="0"/>
    <n v="450"/>
    <x v="0"/>
  </r>
  <r>
    <n v="2"/>
    <s v="安徽"/>
    <x v="0"/>
    <n v="394"/>
    <x v="0"/>
  </r>
  <r>
    <n v="2"/>
    <s v="安徽"/>
    <x v="0"/>
    <n v="918"/>
    <x v="0"/>
  </r>
  <r>
    <n v="2"/>
    <s v="安徽"/>
    <x v="0"/>
    <n v="140"/>
    <x v="0"/>
  </r>
  <r>
    <n v="2"/>
    <s v="安徽"/>
    <x v="0"/>
    <n v="330"/>
    <x v="0"/>
  </r>
  <r>
    <n v="2"/>
    <s v="安徽"/>
    <x v="0"/>
    <n v="158"/>
    <x v="0"/>
  </r>
  <r>
    <n v="2"/>
    <s v="安徽"/>
    <x v="0"/>
    <n v="1005"/>
    <x v="0"/>
  </r>
  <r>
    <n v="2"/>
    <s v="安徽"/>
    <x v="0"/>
    <n v="769"/>
    <x v="0"/>
  </r>
  <r>
    <n v="2"/>
    <s v="安徽"/>
    <x v="0"/>
    <n v="1327"/>
    <x v="0"/>
  </r>
  <r>
    <n v="2"/>
    <s v="安徽"/>
    <x v="0"/>
    <n v="387"/>
    <x v="0"/>
  </r>
  <r>
    <n v="2"/>
    <s v="安徽"/>
    <x v="0"/>
    <n v="25"/>
    <x v="0"/>
  </r>
  <r>
    <n v="2"/>
    <s v="安徽"/>
    <x v="0"/>
    <n v="44"/>
    <x v="0"/>
  </r>
  <r>
    <n v="2"/>
    <s v="安徽"/>
    <x v="0"/>
    <n v="797"/>
    <x v="0"/>
  </r>
  <r>
    <n v="2"/>
    <s v="安徽"/>
    <x v="0"/>
    <n v="175"/>
    <x v="0"/>
  </r>
  <r>
    <n v="2"/>
    <s v="安徽"/>
    <x v="0"/>
    <n v="1536"/>
    <x v="0"/>
  </r>
  <r>
    <n v="2"/>
    <s v="安徽"/>
    <x v="0"/>
    <n v="2914"/>
    <x v="0"/>
  </r>
  <r>
    <n v="2"/>
    <s v="安徽"/>
    <x v="0"/>
    <n v="79"/>
    <x v="0"/>
  </r>
  <r>
    <n v="2"/>
    <s v="安徽"/>
    <x v="0"/>
    <n v="96"/>
    <x v="0"/>
  </r>
  <r>
    <n v="2"/>
    <s v="安徽"/>
    <x v="0"/>
    <n v="146"/>
    <x v="0"/>
  </r>
  <r>
    <n v="2"/>
    <s v="安徽"/>
    <x v="0"/>
    <n v="61"/>
    <x v="0"/>
  </r>
  <r>
    <n v="2"/>
    <s v="安徽"/>
    <x v="0"/>
    <n v="193"/>
    <x v="0"/>
  </r>
  <r>
    <n v="2"/>
    <s v="安徽"/>
    <x v="0"/>
    <n v="56"/>
    <x v="0"/>
  </r>
  <r>
    <n v="2"/>
    <s v="安徽"/>
    <x v="0"/>
    <n v="333"/>
    <x v="0"/>
  </r>
  <r>
    <n v="2"/>
    <s v="安徽"/>
    <x v="0"/>
    <n v="338"/>
    <x v="0"/>
  </r>
  <r>
    <n v="2"/>
    <s v="安徽"/>
    <x v="0"/>
    <n v="1189"/>
    <x v="0"/>
  </r>
  <r>
    <n v="2"/>
    <s v="安徽"/>
    <x v="0"/>
    <n v="426"/>
    <x v="0"/>
  </r>
  <r>
    <n v="2"/>
    <s v="安徽"/>
    <x v="0"/>
    <n v="26"/>
    <x v="0"/>
  </r>
  <r>
    <n v="2"/>
    <s v="安徽"/>
    <x v="0"/>
    <n v="110"/>
    <x v="0"/>
  </r>
  <r>
    <n v="2"/>
    <s v="安徽"/>
    <x v="0"/>
    <n v="79"/>
    <x v="0"/>
  </r>
  <r>
    <n v="2"/>
    <s v="安徽"/>
    <x v="0"/>
    <n v="88"/>
    <x v="0"/>
  </r>
  <r>
    <n v="2"/>
    <s v="安徽"/>
    <x v="0"/>
    <n v="191"/>
    <x v="0"/>
  </r>
  <r>
    <n v="3"/>
    <s v="广西"/>
    <x v="1"/>
    <n v="989"/>
    <x v="0"/>
  </r>
  <r>
    <n v="3"/>
    <s v="广西"/>
    <x v="1"/>
    <n v="405"/>
    <x v="0"/>
  </r>
  <r>
    <n v="3"/>
    <s v="广西"/>
    <x v="1"/>
    <n v="525"/>
    <x v="0"/>
  </r>
  <r>
    <n v="3"/>
    <s v="广西"/>
    <x v="1"/>
    <n v="203"/>
    <x v="0"/>
  </r>
  <r>
    <n v="3"/>
    <s v="广西"/>
    <x v="1"/>
    <n v="263"/>
    <x v="0"/>
  </r>
  <r>
    <n v="3"/>
    <s v="广西"/>
    <x v="1"/>
    <n v="727"/>
    <x v="0"/>
  </r>
  <r>
    <n v="3"/>
    <s v="广西"/>
    <x v="1"/>
    <n v="81"/>
    <x v="0"/>
  </r>
  <r>
    <n v="3"/>
    <s v="广西"/>
    <x v="1"/>
    <n v="104"/>
    <x v="0"/>
  </r>
  <r>
    <n v="3"/>
    <s v="广西"/>
    <x v="1"/>
    <n v="248"/>
    <x v="0"/>
  </r>
  <r>
    <n v="3"/>
    <s v="广西"/>
    <x v="1"/>
    <n v="456"/>
    <x v="0"/>
  </r>
  <r>
    <n v="3"/>
    <s v="广西"/>
    <x v="1"/>
    <n v="405"/>
    <x v="0"/>
  </r>
  <r>
    <n v="3"/>
    <s v="广西"/>
    <x v="1"/>
    <n v="83"/>
    <x v="0"/>
  </r>
  <r>
    <n v="3"/>
    <s v="广西"/>
    <x v="1"/>
    <n v="426"/>
    <x v="0"/>
  </r>
  <r>
    <n v="3"/>
    <s v="广西"/>
    <x v="1"/>
    <n v="315"/>
    <x v="0"/>
  </r>
  <r>
    <n v="3"/>
    <s v="广西"/>
    <x v="1"/>
    <n v="459"/>
    <x v="0"/>
  </r>
  <r>
    <n v="3"/>
    <s v="广西"/>
    <x v="1"/>
    <n v="184"/>
    <x v="0"/>
  </r>
  <r>
    <n v="3"/>
    <s v="广西"/>
    <x v="1"/>
    <n v="426"/>
    <x v="0"/>
  </r>
  <r>
    <n v="3"/>
    <s v="广西"/>
    <x v="1"/>
    <n v="731"/>
    <x v="0"/>
  </r>
  <r>
    <n v="3"/>
    <s v="广西"/>
    <x v="1"/>
    <n v="765"/>
    <x v="0"/>
  </r>
  <r>
    <n v="3"/>
    <s v="广西"/>
    <x v="1"/>
    <n v="70"/>
    <x v="0"/>
  </r>
  <r>
    <n v="3"/>
    <s v="广西"/>
    <x v="1"/>
    <n v="83"/>
    <x v="0"/>
  </r>
  <r>
    <n v="3"/>
    <s v="广西"/>
    <x v="1"/>
    <n v="124"/>
    <x v="0"/>
  </r>
  <r>
    <n v="3"/>
    <s v="广西"/>
    <x v="1"/>
    <n v="713"/>
    <x v="0"/>
  </r>
  <r>
    <n v="3"/>
    <s v="广西"/>
    <x v="1"/>
    <n v="1019"/>
    <x v="0"/>
  </r>
  <r>
    <n v="4"/>
    <s v="江苏"/>
    <x v="1"/>
    <n v="176"/>
    <x v="0"/>
  </r>
  <r>
    <n v="4"/>
    <s v="江苏"/>
    <x v="1"/>
    <n v="464"/>
    <x v="0"/>
  </r>
  <r>
    <n v="4"/>
    <s v="江苏"/>
    <x v="1"/>
    <n v="343"/>
    <x v="0"/>
  </r>
  <r>
    <n v="4"/>
    <s v="江苏"/>
    <x v="1"/>
    <n v="257"/>
    <x v="0"/>
  </r>
  <r>
    <n v="4"/>
    <s v="江苏"/>
    <x v="1"/>
    <n v="39"/>
    <x v="0"/>
  </r>
  <r>
    <n v="4"/>
    <s v="江苏"/>
    <x v="1"/>
    <n v="144"/>
    <x v="0"/>
  </r>
  <r>
    <n v="4"/>
    <s v="江苏"/>
    <x v="1"/>
    <n v="123"/>
    <x v="0"/>
  </r>
  <r>
    <n v="4"/>
    <s v="江苏"/>
    <x v="1"/>
    <n v="185"/>
    <x v="0"/>
  </r>
  <r>
    <n v="4"/>
    <s v="江苏"/>
    <x v="1"/>
    <n v="42"/>
    <x v="0"/>
  </r>
  <r>
    <n v="4"/>
    <s v="江苏"/>
    <x v="1"/>
    <n v="138"/>
    <x v="0"/>
  </r>
  <r>
    <n v="4"/>
    <s v="江苏"/>
    <x v="1"/>
    <n v="50"/>
    <x v="0"/>
  </r>
  <r>
    <n v="4"/>
    <s v="江苏"/>
    <x v="1"/>
    <n v="189"/>
    <x v="0"/>
  </r>
  <r>
    <n v="4"/>
    <s v="江苏"/>
    <x v="1"/>
    <n v="50"/>
    <x v="0"/>
  </r>
  <r>
    <n v="4"/>
    <s v="江苏"/>
    <x v="1"/>
    <n v="165"/>
    <x v="0"/>
  </r>
  <r>
    <n v="4"/>
    <s v="江苏"/>
    <x v="1"/>
    <n v="124"/>
    <x v="0"/>
  </r>
  <r>
    <n v="4"/>
    <s v="江苏"/>
    <x v="1"/>
    <n v="184"/>
    <x v="0"/>
  </r>
  <r>
    <n v="4"/>
    <s v="江苏"/>
    <x v="1"/>
    <n v="535"/>
    <x v="0"/>
  </r>
  <r>
    <n v="4"/>
    <s v="江苏"/>
    <x v="1"/>
    <n v="79"/>
    <x v="0"/>
  </r>
  <r>
    <n v="4"/>
    <s v="江苏"/>
    <x v="1"/>
    <n v="113"/>
    <x v="0"/>
  </r>
  <r>
    <n v="4"/>
    <s v="江苏"/>
    <x v="1"/>
    <n v="61"/>
    <x v="0"/>
  </r>
  <r>
    <n v="4"/>
    <s v="江苏"/>
    <x v="1"/>
    <n v="158"/>
    <x v="0"/>
  </r>
  <r>
    <n v="4"/>
    <s v="江苏"/>
    <x v="1"/>
    <n v="26"/>
    <x v="0"/>
  </r>
  <r>
    <n v="4"/>
    <s v="江苏"/>
    <x v="1"/>
    <n v="96"/>
    <x v="0"/>
  </r>
  <r>
    <n v="4"/>
    <s v="江苏"/>
    <x v="1"/>
    <n v="146"/>
    <x v="0"/>
  </r>
  <r>
    <n v="4"/>
    <s v="江苏"/>
    <x v="1"/>
    <n v="131"/>
    <x v="0"/>
  </r>
  <r>
    <n v="4"/>
    <s v="江苏"/>
    <x v="1"/>
    <n v="34"/>
    <x v="0"/>
  </r>
  <r>
    <n v="5"/>
    <s v="天津"/>
    <x v="0"/>
    <n v="214"/>
    <x v="0"/>
  </r>
  <r>
    <n v="5"/>
    <s v="天津"/>
    <x v="0"/>
    <n v="327"/>
    <x v="0"/>
  </r>
  <r>
    <n v="5"/>
    <s v="天津"/>
    <x v="0"/>
    <n v="258"/>
    <x v="0"/>
  </r>
  <r>
    <n v="5"/>
    <s v="天津"/>
    <x v="0"/>
    <n v="652"/>
    <x v="0"/>
  </r>
  <r>
    <n v="5"/>
    <s v="天津"/>
    <x v="0"/>
    <n v="75"/>
    <x v="0"/>
  </r>
  <r>
    <n v="5"/>
    <s v="天津"/>
    <x v="0"/>
    <n v="217"/>
    <x v="0"/>
  </r>
  <r>
    <n v="5"/>
    <s v="天津"/>
    <x v="0"/>
    <n v="125"/>
    <x v="0"/>
  </r>
  <r>
    <n v="5"/>
    <s v="天津"/>
    <x v="0"/>
    <n v="800"/>
    <x v="0"/>
  </r>
  <r>
    <n v="5"/>
    <s v="天津"/>
    <x v="0"/>
    <n v="412"/>
    <x v="0"/>
  </r>
  <r>
    <n v="5"/>
    <s v="天津"/>
    <x v="0"/>
    <n v="854"/>
    <x v="0"/>
  </r>
  <r>
    <n v="5"/>
    <s v="天津"/>
    <x v="0"/>
    <n v="234"/>
    <x v="0"/>
  </r>
  <r>
    <n v="5"/>
    <s v="天津"/>
    <x v="0"/>
    <n v="23"/>
    <x v="0"/>
  </r>
  <r>
    <n v="5"/>
    <s v="天津"/>
    <x v="0"/>
    <n v="43"/>
    <x v="0"/>
  </r>
  <r>
    <n v="5"/>
    <s v="天津"/>
    <x v="0"/>
    <n v="526"/>
    <x v="0"/>
  </r>
  <r>
    <n v="5"/>
    <s v="天津"/>
    <x v="0"/>
    <n v="88"/>
    <x v="0"/>
  </r>
  <r>
    <n v="5"/>
    <s v="天津"/>
    <x v="0"/>
    <n v="803"/>
    <x v="0"/>
  </r>
  <r>
    <n v="5"/>
    <s v="天津"/>
    <x v="0"/>
    <n v="1795"/>
    <x v="0"/>
  </r>
  <r>
    <n v="5"/>
    <s v="天津"/>
    <x v="0"/>
    <n v="46"/>
    <x v="0"/>
  </r>
  <r>
    <n v="5"/>
    <s v="天津"/>
    <x v="0"/>
    <n v="61"/>
    <x v="0"/>
  </r>
  <r>
    <n v="5"/>
    <s v="天津"/>
    <x v="0"/>
    <n v="67"/>
    <x v="0"/>
  </r>
  <r>
    <n v="5"/>
    <s v="天津"/>
    <x v="0"/>
    <n v="31"/>
    <x v="0"/>
  </r>
  <r>
    <n v="5"/>
    <s v="天津"/>
    <x v="0"/>
    <n v="96"/>
    <x v="0"/>
  </r>
  <r>
    <n v="5"/>
    <s v="天津"/>
    <x v="0"/>
    <n v="26"/>
    <x v="0"/>
  </r>
  <r>
    <n v="5"/>
    <s v="天津"/>
    <x v="0"/>
    <n v="220"/>
    <x v="0"/>
  </r>
  <r>
    <n v="5"/>
    <s v="天津"/>
    <x v="0"/>
    <n v="256"/>
    <x v="0"/>
  </r>
  <r>
    <n v="5"/>
    <s v="天津"/>
    <x v="0"/>
    <n v="575"/>
    <x v="0"/>
  </r>
  <r>
    <n v="5"/>
    <s v="天津"/>
    <x v="0"/>
    <n v="335"/>
    <x v="0"/>
  </r>
  <r>
    <n v="5"/>
    <s v="天津"/>
    <x v="0"/>
    <n v="24"/>
    <x v="0"/>
  </r>
  <r>
    <n v="5"/>
    <s v="天津"/>
    <x v="0"/>
    <n v="84"/>
    <x v="0"/>
  </r>
  <r>
    <n v="5"/>
    <s v="天津"/>
    <x v="0"/>
    <n v="53"/>
    <x v="0"/>
  </r>
  <r>
    <n v="5"/>
    <s v="天津"/>
    <x v="0"/>
    <n v="45"/>
    <x v="0"/>
  </r>
  <r>
    <n v="5"/>
    <s v="天津"/>
    <x v="0"/>
    <n v="107"/>
    <x v="0"/>
  </r>
  <r>
    <n v="6"/>
    <s v="福建"/>
    <x v="1"/>
    <n v="385"/>
    <x v="0"/>
  </r>
  <r>
    <n v="6"/>
    <s v="福建"/>
    <x v="1"/>
    <n v="450"/>
    <x v="0"/>
  </r>
  <r>
    <n v="6"/>
    <s v="福建"/>
    <x v="1"/>
    <n v="175"/>
    <x v="0"/>
  </r>
  <r>
    <n v="6"/>
    <s v="福建"/>
    <x v="1"/>
    <n v="248"/>
    <x v="0"/>
  </r>
  <r>
    <n v="6"/>
    <s v="福建"/>
    <x v="1"/>
    <n v="245"/>
    <x v="0"/>
  </r>
  <r>
    <n v="6"/>
    <s v="福建"/>
    <x v="1"/>
    <n v="473"/>
    <x v="0"/>
  </r>
  <r>
    <n v="6"/>
    <s v="福建"/>
    <x v="1"/>
    <n v="158"/>
    <x v="0"/>
  </r>
  <r>
    <n v="6"/>
    <s v="福建"/>
    <x v="1"/>
    <n v="221"/>
    <x v="0"/>
  </r>
  <r>
    <n v="6"/>
    <s v="福建"/>
    <x v="1"/>
    <n v="72"/>
    <x v="0"/>
  </r>
  <r>
    <n v="6"/>
    <s v="福建"/>
    <x v="1"/>
    <n v="77"/>
    <x v="0"/>
  </r>
  <r>
    <n v="6"/>
    <s v="福建"/>
    <x v="1"/>
    <n v="158"/>
    <x v="0"/>
  </r>
  <r>
    <n v="6"/>
    <s v="福建"/>
    <x v="1"/>
    <n v="180"/>
    <x v="0"/>
  </r>
  <r>
    <n v="6"/>
    <s v="福建"/>
    <x v="1"/>
    <n v="521"/>
    <x v="0"/>
  </r>
  <r>
    <n v="6"/>
    <s v="福建"/>
    <x v="1"/>
    <n v="371"/>
    <x v="0"/>
  </r>
  <r>
    <n v="6"/>
    <s v="福建"/>
    <x v="1"/>
    <n v="263"/>
    <x v="0"/>
  </r>
  <r>
    <n v="6"/>
    <s v="福建"/>
    <x v="1"/>
    <n v="688"/>
    <x v="0"/>
  </r>
  <r>
    <n v="6"/>
    <s v="福建"/>
    <x v="1"/>
    <n v="263"/>
    <x v="0"/>
  </r>
  <r>
    <n v="6"/>
    <s v="福建"/>
    <x v="1"/>
    <n v="985"/>
    <x v="0"/>
  </r>
  <r>
    <n v="6"/>
    <s v="福建"/>
    <x v="1"/>
    <n v="44"/>
    <x v="0"/>
  </r>
  <r>
    <n v="6"/>
    <s v="福建"/>
    <x v="1"/>
    <n v="248"/>
    <x v="0"/>
  </r>
  <r>
    <n v="6"/>
    <s v="福建"/>
    <x v="1"/>
    <n v="1489"/>
    <x v="0"/>
  </r>
  <r>
    <n v="6"/>
    <s v="福建"/>
    <x v="1"/>
    <n v="817"/>
    <x v="0"/>
  </r>
  <r>
    <n v="6"/>
    <s v="福建"/>
    <x v="1"/>
    <n v="90"/>
    <x v="0"/>
  </r>
  <r>
    <n v="6"/>
    <s v="福建"/>
    <x v="1"/>
    <n v="612"/>
    <x v="0"/>
  </r>
  <r>
    <n v="6"/>
    <s v="福建"/>
    <x v="1"/>
    <n v="1238"/>
    <x v="0"/>
  </r>
  <r>
    <n v="8"/>
    <s v="广东"/>
    <x v="1"/>
    <n v="1826"/>
    <x v="0"/>
  </r>
  <r>
    <n v="8"/>
    <s v="广东"/>
    <x v="1"/>
    <n v="338"/>
    <x v="0"/>
  </r>
  <r>
    <n v="8"/>
    <s v="广东"/>
    <x v="1"/>
    <n v="637"/>
    <x v="0"/>
  </r>
  <r>
    <n v="8"/>
    <s v="广东"/>
    <x v="1"/>
    <n v="907"/>
    <x v="0"/>
  </r>
  <r>
    <n v="8"/>
    <s v="广东"/>
    <x v="1"/>
    <n v="368"/>
    <x v="0"/>
  </r>
  <r>
    <n v="8"/>
    <s v="广东"/>
    <x v="1"/>
    <n v="582"/>
    <x v="0"/>
  </r>
  <r>
    <n v="8"/>
    <s v="广东"/>
    <x v="1"/>
    <n v="354"/>
    <x v="0"/>
  </r>
  <r>
    <n v="8"/>
    <s v="广东"/>
    <x v="1"/>
    <n v="3392"/>
    <x v="0"/>
  </r>
  <r>
    <n v="8"/>
    <s v="广东"/>
    <x v="1"/>
    <n v="77"/>
    <x v="0"/>
  </r>
  <r>
    <n v="8"/>
    <s v="广东"/>
    <x v="1"/>
    <n v="2759"/>
    <x v="0"/>
  </r>
  <r>
    <n v="8"/>
    <s v="广东"/>
    <x v="1"/>
    <n v="360"/>
    <x v="0"/>
  </r>
  <r>
    <n v="8"/>
    <s v="广东"/>
    <x v="1"/>
    <n v="228"/>
    <x v="0"/>
  </r>
  <r>
    <n v="8"/>
    <s v="广东"/>
    <x v="1"/>
    <n v="225"/>
    <x v="0"/>
  </r>
  <r>
    <n v="8"/>
    <s v="广东"/>
    <x v="1"/>
    <n v="788"/>
    <x v="0"/>
  </r>
  <r>
    <n v="8"/>
    <s v="广东"/>
    <x v="1"/>
    <n v="135"/>
    <x v="0"/>
  </r>
  <r>
    <n v="8"/>
    <s v="广东"/>
    <x v="1"/>
    <n v="131"/>
    <x v="0"/>
  </r>
  <r>
    <n v="8"/>
    <s v="广东"/>
    <x v="1"/>
    <n v="169"/>
    <x v="0"/>
  </r>
  <r>
    <n v="8"/>
    <s v="广东"/>
    <x v="1"/>
    <n v="149"/>
    <x v="0"/>
  </r>
  <r>
    <n v="8"/>
    <s v="广东"/>
    <x v="1"/>
    <n v="146"/>
    <x v="0"/>
  </r>
  <r>
    <n v="8"/>
    <s v="广东"/>
    <x v="1"/>
    <n v="123"/>
    <x v="0"/>
  </r>
  <r>
    <n v="8"/>
    <s v="广东"/>
    <x v="1"/>
    <n v="90"/>
    <x v="0"/>
  </r>
  <r>
    <n v="8"/>
    <s v="广东"/>
    <x v="1"/>
    <n v="53"/>
    <x v="0"/>
  </r>
  <r>
    <n v="8"/>
    <s v="广东"/>
    <x v="1"/>
    <n v="96"/>
    <x v="0"/>
  </r>
  <r>
    <n v="8"/>
    <s v="广东"/>
    <x v="1"/>
    <n v="45"/>
    <x v="0"/>
  </r>
  <r>
    <n v="8"/>
    <s v="广东"/>
    <x v="1"/>
    <n v="61"/>
    <x v="0"/>
  </r>
  <r>
    <n v="8"/>
    <s v="广东"/>
    <x v="1"/>
    <n v="124"/>
    <x v="0"/>
  </r>
  <r>
    <n v="1"/>
    <s v="河北"/>
    <x v="0"/>
    <n v="94"/>
    <x v="0"/>
  </r>
  <r>
    <n v="1"/>
    <s v="河北"/>
    <x v="0"/>
    <n v="54"/>
    <x v="0"/>
  </r>
  <r>
    <n v="1"/>
    <s v="河北"/>
    <x v="0"/>
    <n v="53"/>
    <x v="0"/>
  </r>
  <r>
    <n v="1"/>
    <s v="河北"/>
    <x v="0"/>
    <n v="68"/>
    <x v="0"/>
  </r>
  <r>
    <n v="1"/>
    <s v="河北"/>
    <x v="0"/>
    <n v="95"/>
    <x v="0"/>
  </r>
  <r>
    <n v="1"/>
    <s v="河北"/>
    <x v="0"/>
    <n v="99"/>
    <x v="0"/>
  </r>
  <r>
    <n v="1"/>
    <s v="河北"/>
    <x v="0"/>
    <n v="18"/>
    <x v="0"/>
  </r>
  <r>
    <n v="1"/>
    <s v="河北"/>
    <x v="0"/>
    <n v="88"/>
    <x v="0"/>
  </r>
  <r>
    <n v="1"/>
    <s v="河北"/>
    <x v="0"/>
    <n v="180"/>
    <x v="0"/>
  </r>
  <r>
    <n v="1"/>
    <s v="河北"/>
    <x v="0"/>
    <n v="319"/>
    <x v="0"/>
  </r>
  <r>
    <n v="1"/>
    <s v="河北"/>
    <x v="0"/>
    <n v="45"/>
    <x v="0"/>
  </r>
  <r>
    <n v="1"/>
    <s v="河北"/>
    <x v="0"/>
    <n v="7"/>
    <x v="0"/>
  </r>
  <r>
    <n v="1"/>
    <s v="河北"/>
    <x v="0"/>
    <n v="72"/>
    <x v="0"/>
  </r>
  <r>
    <n v="1"/>
    <s v="河北"/>
    <x v="0"/>
    <n v="18"/>
    <x v="0"/>
  </r>
  <r>
    <n v="1"/>
    <s v="河北"/>
    <x v="0"/>
    <n v="42"/>
    <x v="0"/>
  </r>
  <r>
    <n v="1"/>
    <s v="河北"/>
    <x v="0"/>
    <n v="707"/>
    <x v="0"/>
  </r>
  <r>
    <n v="1"/>
    <s v="河北"/>
    <x v="0"/>
    <n v="761"/>
    <x v="0"/>
  </r>
  <r>
    <n v="1"/>
    <s v="河北"/>
    <x v="0"/>
    <n v="1684"/>
    <x v="0"/>
  </r>
  <r>
    <n v="1"/>
    <s v="河北"/>
    <x v="0"/>
    <n v="467"/>
    <x v="0"/>
  </r>
  <r>
    <n v="1"/>
    <s v="河北"/>
    <x v="0"/>
    <n v="1113"/>
    <x v="0"/>
  </r>
  <r>
    <n v="1"/>
    <s v="河北"/>
    <x v="0"/>
    <n v="999"/>
    <x v="0"/>
  </r>
  <r>
    <n v="1"/>
    <s v="河北"/>
    <x v="0"/>
    <n v="1889"/>
    <x v="0"/>
  </r>
  <r>
    <n v="1"/>
    <s v="河北"/>
    <x v="0"/>
    <n v="90"/>
    <x v="0"/>
  </r>
  <r>
    <n v="1"/>
    <s v="河北"/>
    <x v="0"/>
    <n v="359"/>
    <x v="0"/>
  </r>
  <r>
    <n v="1"/>
    <s v="河北"/>
    <x v="0"/>
    <n v="360"/>
    <x v="0"/>
  </r>
  <r>
    <n v="1"/>
    <s v="河北"/>
    <x v="0"/>
    <n v="35"/>
    <x v="0"/>
  </r>
  <r>
    <n v="1"/>
    <s v="河北"/>
    <x v="0"/>
    <n v="56"/>
    <x v="0"/>
  </r>
  <r>
    <n v="1"/>
    <s v="河北"/>
    <x v="0"/>
    <n v="35"/>
    <x v="0"/>
  </r>
  <r>
    <n v="1"/>
    <s v="河北"/>
    <x v="0"/>
    <n v="41"/>
    <x v="0"/>
  </r>
  <r>
    <n v="1"/>
    <s v="河北"/>
    <x v="0"/>
    <n v="68"/>
    <x v="0"/>
  </r>
  <r>
    <n v="1"/>
    <s v="河北"/>
    <x v="0"/>
    <n v="35"/>
    <x v="0"/>
  </r>
  <r>
    <n v="1"/>
    <s v="河北"/>
    <x v="0"/>
    <n v="113"/>
    <x v="0"/>
  </r>
  <r>
    <n v="2"/>
    <s v="安徽"/>
    <x v="0"/>
    <n v="330"/>
    <x v="0"/>
  </r>
  <r>
    <n v="2"/>
    <s v="安徽"/>
    <x v="0"/>
    <n v="248"/>
    <x v="0"/>
  </r>
  <r>
    <n v="2"/>
    <s v="安徽"/>
    <x v="0"/>
    <n v="333"/>
    <x v="0"/>
  </r>
  <r>
    <n v="2"/>
    <s v="安徽"/>
    <x v="0"/>
    <n v="816"/>
    <x v="0"/>
  </r>
  <r>
    <n v="2"/>
    <s v="安徽"/>
    <x v="0"/>
    <n v="140"/>
    <x v="0"/>
  </r>
  <r>
    <n v="2"/>
    <s v="安徽"/>
    <x v="0"/>
    <n v="303"/>
    <x v="0"/>
  </r>
  <r>
    <n v="2"/>
    <s v="安徽"/>
    <x v="0"/>
    <n v="180"/>
    <x v="0"/>
  </r>
  <r>
    <n v="2"/>
    <s v="安徽"/>
    <x v="0"/>
    <n v="1054"/>
    <x v="0"/>
  </r>
  <r>
    <n v="2"/>
    <s v="安徽"/>
    <x v="0"/>
    <n v="609"/>
    <x v="0"/>
  </r>
  <r>
    <n v="2"/>
    <s v="安徽"/>
    <x v="0"/>
    <n v="1744"/>
    <x v="0"/>
  </r>
  <r>
    <n v="2"/>
    <s v="安徽"/>
    <x v="0"/>
    <n v="441"/>
    <x v="0"/>
  </r>
  <r>
    <n v="2"/>
    <s v="安徽"/>
    <x v="0"/>
    <n v="35"/>
    <x v="0"/>
  </r>
  <r>
    <n v="2"/>
    <s v="安徽"/>
    <x v="0"/>
    <n v="66"/>
    <x v="0"/>
  </r>
  <r>
    <n v="2"/>
    <s v="安徽"/>
    <x v="0"/>
    <n v="677"/>
    <x v="0"/>
  </r>
  <r>
    <n v="2"/>
    <s v="安徽"/>
    <x v="0"/>
    <n v="210"/>
    <x v="0"/>
  </r>
  <r>
    <n v="2"/>
    <s v="安徽"/>
    <x v="0"/>
    <n v="1550"/>
    <x v="0"/>
  </r>
  <r>
    <n v="2"/>
    <s v="安徽"/>
    <x v="0"/>
    <n v="2455"/>
    <x v="0"/>
  </r>
  <r>
    <n v="2"/>
    <s v="安徽"/>
    <x v="0"/>
    <n v="90"/>
    <x v="0"/>
  </r>
  <r>
    <n v="2"/>
    <s v="安徽"/>
    <x v="0"/>
    <n v="79"/>
    <x v="0"/>
  </r>
  <r>
    <n v="2"/>
    <s v="安徽"/>
    <x v="0"/>
    <n v="146"/>
    <x v="0"/>
  </r>
  <r>
    <n v="2"/>
    <s v="安徽"/>
    <x v="0"/>
    <n v="88"/>
    <x v="0"/>
  </r>
  <r>
    <n v="2"/>
    <s v="安徽"/>
    <x v="0"/>
    <n v="261"/>
    <x v="0"/>
  </r>
  <r>
    <n v="2"/>
    <s v="安徽"/>
    <x v="0"/>
    <n v="68"/>
    <x v="0"/>
  </r>
  <r>
    <n v="2"/>
    <s v="安徽"/>
    <x v="0"/>
    <n v="403"/>
    <x v="0"/>
  </r>
  <r>
    <n v="2"/>
    <s v="安徽"/>
    <x v="0"/>
    <n v="470"/>
    <x v="0"/>
  </r>
  <r>
    <n v="2"/>
    <s v="安徽"/>
    <x v="0"/>
    <n v="1358"/>
    <x v="0"/>
  </r>
  <r>
    <n v="2"/>
    <s v="安徽"/>
    <x v="0"/>
    <n v="568"/>
    <x v="0"/>
  </r>
  <r>
    <n v="2"/>
    <s v="安徽"/>
    <x v="0"/>
    <n v="26"/>
    <x v="0"/>
  </r>
  <r>
    <n v="2"/>
    <s v="安徽"/>
    <x v="0"/>
    <n v="124"/>
    <x v="0"/>
  </r>
  <r>
    <n v="2"/>
    <s v="安徽"/>
    <x v="0"/>
    <n v="90"/>
    <x v="0"/>
  </r>
  <r>
    <n v="2"/>
    <s v="安徽"/>
    <x v="0"/>
    <n v="70"/>
    <x v="0"/>
  </r>
  <r>
    <n v="2"/>
    <s v="安徽"/>
    <x v="0"/>
    <n v="304"/>
    <x v="0"/>
  </r>
  <r>
    <n v="3"/>
    <s v="广西"/>
    <x v="1"/>
    <n v="897"/>
    <x v="0"/>
  </r>
  <r>
    <n v="3"/>
    <s v="广西"/>
    <x v="1"/>
    <n v="405"/>
    <x v="0"/>
  </r>
  <r>
    <n v="3"/>
    <s v="广西"/>
    <x v="1"/>
    <n v="525"/>
    <x v="0"/>
  </r>
  <r>
    <n v="3"/>
    <s v="广西"/>
    <x v="1"/>
    <n v="203"/>
    <x v="0"/>
  </r>
  <r>
    <n v="3"/>
    <s v="广西"/>
    <x v="1"/>
    <n v="210"/>
    <x v="0"/>
  </r>
  <r>
    <n v="3"/>
    <s v="广西"/>
    <x v="1"/>
    <n v="768"/>
    <x v="0"/>
  </r>
  <r>
    <n v="3"/>
    <s v="广西"/>
    <x v="1"/>
    <n v="95"/>
    <x v="0"/>
  </r>
  <r>
    <n v="3"/>
    <s v="广西"/>
    <x v="1"/>
    <n v="104"/>
    <x v="0"/>
  </r>
  <r>
    <n v="3"/>
    <s v="广西"/>
    <x v="1"/>
    <n v="225"/>
    <x v="0"/>
  </r>
  <r>
    <n v="3"/>
    <s v="广西"/>
    <x v="1"/>
    <n v="473"/>
    <x v="0"/>
  </r>
  <r>
    <n v="3"/>
    <s v="广西"/>
    <x v="1"/>
    <n v="338"/>
    <x v="0"/>
  </r>
  <r>
    <n v="3"/>
    <s v="广西"/>
    <x v="1"/>
    <n v="83"/>
    <x v="0"/>
  </r>
  <r>
    <n v="3"/>
    <s v="广西"/>
    <x v="1"/>
    <n v="371"/>
    <x v="0"/>
  </r>
  <r>
    <n v="3"/>
    <s v="广西"/>
    <x v="1"/>
    <n v="368"/>
    <x v="0"/>
  </r>
  <r>
    <n v="3"/>
    <s v="广西"/>
    <x v="1"/>
    <n v="557"/>
    <x v="0"/>
  </r>
  <r>
    <n v="3"/>
    <s v="广西"/>
    <x v="1"/>
    <n v="184"/>
    <x v="0"/>
  </r>
  <r>
    <n v="3"/>
    <s v="广西"/>
    <x v="1"/>
    <n v="459"/>
    <x v="0"/>
  </r>
  <r>
    <n v="3"/>
    <s v="广西"/>
    <x v="1"/>
    <n v="399"/>
    <x v="0"/>
  </r>
  <r>
    <n v="3"/>
    <s v="广西"/>
    <x v="1"/>
    <n v="667"/>
    <x v="0"/>
  </r>
  <r>
    <n v="3"/>
    <s v="广西"/>
    <x v="1"/>
    <n v="79"/>
    <x v="0"/>
  </r>
  <r>
    <n v="3"/>
    <s v="广西"/>
    <x v="1"/>
    <n v="83"/>
    <x v="0"/>
  </r>
  <r>
    <n v="3"/>
    <s v="广西"/>
    <x v="1"/>
    <n v="135"/>
    <x v="0"/>
  </r>
  <r>
    <n v="3"/>
    <s v="广西"/>
    <x v="1"/>
    <n v="764"/>
    <x v="0"/>
  </r>
  <r>
    <n v="3"/>
    <s v="广西"/>
    <x v="1"/>
    <n v="371"/>
    <x v="0"/>
  </r>
  <r>
    <n v="4"/>
    <s v="江苏"/>
    <x v="1"/>
    <n v="308"/>
    <x v="0"/>
  </r>
  <r>
    <n v="4"/>
    <s v="江苏"/>
    <x v="1"/>
    <n v="610"/>
    <x v="0"/>
  </r>
  <r>
    <n v="4"/>
    <s v="江苏"/>
    <x v="1"/>
    <n v="375"/>
    <x v="0"/>
  </r>
  <r>
    <n v="4"/>
    <s v="江苏"/>
    <x v="1"/>
    <n v="428"/>
    <x v="0"/>
  </r>
  <r>
    <n v="4"/>
    <s v="江苏"/>
    <x v="1"/>
    <n v="39"/>
    <x v="0"/>
  </r>
  <r>
    <n v="4"/>
    <s v="江苏"/>
    <x v="1"/>
    <n v="198"/>
    <x v="0"/>
  </r>
  <r>
    <n v="4"/>
    <s v="江苏"/>
    <x v="1"/>
    <n v="137"/>
    <x v="0"/>
  </r>
  <r>
    <n v="4"/>
    <s v="江苏"/>
    <x v="1"/>
    <n v="302"/>
    <x v="0"/>
  </r>
  <r>
    <n v="4"/>
    <s v="江苏"/>
    <x v="1"/>
    <n v="46"/>
    <x v="0"/>
  </r>
  <r>
    <n v="4"/>
    <s v="江苏"/>
    <x v="1"/>
    <n v="226"/>
    <x v="0"/>
  </r>
  <r>
    <n v="4"/>
    <s v="江苏"/>
    <x v="1"/>
    <n v="54"/>
    <x v="0"/>
  </r>
  <r>
    <n v="4"/>
    <s v="江苏"/>
    <x v="1"/>
    <n v="221"/>
    <x v="0"/>
  </r>
  <r>
    <n v="4"/>
    <s v="江苏"/>
    <x v="1"/>
    <n v="77"/>
    <x v="0"/>
  </r>
  <r>
    <n v="4"/>
    <s v="江苏"/>
    <x v="1"/>
    <n v="289"/>
    <x v="0"/>
  </r>
  <r>
    <n v="4"/>
    <s v="江苏"/>
    <x v="1"/>
    <n v="146"/>
    <x v="0"/>
  </r>
  <r>
    <n v="4"/>
    <s v="江苏"/>
    <x v="1"/>
    <n v="236"/>
    <x v="0"/>
  </r>
  <r>
    <n v="4"/>
    <s v="江苏"/>
    <x v="1"/>
    <n v="491"/>
    <x v="0"/>
  </r>
  <r>
    <n v="4"/>
    <s v="江苏"/>
    <x v="1"/>
    <n v="96"/>
    <x v="0"/>
  </r>
  <r>
    <n v="4"/>
    <s v="江苏"/>
    <x v="1"/>
    <n v="146"/>
    <x v="0"/>
  </r>
  <r>
    <n v="4"/>
    <s v="江苏"/>
    <x v="1"/>
    <n v="70"/>
    <x v="0"/>
  </r>
  <r>
    <n v="4"/>
    <s v="江苏"/>
    <x v="1"/>
    <n v="236"/>
    <x v="0"/>
  </r>
  <r>
    <n v="4"/>
    <s v="江苏"/>
    <x v="1"/>
    <n v="35"/>
    <x v="0"/>
  </r>
  <r>
    <n v="4"/>
    <s v="江苏"/>
    <x v="1"/>
    <n v="179"/>
    <x v="0"/>
  </r>
  <r>
    <n v="4"/>
    <s v="江苏"/>
    <x v="1"/>
    <n v="191"/>
    <x v="0"/>
  </r>
  <r>
    <n v="4"/>
    <s v="江苏"/>
    <x v="1"/>
    <n v="193"/>
    <x v="0"/>
  </r>
  <r>
    <n v="4"/>
    <s v="江苏"/>
    <x v="1"/>
    <n v="79"/>
    <x v="0"/>
  </r>
  <r>
    <n v="5"/>
    <s v="天津"/>
    <x v="0"/>
    <n v="190"/>
    <x v="0"/>
  </r>
  <r>
    <n v="5"/>
    <s v="天津"/>
    <x v="0"/>
    <n v="135"/>
    <x v="0"/>
  </r>
  <r>
    <n v="5"/>
    <s v="天津"/>
    <x v="0"/>
    <n v="253"/>
    <x v="0"/>
  </r>
  <r>
    <n v="5"/>
    <s v="天津"/>
    <x v="0"/>
    <n v="634"/>
    <x v="0"/>
  </r>
  <r>
    <n v="5"/>
    <s v="天津"/>
    <x v="0"/>
    <n v="82"/>
    <x v="0"/>
  </r>
  <r>
    <n v="5"/>
    <s v="天津"/>
    <x v="0"/>
    <n v="231"/>
    <x v="0"/>
  </r>
  <r>
    <n v="5"/>
    <s v="天津"/>
    <x v="0"/>
    <n v="120"/>
    <x v="0"/>
  </r>
  <r>
    <n v="5"/>
    <s v="天津"/>
    <x v="0"/>
    <n v="484"/>
    <x v="0"/>
  </r>
  <r>
    <n v="5"/>
    <s v="天津"/>
    <x v="0"/>
    <n v="411"/>
    <x v="0"/>
  </r>
  <r>
    <n v="5"/>
    <s v="天津"/>
    <x v="0"/>
    <n v="1334"/>
    <x v="0"/>
  </r>
  <r>
    <n v="5"/>
    <s v="天津"/>
    <x v="0"/>
    <n v="312"/>
    <x v="0"/>
  </r>
  <r>
    <n v="5"/>
    <s v="天津"/>
    <x v="0"/>
    <n v="28"/>
    <x v="0"/>
  </r>
  <r>
    <n v="5"/>
    <s v="天津"/>
    <x v="0"/>
    <n v="41"/>
    <x v="0"/>
  </r>
  <r>
    <n v="5"/>
    <s v="天津"/>
    <x v="0"/>
    <n v="404"/>
    <x v="0"/>
  </r>
  <r>
    <n v="5"/>
    <s v="天津"/>
    <x v="0"/>
    <n v="148"/>
    <x v="0"/>
  </r>
  <r>
    <n v="5"/>
    <s v="天津"/>
    <x v="0"/>
    <n v="1079"/>
    <x v="0"/>
  </r>
  <r>
    <n v="5"/>
    <s v="天津"/>
    <x v="0"/>
    <n v="1816"/>
    <x v="0"/>
  </r>
  <r>
    <n v="5"/>
    <s v="天津"/>
    <x v="0"/>
    <n v="49"/>
    <x v="0"/>
  </r>
  <r>
    <n v="5"/>
    <s v="天津"/>
    <x v="0"/>
    <n v="59"/>
    <x v="0"/>
  </r>
  <r>
    <n v="5"/>
    <s v="天津"/>
    <x v="0"/>
    <n v="101"/>
    <x v="0"/>
  </r>
  <r>
    <n v="5"/>
    <s v="天津"/>
    <x v="0"/>
    <n v="61"/>
    <x v="0"/>
  </r>
  <r>
    <n v="5"/>
    <s v="天津"/>
    <x v="0"/>
    <n v="168"/>
    <x v="0"/>
  </r>
  <r>
    <n v="5"/>
    <s v="天津"/>
    <x v="0"/>
    <n v="45"/>
    <x v="0"/>
  </r>
  <r>
    <n v="5"/>
    <s v="天津"/>
    <x v="0"/>
    <n v="252"/>
    <x v="0"/>
  </r>
  <r>
    <n v="5"/>
    <s v="天津"/>
    <x v="0"/>
    <n v="338"/>
    <x v="0"/>
  </r>
  <r>
    <n v="5"/>
    <s v="天津"/>
    <x v="0"/>
    <n v="759"/>
    <x v="0"/>
  </r>
  <r>
    <n v="5"/>
    <s v="天津"/>
    <x v="0"/>
    <n v="371"/>
    <x v="0"/>
  </r>
  <r>
    <n v="5"/>
    <s v="天津"/>
    <x v="0"/>
    <n v="25"/>
    <x v="0"/>
  </r>
  <r>
    <n v="5"/>
    <s v="天津"/>
    <x v="0"/>
    <n v="86"/>
    <x v="0"/>
  </r>
  <r>
    <n v="5"/>
    <s v="天津"/>
    <x v="0"/>
    <n v="67"/>
    <x v="0"/>
  </r>
  <r>
    <n v="5"/>
    <s v="天津"/>
    <x v="0"/>
    <n v="45"/>
    <x v="0"/>
  </r>
  <r>
    <n v="5"/>
    <s v="天津"/>
    <x v="0"/>
    <n v="205"/>
    <x v="0"/>
  </r>
  <r>
    <n v="6"/>
    <s v="福建"/>
    <x v="1"/>
    <n v="431"/>
    <x v="0"/>
  </r>
  <r>
    <n v="6"/>
    <s v="福建"/>
    <x v="1"/>
    <n v="225"/>
    <x v="0"/>
  </r>
  <r>
    <n v="6"/>
    <s v="福建"/>
    <x v="1"/>
    <n v="385"/>
    <x v="0"/>
  </r>
  <r>
    <n v="6"/>
    <s v="福建"/>
    <x v="1"/>
    <n v="225"/>
    <x v="0"/>
  </r>
  <r>
    <n v="6"/>
    <s v="福建"/>
    <x v="1"/>
    <n v="210"/>
    <x v="0"/>
  </r>
  <r>
    <n v="6"/>
    <s v="福建"/>
    <x v="1"/>
    <n v="715"/>
    <x v="0"/>
  </r>
  <r>
    <n v="6"/>
    <s v="福建"/>
    <x v="1"/>
    <n v="291"/>
    <x v="0"/>
  </r>
  <r>
    <n v="6"/>
    <s v="福建"/>
    <x v="1"/>
    <n v="203"/>
    <x v="0"/>
  </r>
  <r>
    <n v="6"/>
    <s v="福建"/>
    <x v="1"/>
    <n v="99"/>
    <x v="0"/>
  </r>
  <r>
    <n v="6"/>
    <s v="福建"/>
    <x v="1"/>
    <n v="90"/>
    <x v="0"/>
  </r>
  <r>
    <n v="6"/>
    <s v="福建"/>
    <x v="1"/>
    <n v="140"/>
    <x v="0"/>
  </r>
  <r>
    <n v="6"/>
    <s v="福建"/>
    <x v="1"/>
    <n v="203"/>
    <x v="0"/>
  </r>
  <r>
    <n v="6"/>
    <s v="福建"/>
    <x v="1"/>
    <n v="681"/>
    <x v="0"/>
  </r>
  <r>
    <n v="6"/>
    <s v="福建"/>
    <x v="1"/>
    <n v="338"/>
    <x v="0"/>
  </r>
  <r>
    <n v="6"/>
    <s v="福建"/>
    <x v="1"/>
    <n v="263"/>
    <x v="0"/>
  </r>
  <r>
    <n v="6"/>
    <s v="福建"/>
    <x v="1"/>
    <n v="826"/>
    <x v="0"/>
  </r>
  <r>
    <n v="6"/>
    <s v="福建"/>
    <x v="1"/>
    <n v="394"/>
    <x v="0"/>
  </r>
  <r>
    <n v="6"/>
    <s v="福建"/>
    <x v="1"/>
    <n v="954"/>
    <x v="0"/>
  </r>
  <r>
    <n v="6"/>
    <s v="福建"/>
    <x v="1"/>
    <n v="96"/>
    <x v="0"/>
  </r>
  <r>
    <n v="6"/>
    <s v="福建"/>
    <x v="1"/>
    <n v="304"/>
    <x v="0"/>
  </r>
  <r>
    <n v="6"/>
    <s v="福建"/>
    <x v="1"/>
    <n v="1327"/>
    <x v="0"/>
  </r>
  <r>
    <n v="6"/>
    <s v="福建"/>
    <x v="1"/>
    <n v="867"/>
    <x v="0"/>
  </r>
  <r>
    <n v="6"/>
    <s v="福建"/>
    <x v="1"/>
    <n v="135"/>
    <x v="0"/>
  </r>
  <r>
    <n v="6"/>
    <s v="福建"/>
    <x v="1"/>
    <n v="663"/>
    <x v="0"/>
  </r>
  <r>
    <n v="6"/>
    <s v="福建"/>
    <x v="1"/>
    <n v="1177"/>
    <x v="0"/>
  </r>
  <r>
    <n v="7"/>
    <s v="浙江"/>
    <x v="1"/>
    <n v="358"/>
    <x v="0"/>
  </r>
  <r>
    <n v="7"/>
    <s v="浙江"/>
    <x v="1"/>
    <n v="338"/>
    <x v="0"/>
  </r>
  <r>
    <n v="7"/>
    <s v="浙江"/>
    <x v="1"/>
    <n v="263"/>
    <x v="0"/>
  </r>
  <r>
    <n v="7"/>
    <s v="浙江"/>
    <x v="1"/>
    <n v="270"/>
    <x v="0"/>
  </r>
  <r>
    <n v="7"/>
    <s v="浙江"/>
    <x v="1"/>
    <n v="105"/>
    <x v="0"/>
  </r>
  <r>
    <n v="7"/>
    <s v="浙江"/>
    <x v="1"/>
    <n v="293"/>
    <x v="0"/>
  </r>
  <r>
    <n v="7"/>
    <s v="浙江"/>
    <x v="1"/>
    <n v="186"/>
    <x v="0"/>
  </r>
  <r>
    <n v="7"/>
    <s v="浙江"/>
    <x v="1"/>
    <n v="288"/>
    <x v="0"/>
  </r>
  <r>
    <n v="7"/>
    <s v="浙江"/>
    <x v="1"/>
    <n v="116"/>
    <x v="0"/>
  </r>
  <r>
    <n v="7"/>
    <s v="浙江"/>
    <x v="1"/>
    <n v="154"/>
    <x v="0"/>
  </r>
  <r>
    <n v="7"/>
    <s v="浙江"/>
    <x v="1"/>
    <n v="830"/>
    <x v="0"/>
  </r>
  <r>
    <n v="7"/>
    <s v="浙江"/>
    <x v="1"/>
    <n v="228"/>
    <x v="0"/>
  </r>
  <r>
    <n v="7"/>
    <s v="浙江"/>
    <x v="1"/>
    <n v="338"/>
    <x v="0"/>
  </r>
  <r>
    <n v="8"/>
    <s v="广东"/>
    <x v="1"/>
    <n v="1079"/>
    <x v="0"/>
  </r>
  <r>
    <n v="8"/>
    <s v="广东"/>
    <x v="1"/>
    <n v="411"/>
    <x v="0"/>
  </r>
  <r>
    <n v="8"/>
    <s v="广东"/>
    <x v="1"/>
    <n v="581"/>
    <x v="0"/>
  </r>
  <r>
    <n v="8"/>
    <s v="广东"/>
    <x v="1"/>
    <n v="675"/>
    <x v="0"/>
  </r>
  <r>
    <n v="8"/>
    <s v="广东"/>
    <x v="1"/>
    <n v="333"/>
    <x v="0"/>
  </r>
  <r>
    <n v="8"/>
    <s v="广东"/>
    <x v="1"/>
    <n v="585"/>
    <x v="0"/>
  </r>
  <r>
    <n v="8"/>
    <s v="广东"/>
    <x v="1"/>
    <n v="553"/>
    <x v="0"/>
  </r>
  <r>
    <n v="8"/>
    <s v="广东"/>
    <x v="1"/>
    <n v="2112"/>
    <x v="0"/>
  </r>
  <r>
    <n v="8"/>
    <s v="广东"/>
    <x v="1"/>
    <n v="133"/>
    <x v="0"/>
  </r>
  <r>
    <n v="8"/>
    <s v="广东"/>
    <x v="1"/>
    <n v="1379"/>
    <x v="0"/>
  </r>
  <r>
    <n v="8"/>
    <s v="广东"/>
    <x v="1"/>
    <n v="347"/>
    <x v="0"/>
  </r>
  <r>
    <n v="8"/>
    <s v="广东"/>
    <x v="1"/>
    <n v="280"/>
    <x v="0"/>
  </r>
  <r>
    <n v="8"/>
    <s v="广东"/>
    <x v="1"/>
    <n v="248"/>
    <x v="0"/>
  </r>
  <r>
    <n v="8"/>
    <s v="广东"/>
    <x v="1"/>
    <n v="1025"/>
    <x v="0"/>
  </r>
  <r>
    <n v="8"/>
    <s v="广东"/>
    <x v="1"/>
    <n v="158"/>
    <x v="0"/>
  </r>
  <r>
    <n v="8"/>
    <s v="广东"/>
    <x v="1"/>
    <n v="123"/>
    <x v="0"/>
  </r>
  <r>
    <n v="8"/>
    <s v="广东"/>
    <x v="1"/>
    <n v="180"/>
    <x v="0"/>
  </r>
  <r>
    <n v="8"/>
    <s v="广东"/>
    <x v="1"/>
    <n v="184"/>
    <x v="0"/>
  </r>
  <r>
    <n v="8"/>
    <s v="广东"/>
    <x v="1"/>
    <n v="124"/>
    <x v="0"/>
  </r>
  <r>
    <n v="8"/>
    <s v="广东"/>
    <x v="1"/>
    <n v="114"/>
    <x v="0"/>
  </r>
  <r>
    <n v="8"/>
    <s v="广东"/>
    <x v="1"/>
    <n v="101"/>
    <x v="0"/>
  </r>
  <r>
    <n v="8"/>
    <s v="广东"/>
    <x v="1"/>
    <n v="18"/>
    <x v="0"/>
  </r>
  <r>
    <n v="8"/>
    <s v="广东"/>
    <x v="1"/>
    <n v="96"/>
    <x v="0"/>
  </r>
  <r>
    <n v="8"/>
    <s v="广东"/>
    <x v="1"/>
    <n v="56"/>
    <x v="0"/>
  </r>
  <r>
    <n v="8"/>
    <s v="广东"/>
    <x v="1"/>
    <n v="53"/>
    <x v="0"/>
  </r>
  <r>
    <n v="8"/>
    <s v="广东"/>
    <x v="1"/>
    <n v="124"/>
    <x v="0"/>
  </r>
  <r>
    <n v="1"/>
    <s v="河北"/>
    <x v="0"/>
    <n v="83"/>
    <x v="0"/>
  </r>
  <r>
    <n v="1"/>
    <s v="河北"/>
    <x v="0"/>
    <n v="99"/>
    <x v="0"/>
  </r>
  <r>
    <n v="1"/>
    <s v="河北"/>
    <x v="0"/>
    <n v="60"/>
    <x v="0"/>
  </r>
  <r>
    <n v="1"/>
    <s v="河北"/>
    <x v="0"/>
    <n v="68"/>
    <x v="0"/>
  </r>
  <r>
    <n v="1"/>
    <s v="河北"/>
    <x v="0"/>
    <n v="105"/>
    <x v="0"/>
  </r>
  <r>
    <n v="1"/>
    <s v="河北"/>
    <x v="0"/>
    <n v="55"/>
    <x v="0"/>
  </r>
  <r>
    <n v="1"/>
    <s v="河北"/>
    <x v="0"/>
    <n v="27"/>
    <x v="0"/>
  </r>
  <r>
    <n v="1"/>
    <s v="河北"/>
    <x v="0"/>
    <n v="105"/>
    <x v="0"/>
  </r>
  <r>
    <n v="1"/>
    <s v="河北"/>
    <x v="0"/>
    <n v="158"/>
    <x v="0"/>
  </r>
  <r>
    <n v="1"/>
    <s v="河北"/>
    <x v="0"/>
    <n v="364"/>
    <x v="0"/>
  </r>
  <r>
    <n v="1"/>
    <s v="河北"/>
    <x v="0"/>
    <n v="59"/>
    <x v="0"/>
  </r>
  <r>
    <n v="1"/>
    <s v="河北"/>
    <x v="0"/>
    <n v="11"/>
    <x v="0"/>
  </r>
  <r>
    <n v="1"/>
    <s v="河北"/>
    <x v="0"/>
    <n v="116"/>
    <x v="0"/>
  </r>
  <r>
    <n v="1"/>
    <s v="河北"/>
    <x v="0"/>
    <n v="23"/>
    <x v="0"/>
  </r>
  <r>
    <n v="1"/>
    <s v="河北"/>
    <x v="0"/>
    <n v="46"/>
    <x v="0"/>
  </r>
  <r>
    <n v="1"/>
    <s v="河北"/>
    <x v="0"/>
    <n v="450"/>
    <x v="0"/>
  </r>
  <r>
    <n v="1"/>
    <s v="河北"/>
    <x v="0"/>
    <n v="957"/>
    <x v="0"/>
  </r>
  <r>
    <n v="1"/>
    <s v="河北"/>
    <x v="0"/>
    <n v="1863"/>
    <x v="0"/>
  </r>
  <r>
    <n v="1"/>
    <s v="河北"/>
    <x v="0"/>
    <n v="740"/>
    <x v="0"/>
  </r>
  <r>
    <n v="1"/>
    <s v="河北"/>
    <x v="0"/>
    <n v="1408"/>
    <x v="0"/>
  </r>
  <r>
    <n v="1"/>
    <s v="河北"/>
    <x v="0"/>
    <n v="799"/>
    <x v="0"/>
  </r>
  <r>
    <n v="1"/>
    <s v="河北"/>
    <x v="0"/>
    <n v="2160"/>
    <x v="0"/>
  </r>
  <r>
    <n v="1"/>
    <s v="河北"/>
    <x v="0"/>
    <n v="124"/>
    <x v="0"/>
  </r>
  <r>
    <n v="1"/>
    <s v="河北"/>
    <x v="0"/>
    <n v="298"/>
    <x v="0"/>
  </r>
  <r>
    <n v="1"/>
    <s v="河北"/>
    <x v="0"/>
    <n v="426"/>
    <x v="0"/>
  </r>
  <r>
    <n v="1"/>
    <s v="河北"/>
    <x v="0"/>
    <n v="26"/>
    <x v="0"/>
  </r>
  <r>
    <n v="1"/>
    <s v="河北"/>
    <x v="0"/>
    <n v="68"/>
    <x v="0"/>
  </r>
  <r>
    <n v="1"/>
    <s v="河北"/>
    <x v="0"/>
    <n v="18"/>
    <x v="0"/>
  </r>
  <r>
    <n v="1"/>
    <s v="河北"/>
    <x v="0"/>
    <n v="55"/>
    <x v="0"/>
  </r>
  <r>
    <n v="1"/>
    <s v="河北"/>
    <x v="0"/>
    <n v="79"/>
    <x v="0"/>
  </r>
  <r>
    <n v="1"/>
    <s v="河北"/>
    <x v="0"/>
    <n v="35"/>
    <x v="0"/>
  </r>
  <r>
    <n v="1"/>
    <s v="河北"/>
    <x v="0"/>
    <n v="124"/>
    <x v="0"/>
  </r>
  <r>
    <n v="2"/>
    <s v="安徽"/>
    <x v="0"/>
    <n v="523"/>
    <x v="0"/>
  </r>
  <r>
    <n v="2"/>
    <s v="安徽"/>
    <x v="0"/>
    <n v="225"/>
    <x v="0"/>
  </r>
  <r>
    <n v="2"/>
    <s v="安徽"/>
    <x v="0"/>
    <n v="333"/>
    <x v="0"/>
  </r>
  <r>
    <n v="2"/>
    <s v="安徽"/>
    <x v="0"/>
    <n v="995"/>
    <x v="0"/>
  </r>
  <r>
    <n v="2"/>
    <s v="安徽"/>
    <x v="0"/>
    <n v="175"/>
    <x v="0"/>
  </r>
  <r>
    <n v="2"/>
    <s v="安徽"/>
    <x v="0"/>
    <n v="330"/>
    <x v="0"/>
  </r>
  <r>
    <n v="2"/>
    <s v="安徽"/>
    <x v="0"/>
    <n v="158"/>
    <x v="0"/>
  </r>
  <r>
    <n v="2"/>
    <s v="安徽"/>
    <x v="0"/>
    <n v="996"/>
    <x v="0"/>
  </r>
  <r>
    <n v="2"/>
    <s v="安徽"/>
    <x v="0"/>
    <n v="627"/>
    <x v="0"/>
  </r>
  <r>
    <n v="2"/>
    <s v="安徽"/>
    <x v="0"/>
    <n v="1257"/>
    <x v="0"/>
  </r>
  <r>
    <n v="2"/>
    <s v="安徽"/>
    <x v="0"/>
    <n v="455"/>
    <x v="0"/>
  </r>
  <r>
    <n v="2"/>
    <s v="安徽"/>
    <x v="0"/>
    <n v="46"/>
    <x v="0"/>
  </r>
  <r>
    <n v="2"/>
    <s v="安徽"/>
    <x v="0"/>
    <n v="55"/>
    <x v="0"/>
  </r>
  <r>
    <n v="2"/>
    <s v="安徽"/>
    <x v="0"/>
    <n v="798"/>
    <x v="0"/>
  </r>
  <r>
    <n v="2"/>
    <s v="安徽"/>
    <x v="0"/>
    <n v="280"/>
    <x v="0"/>
  </r>
  <r>
    <n v="2"/>
    <s v="安徽"/>
    <x v="0"/>
    <n v="2131"/>
    <x v="0"/>
  </r>
  <r>
    <n v="2"/>
    <s v="安徽"/>
    <x v="0"/>
    <n v="3873"/>
    <x v="0"/>
  </r>
  <r>
    <n v="2"/>
    <s v="安徽"/>
    <x v="0"/>
    <n v="113"/>
    <x v="0"/>
  </r>
  <r>
    <n v="2"/>
    <s v="安徽"/>
    <x v="0"/>
    <n v="70"/>
    <x v="0"/>
  </r>
  <r>
    <n v="2"/>
    <s v="安徽"/>
    <x v="0"/>
    <n v="158"/>
    <x v="0"/>
  </r>
  <r>
    <n v="2"/>
    <s v="安徽"/>
    <x v="0"/>
    <n v="123"/>
    <x v="0"/>
  </r>
  <r>
    <n v="2"/>
    <s v="安徽"/>
    <x v="0"/>
    <n v="330"/>
    <x v="0"/>
  </r>
  <r>
    <n v="2"/>
    <s v="安徽"/>
    <x v="0"/>
    <n v="79"/>
    <x v="0"/>
  </r>
  <r>
    <n v="2"/>
    <s v="安徽"/>
    <x v="0"/>
    <n v="407"/>
    <x v="0"/>
  </r>
  <r>
    <n v="2"/>
    <s v="安徽"/>
    <x v="0"/>
    <n v="645"/>
    <x v="0"/>
  </r>
  <r>
    <n v="2"/>
    <s v="安徽"/>
    <x v="0"/>
    <n v="1316"/>
    <x v="0"/>
  </r>
  <r>
    <n v="2"/>
    <s v="安徽"/>
    <x v="0"/>
    <n v="699"/>
    <x v="0"/>
  </r>
  <r>
    <n v="2"/>
    <s v="安徽"/>
    <x v="0"/>
    <n v="26"/>
    <x v="0"/>
  </r>
  <r>
    <n v="2"/>
    <s v="安徽"/>
    <x v="0"/>
    <n v="151"/>
    <x v="0"/>
  </r>
  <r>
    <n v="2"/>
    <s v="安徽"/>
    <x v="0"/>
    <n v="113"/>
    <x v="0"/>
  </r>
  <r>
    <n v="2"/>
    <s v="安徽"/>
    <x v="0"/>
    <n v="114"/>
    <x v="0"/>
  </r>
  <r>
    <n v="2"/>
    <s v="安徽"/>
    <x v="0"/>
    <n v="459"/>
    <x v="0"/>
  </r>
  <r>
    <n v="3"/>
    <s v="广西"/>
    <x v="1"/>
    <n v="1051"/>
    <x v="0"/>
  </r>
  <r>
    <n v="3"/>
    <s v="广西"/>
    <x v="1"/>
    <n v="531"/>
    <x v="0"/>
  </r>
  <r>
    <n v="3"/>
    <s v="广西"/>
    <x v="1"/>
    <n v="158"/>
    <x v="0"/>
  </r>
  <r>
    <n v="3"/>
    <s v="广西"/>
    <x v="1"/>
    <n v="203"/>
    <x v="0"/>
  </r>
  <r>
    <n v="3"/>
    <s v="广西"/>
    <x v="1"/>
    <n v="263"/>
    <x v="0"/>
  </r>
  <r>
    <n v="3"/>
    <s v="广西"/>
    <x v="1"/>
    <n v="338"/>
    <x v="0"/>
  </r>
  <r>
    <n v="3"/>
    <s v="广西"/>
    <x v="1"/>
    <n v="133"/>
    <x v="0"/>
  </r>
  <r>
    <n v="3"/>
    <s v="广西"/>
    <x v="1"/>
    <n v="122"/>
    <x v="0"/>
  </r>
  <r>
    <n v="3"/>
    <s v="广西"/>
    <x v="1"/>
    <n v="203"/>
    <x v="0"/>
  </r>
  <r>
    <n v="3"/>
    <s v="广西"/>
    <x v="1"/>
    <n v="473"/>
    <x v="0"/>
  </r>
  <r>
    <n v="3"/>
    <s v="广西"/>
    <x v="1"/>
    <n v="405"/>
    <x v="0"/>
  </r>
  <r>
    <n v="3"/>
    <s v="广西"/>
    <x v="1"/>
    <n v="124"/>
    <x v="0"/>
  </r>
  <r>
    <n v="3"/>
    <s v="广西"/>
    <x v="1"/>
    <n v="405"/>
    <x v="0"/>
  </r>
  <r>
    <n v="3"/>
    <s v="广西"/>
    <x v="1"/>
    <n v="341"/>
    <x v="0"/>
  </r>
  <r>
    <n v="3"/>
    <s v="广西"/>
    <x v="1"/>
    <n v="304"/>
    <x v="0"/>
  </r>
  <r>
    <n v="3"/>
    <s v="广西"/>
    <x v="1"/>
    <n v="368"/>
    <x v="0"/>
  </r>
  <r>
    <n v="3"/>
    <s v="广西"/>
    <x v="1"/>
    <n v="426"/>
    <x v="0"/>
  </r>
  <r>
    <n v="3"/>
    <s v="广西"/>
    <x v="1"/>
    <n v="175"/>
    <x v="0"/>
  </r>
  <r>
    <n v="3"/>
    <s v="广西"/>
    <x v="1"/>
    <n v="56"/>
    <x v="0"/>
  </r>
  <r>
    <n v="3"/>
    <s v="广西"/>
    <x v="1"/>
    <n v="79"/>
    <x v="0"/>
  </r>
  <r>
    <n v="3"/>
    <s v="广西"/>
    <x v="1"/>
    <n v="96"/>
    <x v="0"/>
  </r>
  <r>
    <n v="3"/>
    <s v="广西"/>
    <x v="1"/>
    <n v="135"/>
    <x v="0"/>
  </r>
  <r>
    <n v="3"/>
    <s v="广西"/>
    <x v="1"/>
    <n v="663"/>
    <x v="0"/>
  </r>
  <r>
    <n v="3"/>
    <s v="广西"/>
    <x v="1"/>
    <n v="459"/>
    <x v="0"/>
  </r>
  <r>
    <n v="4"/>
    <s v="江苏"/>
    <x v="1"/>
    <n v="314"/>
    <x v="0"/>
  </r>
  <r>
    <n v="4"/>
    <s v="江苏"/>
    <x v="1"/>
    <n v="854"/>
    <x v="0"/>
  </r>
  <r>
    <n v="4"/>
    <s v="江苏"/>
    <x v="1"/>
    <n v="364"/>
    <x v="0"/>
  </r>
  <r>
    <n v="4"/>
    <s v="江苏"/>
    <x v="1"/>
    <n v="612"/>
    <x v="0"/>
  </r>
  <r>
    <n v="4"/>
    <s v="江苏"/>
    <x v="1"/>
    <n v="49"/>
    <x v="0"/>
  </r>
  <r>
    <n v="4"/>
    <s v="江苏"/>
    <x v="1"/>
    <n v="266"/>
    <x v="0"/>
  </r>
  <r>
    <n v="4"/>
    <s v="江苏"/>
    <x v="1"/>
    <n v="175"/>
    <x v="0"/>
  </r>
  <r>
    <n v="4"/>
    <s v="江苏"/>
    <x v="1"/>
    <n v="410"/>
    <x v="0"/>
  </r>
  <r>
    <n v="4"/>
    <s v="江苏"/>
    <x v="1"/>
    <n v="46"/>
    <x v="0"/>
  </r>
  <r>
    <n v="4"/>
    <s v="江苏"/>
    <x v="1"/>
    <n v="281"/>
    <x v="0"/>
  </r>
  <r>
    <n v="4"/>
    <s v="江苏"/>
    <x v="1"/>
    <n v="72"/>
    <x v="0"/>
  </r>
  <r>
    <n v="4"/>
    <s v="江苏"/>
    <x v="1"/>
    <n v="273"/>
    <x v="0"/>
  </r>
  <r>
    <n v="4"/>
    <s v="江苏"/>
    <x v="1"/>
    <n v="86"/>
    <x v="0"/>
  </r>
  <r>
    <n v="4"/>
    <s v="江苏"/>
    <x v="1"/>
    <n v="385"/>
    <x v="0"/>
  </r>
  <r>
    <n v="4"/>
    <s v="江苏"/>
    <x v="1"/>
    <n v="214"/>
    <x v="0"/>
  </r>
  <r>
    <n v="4"/>
    <s v="江苏"/>
    <x v="1"/>
    <n v="298"/>
    <x v="0"/>
  </r>
  <r>
    <n v="4"/>
    <s v="江苏"/>
    <x v="1"/>
    <n v="645"/>
    <x v="0"/>
  </r>
  <r>
    <n v="4"/>
    <s v="江苏"/>
    <x v="1"/>
    <n v="96"/>
    <x v="0"/>
  </r>
  <r>
    <n v="4"/>
    <s v="江苏"/>
    <x v="1"/>
    <n v="214"/>
    <x v="0"/>
  </r>
  <r>
    <n v="4"/>
    <s v="江苏"/>
    <x v="1"/>
    <n v="53"/>
    <x v="0"/>
  </r>
  <r>
    <n v="4"/>
    <s v="江苏"/>
    <x v="1"/>
    <n v="326"/>
    <x v="0"/>
  </r>
  <r>
    <n v="4"/>
    <s v="江苏"/>
    <x v="1"/>
    <n v="61"/>
    <x v="0"/>
  </r>
  <r>
    <n v="4"/>
    <s v="江苏"/>
    <x v="1"/>
    <n v="248"/>
    <x v="0"/>
  </r>
  <r>
    <n v="4"/>
    <s v="江苏"/>
    <x v="1"/>
    <n v="270"/>
    <x v="0"/>
  </r>
  <r>
    <n v="4"/>
    <s v="江苏"/>
    <x v="1"/>
    <n v="105"/>
    <x v="0"/>
  </r>
  <r>
    <n v="4"/>
    <s v="江苏"/>
    <x v="1"/>
    <n v="101"/>
    <x v="0"/>
  </r>
  <r>
    <n v="5"/>
    <s v="天津"/>
    <x v="0"/>
    <n v="310"/>
    <x v="0"/>
  </r>
  <r>
    <n v="5"/>
    <s v="天津"/>
    <x v="0"/>
    <n v="151"/>
    <x v="0"/>
  </r>
  <r>
    <n v="5"/>
    <s v="天津"/>
    <x v="0"/>
    <n v="203"/>
    <x v="0"/>
  </r>
  <r>
    <n v="5"/>
    <s v="天津"/>
    <x v="0"/>
    <n v="463"/>
    <x v="0"/>
  </r>
  <r>
    <n v="5"/>
    <s v="天津"/>
    <x v="0"/>
    <n v="105"/>
    <x v="0"/>
  </r>
  <r>
    <n v="5"/>
    <s v="天津"/>
    <x v="0"/>
    <n v="164"/>
    <x v="0"/>
  </r>
  <r>
    <n v="5"/>
    <s v="天津"/>
    <x v="0"/>
    <n v="113"/>
    <x v="0"/>
  </r>
  <r>
    <n v="5"/>
    <s v="天津"/>
    <x v="0"/>
    <n v="545"/>
    <x v="0"/>
  </r>
  <r>
    <n v="5"/>
    <s v="天津"/>
    <x v="0"/>
    <n v="308"/>
    <x v="0"/>
  </r>
  <r>
    <n v="5"/>
    <s v="天津"/>
    <x v="0"/>
    <n v="643"/>
    <x v="0"/>
  </r>
  <r>
    <n v="5"/>
    <s v="天津"/>
    <x v="0"/>
    <n v="322"/>
    <x v="0"/>
  </r>
  <r>
    <n v="5"/>
    <s v="天津"/>
    <x v="0"/>
    <n v="40"/>
    <x v="0"/>
  </r>
  <r>
    <n v="5"/>
    <s v="天津"/>
    <x v="0"/>
    <n v="37"/>
    <x v="0"/>
  </r>
  <r>
    <n v="5"/>
    <s v="天津"/>
    <x v="0"/>
    <n v="474"/>
    <x v="0"/>
  </r>
  <r>
    <n v="5"/>
    <s v="天津"/>
    <x v="0"/>
    <n v="146"/>
    <x v="0"/>
  </r>
  <r>
    <n v="5"/>
    <s v="天津"/>
    <x v="0"/>
    <n v="1107"/>
    <x v="0"/>
  </r>
  <r>
    <n v="5"/>
    <s v="天津"/>
    <x v="0"/>
    <n v="2552"/>
    <x v="0"/>
  </r>
  <r>
    <n v="5"/>
    <s v="天津"/>
    <x v="0"/>
    <n v="68"/>
    <x v="0"/>
  </r>
  <r>
    <n v="5"/>
    <s v="天津"/>
    <x v="0"/>
    <n v="49"/>
    <x v="0"/>
  </r>
  <r>
    <n v="5"/>
    <s v="天津"/>
    <x v="0"/>
    <n v="87"/>
    <x v="0"/>
  </r>
  <r>
    <n v="5"/>
    <s v="天津"/>
    <x v="0"/>
    <n v="83"/>
    <x v="0"/>
  </r>
  <r>
    <n v="5"/>
    <s v="天津"/>
    <x v="0"/>
    <n v="182"/>
    <x v="0"/>
  </r>
  <r>
    <n v="5"/>
    <s v="天津"/>
    <x v="0"/>
    <n v="56"/>
    <x v="0"/>
  </r>
  <r>
    <n v="5"/>
    <s v="天津"/>
    <x v="0"/>
    <n v="296"/>
    <x v="0"/>
  </r>
  <r>
    <n v="5"/>
    <s v="天津"/>
    <x v="0"/>
    <n v="322"/>
    <x v="0"/>
  </r>
  <r>
    <n v="5"/>
    <s v="天津"/>
    <x v="0"/>
    <n v="984"/>
    <x v="0"/>
  </r>
  <r>
    <n v="5"/>
    <s v="天津"/>
    <x v="0"/>
    <n v="464"/>
    <x v="0"/>
  </r>
  <r>
    <n v="5"/>
    <s v="天津"/>
    <x v="0"/>
    <n v="22"/>
    <x v="0"/>
  </r>
  <r>
    <n v="5"/>
    <s v="天津"/>
    <x v="0"/>
    <n v="80"/>
    <x v="0"/>
  </r>
  <r>
    <n v="5"/>
    <s v="天津"/>
    <x v="0"/>
    <n v="82"/>
    <x v="0"/>
  </r>
  <r>
    <n v="5"/>
    <s v="天津"/>
    <x v="0"/>
    <n v="77"/>
    <x v="0"/>
  </r>
  <r>
    <n v="5"/>
    <s v="天津"/>
    <x v="0"/>
    <n v="333"/>
    <x v="0"/>
  </r>
  <r>
    <n v="6"/>
    <s v="福建"/>
    <x v="1"/>
    <n v="138"/>
    <x v="0"/>
  </r>
  <r>
    <n v="6"/>
    <s v="福建"/>
    <x v="1"/>
    <n v="158"/>
    <x v="0"/>
  </r>
  <r>
    <n v="6"/>
    <s v="福建"/>
    <x v="1"/>
    <n v="508"/>
    <x v="0"/>
  </r>
  <r>
    <n v="6"/>
    <s v="福建"/>
    <x v="1"/>
    <n v="293"/>
    <x v="0"/>
  </r>
  <r>
    <n v="6"/>
    <s v="福建"/>
    <x v="1"/>
    <n v="263"/>
    <x v="0"/>
  </r>
  <r>
    <n v="6"/>
    <s v="福建"/>
    <x v="1"/>
    <n v="857"/>
    <x v="0"/>
  </r>
  <r>
    <n v="6"/>
    <s v="福建"/>
    <x v="1"/>
    <n v="396"/>
    <x v="0"/>
  </r>
  <r>
    <n v="6"/>
    <s v="福建"/>
    <x v="1"/>
    <n v="252"/>
    <x v="0"/>
  </r>
  <r>
    <n v="6"/>
    <s v="福建"/>
    <x v="1"/>
    <n v="94"/>
    <x v="0"/>
  </r>
  <r>
    <n v="6"/>
    <s v="福建"/>
    <x v="1"/>
    <n v="126"/>
    <x v="0"/>
  </r>
  <r>
    <n v="6"/>
    <s v="福建"/>
    <x v="1"/>
    <n v="158"/>
    <x v="0"/>
  </r>
  <r>
    <n v="6"/>
    <s v="福建"/>
    <x v="1"/>
    <n v="180"/>
    <x v="0"/>
  </r>
  <r>
    <n v="6"/>
    <s v="福建"/>
    <x v="1"/>
    <n v="1319"/>
    <x v="0"/>
  </r>
  <r>
    <n v="6"/>
    <s v="福建"/>
    <x v="1"/>
    <n v="623"/>
    <x v="0"/>
  </r>
  <r>
    <n v="6"/>
    <s v="福建"/>
    <x v="1"/>
    <n v="289"/>
    <x v="0"/>
  </r>
  <r>
    <n v="6"/>
    <s v="福建"/>
    <x v="1"/>
    <n v="622"/>
    <x v="0"/>
  </r>
  <r>
    <n v="6"/>
    <s v="福建"/>
    <x v="1"/>
    <n v="368"/>
    <x v="0"/>
  </r>
  <r>
    <n v="6"/>
    <s v="福建"/>
    <x v="1"/>
    <n v="1207"/>
    <x v="0"/>
  </r>
  <r>
    <n v="6"/>
    <s v="福建"/>
    <x v="1"/>
    <n v="96"/>
    <x v="0"/>
  </r>
  <r>
    <n v="6"/>
    <s v="福建"/>
    <x v="1"/>
    <n v="304"/>
    <x v="0"/>
  </r>
  <r>
    <n v="6"/>
    <s v="福建"/>
    <x v="1"/>
    <n v="1355"/>
    <x v="0"/>
  </r>
  <r>
    <n v="6"/>
    <s v="福建"/>
    <x v="1"/>
    <n v="921"/>
    <x v="0"/>
  </r>
  <r>
    <n v="6"/>
    <s v="福建"/>
    <x v="1"/>
    <n v="68"/>
    <x v="0"/>
  </r>
  <r>
    <n v="6"/>
    <s v="福建"/>
    <x v="1"/>
    <n v="792"/>
    <x v="0"/>
  </r>
  <r>
    <n v="6"/>
    <s v="福建"/>
    <x v="1"/>
    <n v="1177"/>
    <x v="0"/>
  </r>
  <r>
    <n v="7"/>
    <s v="浙江"/>
    <x v="1"/>
    <n v="413"/>
    <x v="0"/>
  </r>
  <r>
    <n v="7"/>
    <s v="浙江"/>
    <x v="1"/>
    <n v="360"/>
    <x v="0"/>
  </r>
  <r>
    <n v="7"/>
    <s v="浙江"/>
    <x v="1"/>
    <n v="263"/>
    <x v="0"/>
  </r>
  <r>
    <n v="7"/>
    <s v="浙江"/>
    <x v="1"/>
    <n v="180"/>
    <x v="0"/>
  </r>
  <r>
    <n v="7"/>
    <s v="浙江"/>
    <x v="1"/>
    <n v="70"/>
    <x v="0"/>
  </r>
  <r>
    <n v="7"/>
    <s v="浙江"/>
    <x v="1"/>
    <n v="248"/>
    <x v="0"/>
  </r>
  <r>
    <n v="7"/>
    <s v="浙江"/>
    <x v="1"/>
    <n v="172"/>
    <x v="0"/>
  </r>
  <r>
    <n v="7"/>
    <s v="浙江"/>
    <x v="1"/>
    <n v="270"/>
    <x v="0"/>
  </r>
  <r>
    <n v="7"/>
    <s v="浙江"/>
    <x v="1"/>
    <n v="98"/>
    <x v="0"/>
  </r>
  <r>
    <n v="7"/>
    <s v="浙江"/>
    <x v="1"/>
    <n v="138"/>
    <x v="0"/>
  </r>
  <r>
    <n v="7"/>
    <s v="浙江"/>
    <x v="1"/>
    <n v="888"/>
    <x v="0"/>
  </r>
  <r>
    <n v="7"/>
    <s v="浙江"/>
    <x v="1"/>
    <n v="228"/>
    <x v="0"/>
  </r>
  <r>
    <n v="7"/>
    <s v="浙江"/>
    <x v="1"/>
    <n v="383"/>
    <x v="0"/>
  </r>
  <r>
    <n v="8"/>
    <s v="广东"/>
    <x v="1"/>
    <n v="1118"/>
    <x v="0"/>
  </r>
  <r>
    <n v="8"/>
    <s v="广东"/>
    <x v="1"/>
    <n v="338"/>
    <x v="0"/>
  </r>
  <r>
    <n v="8"/>
    <s v="广东"/>
    <x v="1"/>
    <n v="533"/>
    <x v="0"/>
  </r>
  <r>
    <n v="8"/>
    <s v="广东"/>
    <x v="1"/>
    <n v="808"/>
    <x v="0"/>
  </r>
  <r>
    <n v="8"/>
    <s v="广东"/>
    <x v="1"/>
    <n v="385"/>
    <x v="0"/>
  </r>
  <r>
    <n v="8"/>
    <s v="广东"/>
    <x v="1"/>
    <n v="514"/>
    <x v="0"/>
  </r>
  <r>
    <n v="8"/>
    <s v="广东"/>
    <x v="1"/>
    <n v="580"/>
    <x v="0"/>
  </r>
  <r>
    <n v="8"/>
    <s v="广东"/>
    <x v="1"/>
    <n v="2282"/>
    <x v="0"/>
  </r>
  <r>
    <n v="8"/>
    <s v="广东"/>
    <x v="1"/>
    <n v="228"/>
    <x v="0"/>
  </r>
  <r>
    <n v="8"/>
    <s v="广东"/>
    <x v="1"/>
    <n v="1453"/>
    <x v="0"/>
  </r>
  <r>
    <n v="8"/>
    <s v="广东"/>
    <x v="1"/>
    <n v="293"/>
    <x v="0"/>
  </r>
  <r>
    <n v="8"/>
    <s v="广东"/>
    <x v="1"/>
    <n v="263"/>
    <x v="0"/>
  </r>
  <r>
    <n v="8"/>
    <s v="广东"/>
    <x v="1"/>
    <n v="338"/>
    <x v="0"/>
  </r>
  <r>
    <n v="8"/>
    <s v="广东"/>
    <x v="1"/>
    <n v="694"/>
    <x v="0"/>
  </r>
  <r>
    <n v="8"/>
    <s v="广东"/>
    <x v="1"/>
    <n v="180"/>
    <x v="0"/>
  </r>
  <r>
    <n v="8"/>
    <s v="广东"/>
    <x v="1"/>
    <n v="131"/>
    <x v="0"/>
  </r>
  <r>
    <n v="8"/>
    <s v="广东"/>
    <x v="1"/>
    <n v="180"/>
    <x v="0"/>
  </r>
  <r>
    <n v="8"/>
    <s v="广东"/>
    <x v="1"/>
    <n v="131"/>
    <x v="0"/>
  </r>
  <r>
    <n v="8"/>
    <s v="广东"/>
    <x v="1"/>
    <n v="146"/>
    <x v="0"/>
  </r>
  <r>
    <n v="8"/>
    <s v="广东"/>
    <x v="1"/>
    <n v="96"/>
    <x v="0"/>
  </r>
  <r>
    <n v="8"/>
    <s v="广东"/>
    <x v="1"/>
    <n v="68"/>
    <x v="0"/>
  </r>
  <r>
    <n v="8"/>
    <s v="广东"/>
    <x v="1"/>
    <n v="26"/>
    <x v="0"/>
  </r>
  <r>
    <n v="8"/>
    <s v="广东"/>
    <x v="1"/>
    <n v="124"/>
    <x v="0"/>
  </r>
  <r>
    <n v="8"/>
    <s v="广东"/>
    <x v="1"/>
    <n v="45"/>
    <x v="0"/>
  </r>
  <r>
    <n v="8"/>
    <s v="广东"/>
    <x v="1"/>
    <n v="61"/>
    <x v="0"/>
  </r>
  <r>
    <n v="8"/>
    <s v="广东"/>
    <x v="1"/>
    <n v="158"/>
    <x v="0"/>
  </r>
  <r>
    <n v="1"/>
    <m/>
    <x v="2"/>
    <m/>
    <x v="1"/>
  </r>
  <r>
    <n v="1"/>
    <m/>
    <x v="2"/>
    <m/>
    <x v="1"/>
  </r>
  <r>
    <n v="1"/>
    <m/>
    <x v="2"/>
    <m/>
    <x v="1"/>
  </r>
  <r>
    <n v="1"/>
    <m/>
    <x v="2"/>
    <m/>
    <x v="1"/>
  </r>
  <r>
    <n v="1"/>
    <m/>
    <x v="2"/>
    <m/>
    <x v="1"/>
  </r>
  <r>
    <n v="1"/>
    <m/>
    <x v="2"/>
    <m/>
    <x v="1"/>
  </r>
  <r>
    <n v="1"/>
    <m/>
    <x v="2"/>
    <m/>
    <x v="1"/>
  </r>
  <r>
    <n v="1"/>
    <m/>
    <x v="2"/>
    <m/>
    <x v="1"/>
  </r>
  <r>
    <n v="1"/>
    <m/>
    <x v="2"/>
    <m/>
    <x v="1"/>
  </r>
  <r>
    <n v="1"/>
    <m/>
    <x v="2"/>
    <m/>
    <x v="1"/>
  </r>
  <r>
    <n v="1"/>
    <m/>
    <x v="2"/>
    <m/>
    <x v="1"/>
  </r>
  <r>
    <n v="1"/>
    <m/>
    <x v="2"/>
    <m/>
    <x v="1"/>
  </r>
  <r>
    <n v="1"/>
    <m/>
    <x v="2"/>
    <m/>
    <x v="1"/>
  </r>
  <r>
    <n v="1"/>
    <m/>
    <x v="2"/>
    <m/>
    <x v="1"/>
  </r>
  <r>
    <n v="1"/>
    <m/>
    <x v="2"/>
    <m/>
    <x v="1"/>
  </r>
  <r>
    <n v="1"/>
    <m/>
    <x v="2"/>
    <m/>
    <x v="1"/>
  </r>
  <r>
    <n v="1"/>
    <m/>
    <x v="2"/>
    <m/>
    <x v="1"/>
  </r>
  <r>
    <n v="1"/>
    <m/>
    <x v="2"/>
    <m/>
    <x v="2"/>
  </r>
  <r>
    <n v="1"/>
    <m/>
    <x v="2"/>
    <m/>
    <x v="2"/>
  </r>
  <r>
    <n v="1"/>
    <m/>
    <x v="2"/>
    <m/>
    <x v="2"/>
  </r>
  <r>
    <n v="1"/>
    <m/>
    <x v="2"/>
    <m/>
    <x v="2"/>
  </r>
  <r>
    <n v="1"/>
    <m/>
    <x v="2"/>
    <m/>
    <x v="2"/>
  </r>
  <r>
    <n v="1"/>
    <m/>
    <x v="2"/>
    <m/>
    <x v="2"/>
  </r>
  <r>
    <n v="1"/>
    <m/>
    <x v="2"/>
    <m/>
    <x v="2"/>
  </r>
  <r>
    <n v="1"/>
    <m/>
    <x v="2"/>
    <m/>
    <x v="2"/>
  </r>
  <r>
    <n v="1"/>
    <m/>
    <x v="2"/>
    <m/>
    <x v="2"/>
  </r>
  <r>
    <n v="1"/>
    <m/>
    <x v="2"/>
    <m/>
    <x v="2"/>
  </r>
  <r>
    <n v="1"/>
    <m/>
    <x v="2"/>
    <m/>
    <x v="2"/>
  </r>
  <r>
    <n v="1"/>
    <m/>
    <x v="2"/>
    <m/>
    <x v="2"/>
  </r>
  <r>
    <n v="1"/>
    <m/>
    <x v="2"/>
    <m/>
    <x v="2"/>
  </r>
  <r>
    <n v="1"/>
    <m/>
    <x v="2"/>
    <m/>
    <x v="2"/>
  </r>
  <r>
    <n v="1"/>
    <m/>
    <x v="2"/>
    <m/>
    <x v="2"/>
  </r>
  <r>
    <n v="1"/>
    <m/>
    <x v="2"/>
    <m/>
    <x v="2"/>
  </r>
  <r>
    <n v="1"/>
    <m/>
    <x v="2"/>
    <m/>
    <x v="2"/>
  </r>
  <r>
    <n v="1"/>
    <m/>
    <x v="2"/>
    <m/>
    <x v="3"/>
  </r>
  <r>
    <n v="1"/>
    <m/>
    <x v="2"/>
    <m/>
    <x v="3"/>
  </r>
  <r>
    <n v="1"/>
    <m/>
    <x v="2"/>
    <m/>
    <x v="3"/>
  </r>
  <r>
    <n v="1"/>
    <m/>
    <x v="2"/>
    <m/>
    <x v="3"/>
  </r>
  <r>
    <n v="1"/>
    <m/>
    <x v="2"/>
    <m/>
    <x v="3"/>
  </r>
  <r>
    <n v="1"/>
    <m/>
    <x v="2"/>
    <m/>
    <x v="3"/>
  </r>
  <r>
    <n v="1"/>
    <m/>
    <x v="2"/>
    <m/>
    <x v="3"/>
  </r>
  <r>
    <n v="1"/>
    <m/>
    <x v="2"/>
    <m/>
    <x v="3"/>
  </r>
  <r>
    <n v="1"/>
    <m/>
    <x v="2"/>
    <m/>
    <x v="3"/>
  </r>
  <r>
    <n v="1"/>
    <m/>
    <x v="2"/>
    <m/>
    <x v="3"/>
  </r>
  <r>
    <n v="1"/>
    <m/>
    <x v="2"/>
    <m/>
    <x v="3"/>
  </r>
  <r>
    <n v="1"/>
    <m/>
    <x v="2"/>
    <m/>
    <x v="3"/>
  </r>
  <r>
    <n v="1"/>
    <m/>
    <x v="2"/>
    <m/>
    <x v="3"/>
  </r>
  <r>
    <n v="1"/>
    <m/>
    <x v="2"/>
    <m/>
    <x v="3"/>
  </r>
  <r>
    <n v="1"/>
    <m/>
    <x v="2"/>
    <m/>
    <x v="3"/>
  </r>
  <r>
    <n v="1"/>
    <m/>
    <x v="2"/>
    <m/>
    <x v="3"/>
  </r>
  <r>
    <n v="1"/>
    <m/>
    <x v="2"/>
    <m/>
    <x v="3"/>
  </r>
  <r>
    <n v="2"/>
    <m/>
    <x v="2"/>
    <m/>
    <x v="3"/>
  </r>
  <r>
    <n v="2"/>
    <m/>
    <x v="2"/>
    <m/>
    <x v="3"/>
  </r>
  <r>
    <n v="2"/>
    <m/>
    <x v="2"/>
    <m/>
    <x v="3"/>
  </r>
  <r>
    <n v="2"/>
    <m/>
    <x v="2"/>
    <m/>
    <x v="3"/>
  </r>
  <r>
    <n v="2"/>
    <m/>
    <x v="2"/>
    <m/>
    <x v="3"/>
  </r>
  <r>
    <n v="2"/>
    <m/>
    <x v="2"/>
    <m/>
    <x v="3"/>
  </r>
  <r>
    <n v="1"/>
    <m/>
    <x v="2"/>
    <m/>
    <x v="4"/>
  </r>
  <r>
    <n v="1"/>
    <m/>
    <x v="2"/>
    <m/>
    <x v="4"/>
  </r>
  <r>
    <n v="1"/>
    <m/>
    <x v="2"/>
    <m/>
    <x v="4"/>
  </r>
  <r>
    <n v="1"/>
    <m/>
    <x v="2"/>
    <m/>
    <x v="4"/>
  </r>
  <r>
    <n v="1"/>
    <m/>
    <x v="2"/>
    <m/>
    <x v="4"/>
  </r>
  <r>
    <n v="1"/>
    <m/>
    <x v="2"/>
    <m/>
    <x v="4"/>
  </r>
  <r>
    <n v="1"/>
    <m/>
    <x v="2"/>
    <m/>
    <x v="4"/>
  </r>
  <r>
    <n v="1"/>
    <m/>
    <x v="2"/>
    <m/>
    <x v="4"/>
  </r>
  <r>
    <n v="1"/>
    <m/>
    <x v="2"/>
    <m/>
    <x v="4"/>
  </r>
  <r>
    <n v="1"/>
    <m/>
    <x v="2"/>
    <m/>
    <x v="4"/>
  </r>
  <r>
    <n v="1"/>
    <m/>
    <x v="2"/>
    <m/>
    <x v="4"/>
  </r>
  <r>
    <n v="1"/>
    <m/>
    <x v="2"/>
    <m/>
    <x v="4"/>
  </r>
  <r>
    <n v="1"/>
    <m/>
    <x v="2"/>
    <m/>
    <x v="4"/>
  </r>
  <r>
    <n v="1"/>
    <m/>
    <x v="2"/>
    <m/>
    <x v="4"/>
  </r>
  <r>
    <n v="1"/>
    <m/>
    <x v="2"/>
    <m/>
    <x v="4"/>
  </r>
  <r>
    <n v="1"/>
    <m/>
    <x v="2"/>
    <m/>
    <x v="4"/>
  </r>
  <r>
    <n v="1"/>
    <m/>
    <x v="2"/>
    <m/>
    <x v="4"/>
  </r>
  <r>
    <n v="2"/>
    <m/>
    <x v="2"/>
    <m/>
    <x v="4"/>
  </r>
  <r>
    <n v="2"/>
    <m/>
    <x v="2"/>
    <m/>
    <x v="4"/>
  </r>
  <r>
    <n v="2"/>
    <m/>
    <x v="2"/>
    <m/>
    <x v="4"/>
  </r>
  <r>
    <n v="2"/>
    <m/>
    <x v="2"/>
    <m/>
    <x v="4"/>
  </r>
  <r>
    <n v="2"/>
    <m/>
    <x v="2"/>
    <m/>
    <x v="4"/>
  </r>
  <r>
    <n v="2"/>
    <m/>
    <x v="2"/>
    <m/>
    <x v="4"/>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1"/>
    <m/>
    <x v="2"/>
    <m/>
    <x v="5"/>
  </r>
  <r>
    <n v="2"/>
    <m/>
    <x v="2"/>
    <m/>
    <x v="5"/>
  </r>
  <r>
    <n v="2"/>
    <m/>
    <x v="2"/>
    <m/>
    <x v="5"/>
  </r>
  <r>
    <n v="2"/>
    <m/>
    <x v="2"/>
    <m/>
    <x v="5"/>
  </r>
  <r>
    <n v="2"/>
    <m/>
    <x v="2"/>
    <m/>
    <x v="5"/>
  </r>
  <r>
    <n v="2"/>
    <m/>
    <x v="2"/>
    <m/>
    <x v="5"/>
  </r>
  <r>
    <n v="2"/>
    <m/>
    <x v="2"/>
    <m/>
    <x v="5"/>
  </r>
  <r>
    <n v="2"/>
    <m/>
    <x v="2"/>
    <m/>
    <x v="5"/>
  </r>
  <r>
    <n v="2"/>
    <m/>
    <x v="2"/>
    <m/>
    <x v="5"/>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1"/>
    <m/>
    <x v="2"/>
    <m/>
    <x v="6"/>
  </r>
  <r>
    <n v="2"/>
    <m/>
    <x v="2"/>
    <m/>
    <x v="6"/>
  </r>
  <r>
    <n v="2"/>
    <m/>
    <x v="2"/>
    <m/>
    <x v="6"/>
  </r>
  <r>
    <n v="2"/>
    <m/>
    <x v="2"/>
    <m/>
    <x v="6"/>
  </r>
  <r>
    <n v="2"/>
    <m/>
    <x v="2"/>
    <m/>
    <x v="6"/>
  </r>
  <r>
    <n v="2"/>
    <m/>
    <x v="2"/>
    <m/>
    <x v="6"/>
  </r>
  <r>
    <n v="2"/>
    <m/>
    <x v="2"/>
    <m/>
    <x v="6"/>
  </r>
  <r>
    <n v="2"/>
    <m/>
    <x v="2"/>
    <m/>
    <x v="6"/>
  </r>
  <r>
    <n v="2"/>
    <m/>
    <x v="2"/>
    <m/>
    <x v="6"/>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1"/>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2"/>
    <m/>
    <x v="2"/>
    <m/>
    <x v="7"/>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1"/>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2"/>
    <m/>
    <x v="2"/>
    <m/>
    <x v="8"/>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1"/>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2"/>
    <m/>
    <x v="2"/>
    <m/>
    <x v="9"/>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1"/>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2"/>
    <m/>
    <x v="2"/>
    <m/>
    <x v="10"/>
  </r>
  <r>
    <n v="3"/>
    <m/>
    <x v="2"/>
    <m/>
    <x v="10"/>
  </r>
  <r>
    <n v="3"/>
    <m/>
    <x v="2"/>
    <m/>
    <x v="10"/>
  </r>
  <r>
    <n v="3"/>
    <m/>
    <x v="2"/>
    <m/>
    <x v="10"/>
  </r>
  <r>
    <n v="3"/>
    <m/>
    <x v="2"/>
    <m/>
    <x v="10"/>
  </r>
  <r>
    <n v="3"/>
    <m/>
    <x v="2"/>
    <m/>
    <x v="10"/>
  </r>
  <r>
    <n v="3"/>
    <m/>
    <x v="2"/>
    <m/>
    <x v="10"/>
  </r>
  <r>
    <n v="3"/>
    <m/>
    <x v="2"/>
    <m/>
    <x v="10"/>
  </r>
  <r>
    <n v="3"/>
    <m/>
    <x v="2"/>
    <m/>
    <x v="10"/>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1"/>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2"/>
    <m/>
    <x v="2"/>
    <m/>
    <x v="11"/>
  </r>
  <r>
    <n v="3"/>
    <m/>
    <x v="2"/>
    <m/>
    <x v="11"/>
  </r>
  <r>
    <n v="3"/>
    <m/>
    <x v="2"/>
    <m/>
    <x v="11"/>
  </r>
  <r>
    <n v="3"/>
    <m/>
    <x v="2"/>
    <m/>
    <x v="11"/>
  </r>
  <r>
    <n v="3"/>
    <m/>
    <x v="2"/>
    <m/>
    <x v="11"/>
  </r>
  <r>
    <n v="3"/>
    <m/>
    <x v="2"/>
    <m/>
    <x v="11"/>
  </r>
  <r>
    <n v="3"/>
    <m/>
    <x v="2"/>
    <m/>
    <x v="11"/>
  </r>
  <r>
    <n v="3"/>
    <m/>
    <x v="2"/>
    <m/>
    <x v="11"/>
  </r>
  <r>
    <n v="3"/>
    <m/>
    <x v="2"/>
    <m/>
    <x v="11"/>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1"/>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2"/>
    <m/>
    <x v="2"/>
    <m/>
    <x v="12"/>
  </r>
  <r>
    <n v="3"/>
    <m/>
    <x v="2"/>
    <m/>
    <x v="12"/>
  </r>
  <r>
    <n v="3"/>
    <m/>
    <x v="2"/>
    <m/>
    <x v="12"/>
  </r>
  <r>
    <n v="3"/>
    <m/>
    <x v="2"/>
    <m/>
    <x v="12"/>
  </r>
  <r>
    <n v="3"/>
    <m/>
    <x v="2"/>
    <m/>
    <x v="12"/>
  </r>
  <r>
    <n v="3"/>
    <m/>
    <x v="2"/>
    <m/>
    <x v="12"/>
  </r>
  <r>
    <n v="3"/>
    <m/>
    <x v="2"/>
    <m/>
    <x v="12"/>
  </r>
  <r>
    <n v="3"/>
    <m/>
    <x v="2"/>
    <m/>
    <x v="12"/>
  </r>
  <r>
    <n v="3"/>
    <m/>
    <x v="2"/>
    <m/>
    <x v="12"/>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1"/>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2"/>
    <m/>
    <x v="2"/>
    <m/>
    <x v="13"/>
  </r>
  <r>
    <n v="3"/>
    <m/>
    <x v="2"/>
    <m/>
    <x v="13"/>
  </r>
  <r>
    <n v="3"/>
    <m/>
    <x v="2"/>
    <m/>
    <x v="13"/>
  </r>
  <r>
    <n v="3"/>
    <m/>
    <x v="2"/>
    <m/>
    <x v="13"/>
  </r>
  <r>
    <n v="3"/>
    <m/>
    <x v="2"/>
    <m/>
    <x v="13"/>
  </r>
  <r>
    <n v="3"/>
    <m/>
    <x v="2"/>
    <m/>
    <x v="13"/>
  </r>
  <r>
    <n v="3"/>
    <m/>
    <x v="2"/>
    <m/>
    <x v="13"/>
  </r>
  <r>
    <n v="3"/>
    <m/>
    <x v="2"/>
    <m/>
    <x v="13"/>
  </r>
  <r>
    <n v="3"/>
    <m/>
    <x v="2"/>
    <m/>
    <x v="13"/>
  </r>
  <r>
    <n v="3"/>
    <m/>
    <x v="2"/>
    <m/>
    <x v="13"/>
  </r>
  <r>
    <n v="3"/>
    <m/>
    <x v="2"/>
    <m/>
    <x v="13"/>
  </r>
  <r>
    <n v="3"/>
    <m/>
    <x v="2"/>
    <m/>
    <x v="13"/>
  </r>
  <r>
    <n v="3"/>
    <m/>
    <x v="2"/>
    <m/>
    <x v="13"/>
  </r>
  <r>
    <n v="3"/>
    <m/>
    <x v="2"/>
    <m/>
    <x v="13"/>
  </r>
  <r>
    <n v="3"/>
    <m/>
    <x v="2"/>
    <m/>
    <x v="13"/>
  </r>
  <r>
    <n v="3"/>
    <m/>
    <x v="2"/>
    <m/>
    <x v="13"/>
  </r>
  <r>
    <n v="3"/>
    <m/>
    <x v="2"/>
    <m/>
    <x v="13"/>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1"/>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2"/>
    <m/>
    <x v="2"/>
    <m/>
    <x v="14"/>
  </r>
  <r>
    <n v="3"/>
    <m/>
    <x v="2"/>
    <m/>
    <x v="14"/>
  </r>
  <r>
    <n v="3"/>
    <m/>
    <x v="2"/>
    <m/>
    <x v="14"/>
  </r>
  <r>
    <n v="3"/>
    <m/>
    <x v="2"/>
    <m/>
    <x v="14"/>
  </r>
  <r>
    <n v="3"/>
    <m/>
    <x v="2"/>
    <m/>
    <x v="14"/>
  </r>
  <r>
    <n v="3"/>
    <m/>
    <x v="2"/>
    <m/>
    <x v="14"/>
  </r>
  <r>
    <n v="3"/>
    <m/>
    <x v="2"/>
    <m/>
    <x v="14"/>
  </r>
  <r>
    <n v="3"/>
    <m/>
    <x v="2"/>
    <m/>
    <x v="14"/>
  </r>
  <r>
    <n v="3"/>
    <m/>
    <x v="2"/>
    <m/>
    <x v="14"/>
  </r>
  <r>
    <n v="3"/>
    <m/>
    <x v="2"/>
    <m/>
    <x v="14"/>
  </r>
  <r>
    <n v="3"/>
    <m/>
    <x v="2"/>
    <m/>
    <x v="14"/>
  </r>
  <r>
    <n v="3"/>
    <m/>
    <x v="2"/>
    <m/>
    <x v="14"/>
  </r>
  <r>
    <n v="3"/>
    <m/>
    <x v="2"/>
    <m/>
    <x v="14"/>
  </r>
  <r>
    <n v="3"/>
    <m/>
    <x v="2"/>
    <m/>
    <x v="14"/>
  </r>
  <r>
    <n v="3"/>
    <m/>
    <x v="2"/>
    <m/>
    <x v="14"/>
  </r>
  <r>
    <n v="3"/>
    <m/>
    <x v="2"/>
    <m/>
    <x v="14"/>
  </r>
  <r>
    <n v="3"/>
    <m/>
    <x v="2"/>
    <m/>
    <x v="14"/>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1"/>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2"/>
    <m/>
    <x v="2"/>
    <m/>
    <x v="15"/>
  </r>
  <r>
    <n v="3"/>
    <m/>
    <x v="2"/>
    <m/>
    <x v="15"/>
  </r>
  <r>
    <n v="3"/>
    <m/>
    <x v="2"/>
    <m/>
    <x v="15"/>
  </r>
  <r>
    <n v="3"/>
    <m/>
    <x v="2"/>
    <m/>
    <x v="15"/>
  </r>
  <r>
    <n v="3"/>
    <m/>
    <x v="2"/>
    <m/>
    <x v="15"/>
  </r>
  <r>
    <n v="3"/>
    <m/>
    <x v="2"/>
    <m/>
    <x v="15"/>
  </r>
  <r>
    <n v="3"/>
    <m/>
    <x v="2"/>
    <m/>
    <x v="15"/>
  </r>
  <r>
    <n v="3"/>
    <m/>
    <x v="2"/>
    <m/>
    <x v="15"/>
  </r>
  <r>
    <n v="3"/>
    <m/>
    <x v="2"/>
    <m/>
    <x v="15"/>
  </r>
  <r>
    <n v="3"/>
    <m/>
    <x v="2"/>
    <m/>
    <x v="15"/>
  </r>
  <r>
    <n v="3"/>
    <m/>
    <x v="2"/>
    <m/>
    <x v="15"/>
  </r>
  <r>
    <n v="3"/>
    <m/>
    <x v="2"/>
    <m/>
    <x v="15"/>
  </r>
  <r>
    <n v="3"/>
    <m/>
    <x v="2"/>
    <m/>
    <x v="15"/>
  </r>
  <r>
    <n v="3"/>
    <m/>
    <x v="2"/>
    <m/>
    <x v="15"/>
  </r>
  <r>
    <n v="3"/>
    <m/>
    <x v="2"/>
    <m/>
    <x v="15"/>
  </r>
  <r>
    <n v="3"/>
    <m/>
    <x v="2"/>
    <m/>
    <x v="15"/>
  </r>
  <r>
    <n v="3"/>
    <m/>
    <x v="2"/>
    <m/>
    <x v="15"/>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1"/>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2"/>
    <m/>
    <x v="2"/>
    <m/>
    <x v="16"/>
  </r>
  <r>
    <n v="3"/>
    <m/>
    <x v="2"/>
    <m/>
    <x v="16"/>
  </r>
  <r>
    <n v="3"/>
    <m/>
    <x v="2"/>
    <m/>
    <x v="16"/>
  </r>
  <r>
    <n v="3"/>
    <m/>
    <x v="2"/>
    <m/>
    <x v="16"/>
  </r>
  <r>
    <n v="3"/>
    <m/>
    <x v="2"/>
    <m/>
    <x v="16"/>
  </r>
  <r>
    <n v="3"/>
    <m/>
    <x v="2"/>
    <m/>
    <x v="16"/>
  </r>
  <r>
    <n v="3"/>
    <m/>
    <x v="2"/>
    <m/>
    <x v="16"/>
  </r>
  <r>
    <n v="3"/>
    <m/>
    <x v="2"/>
    <m/>
    <x v="16"/>
  </r>
  <r>
    <n v="3"/>
    <m/>
    <x v="2"/>
    <m/>
    <x v="16"/>
  </r>
  <r>
    <n v="3"/>
    <m/>
    <x v="2"/>
    <m/>
    <x v="16"/>
  </r>
  <r>
    <n v="3"/>
    <m/>
    <x v="2"/>
    <m/>
    <x v="16"/>
  </r>
  <r>
    <n v="3"/>
    <m/>
    <x v="2"/>
    <m/>
    <x v="16"/>
  </r>
  <r>
    <n v="3"/>
    <m/>
    <x v="2"/>
    <m/>
    <x v="16"/>
  </r>
  <r>
    <n v="3"/>
    <m/>
    <x v="2"/>
    <m/>
    <x v="16"/>
  </r>
  <r>
    <n v="3"/>
    <m/>
    <x v="2"/>
    <m/>
    <x v="16"/>
  </r>
  <r>
    <n v="3"/>
    <m/>
    <x v="2"/>
    <m/>
    <x v="16"/>
  </r>
  <r>
    <n v="3"/>
    <m/>
    <x v="2"/>
    <m/>
    <x v="16"/>
  </r>
  <r>
    <n v="4"/>
    <m/>
    <x v="2"/>
    <m/>
    <x v="16"/>
  </r>
  <r>
    <n v="4"/>
    <m/>
    <x v="2"/>
    <m/>
    <x v="16"/>
  </r>
  <r>
    <n v="4"/>
    <m/>
    <x v="2"/>
    <m/>
    <x v="16"/>
  </r>
  <r>
    <n v="4"/>
    <m/>
    <x v="2"/>
    <m/>
    <x v="16"/>
  </r>
  <r>
    <n v="4"/>
    <m/>
    <x v="2"/>
    <m/>
    <x v="16"/>
  </r>
  <r>
    <n v="4"/>
    <m/>
    <x v="2"/>
    <m/>
    <x v="16"/>
  </r>
  <r>
    <n v="4"/>
    <m/>
    <x v="2"/>
    <m/>
    <x v="16"/>
  </r>
  <r>
    <n v="4"/>
    <m/>
    <x v="2"/>
    <m/>
    <x v="16"/>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1"/>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2"/>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3"/>
    <m/>
    <x v="2"/>
    <m/>
    <x v="17"/>
  </r>
  <r>
    <n v="4"/>
    <m/>
    <x v="2"/>
    <m/>
    <x v="17"/>
  </r>
  <r>
    <n v="4"/>
    <m/>
    <x v="2"/>
    <m/>
    <x v="17"/>
  </r>
  <r>
    <n v="4"/>
    <m/>
    <x v="2"/>
    <m/>
    <x v="17"/>
  </r>
  <r>
    <n v="4"/>
    <m/>
    <x v="2"/>
    <m/>
    <x v="17"/>
  </r>
  <r>
    <n v="4"/>
    <m/>
    <x v="2"/>
    <m/>
    <x v="17"/>
  </r>
  <r>
    <n v="4"/>
    <m/>
    <x v="2"/>
    <m/>
    <x v="17"/>
  </r>
  <r>
    <n v="4"/>
    <m/>
    <x v="2"/>
    <m/>
    <x v="17"/>
  </r>
  <r>
    <n v="4"/>
    <m/>
    <x v="2"/>
    <m/>
    <x v="17"/>
  </r>
  <r>
    <n v="4"/>
    <m/>
    <x v="2"/>
    <m/>
    <x v="17"/>
  </r>
  <r>
    <n v="4"/>
    <m/>
    <x v="2"/>
    <m/>
    <x v="17"/>
  </r>
  <r>
    <n v="4"/>
    <m/>
    <x v="2"/>
    <m/>
    <x v="17"/>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1"/>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2"/>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3"/>
    <m/>
    <x v="2"/>
    <m/>
    <x v="18"/>
  </r>
  <r>
    <n v="4"/>
    <m/>
    <x v="2"/>
    <m/>
    <x v="18"/>
  </r>
  <r>
    <n v="4"/>
    <m/>
    <x v="2"/>
    <m/>
    <x v="18"/>
  </r>
  <r>
    <n v="4"/>
    <m/>
    <x v="2"/>
    <m/>
    <x v="18"/>
  </r>
  <r>
    <n v="4"/>
    <m/>
    <x v="2"/>
    <m/>
    <x v="18"/>
  </r>
  <r>
    <n v="4"/>
    <m/>
    <x v="2"/>
    <m/>
    <x v="18"/>
  </r>
  <r>
    <n v="4"/>
    <m/>
    <x v="2"/>
    <m/>
    <x v="18"/>
  </r>
  <r>
    <n v="4"/>
    <m/>
    <x v="2"/>
    <m/>
    <x v="18"/>
  </r>
  <r>
    <n v="4"/>
    <m/>
    <x v="2"/>
    <m/>
    <x v="18"/>
  </r>
  <r>
    <n v="4"/>
    <m/>
    <x v="2"/>
    <m/>
    <x v="18"/>
  </r>
  <r>
    <n v="4"/>
    <m/>
    <x v="2"/>
    <m/>
    <x v="18"/>
  </r>
  <r>
    <n v="4"/>
    <m/>
    <x v="2"/>
    <m/>
    <x v="18"/>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1"/>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2"/>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3"/>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4"/>
    <m/>
    <x v="2"/>
    <m/>
    <x v="19"/>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1"/>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2"/>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3"/>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4"/>
    <m/>
    <x v="2"/>
    <m/>
    <x v="20"/>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1"/>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2"/>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3"/>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4"/>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5"/>
    <m/>
    <x v="2"/>
    <m/>
    <x v="21"/>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1"/>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2"/>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3"/>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4"/>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5"/>
    <m/>
    <x v="2"/>
    <m/>
    <x v="22"/>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1"/>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2"/>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3"/>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4"/>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5"/>
    <m/>
    <x v="2"/>
    <m/>
    <x v="23"/>
  </r>
  <r>
    <n v="8"/>
    <m/>
    <x v="2"/>
    <m/>
    <x v="23"/>
  </r>
  <r>
    <n v="8"/>
    <m/>
    <x v="2"/>
    <m/>
    <x v="23"/>
  </r>
  <r>
    <n v="8"/>
    <m/>
    <x v="2"/>
    <m/>
    <x v="23"/>
  </r>
  <r>
    <n v="8"/>
    <m/>
    <x v="2"/>
    <m/>
    <x v="23"/>
  </r>
  <r>
    <n v="8"/>
    <m/>
    <x v="2"/>
    <m/>
    <x v="23"/>
  </r>
  <r>
    <n v="8"/>
    <m/>
    <x v="2"/>
    <m/>
    <x v="23"/>
  </r>
  <r>
    <n v="8"/>
    <m/>
    <x v="2"/>
    <m/>
    <x v="23"/>
  </r>
  <r>
    <n v="8"/>
    <m/>
    <x v="2"/>
    <m/>
    <x v="23"/>
  </r>
  <r>
    <n v="8"/>
    <m/>
    <x v="2"/>
    <m/>
    <x v="23"/>
  </r>
  <r>
    <n v="8"/>
    <m/>
    <x v="2"/>
    <m/>
    <x v="23"/>
  </r>
  <r>
    <n v="8"/>
    <m/>
    <x v="2"/>
    <m/>
    <x v="23"/>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1"/>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2"/>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3"/>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4"/>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5"/>
    <m/>
    <x v="2"/>
    <m/>
    <x v="24"/>
  </r>
  <r>
    <n v="8"/>
    <m/>
    <x v="2"/>
    <m/>
    <x v="24"/>
  </r>
  <r>
    <n v="8"/>
    <m/>
    <x v="2"/>
    <m/>
    <x v="24"/>
  </r>
  <r>
    <n v="8"/>
    <m/>
    <x v="2"/>
    <m/>
    <x v="24"/>
  </r>
  <r>
    <n v="8"/>
    <m/>
    <x v="2"/>
    <m/>
    <x v="24"/>
  </r>
  <r>
    <n v="8"/>
    <m/>
    <x v="2"/>
    <m/>
    <x v="24"/>
  </r>
  <r>
    <n v="8"/>
    <m/>
    <x v="2"/>
    <m/>
    <x v="24"/>
  </r>
  <r>
    <n v="8"/>
    <m/>
    <x v="2"/>
    <m/>
    <x v="24"/>
  </r>
  <r>
    <n v="8"/>
    <m/>
    <x v="2"/>
    <m/>
    <x v="24"/>
  </r>
  <r>
    <n v="8"/>
    <m/>
    <x v="2"/>
    <m/>
    <x v="24"/>
  </r>
  <r>
    <n v="8"/>
    <m/>
    <x v="2"/>
    <m/>
    <x v="24"/>
  </r>
  <r>
    <n v="8"/>
    <m/>
    <x v="2"/>
    <m/>
    <x v="24"/>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1"/>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2"/>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3"/>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4"/>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5"/>
    <m/>
    <x v="2"/>
    <m/>
    <x v="25"/>
  </r>
  <r>
    <n v="8"/>
    <m/>
    <x v="2"/>
    <m/>
    <x v="25"/>
  </r>
  <r>
    <n v="8"/>
    <m/>
    <x v="2"/>
    <m/>
    <x v="25"/>
  </r>
  <r>
    <n v="8"/>
    <m/>
    <x v="2"/>
    <m/>
    <x v="25"/>
  </r>
  <r>
    <n v="8"/>
    <m/>
    <x v="2"/>
    <m/>
    <x v="25"/>
  </r>
  <r>
    <n v="8"/>
    <m/>
    <x v="2"/>
    <m/>
    <x v="25"/>
  </r>
  <r>
    <n v="8"/>
    <m/>
    <x v="2"/>
    <m/>
    <x v="25"/>
  </r>
  <r>
    <n v="8"/>
    <m/>
    <x v="2"/>
    <m/>
    <x v="25"/>
  </r>
  <r>
    <n v="8"/>
    <m/>
    <x v="2"/>
    <m/>
    <x v="25"/>
  </r>
  <r>
    <n v="8"/>
    <m/>
    <x v="2"/>
    <m/>
    <x v="25"/>
  </r>
  <r>
    <n v="8"/>
    <m/>
    <x v="2"/>
    <m/>
    <x v="25"/>
  </r>
  <r>
    <n v="8"/>
    <m/>
    <x v="2"/>
    <m/>
    <x v="25"/>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1"/>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2"/>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3"/>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4"/>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5"/>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8"/>
    <m/>
    <x v="2"/>
    <m/>
    <x v="26"/>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1"/>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2"/>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3"/>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4"/>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5"/>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8"/>
    <m/>
    <x v="2"/>
    <m/>
    <x v="27"/>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1"/>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2"/>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3"/>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4"/>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5"/>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8"/>
    <m/>
    <x v="2"/>
    <m/>
    <x v="28"/>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1"/>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2"/>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3"/>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4"/>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5"/>
    <m/>
    <x v="2"/>
    <m/>
    <x v="29"/>
  </r>
  <r>
    <n v="6"/>
    <m/>
    <x v="2"/>
    <m/>
    <x v="29"/>
  </r>
  <r>
    <n v="6"/>
    <m/>
    <x v="2"/>
    <m/>
    <x v="29"/>
  </r>
  <r>
    <n v="6"/>
    <m/>
    <x v="2"/>
    <m/>
    <x v="29"/>
  </r>
  <r>
    <n v="6"/>
    <m/>
    <x v="2"/>
    <m/>
    <x v="29"/>
  </r>
  <r>
    <n v="6"/>
    <m/>
    <x v="2"/>
    <m/>
    <x v="29"/>
  </r>
  <r>
    <n v="6"/>
    <m/>
    <x v="2"/>
    <m/>
    <x v="29"/>
  </r>
  <r>
    <n v="6"/>
    <m/>
    <x v="2"/>
    <m/>
    <x v="29"/>
  </r>
  <r>
    <n v="6"/>
    <m/>
    <x v="2"/>
    <m/>
    <x v="29"/>
  </r>
  <r>
    <n v="6"/>
    <m/>
    <x v="2"/>
    <m/>
    <x v="29"/>
  </r>
  <r>
    <n v="6"/>
    <m/>
    <x v="2"/>
    <m/>
    <x v="29"/>
  </r>
  <r>
    <n v="6"/>
    <m/>
    <x v="2"/>
    <m/>
    <x v="29"/>
  </r>
  <r>
    <n v="6"/>
    <m/>
    <x v="2"/>
    <m/>
    <x v="29"/>
  </r>
  <r>
    <n v="6"/>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8"/>
    <m/>
    <x v="2"/>
    <m/>
    <x v="29"/>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1"/>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2"/>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3"/>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4"/>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5"/>
    <m/>
    <x v="2"/>
    <m/>
    <x v="30"/>
  </r>
  <r>
    <n v="6"/>
    <m/>
    <x v="2"/>
    <m/>
    <x v="30"/>
  </r>
  <r>
    <n v="6"/>
    <m/>
    <x v="2"/>
    <m/>
    <x v="30"/>
  </r>
  <r>
    <n v="6"/>
    <m/>
    <x v="2"/>
    <m/>
    <x v="30"/>
  </r>
  <r>
    <n v="6"/>
    <m/>
    <x v="2"/>
    <m/>
    <x v="30"/>
  </r>
  <r>
    <n v="6"/>
    <m/>
    <x v="2"/>
    <m/>
    <x v="30"/>
  </r>
  <r>
    <n v="6"/>
    <m/>
    <x v="2"/>
    <m/>
    <x v="30"/>
  </r>
  <r>
    <n v="6"/>
    <m/>
    <x v="2"/>
    <m/>
    <x v="30"/>
  </r>
  <r>
    <n v="6"/>
    <m/>
    <x v="2"/>
    <m/>
    <x v="30"/>
  </r>
  <r>
    <n v="6"/>
    <m/>
    <x v="2"/>
    <m/>
    <x v="30"/>
  </r>
  <r>
    <n v="6"/>
    <m/>
    <x v="2"/>
    <m/>
    <x v="30"/>
  </r>
  <r>
    <n v="6"/>
    <m/>
    <x v="2"/>
    <m/>
    <x v="30"/>
  </r>
  <r>
    <n v="6"/>
    <m/>
    <x v="2"/>
    <m/>
    <x v="30"/>
  </r>
  <r>
    <n v="6"/>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8"/>
    <m/>
    <x v="2"/>
    <m/>
    <x v="30"/>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1"/>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2"/>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3"/>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4"/>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5"/>
    <m/>
    <x v="2"/>
    <m/>
    <x v="31"/>
  </r>
  <r>
    <n v="6"/>
    <m/>
    <x v="2"/>
    <m/>
    <x v="31"/>
  </r>
  <r>
    <n v="6"/>
    <m/>
    <x v="2"/>
    <m/>
    <x v="31"/>
  </r>
  <r>
    <n v="6"/>
    <m/>
    <x v="2"/>
    <m/>
    <x v="31"/>
  </r>
  <r>
    <n v="6"/>
    <m/>
    <x v="2"/>
    <m/>
    <x v="31"/>
  </r>
  <r>
    <n v="6"/>
    <m/>
    <x v="2"/>
    <m/>
    <x v="31"/>
  </r>
  <r>
    <n v="6"/>
    <m/>
    <x v="2"/>
    <m/>
    <x v="31"/>
  </r>
  <r>
    <n v="6"/>
    <m/>
    <x v="2"/>
    <m/>
    <x v="31"/>
  </r>
  <r>
    <n v="6"/>
    <m/>
    <x v="2"/>
    <m/>
    <x v="31"/>
  </r>
  <r>
    <n v="6"/>
    <m/>
    <x v="2"/>
    <m/>
    <x v="31"/>
  </r>
  <r>
    <n v="6"/>
    <m/>
    <x v="2"/>
    <m/>
    <x v="31"/>
  </r>
  <r>
    <n v="6"/>
    <m/>
    <x v="2"/>
    <m/>
    <x v="31"/>
  </r>
  <r>
    <n v="6"/>
    <m/>
    <x v="2"/>
    <m/>
    <x v="31"/>
  </r>
  <r>
    <n v="6"/>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8"/>
    <m/>
    <x v="2"/>
    <m/>
    <x v="31"/>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1"/>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2"/>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3"/>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4"/>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5"/>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6"/>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8"/>
    <m/>
    <x v="2"/>
    <m/>
    <x v="32"/>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1"/>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2"/>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3"/>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4"/>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5"/>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6"/>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8"/>
    <m/>
    <x v="2"/>
    <m/>
    <x v="33"/>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1"/>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2"/>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3"/>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4"/>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5"/>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6"/>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8"/>
    <m/>
    <x v="2"/>
    <m/>
    <x v="34"/>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1"/>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2"/>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3"/>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4"/>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5"/>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6"/>
    <m/>
    <x v="2"/>
    <m/>
    <x v="35"/>
  </r>
  <r>
    <n v="7"/>
    <m/>
    <x v="2"/>
    <m/>
    <x v="35"/>
  </r>
  <r>
    <n v="7"/>
    <m/>
    <x v="2"/>
    <m/>
    <x v="35"/>
  </r>
  <r>
    <n v="7"/>
    <m/>
    <x v="2"/>
    <m/>
    <x v="35"/>
  </r>
  <r>
    <n v="7"/>
    <m/>
    <x v="2"/>
    <m/>
    <x v="35"/>
  </r>
  <r>
    <n v="7"/>
    <m/>
    <x v="2"/>
    <m/>
    <x v="35"/>
  </r>
  <r>
    <n v="7"/>
    <m/>
    <x v="2"/>
    <m/>
    <x v="35"/>
  </r>
  <r>
    <n v="7"/>
    <m/>
    <x v="2"/>
    <m/>
    <x v="35"/>
  </r>
  <r>
    <n v="7"/>
    <m/>
    <x v="2"/>
    <m/>
    <x v="35"/>
  </r>
  <r>
    <n v="7"/>
    <m/>
    <x v="2"/>
    <m/>
    <x v="35"/>
  </r>
  <r>
    <n v="7"/>
    <m/>
    <x v="2"/>
    <m/>
    <x v="35"/>
  </r>
  <r>
    <n v="7"/>
    <m/>
    <x v="2"/>
    <m/>
    <x v="35"/>
  </r>
  <r>
    <n v="7"/>
    <m/>
    <x v="2"/>
    <m/>
    <x v="35"/>
  </r>
  <r>
    <n v="7"/>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8"/>
    <m/>
    <x v="2"/>
    <m/>
    <x v="35"/>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1"/>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2"/>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3"/>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4"/>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5"/>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6"/>
    <m/>
    <x v="2"/>
    <m/>
    <x v="36"/>
  </r>
  <r>
    <n v="7"/>
    <m/>
    <x v="2"/>
    <m/>
    <x v="36"/>
  </r>
  <r>
    <n v="7"/>
    <m/>
    <x v="2"/>
    <m/>
    <x v="36"/>
  </r>
  <r>
    <n v="7"/>
    <m/>
    <x v="2"/>
    <m/>
    <x v="36"/>
  </r>
  <r>
    <n v="7"/>
    <m/>
    <x v="2"/>
    <m/>
    <x v="36"/>
  </r>
  <r>
    <n v="7"/>
    <m/>
    <x v="2"/>
    <m/>
    <x v="36"/>
  </r>
  <r>
    <n v="7"/>
    <m/>
    <x v="2"/>
    <m/>
    <x v="36"/>
  </r>
  <r>
    <n v="7"/>
    <m/>
    <x v="2"/>
    <m/>
    <x v="36"/>
  </r>
  <r>
    <n v="7"/>
    <m/>
    <x v="2"/>
    <m/>
    <x v="36"/>
  </r>
  <r>
    <n v="7"/>
    <m/>
    <x v="2"/>
    <m/>
    <x v="36"/>
  </r>
  <r>
    <n v="7"/>
    <m/>
    <x v="2"/>
    <m/>
    <x v="36"/>
  </r>
  <r>
    <n v="7"/>
    <m/>
    <x v="2"/>
    <m/>
    <x v="36"/>
  </r>
  <r>
    <n v="7"/>
    <m/>
    <x v="2"/>
    <m/>
    <x v="36"/>
  </r>
  <r>
    <n v="7"/>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n v="8"/>
    <m/>
    <x v="2"/>
    <m/>
    <x v="36"/>
  </r>
  <r>
    <m/>
    <m/>
    <x v="2"/>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BC4886-5957-433A-A599-A901F5E8FB97}" name="数据透视表2" cacheId="5"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2:L12" firstHeaderRow="0" firstDataRow="1" firstDataCol="1"/>
  <pivotFields count="6">
    <pivotField showAll="0"/>
    <pivotField numFmtId="22" showAll="0">
      <items count="15">
        <item x="0"/>
        <item x="1"/>
        <item x="2"/>
        <item x="3"/>
        <item x="4"/>
        <item x="5"/>
        <item x="6"/>
        <item x="7"/>
        <item x="8"/>
        <item x="9"/>
        <item x="10"/>
        <item x="11"/>
        <item x="12"/>
        <item x="13"/>
        <item t="default"/>
      </items>
    </pivotField>
    <pivotField axis="axisRow" showAll="0">
      <items count="10">
        <item x="4"/>
        <item x="5"/>
        <item x="3"/>
        <item x="2"/>
        <item x="8"/>
        <item x="7"/>
        <item x="0"/>
        <item x="6"/>
        <item x="1"/>
        <item t="default"/>
      </items>
    </pivotField>
    <pivotField dataField="1" showAll="0"/>
    <pivotField showAll="0">
      <items count="7">
        <item x="0"/>
        <item x="1"/>
        <item x="2"/>
        <item x="3"/>
        <item x="4"/>
        <item x="5"/>
        <item t="default"/>
      </items>
    </pivotField>
    <pivotField showAll="0">
      <items count="6">
        <item x="0"/>
        <item h="1" x="1"/>
        <item x="2"/>
        <item h="1" x="3"/>
        <item x="4"/>
        <item t="default"/>
      </items>
    </pivotField>
  </pivotFields>
  <rowFields count="1">
    <field x="2"/>
  </rowFields>
  <rowItems count="10">
    <i>
      <x/>
    </i>
    <i>
      <x v="1"/>
    </i>
    <i>
      <x v="2"/>
    </i>
    <i>
      <x v="3"/>
    </i>
    <i>
      <x v="4"/>
    </i>
    <i>
      <x v="5"/>
    </i>
    <i>
      <x v="6"/>
    </i>
    <i>
      <x v="7"/>
    </i>
    <i>
      <x v="8"/>
    </i>
    <i t="grand">
      <x/>
    </i>
  </rowItems>
  <colFields count="1">
    <field x="-2"/>
  </colFields>
  <colItems count="2">
    <i>
      <x/>
    </i>
    <i i="1">
      <x v="1"/>
    </i>
  </colItems>
  <dataFields count="2">
    <dataField name="销售额总计值" fld="3" baseField="0" baseItem="0"/>
    <dataField name="销售额平均值"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924A7-E455-4FA6-96E8-733CE6A9E82B}" name="数据透视表1" cacheId="5"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F2:H19" firstHeaderRow="0" firstDataRow="1" firstDataCol="1"/>
  <pivotFields count="6">
    <pivotField axis="axisRow" showAll="0">
      <items count="9">
        <item x="2"/>
        <item x="1"/>
        <item x="4"/>
        <item x="7"/>
        <item x="3"/>
        <item x="5"/>
        <item x="6"/>
        <item x="0"/>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items count="7">
        <item sd="0" x="0"/>
        <item sd="0" x="1"/>
        <item sd="0" x="2"/>
        <item sd="0" x="3"/>
        <item sd="0" x="4"/>
        <item sd="0" x="5"/>
        <item t="default"/>
      </items>
    </pivotField>
    <pivotField axis="axisRow" showAll="0">
      <items count="6">
        <item sd="0" x="0"/>
        <item h="1" sd="0" x="1"/>
        <item sd="0" x="2"/>
        <item h="1" sd="0" x="3"/>
        <item sd="0" x="4"/>
        <item t="default"/>
      </items>
    </pivotField>
  </pivotFields>
  <rowFields count="2">
    <field x="0"/>
    <field x="5"/>
  </rowFields>
  <rowItems count="17">
    <i>
      <x/>
    </i>
    <i r="1">
      <x v="2"/>
    </i>
    <i>
      <x v="1"/>
    </i>
    <i r="1">
      <x v="2"/>
    </i>
    <i>
      <x v="2"/>
    </i>
    <i r="1">
      <x v="2"/>
    </i>
    <i>
      <x v="3"/>
    </i>
    <i r="1">
      <x v="2"/>
    </i>
    <i>
      <x v="4"/>
    </i>
    <i r="1">
      <x v="2"/>
    </i>
    <i>
      <x v="5"/>
    </i>
    <i r="1">
      <x v="2"/>
    </i>
    <i>
      <x v="6"/>
    </i>
    <i r="1">
      <x v="2"/>
    </i>
    <i>
      <x v="7"/>
    </i>
    <i r="1">
      <x v="2"/>
    </i>
    <i t="grand">
      <x/>
    </i>
  </rowItems>
  <colFields count="1">
    <field x="-2"/>
  </colFields>
  <colItems count="2">
    <i>
      <x/>
    </i>
    <i i="1">
      <x v="1"/>
    </i>
  </colItems>
  <dataFields count="2">
    <dataField name="销售额总计值" fld="3" baseField="0" baseItem="0"/>
    <dataField name="销售额平均值" fld="3" subtotal="average"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51D57-8D7F-47BC-9D89-47F941C6177E}" name="数据透视表4" cacheId="12"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C7" firstHeaderRow="0" firstDataRow="1" firstDataCol="1"/>
  <pivotFields count="7">
    <pivotField showAll="0"/>
    <pivotField showAll="0"/>
    <pivotField axis="axisRow" showAll="0">
      <items count="4">
        <item x="0"/>
        <item x="1"/>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dataField="1" showAll="0">
      <items count="6">
        <item sd="0" x="0"/>
        <item sd="0" x="1"/>
        <item sd="0" x="2"/>
        <item sd="0" x="3"/>
        <item sd="0" x="4"/>
        <item t="default"/>
      </items>
    </pivotField>
  </pivotFields>
  <rowFields count="1">
    <field x="2"/>
  </rowFields>
  <rowItems count="4">
    <i>
      <x/>
    </i>
    <i>
      <x v="1"/>
    </i>
    <i>
      <x v="2"/>
    </i>
    <i t="grand">
      <x/>
    </i>
  </rowItems>
  <colFields count="1">
    <field x="-2"/>
  </colFields>
  <colItems count="2">
    <i>
      <x/>
    </i>
    <i i="1">
      <x v="1"/>
    </i>
  </colItems>
  <dataFields count="2">
    <dataField name="计数项:年" fld="6" subtotal="count" baseField="0" baseItem="0"/>
    <dataField name="求和项:销售明细.净销售额"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查询来自 northwind" connectionId="7" xr16:uid="{BD652831-3532-4438-9F5C-73B7F77D8B7C}" autoFormatId="16" applyNumberFormats="0" applyBorderFormats="0" applyFontFormats="0" applyPatternFormats="0" applyAlignmentFormats="0" applyWidthHeightFormats="0">
  <queryTableRefresh nextId="5">
    <queryTableFields count="4">
      <queryTableField id="1" name="类别名称" tableColumnId="1"/>
      <queryTableField id="2" name="订购日期" tableColumnId="2"/>
      <queryTableField id="3" name="'姓名'" tableColumnId="3"/>
      <queryTableField id="4" name="'销售额'"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年" xr10:uid="{7217D246-A98F-4CFA-BA9E-20F4E7278DDB}" sourceName="年">
  <pivotTables>
    <pivotTable tabId="26" name="数据透视表2"/>
    <pivotTable tabId="26" name="数据透视表1"/>
  </pivotTables>
  <data>
    <tabular pivotCacheId="989790055">
      <items count="5">
        <i x="1"/>
        <i x="2" s="1"/>
        <i x="3"/>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年" xr10:uid="{E1C266F7-31E9-4627-866B-5A7BFF5AE164}" cache="切片器_年" caption="年"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C67DFF-4145-4630-A2FA-7CE6E2CEC71F}" name="表_查询来自_northwind" displayName="表_查询来自_northwind" ref="A1:D2158" tableType="queryTable" totalsRowShown="0">
  <autoFilter ref="A1:D2158" xr:uid="{32C67DFF-4145-4630-A2FA-7CE6E2CEC71F}"/>
  <tableColumns count="4">
    <tableColumn id="1" xr3:uid="{7A5FB175-AA99-4049-9638-F6E07F4D4418}" uniqueName="1" name="类别名称" queryTableFieldId="1"/>
    <tableColumn id="2" xr3:uid="{D5D86C1B-3C70-49F7-9CE2-72ADEA85B87A}" uniqueName="2" name="订购日期" queryTableFieldId="2" dataDxfId="0"/>
    <tableColumn id="3" xr3:uid="{B459BE1D-FA9D-4A89-95A4-40E953D176CB}" uniqueName="3" name="'姓名'" queryTableFieldId="3"/>
    <tableColumn id="4" xr3:uid="{225FDEA2-D7B3-47C9-B6B5-A132CF653274}" uniqueName="4" name="'销售额'" queryTableFieldId="4"/>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5"/>
  <sheetViews>
    <sheetView showGridLines="0" workbookViewId="0">
      <selection activeCell="E23" sqref="E23"/>
    </sheetView>
  </sheetViews>
  <sheetFormatPr defaultColWidth="9" defaultRowHeight="14.4"/>
  <cols>
    <col min="1" max="1" width="9" style="3"/>
    <col min="2" max="2" width="16.88671875" style="3" customWidth="1"/>
    <col min="3" max="4" width="9" style="3"/>
    <col min="5" max="5" width="14.44140625" style="3" customWidth="1"/>
    <col min="6" max="16384" width="9" style="3"/>
  </cols>
  <sheetData>
    <row r="1" spans="1:256">
      <c r="A1" s="1" t="s">
        <v>0</v>
      </c>
      <c r="B1" s="2" t="s">
        <v>97</v>
      </c>
      <c r="D1" s="1" t="s">
        <v>1</v>
      </c>
      <c r="E1" s="4" t="s">
        <v>98</v>
      </c>
      <c r="G1" s="5" t="s">
        <v>99</v>
      </c>
      <c r="IV1" s="6"/>
    </row>
    <row r="4" spans="1:256" ht="22.2">
      <c r="A4" s="7" t="s">
        <v>15</v>
      </c>
    </row>
    <row r="6" spans="1:256" ht="15.6">
      <c r="J6" s="8" t="s">
        <v>2</v>
      </c>
      <c r="K6" s="8" t="s">
        <v>3</v>
      </c>
    </row>
    <row r="7" spans="1:256" ht="15.6">
      <c r="J7" s="9" t="s">
        <v>4</v>
      </c>
      <c r="K7" s="10">
        <v>10</v>
      </c>
    </row>
    <row r="8" spans="1:256" ht="15.6">
      <c r="J8" s="11" t="s">
        <v>5</v>
      </c>
      <c r="K8" s="12">
        <v>15</v>
      </c>
    </row>
    <row r="9" spans="1:256" ht="15.6">
      <c r="J9" s="9" t="s">
        <v>6</v>
      </c>
      <c r="K9" s="10">
        <v>15</v>
      </c>
    </row>
    <row r="10" spans="1:256" ht="15.6">
      <c r="J10" s="11" t="s">
        <v>7</v>
      </c>
      <c r="K10" s="12">
        <v>12</v>
      </c>
    </row>
    <row r="11" spans="1:256" ht="15.6">
      <c r="J11" s="9" t="s">
        <v>8</v>
      </c>
      <c r="K11" s="10">
        <v>12</v>
      </c>
    </row>
    <row r="12" spans="1:256" ht="15.6">
      <c r="J12" s="11" t="s">
        <v>9</v>
      </c>
      <c r="K12" s="12">
        <v>12</v>
      </c>
    </row>
    <row r="13" spans="1:256" ht="15.6">
      <c r="J13" s="9" t="s">
        <v>10</v>
      </c>
      <c r="K13" s="10">
        <v>12</v>
      </c>
    </row>
    <row r="14" spans="1:256" ht="15.6">
      <c r="J14" s="11" t="s">
        <v>14</v>
      </c>
      <c r="K14" s="12">
        <v>12</v>
      </c>
    </row>
    <row r="15" spans="1:256" ht="15.6">
      <c r="J15" s="15" t="s">
        <v>11</v>
      </c>
      <c r="K15" s="16">
        <f>SUM(K7:K14)</f>
        <v>100</v>
      </c>
    </row>
  </sheetData>
  <sheetProtection algorithmName="SHA-512" hashValue="gBZj0/N3WM2yQC/hfFZGfnwKydMsuimcFnUtXgCKs9lgDfZQpzTwQa08hl5dsITZ1kAdxpc++xLoYQ3pCUDR/w==" saltValue="L1nQkQOjvKSuwLZ4OSFmng==" spinCount="100000" sheet="1" objects="1" scenarios="1" selectLockedCells="1" selectUnlockedCells="1"/>
  <phoneticPr fontId="1"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58"/>
  <sheetViews>
    <sheetView workbookViewId="0">
      <selection activeCell="L19" sqref="L19"/>
    </sheetView>
  </sheetViews>
  <sheetFormatPr defaultRowHeight="14.4"/>
  <cols>
    <col min="1" max="1" width="12.21875" bestFit="1" customWidth="1"/>
    <col min="2" max="2" width="17.21875" bestFit="1" customWidth="1"/>
    <col min="3" max="3" width="10.21875" bestFit="1" customWidth="1"/>
    <col min="4" max="4" width="12.77734375" bestFit="1" customWidth="1"/>
    <col min="6" max="6" width="13.21875" bestFit="1" customWidth="1"/>
    <col min="7" max="8" width="14.6640625" bestFit="1" customWidth="1"/>
    <col min="10" max="10" width="10.109375" bestFit="1" customWidth="1"/>
    <col min="11" max="12" width="14.6640625" bestFit="1" customWidth="1"/>
  </cols>
  <sheetData>
    <row r="1" spans="1:12">
      <c r="A1" t="s">
        <v>19</v>
      </c>
      <c r="B1" t="s">
        <v>16</v>
      </c>
      <c r="C1" t="s">
        <v>100</v>
      </c>
      <c r="D1" t="s">
        <v>101</v>
      </c>
    </row>
    <row r="2" spans="1:12">
      <c r="A2" t="s">
        <v>102</v>
      </c>
      <c r="B2" s="71">
        <v>35297</v>
      </c>
      <c r="C2" t="s">
        <v>49</v>
      </c>
      <c r="D2">
        <v>518.39999806880951</v>
      </c>
      <c r="F2" s="72" t="s">
        <v>108</v>
      </c>
      <c r="G2" t="s">
        <v>110</v>
      </c>
      <c r="H2" t="s">
        <v>111</v>
      </c>
      <c r="J2" s="72" t="s">
        <v>108</v>
      </c>
      <c r="K2" t="s">
        <v>110</v>
      </c>
      <c r="L2" t="s">
        <v>111</v>
      </c>
    </row>
    <row r="3" spans="1:12">
      <c r="A3" t="s">
        <v>102</v>
      </c>
      <c r="B3" s="71">
        <v>35307</v>
      </c>
      <c r="C3" t="s">
        <v>42</v>
      </c>
      <c r="D3">
        <v>259.2</v>
      </c>
      <c r="F3" s="73" t="s">
        <v>104</v>
      </c>
      <c r="G3" s="74">
        <v>83535.750412821944</v>
      </c>
      <c r="H3" s="74">
        <v>485.67296751640663</v>
      </c>
      <c r="J3" s="73" t="s">
        <v>52</v>
      </c>
      <c r="K3" s="74">
        <v>60471.194877609021</v>
      </c>
      <c r="L3" s="74">
        <v>664.51862502867061</v>
      </c>
    </row>
    <row r="4" spans="1:12">
      <c r="A4" t="s">
        <v>102</v>
      </c>
      <c r="B4" s="71">
        <v>35338</v>
      </c>
      <c r="C4" t="s">
        <v>37</v>
      </c>
      <c r="D4">
        <v>288</v>
      </c>
      <c r="F4" s="75" t="s">
        <v>112</v>
      </c>
      <c r="G4" s="74">
        <v>83535.750412821944</v>
      </c>
      <c r="H4" s="74">
        <v>485.67296751640663</v>
      </c>
      <c r="J4" s="73" t="s">
        <v>45</v>
      </c>
      <c r="K4" s="74">
        <v>108026.15545121129</v>
      </c>
      <c r="L4" s="74">
        <v>587.09867093049616</v>
      </c>
    </row>
    <row r="5" spans="1:12">
      <c r="A5" t="s">
        <v>102</v>
      </c>
      <c r="B5" s="71">
        <v>35376</v>
      </c>
      <c r="C5" t="s">
        <v>42</v>
      </c>
      <c r="D5">
        <v>183.59999871253967</v>
      </c>
      <c r="F5" s="73" t="s">
        <v>103</v>
      </c>
      <c r="G5" s="74">
        <v>54490.589937388344</v>
      </c>
      <c r="H5" s="74">
        <v>518.95799940369852</v>
      </c>
      <c r="J5" s="73" t="s">
        <v>50</v>
      </c>
      <c r="K5" s="74">
        <v>56032.614945493413</v>
      </c>
      <c r="L5" s="74">
        <v>451.87592697978556</v>
      </c>
    </row>
    <row r="6" spans="1:12">
      <c r="A6" t="s">
        <v>102</v>
      </c>
      <c r="B6" s="71">
        <v>35383</v>
      </c>
      <c r="C6" t="s">
        <v>50</v>
      </c>
      <c r="D6">
        <v>172.8</v>
      </c>
      <c r="F6" s="75" t="s">
        <v>112</v>
      </c>
      <c r="G6" s="74">
        <v>54490.589937388344</v>
      </c>
      <c r="H6" s="74">
        <v>518.95799940369852</v>
      </c>
      <c r="J6" s="73" t="s">
        <v>37</v>
      </c>
      <c r="K6" s="74">
        <v>43126.369448052603</v>
      </c>
      <c r="L6" s="74">
        <v>501.46941218665819</v>
      </c>
    </row>
    <row r="7" spans="1:12">
      <c r="A7" t="s">
        <v>102</v>
      </c>
      <c r="B7" s="71">
        <v>35402</v>
      </c>
      <c r="C7" t="s">
        <v>37</v>
      </c>
      <c r="D7">
        <v>183.59999871253967</v>
      </c>
      <c r="F7" s="73" t="s">
        <v>105</v>
      </c>
      <c r="G7" s="74">
        <v>56871.82494773603</v>
      </c>
      <c r="H7" s="74">
        <v>541.63642807367648</v>
      </c>
      <c r="J7" s="73" t="s">
        <v>51</v>
      </c>
      <c r="K7" s="74">
        <v>70444.139935775107</v>
      </c>
      <c r="L7" s="74">
        <v>690.62882289975596</v>
      </c>
    </row>
    <row r="8" spans="1:12">
      <c r="A8" t="s">
        <v>102</v>
      </c>
      <c r="B8" s="71">
        <v>35437</v>
      </c>
      <c r="C8" t="s">
        <v>52</v>
      </c>
      <c r="D8">
        <v>144</v>
      </c>
      <c r="F8" s="75" t="s">
        <v>112</v>
      </c>
      <c r="G8" s="74">
        <v>56871.82494773603</v>
      </c>
      <c r="H8" s="74">
        <v>541.63642807367648</v>
      </c>
      <c r="J8" s="73" t="s">
        <v>48</v>
      </c>
      <c r="K8" s="74">
        <v>27188.392455606907</v>
      </c>
      <c r="L8" s="74">
        <v>591.05200990449794</v>
      </c>
    </row>
    <row r="9" spans="1:12">
      <c r="A9" t="s">
        <v>102</v>
      </c>
      <c r="B9" s="71">
        <v>35444</v>
      </c>
      <c r="C9" t="s">
        <v>45</v>
      </c>
      <c r="D9">
        <v>345.6</v>
      </c>
      <c r="F9" s="73" t="s">
        <v>107</v>
      </c>
      <c r="G9" s="74">
        <v>66959.217435966988</v>
      </c>
      <c r="H9" s="74">
        <v>413.32850269115426</v>
      </c>
      <c r="J9" s="73" t="s">
        <v>49</v>
      </c>
      <c r="K9" s="74">
        <v>93478.07744178838</v>
      </c>
      <c r="L9" s="74">
        <v>591.63340153030617</v>
      </c>
    </row>
    <row r="10" spans="1:12">
      <c r="A10" t="s">
        <v>102</v>
      </c>
      <c r="B10" s="71">
        <v>35506</v>
      </c>
      <c r="C10" t="s">
        <v>30</v>
      </c>
      <c r="D10">
        <v>216</v>
      </c>
      <c r="F10" s="75" t="s">
        <v>112</v>
      </c>
      <c r="G10" s="74">
        <v>66959.217435966988</v>
      </c>
      <c r="H10" s="74">
        <v>413.32850269115426</v>
      </c>
      <c r="J10" s="73" t="s">
        <v>30</v>
      </c>
      <c r="K10" s="74">
        <v>30716.467470658386</v>
      </c>
      <c r="L10" s="74">
        <v>579.5559900124224</v>
      </c>
    </row>
    <row r="11" spans="1:12">
      <c r="A11" t="s">
        <v>102</v>
      </c>
      <c r="B11" s="71">
        <v>35550</v>
      </c>
      <c r="C11" t="s">
        <v>42</v>
      </c>
      <c r="D11">
        <v>575.99999785423279</v>
      </c>
      <c r="F11" s="73" t="s">
        <v>53</v>
      </c>
      <c r="G11" s="74">
        <v>115387.63983488345</v>
      </c>
      <c r="H11" s="74">
        <v>633.99802107078813</v>
      </c>
      <c r="J11" s="73" t="s">
        <v>42</v>
      </c>
      <c r="K11" s="74">
        <v>127601.79084378701</v>
      </c>
      <c r="L11" s="74">
        <v>593.49670159900938</v>
      </c>
    </row>
    <row r="12" spans="1:12">
      <c r="A12" t="s">
        <v>102</v>
      </c>
      <c r="B12" s="71">
        <v>35555</v>
      </c>
      <c r="C12" t="s">
        <v>42</v>
      </c>
      <c r="D12">
        <v>122.39999914169312</v>
      </c>
      <c r="F12" s="75" t="s">
        <v>112</v>
      </c>
      <c r="G12" s="74">
        <v>115387.63983488345</v>
      </c>
      <c r="H12" s="74">
        <v>633.99802107078813</v>
      </c>
      <c r="J12" s="73" t="s">
        <v>109</v>
      </c>
      <c r="K12" s="74">
        <v>617085.20286998246</v>
      </c>
      <c r="L12" s="74">
        <v>582.7055740037606</v>
      </c>
    </row>
    <row r="13" spans="1:12">
      <c r="A13" t="s">
        <v>102</v>
      </c>
      <c r="B13" s="71">
        <v>35604</v>
      </c>
      <c r="C13" t="s">
        <v>45</v>
      </c>
      <c r="D13">
        <v>180</v>
      </c>
      <c r="F13" s="73" t="s">
        <v>28</v>
      </c>
      <c r="G13" s="74">
        <v>80975.107943136099</v>
      </c>
      <c r="H13" s="74">
        <v>899.72342159040113</v>
      </c>
    </row>
    <row r="14" spans="1:12">
      <c r="A14" t="s">
        <v>102</v>
      </c>
      <c r="B14" s="71">
        <v>35618</v>
      </c>
      <c r="C14" t="s">
        <v>42</v>
      </c>
      <c r="D14">
        <v>360</v>
      </c>
      <c r="F14" s="75" t="s">
        <v>112</v>
      </c>
      <c r="G14" s="74">
        <v>80975.107943136099</v>
      </c>
      <c r="H14" s="74">
        <v>899.72342159040113</v>
      </c>
    </row>
    <row r="15" spans="1:12">
      <c r="A15" t="s">
        <v>102</v>
      </c>
      <c r="B15" s="71">
        <v>35635</v>
      </c>
      <c r="C15" t="s">
        <v>52</v>
      </c>
      <c r="D15">
        <v>54</v>
      </c>
      <c r="F15" s="73" t="s">
        <v>106</v>
      </c>
      <c r="G15" s="74">
        <v>54940.767450851759</v>
      </c>
      <c r="H15" s="74">
        <v>820.01145449032481</v>
      </c>
    </row>
    <row r="16" spans="1:12">
      <c r="A16" t="s">
        <v>102</v>
      </c>
      <c r="B16" s="71">
        <v>35636</v>
      </c>
      <c r="C16" t="s">
        <v>37</v>
      </c>
      <c r="D16">
        <v>108</v>
      </c>
      <c r="F16" s="75" t="s">
        <v>112</v>
      </c>
      <c r="G16" s="74">
        <v>54940.767450851759</v>
      </c>
      <c r="H16" s="74">
        <v>820.01145449032481</v>
      </c>
    </row>
    <row r="17" spans="1:8">
      <c r="A17" t="s">
        <v>102</v>
      </c>
      <c r="B17" s="71">
        <v>35654</v>
      </c>
      <c r="C17" t="s">
        <v>42</v>
      </c>
      <c r="D17">
        <v>450</v>
      </c>
      <c r="F17" s="73" t="s">
        <v>102</v>
      </c>
      <c r="G17" s="74">
        <v>103924.3049071975</v>
      </c>
      <c r="H17" s="74">
        <v>590.47900515453125</v>
      </c>
    </row>
    <row r="18" spans="1:8">
      <c r="A18" t="s">
        <v>102</v>
      </c>
      <c r="B18" s="71">
        <v>35669</v>
      </c>
      <c r="C18" t="s">
        <v>48</v>
      </c>
      <c r="D18">
        <v>202.5</v>
      </c>
      <c r="F18" s="75" t="s">
        <v>112</v>
      </c>
      <c r="G18" s="74">
        <v>103924.3049071975</v>
      </c>
      <c r="H18" s="74">
        <v>590.47900515453125</v>
      </c>
    </row>
    <row r="19" spans="1:8">
      <c r="A19" t="s">
        <v>102</v>
      </c>
      <c r="B19" s="71">
        <v>35704</v>
      </c>
      <c r="C19" t="s">
        <v>49</v>
      </c>
      <c r="D19">
        <v>472.5</v>
      </c>
      <c r="F19" s="73" t="s">
        <v>109</v>
      </c>
      <c r="G19" s="74">
        <v>617085.20286998223</v>
      </c>
      <c r="H19" s="74">
        <v>582.70557400376038</v>
      </c>
    </row>
    <row r="20" spans="1:8">
      <c r="A20" t="s">
        <v>102</v>
      </c>
      <c r="B20" s="71">
        <v>35706</v>
      </c>
      <c r="C20" t="s">
        <v>51</v>
      </c>
      <c r="D20">
        <v>540</v>
      </c>
    </row>
    <row r="21" spans="1:8">
      <c r="A21" t="s">
        <v>102</v>
      </c>
      <c r="B21" s="71">
        <v>35713</v>
      </c>
      <c r="C21" t="s">
        <v>45</v>
      </c>
      <c r="D21">
        <v>71.999999731779099</v>
      </c>
    </row>
    <row r="22" spans="1:8">
      <c r="A22" t="s">
        <v>102</v>
      </c>
      <c r="B22" s="71">
        <v>35738</v>
      </c>
      <c r="C22" t="s">
        <v>50</v>
      </c>
      <c r="D22">
        <v>900</v>
      </c>
    </row>
    <row r="23" spans="1:8">
      <c r="A23" t="s">
        <v>102</v>
      </c>
      <c r="B23" s="71">
        <v>35758</v>
      </c>
      <c r="C23" t="s">
        <v>51</v>
      </c>
      <c r="D23">
        <v>144</v>
      </c>
    </row>
    <row r="24" spans="1:8">
      <c r="A24" t="s">
        <v>102</v>
      </c>
      <c r="B24" s="71">
        <v>35814</v>
      </c>
      <c r="C24" t="s">
        <v>45</v>
      </c>
      <c r="D24">
        <v>54</v>
      </c>
    </row>
    <row r="25" spans="1:8">
      <c r="A25" t="s">
        <v>102</v>
      </c>
      <c r="B25" s="71">
        <v>35817</v>
      </c>
      <c r="C25" t="s">
        <v>42</v>
      </c>
      <c r="D25">
        <v>1151.9999957084656</v>
      </c>
    </row>
    <row r="26" spans="1:8">
      <c r="A26" t="s">
        <v>102</v>
      </c>
      <c r="B26" s="71">
        <v>35828</v>
      </c>
      <c r="C26" t="s">
        <v>42</v>
      </c>
      <c r="D26">
        <v>305.99999785423279</v>
      </c>
    </row>
    <row r="27" spans="1:8">
      <c r="A27" t="s">
        <v>102</v>
      </c>
      <c r="B27" s="71">
        <v>35830</v>
      </c>
      <c r="C27" t="s">
        <v>30</v>
      </c>
      <c r="D27">
        <v>720</v>
      </c>
    </row>
    <row r="28" spans="1:8">
      <c r="A28" t="s">
        <v>102</v>
      </c>
      <c r="B28" s="71">
        <v>35850</v>
      </c>
      <c r="C28" t="s">
        <v>48</v>
      </c>
      <c r="D28">
        <v>341.9999997317791</v>
      </c>
    </row>
    <row r="29" spans="1:8">
      <c r="A29" t="s">
        <v>102</v>
      </c>
      <c r="B29" s="71">
        <v>35852</v>
      </c>
      <c r="C29" t="s">
        <v>45</v>
      </c>
      <c r="D29">
        <v>180</v>
      </c>
    </row>
    <row r="30" spans="1:8">
      <c r="A30" t="s">
        <v>102</v>
      </c>
      <c r="B30" s="71">
        <v>35856</v>
      </c>
      <c r="C30" t="s">
        <v>45</v>
      </c>
      <c r="D30">
        <v>810</v>
      </c>
    </row>
    <row r="31" spans="1:8">
      <c r="A31" t="s">
        <v>102</v>
      </c>
      <c r="B31" s="71">
        <v>35863</v>
      </c>
      <c r="C31" t="s">
        <v>42</v>
      </c>
      <c r="D31">
        <v>378</v>
      </c>
    </row>
    <row r="32" spans="1:8">
      <c r="A32" t="s">
        <v>102</v>
      </c>
      <c r="B32" s="71">
        <v>35891</v>
      </c>
      <c r="C32" t="s">
        <v>45</v>
      </c>
      <c r="D32">
        <v>72</v>
      </c>
    </row>
    <row r="33" spans="1:4">
      <c r="A33" t="s">
        <v>102</v>
      </c>
      <c r="B33" s="71">
        <v>35892</v>
      </c>
      <c r="C33" t="s">
        <v>51</v>
      </c>
      <c r="D33">
        <v>36</v>
      </c>
    </row>
    <row r="34" spans="1:4">
      <c r="A34" t="s">
        <v>102</v>
      </c>
      <c r="B34" s="71">
        <v>35892</v>
      </c>
      <c r="C34" t="s">
        <v>45</v>
      </c>
      <c r="D34">
        <v>144</v>
      </c>
    </row>
    <row r="35" spans="1:4">
      <c r="A35" t="s">
        <v>102</v>
      </c>
      <c r="B35" s="71">
        <v>35900</v>
      </c>
      <c r="C35" t="s">
        <v>37</v>
      </c>
      <c r="D35">
        <v>161.9999997317791</v>
      </c>
    </row>
    <row r="36" spans="1:4">
      <c r="A36" t="s">
        <v>102</v>
      </c>
      <c r="B36" s="71">
        <v>35902</v>
      </c>
      <c r="C36" t="s">
        <v>37</v>
      </c>
      <c r="D36">
        <v>810</v>
      </c>
    </row>
    <row r="37" spans="1:4">
      <c r="A37" t="s">
        <v>102</v>
      </c>
      <c r="B37" s="71">
        <v>35905</v>
      </c>
      <c r="C37" t="s">
        <v>51</v>
      </c>
      <c r="D37">
        <v>180</v>
      </c>
    </row>
    <row r="38" spans="1:4">
      <c r="A38" t="s">
        <v>102</v>
      </c>
      <c r="B38" s="71">
        <v>35909</v>
      </c>
      <c r="C38" t="s">
        <v>52</v>
      </c>
      <c r="D38">
        <v>337.5</v>
      </c>
    </row>
    <row r="39" spans="1:4">
      <c r="A39" t="s">
        <v>102</v>
      </c>
      <c r="B39" s="71">
        <v>35920</v>
      </c>
      <c r="C39" t="s">
        <v>51</v>
      </c>
      <c r="D39">
        <v>611.99999570846558</v>
      </c>
    </row>
    <row r="40" spans="1:4">
      <c r="A40" t="s">
        <v>102</v>
      </c>
      <c r="B40" s="71">
        <v>35258</v>
      </c>
      <c r="C40" t="s">
        <v>48</v>
      </c>
      <c r="D40">
        <v>304</v>
      </c>
    </row>
    <row r="41" spans="1:4">
      <c r="A41" t="s">
        <v>102</v>
      </c>
      <c r="B41" s="71">
        <v>35263</v>
      </c>
      <c r="C41" t="s">
        <v>49</v>
      </c>
      <c r="D41">
        <v>607.9999977350235</v>
      </c>
    </row>
    <row r="42" spans="1:4">
      <c r="A42" t="s">
        <v>102</v>
      </c>
      <c r="B42" s="71">
        <v>35270</v>
      </c>
      <c r="C42" t="s">
        <v>37</v>
      </c>
      <c r="D42">
        <v>532</v>
      </c>
    </row>
    <row r="43" spans="1:4">
      <c r="A43" t="s">
        <v>102</v>
      </c>
      <c r="B43" s="71">
        <v>35313</v>
      </c>
      <c r="C43" t="s">
        <v>37</v>
      </c>
      <c r="D43">
        <v>608</v>
      </c>
    </row>
    <row r="44" spans="1:4">
      <c r="A44" t="s">
        <v>102</v>
      </c>
      <c r="B44" s="71">
        <v>35349</v>
      </c>
      <c r="C44" t="s">
        <v>51</v>
      </c>
      <c r="D44">
        <v>303.99999886751175</v>
      </c>
    </row>
    <row r="45" spans="1:4">
      <c r="A45" t="s">
        <v>102</v>
      </c>
      <c r="B45" s="71">
        <v>35360</v>
      </c>
      <c r="C45" t="s">
        <v>52</v>
      </c>
      <c r="D45">
        <v>85.119999682903298</v>
      </c>
    </row>
    <row r="46" spans="1:4">
      <c r="A46" t="s">
        <v>102</v>
      </c>
      <c r="B46" s="71">
        <v>35368</v>
      </c>
      <c r="C46" t="s">
        <v>42</v>
      </c>
      <c r="D46">
        <v>291.83999891281127</v>
      </c>
    </row>
    <row r="47" spans="1:4">
      <c r="A47" t="s">
        <v>102</v>
      </c>
      <c r="B47" s="71">
        <v>35424</v>
      </c>
      <c r="C47" t="s">
        <v>49</v>
      </c>
      <c r="D47">
        <v>285</v>
      </c>
    </row>
    <row r="48" spans="1:4">
      <c r="A48" t="s">
        <v>102</v>
      </c>
      <c r="B48" s="71">
        <v>35447</v>
      </c>
      <c r="C48" t="s">
        <v>42</v>
      </c>
      <c r="D48">
        <v>912</v>
      </c>
    </row>
    <row r="49" spans="1:4">
      <c r="A49" t="s">
        <v>102</v>
      </c>
      <c r="B49" s="71">
        <v>35465</v>
      </c>
      <c r="C49" t="s">
        <v>50</v>
      </c>
      <c r="D49">
        <v>152</v>
      </c>
    </row>
    <row r="50" spans="1:4">
      <c r="A50" t="s">
        <v>102</v>
      </c>
      <c r="B50" s="71">
        <v>35471</v>
      </c>
      <c r="C50" t="s">
        <v>42</v>
      </c>
      <c r="D50">
        <v>581.3999959230423</v>
      </c>
    </row>
    <row r="51" spans="1:4">
      <c r="A51" t="s">
        <v>102</v>
      </c>
      <c r="B51" s="71">
        <v>35499</v>
      </c>
      <c r="C51" t="s">
        <v>49</v>
      </c>
      <c r="D51">
        <v>516.7999963760376</v>
      </c>
    </row>
    <row r="52" spans="1:4">
      <c r="A52" t="s">
        <v>102</v>
      </c>
      <c r="B52" s="71">
        <v>35514</v>
      </c>
      <c r="C52" t="s">
        <v>42</v>
      </c>
      <c r="D52">
        <v>273.5999995470047</v>
      </c>
    </row>
    <row r="53" spans="1:4">
      <c r="A53" t="s">
        <v>102</v>
      </c>
      <c r="B53" s="71">
        <v>35531</v>
      </c>
      <c r="C53" t="s">
        <v>42</v>
      </c>
      <c r="D53">
        <v>228</v>
      </c>
    </row>
    <row r="54" spans="1:4">
      <c r="A54" t="s">
        <v>102</v>
      </c>
      <c r="B54" s="71">
        <v>35636</v>
      </c>
      <c r="C54" t="s">
        <v>37</v>
      </c>
      <c r="D54">
        <v>190</v>
      </c>
    </row>
    <row r="55" spans="1:4">
      <c r="A55" t="s">
        <v>102</v>
      </c>
      <c r="B55" s="71">
        <v>35648</v>
      </c>
      <c r="C55" t="s">
        <v>42</v>
      </c>
      <c r="D55">
        <v>380</v>
      </c>
    </row>
    <row r="56" spans="1:4">
      <c r="A56" t="s">
        <v>102</v>
      </c>
      <c r="B56" s="71">
        <v>35656</v>
      </c>
      <c r="C56" t="s">
        <v>50</v>
      </c>
      <c r="D56">
        <v>541.49999957531691</v>
      </c>
    </row>
    <row r="57" spans="1:4">
      <c r="A57" t="s">
        <v>102</v>
      </c>
      <c r="B57" s="71">
        <v>35664</v>
      </c>
      <c r="C57" t="s">
        <v>42</v>
      </c>
      <c r="D57">
        <v>950</v>
      </c>
    </row>
    <row r="58" spans="1:4">
      <c r="A58" t="s">
        <v>102</v>
      </c>
      <c r="B58" s="71">
        <v>35717</v>
      </c>
      <c r="C58" t="s">
        <v>37</v>
      </c>
      <c r="D58">
        <v>95</v>
      </c>
    </row>
    <row r="59" spans="1:4">
      <c r="A59" t="s">
        <v>102</v>
      </c>
      <c r="B59" s="71">
        <v>35725</v>
      </c>
      <c r="C59" t="s">
        <v>30</v>
      </c>
      <c r="D59">
        <v>427.5</v>
      </c>
    </row>
    <row r="60" spans="1:4">
      <c r="A60" t="s">
        <v>102</v>
      </c>
      <c r="B60" s="71">
        <v>35732</v>
      </c>
      <c r="C60" t="s">
        <v>50</v>
      </c>
      <c r="D60">
        <v>57</v>
      </c>
    </row>
    <row r="61" spans="1:4">
      <c r="A61" t="s">
        <v>102</v>
      </c>
      <c r="B61" s="71">
        <v>35748</v>
      </c>
      <c r="C61" t="s">
        <v>42</v>
      </c>
      <c r="D61">
        <v>227.99999915063381</v>
      </c>
    </row>
    <row r="62" spans="1:4">
      <c r="A62" t="s">
        <v>102</v>
      </c>
      <c r="B62" s="71">
        <v>35769</v>
      </c>
      <c r="C62" t="s">
        <v>42</v>
      </c>
      <c r="D62">
        <v>760</v>
      </c>
    </row>
    <row r="63" spans="1:4">
      <c r="A63" t="s">
        <v>102</v>
      </c>
      <c r="B63" s="71">
        <v>35783</v>
      </c>
      <c r="C63" t="s">
        <v>51</v>
      </c>
      <c r="D63">
        <v>270.74999978765845</v>
      </c>
    </row>
    <row r="64" spans="1:4">
      <c r="A64" t="s">
        <v>102</v>
      </c>
      <c r="B64" s="71">
        <v>35787</v>
      </c>
      <c r="C64" t="s">
        <v>49</v>
      </c>
      <c r="D64">
        <v>190</v>
      </c>
    </row>
    <row r="65" spans="1:4">
      <c r="A65" t="s">
        <v>102</v>
      </c>
      <c r="B65" s="71">
        <v>35795</v>
      </c>
      <c r="C65" t="s">
        <v>45</v>
      </c>
      <c r="D65">
        <v>285</v>
      </c>
    </row>
    <row r="66" spans="1:4">
      <c r="A66" t="s">
        <v>102</v>
      </c>
      <c r="B66" s="71">
        <v>35800</v>
      </c>
      <c r="C66" t="s">
        <v>49</v>
      </c>
      <c r="D66">
        <v>182.39999932050705</v>
      </c>
    </row>
    <row r="67" spans="1:4">
      <c r="A67" t="s">
        <v>102</v>
      </c>
      <c r="B67" s="71">
        <v>35808</v>
      </c>
      <c r="C67" t="s">
        <v>48</v>
      </c>
      <c r="D67">
        <v>190</v>
      </c>
    </row>
    <row r="68" spans="1:4">
      <c r="A68" t="s">
        <v>102</v>
      </c>
      <c r="B68" s="71">
        <v>35821</v>
      </c>
      <c r="C68" t="s">
        <v>30</v>
      </c>
      <c r="D68">
        <v>90.249999929219484</v>
      </c>
    </row>
    <row r="69" spans="1:4">
      <c r="A69" t="s">
        <v>102</v>
      </c>
      <c r="B69" s="71">
        <v>35821</v>
      </c>
      <c r="C69" t="s">
        <v>50</v>
      </c>
      <c r="D69">
        <v>285</v>
      </c>
    </row>
    <row r="70" spans="1:4">
      <c r="A70" t="s">
        <v>102</v>
      </c>
      <c r="B70" s="71">
        <v>35823</v>
      </c>
      <c r="C70" t="s">
        <v>45</v>
      </c>
      <c r="D70">
        <v>380</v>
      </c>
    </row>
    <row r="71" spans="1:4">
      <c r="A71" t="s">
        <v>102</v>
      </c>
      <c r="B71" s="71">
        <v>35829</v>
      </c>
      <c r="C71" t="s">
        <v>30</v>
      </c>
      <c r="D71">
        <v>299.25</v>
      </c>
    </row>
    <row r="72" spans="1:4">
      <c r="A72" t="s">
        <v>102</v>
      </c>
      <c r="B72" s="71">
        <v>35838</v>
      </c>
      <c r="C72" t="s">
        <v>37</v>
      </c>
      <c r="D72">
        <v>380</v>
      </c>
    </row>
    <row r="73" spans="1:4">
      <c r="A73" t="s">
        <v>102</v>
      </c>
      <c r="B73" s="71">
        <v>35842</v>
      </c>
      <c r="C73" t="s">
        <v>49</v>
      </c>
      <c r="D73">
        <v>380</v>
      </c>
    </row>
    <row r="74" spans="1:4">
      <c r="A74" t="s">
        <v>102</v>
      </c>
      <c r="B74" s="71">
        <v>35864</v>
      </c>
      <c r="C74" t="s">
        <v>51</v>
      </c>
      <c r="D74">
        <v>161.49999886751175</v>
      </c>
    </row>
    <row r="75" spans="1:4">
      <c r="A75" t="s">
        <v>102</v>
      </c>
      <c r="B75" s="71">
        <v>35886</v>
      </c>
      <c r="C75" t="s">
        <v>49</v>
      </c>
      <c r="D75">
        <v>759.99999716877937</v>
      </c>
    </row>
    <row r="76" spans="1:4">
      <c r="A76" t="s">
        <v>102</v>
      </c>
      <c r="B76" s="71">
        <v>35899</v>
      </c>
      <c r="C76" t="s">
        <v>45</v>
      </c>
      <c r="D76">
        <v>156.75</v>
      </c>
    </row>
    <row r="77" spans="1:4">
      <c r="A77" t="s">
        <v>102</v>
      </c>
      <c r="B77" s="71">
        <v>35902</v>
      </c>
      <c r="C77" t="s">
        <v>52</v>
      </c>
      <c r="D77">
        <v>1425</v>
      </c>
    </row>
    <row r="78" spans="1:4">
      <c r="A78" t="s">
        <v>102</v>
      </c>
      <c r="B78" s="71">
        <v>35907</v>
      </c>
      <c r="C78" t="s">
        <v>45</v>
      </c>
      <c r="D78">
        <v>455.99999830126762</v>
      </c>
    </row>
    <row r="79" spans="1:4">
      <c r="A79" t="s">
        <v>102</v>
      </c>
      <c r="B79" s="71">
        <v>35909</v>
      </c>
      <c r="C79" t="s">
        <v>45</v>
      </c>
      <c r="D79">
        <v>151.99999943375587</v>
      </c>
    </row>
    <row r="80" spans="1:4">
      <c r="A80" t="s">
        <v>102</v>
      </c>
      <c r="B80" s="71">
        <v>35920</v>
      </c>
      <c r="C80" t="s">
        <v>51</v>
      </c>
      <c r="D80">
        <v>322.9999977350235</v>
      </c>
    </row>
    <row r="81" spans="1:4">
      <c r="A81" t="s">
        <v>102</v>
      </c>
      <c r="B81" s="71">
        <v>35920</v>
      </c>
      <c r="C81" t="s">
        <v>42</v>
      </c>
      <c r="D81">
        <v>152</v>
      </c>
    </row>
    <row r="82" spans="1:4">
      <c r="A82" t="s">
        <v>102</v>
      </c>
      <c r="B82" s="71">
        <v>35921</v>
      </c>
      <c r="C82" t="s">
        <v>50</v>
      </c>
      <c r="D82">
        <v>161.49999886751175</v>
      </c>
    </row>
    <row r="83" spans="1:4">
      <c r="A83" t="s">
        <v>102</v>
      </c>
      <c r="B83" s="71">
        <v>35921</v>
      </c>
      <c r="C83" t="s">
        <v>49</v>
      </c>
      <c r="D83">
        <v>364.7999986410141</v>
      </c>
    </row>
    <row r="84" spans="1:4">
      <c r="A84" t="s">
        <v>102</v>
      </c>
      <c r="B84" s="71">
        <v>35257</v>
      </c>
      <c r="C84" t="s">
        <v>30</v>
      </c>
      <c r="D84">
        <v>45.899999678134918</v>
      </c>
    </row>
    <row r="85" spans="1:4">
      <c r="A85" t="s">
        <v>102</v>
      </c>
      <c r="B85" s="71">
        <v>35269</v>
      </c>
      <c r="C85" t="s">
        <v>48</v>
      </c>
      <c r="D85">
        <v>100.8</v>
      </c>
    </row>
    <row r="86" spans="1:4">
      <c r="A86" t="s">
        <v>102</v>
      </c>
      <c r="B86" s="71">
        <v>35284</v>
      </c>
      <c r="C86" t="s">
        <v>49</v>
      </c>
      <c r="D86">
        <v>41.039999967813493</v>
      </c>
    </row>
    <row r="87" spans="1:4">
      <c r="A87" t="s">
        <v>102</v>
      </c>
      <c r="B87" s="71">
        <v>35291</v>
      </c>
      <c r="C87" t="s">
        <v>51</v>
      </c>
      <c r="D87">
        <v>43.2</v>
      </c>
    </row>
    <row r="88" spans="1:4">
      <c r="A88" t="s">
        <v>102</v>
      </c>
      <c r="B88" s="71">
        <v>35291</v>
      </c>
      <c r="C88" t="s">
        <v>42</v>
      </c>
      <c r="D88">
        <v>21.6</v>
      </c>
    </row>
    <row r="89" spans="1:4">
      <c r="A89" t="s">
        <v>102</v>
      </c>
      <c r="B89" s="71">
        <v>35306</v>
      </c>
      <c r="C89" t="s">
        <v>49</v>
      </c>
      <c r="D89">
        <v>36</v>
      </c>
    </row>
    <row r="90" spans="1:4">
      <c r="A90" t="s">
        <v>102</v>
      </c>
      <c r="B90" s="71">
        <v>35381</v>
      </c>
      <c r="C90" t="s">
        <v>45</v>
      </c>
      <c r="D90">
        <v>36</v>
      </c>
    </row>
    <row r="91" spans="1:4">
      <c r="A91" t="s">
        <v>102</v>
      </c>
      <c r="B91" s="71">
        <v>35384</v>
      </c>
      <c r="C91" t="s">
        <v>37</v>
      </c>
      <c r="D91">
        <v>90</v>
      </c>
    </row>
    <row r="92" spans="1:4">
      <c r="A92" t="s">
        <v>102</v>
      </c>
      <c r="B92" s="71">
        <v>35389</v>
      </c>
      <c r="C92" t="s">
        <v>30</v>
      </c>
      <c r="D92">
        <v>34.19999997317791</v>
      </c>
    </row>
    <row r="93" spans="1:4">
      <c r="A93" t="s">
        <v>102</v>
      </c>
      <c r="B93" s="71">
        <v>35417</v>
      </c>
      <c r="C93" t="s">
        <v>48</v>
      </c>
      <c r="D93">
        <v>54</v>
      </c>
    </row>
    <row r="94" spans="1:4">
      <c r="A94" t="s">
        <v>102</v>
      </c>
      <c r="B94" s="71">
        <v>35417</v>
      </c>
      <c r="C94" t="s">
        <v>49</v>
      </c>
      <c r="D94">
        <v>54</v>
      </c>
    </row>
    <row r="95" spans="1:4">
      <c r="A95" t="s">
        <v>102</v>
      </c>
      <c r="B95" s="71">
        <v>35475</v>
      </c>
      <c r="C95" t="s">
        <v>37</v>
      </c>
      <c r="D95">
        <v>64.799999892711639</v>
      </c>
    </row>
    <row r="96" spans="1:4">
      <c r="A96" t="s">
        <v>102</v>
      </c>
      <c r="B96" s="71">
        <v>35494</v>
      </c>
      <c r="C96" t="s">
        <v>49</v>
      </c>
      <c r="D96">
        <v>90</v>
      </c>
    </row>
    <row r="97" spans="1:4">
      <c r="A97" t="s">
        <v>102</v>
      </c>
      <c r="B97" s="71">
        <v>35495</v>
      </c>
      <c r="C97" t="s">
        <v>50</v>
      </c>
      <c r="D97">
        <v>100.8</v>
      </c>
    </row>
    <row r="98" spans="1:4">
      <c r="A98" t="s">
        <v>102</v>
      </c>
      <c r="B98" s="71">
        <v>35501</v>
      </c>
      <c r="C98" t="s">
        <v>50</v>
      </c>
      <c r="D98">
        <v>273.59999978542328</v>
      </c>
    </row>
    <row r="99" spans="1:4">
      <c r="A99" t="s">
        <v>102</v>
      </c>
      <c r="B99" s="71">
        <v>35527</v>
      </c>
      <c r="C99" t="s">
        <v>50</v>
      </c>
      <c r="D99">
        <v>63</v>
      </c>
    </row>
    <row r="100" spans="1:4">
      <c r="A100" t="s">
        <v>102</v>
      </c>
      <c r="B100" s="71">
        <v>35541</v>
      </c>
      <c r="C100" t="s">
        <v>52</v>
      </c>
      <c r="D100">
        <v>38.249999731779099</v>
      </c>
    </row>
    <row r="101" spans="1:4">
      <c r="A101" t="s">
        <v>102</v>
      </c>
      <c r="B101" s="71">
        <v>35545</v>
      </c>
      <c r="C101" t="s">
        <v>42</v>
      </c>
      <c r="D101">
        <v>22.5</v>
      </c>
    </row>
    <row r="102" spans="1:4">
      <c r="A102" t="s">
        <v>102</v>
      </c>
      <c r="B102" s="71">
        <v>35549</v>
      </c>
      <c r="C102" t="s">
        <v>52</v>
      </c>
      <c r="D102">
        <v>36</v>
      </c>
    </row>
    <row r="103" spans="1:4">
      <c r="A103" t="s">
        <v>102</v>
      </c>
      <c r="B103" s="71">
        <v>35569</v>
      </c>
      <c r="C103" t="s">
        <v>51</v>
      </c>
      <c r="D103">
        <v>141.74999976530671</v>
      </c>
    </row>
    <row r="104" spans="1:4">
      <c r="A104" t="s">
        <v>102</v>
      </c>
      <c r="B104" s="71">
        <v>35583</v>
      </c>
      <c r="C104" t="s">
        <v>37</v>
      </c>
      <c r="D104">
        <v>64.799999758601189</v>
      </c>
    </row>
    <row r="105" spans="1:4">
      <c r="A105" t="s">
        <v>102</v>
      </c>
      <c r="B105" s="71">
        <v>35592</v>
      </c>
      <c r="C105" t="s">
        <v>50</v>
      </c>
      <c r="D105">
        <v>101.24999983236194</v>
      </c>
    </row>
    <row r="106" spans="1:4">
      <c r="A106" t="s">
        <v>102</v>
      </c>
      <c r="B106" s="71">
        <v>35622</v>
      </c>
      <c r="C106" t="s">
        <v>52</v>
      </c>
      <c r="D106">
        <v>125.99999953061342</v>
      </c>
    </row>
    <row r="107" spans="1:4">
      <c r="A107" t="s">
        <v>102</v>
      </c>
      <c r="B107" s="71">
        <v>35647</v>
      </c>
      <c r="C107" t="s">
        <v>51</v>
      </c>
      <c r="D107">
        <v>22.5</v>
      </c>
    </row>
    <row r="108" spans="1:4">
      <c r="A108" t="s">
        <v>102</v>
      </c>
      <c r="B108" s="71">
        <v>35649</v>
      </c>
      <c r="C108" t="s">
        <v>50</v>
      </c>
      <c r="D108">
        <v>13.5</v>
      </c>
    </row>
    <row r="109" spans="1:4">
      <c r="A109" t="s">
        <v>102</v>
      </c>
      <c r="B109" s="71">
        <v>35670</v>
      </c>
      <c r="C109" t="s">
        <v>30</v>
      </c>
      <c r="D109">
        <v>57.374999597668648</v>
      </c>
    </row>
    <row r="110" spans="1:4">
      <c r="A110" t="s">
        <v>102</v>
      </c>
      <c r="B110" s="71">
        <v>35710</v>
      </c>
      <c r="C110" t="s">
        <v>52</v>
      </c>
      <c r="D110">
        <v>90</v>
      </c>
    </row>
    <row r="111" spans="1:4">
      <c r="A111" t="s">
        <v>102</v>
      </c>
      <c r="B111" s="71">
        <v>35717</v>
      </c>
      <c r="C111" t="s">
        <v>37</v>
      </c>
      <c r="D111">
        <v>157.5</v>
      </c>
    </row>
    <row r="112" spans="1:4">
      <c r="A112" t="s">
        <v>102</v>
      </c>
      <c r="B112" s="71">
        <v>35767</v>
      </c>
      <c r="C112" t="s">
        <v>45</v>
      </c>
      <c r="D112">
        <v>90</v>
      </c>
    </row>
    <row r="113" spans="1:4">
      <c r="A113" t="s">
        <v>102</v>
      </c>
      <c r="B113" s="71">
        <v>35790</v>
      </c>
      <c r="C113" t="s">
        <v>48</v>
      </c>
      <c r="D113">
        <v>76.499999463558197</v>
      </c>
    </row>
    <row r="114" spans="1:4">
      <c r="A114" t="s">
        <v>102</v>
      </c>
      <c r="B114" s="71">
        <v>35824</v>
      </c>
      <c r="C114" t="s">
        <v>49</v>
      </c>
      <c r="D114">
        <v>135</v>
      </c>
    </row>
    <row r="115" spans="1:4">
      <c r="A115" t="s">
        <v>102</v>
      </c>
      <c r="B115" s="71">
        <v>35829</v>
      </c>
      <c r="C115" t="s">
        <v>30</v>
      </c>
      <c r="D115">
        <v>20.25</v>
      </c>
    </row>
    <row r="116" spans="1:4">
      <c r="A116" t="s">
        <v>102</v>
      </c>
      <c r="B116" s="71">
        <v>35838</v>
      </c>
      <c r="C116" t="s">
        <v>50</v>
      </c>
      <c r="D116">
        <v>36</v>
      </c>
    </row>
    <row r="117" spans="1:4">
      <c r="A117" t="s">
        <v>102</v>
      </c>
      <c r="B117" s="71">
        <v>35838</v>
      </c>
      <c r="C117" t="s">
        <v>37</v>
      </c>
      <c r="D117">
        <v>54</v>
      </c>
    </row>
    <row r="118" spans="1:4">
      <c r="A118" t="s">
        <v>102</v>
      </c>
      <c r="B118" s="71">
        <v>35844</v>
      </c>
      <c r="C118" t="s">
        <v>48</v>
      </c>
      <c r="D118">
        <v>45</v>
      </c>
    </row>
    <row r="119" spans="1:4">
      <c r="A119" t="s">
        <v>102</v>
      </c>
      <c r="B119" s="71">
        <v>35844</v>
      </c>
      <c r="C119" t="s">
        <v>45</v>
      </c>
      <c r="D119">
        <v>495</v>
      </c>
    </row>
    <row r="120" spans="1:4">
      <c r="A120" t="s">
        <v>102</v>
      </c>
      <c r="B120" s="71">
        <v>35857</v>
      </c>
      <c r="C120" t="s">
        <v>30</v>
      </c>
      <c r="D120">
        <v>157.5</v>
      </c>
    </row>
    <row r="121" spans="1:4">
      <c r="A121" t="s">
        <v>102</v>
      </c>
      <c r="B121" s="71">
        <v>35866</v>
      </c>
      <c r="C121" t="s">
        <v>49</v>
      </c>
      <c r="D121">
        <v>112.5</v>
      </c>
    </row>
    <row r="122" spans="1:4">
      <c r="A122" t="s">
        <v>102</v>
      </c>
      <c r="B122" s="71">
        <v>35873</v>
      </c>
      <c r="C122" t="s">
        <v>45</v>
      </c>
      <c r="D122">
        <v>33.75</v>
      </c>
    </row>
    <row r="123" spans="1:4">
      <c r="A123" t="s">
        <v>102</v>
      </c>
      <c r="B123" s="71">
        <v>35877</v>
      </c>
      <c r="C123" t="s">
        <v>49</v>
      </c>
      <c r="D123">
        <v>135</v>
      </c>
    </row>
    <row r="124" spans="1:4">
      <c r="A124" t="s">
        <v>102</v>
      </c>
      <c r="B124" s="71">
        <v>35880</v>
      </c>
      <c r="C124" t="s">
        <v>50</v>
      </c>
      <c r="D124">
        <v>360</v>
      </c>
    </row>
    <row r="125" spans="1:4">
      <c r="A125" t="s">
        <v>102</v>
      </c>
      <c r="B125" s="71">
        <v>35884</v>
      </c>
      <c r="C125" t="s">
        <v>49</v>
      </c>
      <c r="D125">
        <v>90</v>
      </c>
    </row>
    <row r="126" spans="1:4">
      <c r="A126" t="s">
        <v>102</v>
      </c>
      <c r="B126" s="71">
        <v>35888</v>
      </c>
      <c r="C126" t="s">
        <v>50</v>
      </c>
      <c r="D126">
        <v>54</v>
      </c>
    </row>
    <row r="127" spans="1:4">
      <c r="A127" t="s">
        <v>102</v>
      </c>
      <c r="B127" s="71">
        <v>35891</v>
      </c>
      <c r="C127" t="s">
        <v>51</v>
      </c>
      <c r="D127">
        <v>101.25</v>
      </c>
    </row>
    <row r="128" spans="1:4">
      <c r="A128" t="s">
        <v>102</v>
      </c>
      <c r="B128" s="71">
        <v>35893</v>
      </c>
      <c r="C128" t="s">
        <v>51</v>
      </c>
      <c r="D128">
        <v>54</v>
      </c>
    </row>
    <row r="129" spans="1:4">
      <c r="A129" t="s">
        <v>102</v>
      </c>
      <c r="B129" s="71">
        <v>35894</v>
      </c>
      <c r="C129" t="s">
        <v>51</v>
      </c>
      <c r="D129">
        <v>45</v>
      </c>
    </row>
    <row r="130" spans="1:4">
      <c r="A130" t="s">
        <v>102</v>
      </c>
      <c r="B130" s="71">
        <v>35901</v>
      </c>
      <c r="C130" t="s">
        <v>49</v>
      </c>
      <c r="D130">
        <v>101.25</v>
      </c>
    </row>
    <row r="131" spans="1:4">
      <c r="A131" t="s">
        <v>102</v>
      </c>
      <c r="B131" s="71">
        <v>35902</v>
      </c>
      <c r="C131" t="s">
        <v>37</v>
      </c>
      <c r="D131">
        <v>94.5</v>
      </c>
    </row>
    <row r="132" spans="1:4">
      <c r="A132" t="s">
        <v>102</v>
      </c>
      <c r="B132" s="71">
        <v>35912</v>
      </c>
      <c r="C132" t="s">
        <v>52</v>
      </c>
      <c r="D132">
        <v>35.999999865889549</v>
      </c>
    </row>
    <row r="133" spans="1:4">
      <c r="A133" t="s">
        <v>102</v>
      </c>
      <c r="B133" s="71">
        <v>35913</v>
      </c>
      <c r="C133" t="s">
        <v>52</v>
      </c>
      <c r="D133">
        <v>67.5</v>
      </c>
    </row>
    <row r="134" spans="1:4">
      <c r="A134" t="s">
        <v>102</v>
      </c>
      <c r="B134" s="71">
        <v>35920</v>
      </c>
      <c r="C134" t="s">
        <v>51</v>
      </c>
      <c r="D134">
        <v>90</v>
      </c>
    </row>
    <row r="135" spans="1:4">
      <c r="A135" t="s">
        <v>102</v>
      </c>
      <c r="B135" s="71">
        <v>35299</v>
      </c>
      <c r="C135" t="s">
        <v>50</v>
      </c>
      <c r="D135">
        <v>224</v>
      </c>
    </row>
    <row r="136" spans="1:4">
      <c r="A136" t="s">
        <v>102</v>
      </c>
      <c r="B136" s="71">
        <v>35334</v>
      </c>
      <c r="C136" t="s">
        <v>42</v>
      </c>
      <c r="D136">
        <v>156.80000000000001</v>
      </c>
    </row>
    <row r="137" spans="1:4">
      <c r="A137" t="s">
        <v>102</v>
      </c>
      <c r="B137" s="71">
        <v>35389</v>
      </c>
      <c r="C137" t="s">
        <v>30</v>
      </c>
      <c r="D137">
        <v>106.3999999165535</v>
      </c>
    </row>
    <row r="138" spans="1:4">
      <c r="A138" t="s">
        <v>102</v>
      </c>
      <c r="B138" s="71">
        <v>35397</v>
      </c>
      <c r="C138" t="s">
        <v>52</v>
      </c>
      <c r="D138">
        <v>403.2</v>
      </c>
    </row>
    <row r="139" spans="1:4">
      <c r="A139" t="s">
        <v>102</v>
      </c>
      <c r="B139" s="71">
        <v>35417</v>
      </c>
      <c r="C139" t="s">
        <v>48</v>
      </c>
      <c r="D139">
        <v>112</v>
      </c>
    </row>
    <row r="140" spans="1:4">
      <c r="A140" t="s">
        <v>102</v>
      </c>
      <c r="B140" s="71">
        <v>35467</v>
      </c>
      <c r="C140" t="s">
        <v>45</v>
      </c>
      <c r="D140">
        <v>179.19999933242798</v>
      </c>
    </row>
    <row r="141" spans="1:4">
      <c r="A141" t="s">
        <v>102</v>
      </c>
      <c r="B141" s="71">
        <v>35513</v>
      </c>
      <c r="C141" t="s">
        <v>52</v>
      </c>
      <c r="D141">
        <v>372.39999970793724</v>
      </c>
    </row>
    <row r="142" spans="1:4">
      <c r="A142" t="s">
        <v>102</v>
      </c>
      <c r="B142" s="71">
        <v>35576</v>
      </c>
      <c r="C142" t="s">
        <v>45</v>
      </c>
      <c r="D142">
        <v>105</v>
      </c>
    </row>
    <row r="143" spans="1:4">
      <c r="A143" t="s">
        <v>102</v>
      </c>
      <c r="B143" s="71">
        <v>35600</v>
      </c>
      <c r="C143" t="s">
        <v>52</v>
      </c>
      <c r="D143">
        <v>560</v>
      </c>
    </row>
    <row r="144" spans="1:4">
      <c r="A144" t="s">
        <v>102</v>
      </c>
      <c r="B144" s="71">
        <v>35704</v>
      </c>
      <c r="C144" t="s">
        <v>42</v>
      </c>
      <c r="D144">
        <v>196</v>
      </c>
    </row>
    <row r="145" spans="1:4">
      <c r="A145" t="s">
        <v>102</v>
      </c>
      <c r="B145" s="71">
        <v>35713</v>
      </c>
      <c r="C145" t="s">
        <v>45</v>
      </c>
      <c r="D145">
        <v>134.39999949932098</v>
      </c>
    </row>
    <row r="146" spans="1:4">
      <c r="A146" t="s">
        <v>102</v>
      </c>
      <c r="B146" s="71">
        <v>35761</v>
      </c>
      <c r="C146" t="s">
        <v>37</v>
      </c>
      <c r="D146">
        <v>420</v>
      </c>
    </row>
    <row r="147" spans="1:4">
      <c r="A147" t="s">
        <v>102</v>
      </c>
      <c r="B147" s="71">
        <v>35794</v>
      </c>
      <c r="C147" t="s">
        <v>51</v>
      </c>
      <c r="D147">
        <v>140</v>
      </c>
    </row>
    <row r="148" spans="1:4">
      <c r="A148" t="s">
        <v>102</v>
      </c>
      <c r="B148" s="71">
        <v>35842</v>
      </c>
      <c r="C148" t="s">
        <v>52</v>
      </c>
      <c r="D148">
        <v>140</v>
      </c>
    </row>
    <row r="149" spans="1:4">
      <c r="A149" t="s">
        <v>102</v>
      </c>
      <c r="B149" s="71">
        <v>35864</v>
      </c>
      <c r="C149" t="s">
        <v>52</v>
      </c>
      <c r="D149">
        <v>280</v>
      </c>
    </row>
    <row r="150" spans="1:4">
      <c r="A150" t="s">
        <v>102</v>
      </c>
      <c r="B150" s="71">
        <v>35886</v>
      </c>
      <c r="C150" t="s">
        <v>51</v>
      </c>
      <c r="D150">
        <v>713.99999499320984</v>
      </c>
    </row>
    <row r="151" spans="1:4">
      <c r="A151" t="s">
        <v>102</v>
      </c>
      <c r="B151" s="71">
        <v>35893</v>
      </c>
      <c r="C151" t="s">
        <v>52</v>
      </c>
      <c r="D151">
        <v>1196.9999990612268</v>
      </c>
    </row>
    <row r="152" spans="1:4">
      <c r="A152" t="s">
        <v>102</v>
      </c>
      <c r="B152" s="71">
        <v>35915</v>
      </c>
      <c r="C152" t="s">
        <v>45</v>
      </c>
      <c r="D152">
        <v>420</v>
      </c>
    </row>
    <row r="153" spans="1:4">
      <c r="A153" t="s">
        <v>102</v>
      </c>
      <c r="B153" s="71">
        <v>35916</v>
      </c>
      <c r="C153" t="s">
        <v>52</v>
      </c>
      <c r="D153">
        <v>490</v>
      </c>
    </row>
    <row r="154" spans="1:4">
      <c r="A154" t="s">
        <v>102</v>
      </c>
      <c r="B154" s="71">
        <v>35265</v>
      </c>
      <c r="C154" t="s">
        <v>42</v>
      </c>
      <c r="D154">
        <v>288</v>
      </c>
    </row>
    <row r="155" spans="1:4">
      <c r="A155" t="s">
        <v>102</v>
      </c>
      <c r="B155" s="71">
        <v>35291</v>
      </c>
      <c r="C155" t="s">
        <v>42</v>
      </c>
      <c r="D155">
        <v>57.6</v>
      </c>
    </row>
    <row r="156" spans="1:4">
      <c r="A156" t="s">
        <v>102</v>
      </c>
      <c r="B156" s="71">
        <v>35298</v>
      </c>
      <c r="C156" t="s">
        <v>50</v>
      </c>
      <c r="D156">
        <v>1440</v>
      </c>
    </row>
    <row r="157" spans="1:4">
      <c r="A157" t="s">
        <v>102</v>
      </c>
      <c r="B157" s="71">
        <v>35341</v>
      </c>
      <c r="C157" t="s">
        <v>45</v>
      </c>
      <c r="D157">
        <v>144</v>
      </c>
    </row>
    <row r="158" spans="1:4">
      <c r="A158" t="s">
        <v>102</v>
      </c>
      <c r="B158" s="71">
        <v>35346</v>
      </c>
      <c r="C158" t="s">
        <v>48</v>
      </c>
      <c r="D158">
        <v>856.79999399185181</v>
      </c>
    </row>
    <row r="159" spans="1:4">
      <c r="A159" t="s">
        <v>102</v>
      </c>
      <c r="B159" s="71">
        <v>35422</v>
      </c>
      <c r="C159" t="s">
        <v>37</v>
      </c>
      <c r="D159">
        <v>518.39999914169312</v>
      </c>
    </row>
    <row r="160" spans="1:4">
      <c r="A160" t="s">
        <v>102</v>
      </c>
      <c r="B160" s="71">
        <v>35429</v>
      </c>
      <c r="C160" t="s">
        <v>51</v>
      </c>
      <c r="D160">
        <v>432</v>
      </c>
    </row>
    <row r="161" spans="1:4">
      <c r="A161" t="s">
        <v>102</v>
      </c>
      <c r="B161" s="71">
        <v>35431</v>
      </c>
      <c r="C161" t="s">
        <v>49</v>
      </c>
      <c r="D161">
        <v>504</v>
      </c>
    </row>
    <row r="162" spans="1:4">
      <c r="A162" t="s">
        <v>102</v>
      </c>
      <c r="B162" s="71">
        <v>35453</v>
      </c>
      <c r="C162" t="s">
        <v>52</v>
      </c>
      <c r="D162">
        <v>691.19999742507935</v>
      </c>
    </row>
    <row r="163" spans="1:4">
      <c r="A163" t="s">
        <v>102</v>
      </c>
      <c r="B163" s="71">
        <v>35473</v>
      </c>
      <c r="C163" t="s">
        <v>45</v>
      </c>
      <c r="D163">
        <v>115.2</v>
      </c>
    </row>
    <row r="164" spans="1:4">
      <c r="A164" t="s">
        <v>102</v>
      </c>
      <c r="B164" s="71">
        <v>35549</v>
      </c>
      <c r="C164" t="s">
        <v>50</v>
      </c>
      <c r="D164">
        <v>54</v>
      </c>
    </row>
    <row r="165" spans="1:4">
      <c r="A165" t="s">
        <v>102</v>
      </c>
      <c r="B165" s="71">
        <v>35573</v>
      </c>
      <c r="C165" t="s">
        <v>49</v>
      </c>
      <c r="D165">
        <v>540</v>
      </c>
    </row>
    <row r="166" spans="1:4">
      <c r="A166" t="s">
        <v>102</v>
      </c>
      <c r="B166" s="71">
        <v>35578</v>
      </c>
      <c r="C166" t="s">
        <v>42</v>
      </c>
      <c r="D166">
        <v>305.99999785423279</v>
      </c>
    </row>
    <row r="167" spans="1:4">
      <c r="A167" t="s">
        <v>102</v>
      </c>
      <c r="B167" s="71">
        <v>35580</v>
      </c>
      <c r="C167" t="s">
        <v>51</v>
      </c>
      <c r="D167">
        <v>108</v>
      </c>
    </row>
    <row r="168" spans="1:4">
      <c r="A168" t="s">
        <v>102</v>
      </c>
      <c r="B168" s="71">
        <v>35605</v>
      </c>
      <c r="C168" t="s">
        <v>42</v>
      </c>
      <c r="D168">
        <v>360</v>
      </c>
    </row>
    <row r="169" spans="1:4">
      <c r="A169" t="s">
        <v>102</v>
      </c>
      <c r="B169" s="71">
        <v>35613</v>
      </c>
      <c r="C169" t="s">
        <v>49</v>
      </c>
      <c r="D169">
        <v>360</v>
      </c>
    </row>
    <row r="170" spans="1:4">
      <c r="A170" t="s">
        <v>102</v>
      </c>
      <c r="B170" s="71">
        <v>35615</v>
      </c>
      <c r="C170" t="s">
        <v>50</v>
      </c>
      <c r="D170">
        <v>72</v>
      </c>
    </row>
    <row r="171" spans="1:4">
      <c r="A171" t="s">
        <v>102</v>
      </c>
      <c r="B171" s="71">
        <v>35621</v>
      </c>
      <c r="C171" t="s">
        <v>51</v>
      </c>
      <c r="D171">
        <v>405</v>
      </c>
    </row>
    <row r="172" spans="1:4">
      <c r="A172" t="s">
        <v>102</v>
      </c>
      <c r="B172" s="71">
        <v>35649</v>
      </c>
      <c r="C172" t="s">
        <v>50</v>
      </c>
      <c r="D172">
        <v>485.9999991953373</v>
      </c>
    </row>
    <row r="173" spans="1:4">
      <c r="A173" t="s">
        <v>102</v>
      </c>
      <c r="B173" s="71">
        <v>35711</v>
      </c>
      <c r="C173" t="s">
        <v>45</v>
      </c>
      <c r="D173">
        <v>121.5</v>
      </c>
    </row>
    <row r="174" spans="1:4">
      <c r="A174" t="s">
        <v>102</v>
      </c>
      <c r="B174" s="71">
        <v>35731</v>
      </c>
      <c r="C174" t="s">
        <v>50</v>
      </c>
      <c r="D174">
        <v>378</v>
      </c>
    </row>
    <row r="175" spans="1:4">
      <c r="A175" t="s">
        <v>102</v>
      </c>
      <c r="B175" s="71">
        <v>35747</v>
      </c>
      <c r="C175" t="s">
        <v>42</v>
      </c>
      <c r="D175">
        <v>503.99999812245369</v>
      </c>
    </row>
    <row r="176" spans="1:4">
      <c r="A176" t="s">
        <v>102</v>
      </c>
      <c r="B176" s="71">
        <v>35786</v>
      </c>
      <c r="C176" t="s">
        <v>49</v>
      </c>
      <c r="D176">
        <v>270</v>
      </c>
    </row>
    <row r="177" spans="1:4">
      <c r="A177" t="s">
        <v>102</v>
      </c>
      <c r="B177" s="71">
        <v>35803</v>
      </c>
      <c r="C177" t="s">
        <v>49</v>
      </c>
      <c r="D177">
        <v>360</v>
      </c>
    </row>
    <row r="178" spans="1:4">
      <c r="A178" t="s">
        <v>102</v>
      </c>
      <c r="B178" s="71">
        <v>35809</v>
      </c>
      <c r="C178" t="s">
        <v>45</v>
      </c>
      <c r="D178">
        <v>144</v>
      </c>
    </row>
    <row r="179" spans="1:4">
      <c r="A179" t="s">
        <v>102</v>
      </c>
      <c r="B179" s="71">
        <v>35811</v>
      </c>
      <c r="C179" t="s">
        <v>52</v>
      </c>
      <c r="D179">
        <v>108</v>
      </c>
    </row>
    <row r="180" spans="1:4">
      <c r="A180" t="s">
        <v>102</v>
      </c>
      <c r="B180" s="71">
        <v>35816</v>
      </c>
      <c r="C180" t="s">
        <v>50</v>
      </c>
      <c r="D180">
        <v>404.99999932944775</v>
      </c>
    </row>
    <row r="181" spans="1:4">
      <c r="A181" t="s">
        <v>102</v>
      </c>
      <c r="B181" s="71">
        <v>35828</v>
      </c>
      <c r="C181" t="s">
        <v>42</v>
      </c>
      <c r="D181">
        <v>72</v>
      </c>
    </row>
    <row r="182" spans="1:4">
      <c r="A182" t="s">
        <v>102</v>
      </c>
      <c r="B182" s="71">
        <v>35830</v>
      </c>
      <c r="C182" t="s">
        <v>52</v>
      </c>
      <c r="D182">
        <v>540</v>
      </c>
    </row>
    <row r="183" spans="1:4">
      <c r="A183" t="s">
        <v>102</v>
      </c>
      <c r="B183" s="71">
        <v>35830</v>
      </c>
      <c r="C183" t="s">
        <v>30</v>
      </c>
      <c r="D183">
        <v>54</v>
      </c>
    </row>
    <row r="184" spans="1:4">
      <c r="A184" t="s">
        <v>102</v>
      </c>
      <c r="B184" s="71">
        <v>35857</v>
      </c>
      <c r="C184" t="s">
        <v>49</v>
      </c>
      <c r="D184">
        <v>180</v>
      </c>
    </row>
    <row r="185" spans="1:4">
      <c r="A185" t="s">
        <v>102</v>
      </c>
      <c r="B185" s="71">
        <v>35872</v>
      </c>
      <c r="C185" t="s">
        <v>50</v>
      </c>
      <c r="D185">
        <v>720</v>
      </c>
    </row>
    <row r="186" spans="1:4">
      <c r="A186" t="s">
        <v>102</v>
      </c>
      <c r="B186" s="71">
        <v>35891</v>
      </c>
      <c r="C186" t="s">
        <v>42</v>
      </c>
      <c r="D186">
        <v>229.49999839067459</v>
      </c>
    </row>
    <row r="187" spans="1:4">
      <c r="A187" t="s">
        <v>102</v>
      </c>
      <c r="B187" s="71">
        <v>35905</v>
      </c>
      <c r="C187" t="s">
        <v>51</v>
      </c>
      <c r="D187">
        <v>1080</v>
      </c>
    </row>
    <row r="188" spans="1:4">
      <c r="A188" t="s">
        <v>102</v>
      </c>
      <c r="B188" s="71">
        <v>35906</v>
      </c>
      <c r="C188" t="s">
        <v>49</v>
      </c>
      <c r="D188">
        <v>432</v>
      </c>
    </row>
    <row r="189" spans="1:4">
      <c r="A189" t="s">
        <v>102</v>
      </c>
      <c r="B189" s="71">
        <v>35908</v>
      </c>
      <c r="C189" t="s">
        <v>50</v>
      </c>
      <c r="D189">
        <v>307.79999975860119</v>
      </c>
    </row>
    <row r="190" spans="1:4">
      <c r="A190" t="s">
        <v>102</v>
      </c>
      <c r="B190" s="71">
        <v>35353</v>
      </c>
      <c r="C190" t="s">
        <v>42</v>
      </c>
      <c r="D190">
        <v>4005.1999968588352</v>
      </c>
    </row>
    <row r="191" spans="1:4">
      <c r="A191" t="s">
        <v>102</v>
      </c>
      <c r="B191" s="71">
        <v>35380</v>
      </c>
      <c r="C191" t="s">
        <v>49</v>
      </c>
      <c r="D191">
        <v>4005.1999968588352</v>
      </c>
    </row>
    <row r="192" spans="1:4">
      <c r="A192" t="s">
        <v>102</v>
      </c>
      <c r="B192" s="71">
        <v>35382</v>
      </c>
      <c r="C192" t="s">
        <v>52</v>
      </c>
      <c r="D192">
        <v>8431.9999685883522</v>
      </c>
    </row>
    <row r="193" spans="1:4">
      <c r="A193" t="s">
        <v>102</v>
      </c>
      <c r="B193" s="71">
        <v>35391</v>
      </c>
      <c r="C193" t="s">
        <v>42</v>
      </c>
      <c r="D193">
        <v>2108</v>
      </c>
    </row>
    <row r="194" spans="1:4">
      <c r="A194" t="s">
        <v>102</v>
      </c>
      <c r="B194" s="71">
        <v>35403</v>
      </c>
      <c r="C194" t="s">
        <v>30</v>
      </c>
      <c r="D194">
        <v>6324</v>
      </c>
    </row>
    <row r="195" spans="1:4">
      <c r="A195" t="s">
        <v>102</v>
      </c>
      <c r="B195" s="71">
        <v>35446</v>
      </c>
      <c r="C195" t="s">
        <v>42</v>
      </c>
      <c r="D195">
        <v>10540</v>
      </c>
    </row>
    <row r="196" spans="1:4">
      <c r="A196" t="s">
        <v>102</v>
      </c>
      <c r="B196" s="71">
        <v>35453</v>
      </c>
      <c r="C196" t="s">
        <v>52</v>
      </c>
      <c r="D196">
        <v>8263.3599692165863</v>
      </c>
    </row>
    <row r="197" spans="1:4">
      <c r="A197" t="s">
        <v>102</v>
      </c>
      <c r="B197" s="71">
        <v>35508</v>
      </c>
      <c r="C197" t="s">
        <v>45</v>
      </c>
      <c r="D197">
        <v>6324</v>
      </c>
    </row>
    <row r="198" spans="1:4">
      <c r="A198" t="s">
        <v>102</v>
      </c>
      <c r="B198" s="71">
        <v>35545</v>
      </c>
      <c r="C198" t="s">
        <v>42</v>
      </c>
      <c r="D198">
        <v>3952.5</v>
      </c>
    </row>
    <row r="199" spans="1:4">
      <c r="A199" t="s">
        <v>102</v>
      </c>
      <c r="B199" s="71">
        <v>35569</v>
      </c>
      <c r="C199" t="s">
        <v>45</v>
      </c>
      <c r="D199">
        <v>7905</v>
      </c>
    </row>
    <row r="200" spans="1:4">
      <c r="A200" t="s">
        <v>102</v>
      </c>
      <c r="B200" s="71">
        <v>35569</v>
      </c>
      <c r="C200" t="s">
        <v>51</v>
      </c>
      <c r="D200">
        <v>948.59999842941761</v>
      </c>
    </row>
    <row r="201" spans="1:4">
      <c r="A201" t="s">
        <v>102</v>
      </c>
      <c r="B201" s="71">
        <v>35642</v>
      </c>
      <c r="C201" t="s">
        <v>49</v>
      </c>
      <c r="D201">
        <v>3754.874997055158</v>
      </c>
    </row>
    <row r="202" spans="1:4">
      <c r="A202" t="s">
        <v>102</v>
      </c>
      <c r="B202" s="71">
        <v>35690</v>
      </c>
      <c r="C202" t="s">
        <v>48</v>
      </c>
      <c r="D202">
        <v>3557.249994110316</v>
      </c>
    </row>
    <row r="203" spans="1:4">
      <c r="A203" t="s">
        <v>102</v>
      </c>
      <c r="B203" s="71">
        <v>35782</v>
      </c>
      <c r="C203" t="s">
        <v>42</v>
      </c>
      <c r="D203">
        <v>1317.5</v>
      </c>
    </row>
    <row r="204" spans="1:4">
      <c r="A204" t="s">
        <v>102</v>
      </c>
      <c r="B204" s="71">
        <v>35794</v>
      </c>
      <c r="C204" t="s">
        <v>51</v>
      </c>
      <c r="D204">
        <v>2635</v>
      </c>
    </row>
    <row r="205" spans="1:4">
      <c r="A205" t="s">
        <v>102</v>
      </c>
      <c r="B205" s="71">
        <v>35801</v>
      </c>
      <c r="C205" t="s">
        <v>42</v>
      </c>
      <c r="D205">
        <v>7509.749994110316</v>
      </c>
    </row>
    <row r="206" spans="1:4">
      <c r="A206" t="s">
        <v>102</v>
      </c>
      <c r="B206" s="71">
        <v>35801</v>
      </c>
      <c r="C206" t="s">
        <v>45</v>
      </c>
      <c r="D206">
        <v>7905</v>
      </c>
    </row>
    <row r="207" spans="1:4">
      <c r="A207" t="s">
        <v>102</v>
      </c>
      <c r="B207" s="71">
        <v>35808</v>
      </c>
      <c r="C207" t="s">
        <v>48</v>
      </c>
      <c r="D207">
        <v>527</v>
      </c>
    </row>
    <row r="208" spans="1:4">
      <c r="A208" t="s">
        <v>102</v>
      </c>
      <c r="B208" s="71">
        <v>35809</v>
      </c>
      <c r="C208" t="s">
        <v>45</v>
      </c>
      <c r="D208">
        <v>2108</v>
      </c>
    </row>
    <row r="209" spans="1:4">
      <c r="A209" t="s">
        <v>102</v>
      </c>
      <c r="B209" s="71">
        <v>35828</v>
      </c>
      <c r="C209" t="s">
        <v>51</v>
      </c>
      <c r="D209">
        <v>15019.499988220632</v>
      </c>
    </row>
    <row r="210" spans="1:4">
      <c r="A210" t="s">
        <v>102</v>
      </c>
      <c r="B210" s="71">
        <v>35842</v>
      </c>
      <c r="C210" t="s">
        <v>48</v>
      </c>
      <c r="D210">
        <v>10540</v>
      </c>
    </row>
    <row r="211" spans="1:4">
      <c r="A211" t="s">
        <v>102</v>
      </c>
      <c r="B211" s="71">
        <v>35874</v>
      </c>
      <c r="C211" t="s">
        <v>45</v>
      </c>
      <c r="D211">
        <v>1317.5</v>
      </c>
    </row>
    <row r="212" spans="1:4">
      <c r="A212" t="s">
        <v>102</v>
      </c>
      <c r="B212" s="71">
        <v>35881</v>
      </c>
      <c r="C212" t="s">
        <v>49</v>
      </c>
      <c r="D212">
        <v>15810</v>
      </c>
    </row>
    <row r="213" spans="1:4">
      <c r="A213" t="s">
        <v>102</v>
      </c>
      <c r="B213" s="71">
        <v>35902</v>
      </c>
      <c r="C213" t="s">
        <v>51</v>
      </c>
      <c r="D213">
        <v>6587.5</v>
      </c>
    </row>
    <row r="214" spans="1:4">
      <c r="A214" t="s">
        <v>102</v>
      </c>
      <c r="B214" s="71">
        <v>35256</v>
      </c>
      <c r="C214" t="s">
        <v>45</v>
      </c>
      <c r="D214">
        <v>604.79999999999995</v>
      </c>
    </row>
    <row r="215" spans="1:4">
      <c r="A215" t="s">
        <v>102</v>
      </c>
      <c r="B215" s="71">
        <v>35262</v>
      </c>
      <c r="C215" t="s">
        <v>42</v>
      </c>
      <c r="D215">
        <v>86.4</v>
      </c>
    </row>
    <row r="216" spans="1:4">
      <c r="A216" t="s">
        <v>102</v>
      </c>
      <c r="B216" s="71">
        <v>35312</v>
      </c>
      <c r="C216" t="s">
        <v>30</v>
      </c>
      <c r="D216">
        <v>864</v>
      </c>
    </row>
    <row r="217" spans="1:4">
      <c r="A217" t="s">
        <v>102</v>
      </c>
      <c r="B217" s="71">
        <v>35321</v>
      </c>
      <c r="C217" t="s">
        <v>50</v>
      </c>
      <c r="D217">
        <v>388.79999935626984</v>
      </c>
    </row>
    <row r="218" spans="1:4">
      <c r="A218" t="s">
        <v>102</v>
      </c>
      <c r="B218" s="71">
        <v>35345</v>
      </c>
      <c r="C218" t="s">
        <v>42</v>
      </c>
      <c r="D218">
        <v>57.6</v>
      </c>
    </row>
    <row r="219" spans="1:4">
      <c r="A219" t="s">
        <v>102</v>
      </c>
      <c r="B219" s="71">
        <v>35375</v>
      </c>
      <c r="C219" t="s">
        <v>42</v>
      </c>
      <c r="D219">
        <v>611.99999570846558</v>
      </c>
    </row>
    <row r="220" spans="1:4">
      <c r="A220" t="s">
        <v>102</v>
      </c>
      <c r="B220" s="71">
        <v>35391</v>
      </c>
      <c r="C220" t="s">
        <v>49</v>
      </c>
      <c r="D220">
        <v>699.83999884128571</v>
      </c>
    </row>
    <row r="221" spans="1:4">
      <c r="A221" t="s">
        <v>102</v>
      </c>
      <c r="B221" s="71">
        <v>35408</v>
      </c>
      <c r="C221" t="s">
        <v>49</v>
      </c>
      <c r="D221">
        <v>244.79999828338623</v>
      </c>
    </row>
    <row r="222" spans="1:4">
      <c r="A222" t="s">
        <v>102</v>
      </c>
      <c r="B222" s="71">
        <v>35474</v>
      </c>
      <c r="C222" t="s">
        <v>45</v>
      </c>
      <c r="D222">
        <v>86.4</v>
      </c>
    </row>
    <row r="223" spans="1:4">
      <c r="A223" t="s">
        <v>102</v>
      </c>
      <c r="B223" s="71">
        <v>35485</v>
      </c>
      <c r="C223" t="s">
        <v>50</v>
      </c>
      <c r="D223">
        <v>288</v>
      </c>
    </row>
    <row r="224" spans="1:4">
      <c r="A224" t="s">
        <v>102</v>
      </c>
      <c r="B224" s="71">
        <v>35506</v>
      </c>
      <c r="C224" t="s">
        <v>30</v>
      </c>
      <c r="D224">
        <v>216</v>
      </c>
    </row>
    <row r="225" spans="1:4">
      <c r="A225" t="s">
        <v>102</v>
      </c>
      <c r="B225" s="71">
        <v>35536</v>
      </c>
      <c r="C225" t="s">
        <v>49</v>
      </c>
      <c r="D225">
        <v>180</v>
      </c>
    </row>
    <row r="226" spans="1:4">
      <c r="A226" t="s">
        <v>102</v>
      </c>
      <c r="B226" s="71">
        <v>35604</v>
      </c>
      <c r="C226" t="s">
        <v>48</v>
      </c>
      <c r="D226">
        <v>180</v>
      </c>
    </row>
    <row r="227" spans="1:4">
      <c r="A227" t="s">
        <v>102</v>
      </c>
      <c r="B227" s="71">
        <v>35640</v>
      </c>
      <c r="C227" t="s">
        <v>50</v>
      </c>
      <c r="D227">
        <v>90</v>
      </c>
    </row>
    <row r="228" spans="1:4">
      <c r="A228" t="s">
        <v>102</v>
      </c>
      <c r="B228" s="71">
        <v>35667</v>
      </c>
      <c r="C228" t="s">
        <v>37</v>
      </c>
      <c r="D228">
        <v>283.5</v>
      </c>
    </row>
    <row r="229" spans="1:4">
      <c r="A229" t="s">
        <v>102</v>
      </c>
      <c r="B229" s="71">
        <v>35669</v>
      </c>
      <c r="C229" t="s">
        <v>42</v>
      </c>
      <c r="D229">
        <v>360</v>
      </c>
    </row>
    <row r="230" spans="1:4">
      <c r="A230" t="s">
        <v>102</v>
      </c>
      <c r="B230" s="71">
        <v>35675</v>
      </c>
      <c r="C230" t="s">
        <v>30</v>
      </c>
      <c r="D230">
        <v>323.9999994635582</v>
      </c>
    </row>
    <row r="231" spans="1:4">
      <c r="A231" t="s">
        <v>102</v>
      </c>
      <c r="B231" s="71">
        <v>35682</v>
      </c>
      <c r="C231" t="s">
        <v>52</v>
      </c>
      <c r="D231">
        <v>43.199999839067459</v>
      </c>
    </row>
    <row r="232" spans="1:4">
      <c r="A232" t="s">
        <v>102</v>
      </c>
      <c r="B232" s="71">
        <v>35766</v>
      </c>
      <c r="C232" t="s">
        <v>45</v>
      </c>
      <c r="D232">
        <v>288</v>
      </c>
    </row>
    <row r="233" spans="1:4">
      <c r="A233" t="s">
        <v>102</v>
      </c>
      <c r="B233" s="71">
        <v>35767</v>
      </c>
      <c r="C233" t="s">
        <v>37</v>
      </c>
      <c r="D233">
        <v>2105.9999965131283</v>
      </c>
    </row>
    <row r="234" spans="1:4">
      <c r="A234" t="s">
        <v>102</v>
      </c>
      <c r="B234" s="71">
        <v>35782</v>
      </c>
      <c r="C234" t="s">
        <v>42</v>
      </c>
      <c r="D234">
        <v>30.599999785423279</v>
      </c>
    </row>
    <row r="235" spans="1:4">
      <c r="A235" t="s">
        <v>102</v>
      </c>
      <c r="B235" s="71">
        <v>35807</v>
      </c>
      <c r="C235" t="s">
        <v>49</v>
      </c>
      <c r="D235">
        <v>378</v>
      </c>
    </row>
    <row r="236" spans="1:4">
      <c r="A236" t="s">
        <v>102</v>
      </c>
      <c r="B236" s="71">
        <v>35808</v>
      </c>
      <c r="C236" t="s">
        <v>42</v>
      </c>
      <c r="D236">
        <v>504</v>
      </c>
    </row>
    <row r="237" spans="1:4">
      <c r="A237" t="s">
        <v>102</v>
      </c>
      <c r="B237" s="71">
        <v>35814</v>
      </c>
      <c r="C237" t="s">
        <v>42</v>
      </c>
      <c r="D237">
        <v>143.9999994635582</v>
      </c>
    </row>
    <row r="238" spans="1:4">
      <c r="A238" t="s">
        <v>102</v>
      </c>
      <c r="B238" s="71">
        <v>35828</v>
      </c>
      <c r="C238" t="s">
        <v>51</v>
      </c>
      <c r="D238">
        <v>1367.9999989271164</v>
      </c>
    </row>
    <row r="239" spans="1:4">
      <c r="A239" t="s">
        <v>102</v>
      </c>
      <c r="B239" s="71">
        <v>35844</v>
      </c>
      <c r="C239" t="s">
        <v>45</v>
      </c>
      <c r="D239">
        <v>810</v>
      </c>
    </row>
    <row r="240" spans="1:4">
      <c r="A240" t="s">
        <v>102</v>
      </c>
      <c r="B240" s="71">
        <v>35846</v>
      </c>
      <c r="C240" t="s">
        <v>30</v>
      </c>
      <c r="D240">
        <v>122.39999914169312</v>
      </c>
    </row>
    <row r="241" spans="1:4">
      <c r="A241" t="s">
        <v>102</v>
      </c>
      <c r="B241" s="71">
        <v>35880</v>
      </c>
      <c r="C241" t="s">
        <v>50</v>
      </c>
      <c r="D241">
        <v>540</v>
      </c>
    </row>
    <row r="242" spans="1:4">
      <c r="A242" t="s">
        <v>102</v>
      </c>
      <c r="B242" s="71">
        <v>35919</v>
      </c>
      <c r="C242" t="s">
        <v>49</v>
      </c>
      <c r="D242">
        <v>360</v>
      </c>
    </row>
    <row r="243" spans="1:4">
      <c r="A243" t="s">
        <v>102</v>
      </c>
      <c r="B243" s="71">
        <v>35921</v>
      </c>
      <c r="C243" t="s">
        <v>49</v>
      </c>
      <c r="D243">
        <v>34.19999997317791</v>
      </c>
    </row>
    <row r="244" spans="1:4">
      <c r="A244" t="s">
        <v>102</v>
      </c>
      <c r="B244" s="71">
        <v>35278</v>
      </c>
      <c r="C244" t="s">
        <v>49</v>
      </c>
      <c r="D244">
        <v>920</v>
      </c>
    </row>
    <row r="245" spans="1:4">
      <c r="A245" t="s">
        <v>102</v>
      </c>
      <c r="B245" s="71">
        <v>35307</v>
      </c>
      <c r="C245" t="s">
        <v>42</v>
      </c>
      <c r="D245">
        <v>552</v>
      </c>
    </row>
    <row r="246" spans="1:4">
      <c r="A246" t="s">
        <v>102</v>
      </c>
      <c r="B246" s="71">
        <v>35318</v>
      </c>
      <c r="C246" t="s">
        <v>42</v>
      </c>
      <c r="D246">
        <v>441.6</v>
      </c>
    </row>
    <row r="247" spans="1:4">
      <c r="A247" t="s">
        <v>102</v>
      </c>
      <c r="B247" s="71">
        <v>35327</v>
      </c>
      <c r="C247" t="s">
        <v>45</v>
      </c>
      <c r="D247">
        <v>736</v>
      </c>
    </row>
    <row r="248" spans="1:4">
      <c r="A248" t="s">
        <v>102</v>
      </c>
      <c r="B248" s="71">
        <v>35331</v>
      </c>
      <c r="C248" t="s">
        <v>51</v>
      </c>
      <c r="D248">
        <v>883.2</v>
      </c>
    </row>
    <row r="249" spans="1:4">
      <c r="A249" t="s">
        <v>102</v>
      </c>
      <c r="B249" s="71">
        <v>35367</v>
      </c>
      <c r="C249" t="s">
        <v>49</v>
      </c>
      <c r="D249">
        <v>1398.3999989032745</v>
      </c>
    </row>
    <row r="250" spans="1:4">
      <c r="A250" t="s">
        <v>102</v>
      </c>
      <c r="B250" s="71">
        <v>35487</v>
      </c>
      <c r="C250" t="s">
        <v>52</v>
      </c>
      <c r="D250">
        <v>736</v>
      </c>
    </row>
    <row r="251" spans="1:4">
      <c r="A251" t="s">
        <v>102</v>
      </c>
      <c r="B251" s="71">
        <v>35493</v>
      </c>
      <c r="C251" t="s">
        <v>42</v>
      </c>
      <c r="D251">
        <v>110.4</v>
      </c>
    </row>
    <row r="252" spans="1:4">
      <c r="A252" t="s">
        <v>102</v>
      </c>
      <c r="B252" s="71">
        <v>35496</v>
      </c>
      <c r="C252" t="s">
        <v>45</v>
      </c>
      <c r="D252">
        <v>552</v>
      </c>
    </row>
    <row r="253" spans="1:4">
      <c r="A253" t="s">
        <v>102</v>
      </c>
      <c r="B253" s="71">
        <v>35535</v>
      </c>
      <c r="C253" t="s">
        <v>52</v>
      </c>
      <c r="D253">
        <v>586.49999588727951</v>
      </c>
    </row>
    <row r="254" spans="1:4">
      <c r="A254" t="s">
        <v>102</v>
      </c>
      <c r="B254" s="71">
        <v>35551</v>
      </c>
      <c r="C254" t="s">
        <v>49</v>
      </c>
      <c r="D254">
        <v>2760</v>
      </c>
    </row>
    <row r="255" spans="1:4">
      <c r="A255" t="s">
        <v>102</v>
      </c>
      <c r="B255" s="71">
        <v>35558</v>
      </c>
      <c r="C255" t="s">
        <v>45</v>
      </c>
      <c r="D255">
        <v>1150</v>
      </c>
    </row>
    <row r="256" spans="1:4">
      <c r="A256" t="s">
        <v>102</v>
      </c>
      <c r="B256" s="71">
        <v>35667</v>
      </c>
      <c r="C256" t="s">
        <v>45</v>
      </c>
      <c r="D256">
        <v>920</v>
      </c>
    </row>
    <row r="257" spans="1:4">
      <c r="A257" t="s">
        <v>102</v>
      </c>
      <c r="B257" s="71">
        <v>35691</v>
      </c>
      <c r="C257" t="s">
        <v>51</v>
      </c>
      <c r="D257">
        <v>276</v>
      </c>
    </row>
    <row r="258" spans="1:4">
      <c r="A258" t="s">
        <v>102</v>
      </c>
      <c r="B258" s="71">
        <v>35706</v>
      </c>
      <c r="C258" t="s">
        <v>51</v>
      </c>
      <c r="D258">
        <v>1840</v>
      </c>
    </row>
    <row r="259" spans="1:4">
      <c r="A259" t="s">
        <v>102</v>
      </c>
      <c r="B259" s="71">
        <v>35719</v>
      </c>
      <c r="C259" t="s">
        <v>50</v>
      </c>
      <c r="D259">
        <v>1104</v>
      </c>
    </row>
    <row r="260" spans="1:4">
      <c r="A260" t="s">
        <v>102</v>
      </c>
      <c r="B260" s="71">
        <v>35765</v>
      </c>
      <c r="C260" t="s">
        <v>42</v>
      </c>
      <c r="D260">
        <v>1035</v>
      </c>
    </row>
    <row r="261" spans="1:4">
      <c r="A261" t="s">
        <v>102</v>
      </c>
      <c r="B261" s="71">
        <v>35800</v>
      </c>
      <c r="C261" t="s">
        <v>45</v>
      </c>
      <c r="D261">
        <v>781.99999451637268</v>
      </c>
    </row>
    <row r="262" spans="1:4">
      <c r="A262" t="s">
        <v>102</v>
      </c>
      <c r="B262" s="71">
        <v>35802</v>
      </c>
      <c r="C262" t="s">
        <v>51</v>
      </c>
      <c r="D262">
        <v>322</v>
      </c>
    </row>
    <row r="263" spans="1:4">
      <c r="A263" t="s">
        <v>102</v>
      </c>
      <c r="B263" s="71">
        <v>35809</v>
      </c>
      <c r="C263" t="s">
        <v>45</v>
      </c>
      <c r="D263">
        <v>414</v>
      </c>
    </row>
    <row r="264" spans="1:4">
      <c r="A264" t="s">
        <v>102</v>
      </c>
      <c r="B264" s="71">
        <v>35815</v>
      </c>
      <c r="C264" t="s">
        <v>49</v>
      </c>
      <c r="D264">
        <v>230</v>
      </c>
    </row>
    <row r="265" spans="1:4">
      <c r="A265" t="s">
        <v>102</v>
      </c>
      <c r="B265" s="71">
        <v>35857</v>
      </c>
      <c r="C265" t="s">
        <v>52</v>
      </c>
      <c r="D265">
        <v>367.99999862909317</v>
      </c>
    </row>
    <row r="266" spans="1:4">
      <c r="A266" t="s">
        <v>102</v>
      </c>
      <c r="B266" s="71">
        <v>35864</v>
      </c>
      <c r="C266" t="s">
        <v>45</v>
      </c>
      <c r="D266">
        <v>828</v>
      </c>
    </row>
    <row r="267" spans="1:4">
      <c r="A267" t="s">
        <v>102</v>
      </c>
      <c r="B267" s="71">
        <v>35881</v>
      </c>
      <c r="C267" t="s">
        <v>51</v>
      </c>
      <c r="D267">
        <v>414</v>
      </c>
    </row>
    <row r="268" spans="1:4">
      <c r="A268" t="s">
        <v>102</v>
      </c>
      <c r="B268" s="71">
        <v>35885</v>
      </c>
      <c r="C268" t="s">
        <v>50</v>
      </c>
      <c r="D268">
        <v>276</v>
      </c>
    </row>
    <row r="269" spans="1:4">
      <c r="A269" t="s">
        <v>102</v>
      </c>
      <c r="B269" s="71">
        <v>35899</v>
      </c>
      <c r="C269" t="s">
        <v>49</v>
      </c>
      <c r="D269">
        <v>1380</v>
      </c>
    </row>
    <row r="270" spans="1:4">
      <c r="A270" t="s">
        <v>102</v>
      </c>
      <c r="B270" s="71">
        <v>35912</v>
      </c>
      <c r="C270" t="s">
        <v>45</v>
      </c>
      <c r="D270">
        <v>1103.9999958872795</v>
      </c>
    </row>
    <row r="271" spans="1:4">
      <c r="A271" t="s">
        <v>102</v>
      </c>
      <c r="B271" s="71">
        <v>35919</v>
      </c>
      <c r="C271" t="s">
        <v>50</v>
      </c>
      <c r="D271">
        <v>1407.5999901294708</v>
      </c>
    </row>
    <row r="272" spans="1:4">
      <c r="A272" t="s">
        <v>102</v>
      </c>
      <c r="B272" s="71">
        <v>35296</v>
      </c>
      <c r="C272" t="s">
        <v>42</v>
      </c>
      <c r="D272">
        <v>42</v>
      </c>
    </row>
    <row r="273" spans="1:4">
      <c r="A273" t="s">
        <v>102</v>
      </c>
      <c r="B273" s="71">
        <v>35530</v>
      </c>
      <c r="C273" t="s">
        <v>51</v>
      </c>
      <c r="D273">
        <v>420</v>
      </c>
    </row>
    <row r="274" spans="1:4">
      <c r="A274" t="s">
        <v>102</v>
      </c>
      <c r="B274" s="71">
        <v>35571</v>
      </c>
      <c r="C274" t="s">
        <v>42</v>
      </c>
      <c r="D274">
        <v>98</v>
      </c>
    </row>
    <row r="275" spans="1:4">
      <c r="A275" t="s">
        <v>102</v>
      </c>
      <c r="B275" s="71">
        <v>35689</v>
      </c>
      <c r="C275" t="s">
        <v>42</v>
      </c>
      <c r="D275">
        <v>350</v>
      </c>
    </row>
    <row r="276" spans="1:4">
      <c r="A276" t="s">
        <v>102</v>
      </c>
      <c r="B276" s="71">
        <v>35776</v>
      </c>
      <c r="C276" t="s">
        <v>52</v>
      </c>
      <c r="D276">
        <v>42</v>
      </c>
    </row>
    <row r="277" spans="1:4">
      <c r="A277" t="s">
        <v>102</v>
      </c>
      <c r="B277" s="71">
        <v>35828</v>
      </c>
      <c r="C277" t="s">
        <v>42</v>
      </c>
      <c r="D277">
        <v>210</v>
      </c>
    </row>
    <row r="278" spans="1:4">
      <c r="A278" t="s">
        <v>102</v>
      </c>
      <c r="B278" s="71">
        <v>35852</v>
      </c>
      <c r="C278" t="s">
        <v>45</v>
      </c>
      <c r="D278">
        <v>210</v>
      </c>
    </row>
    <row r="279" spans="1:4">
      <c r="A279" t="s">
        <v>102</v>
      </c>
      <c r="B279" s="71">
        <v>35857</v>
      </c>
      <c r="C279" t="s">
        <v>52</v>
      </c>
      <c r="D279">
        <v>268.79999899864197</v>
      </c>
    </row>
    <row r="280" spans="1:4">
      <c r="A280" t="s">
        <v>102</v>
      </c>
      <c r="B280" s="71">
        <v>35864</v>
      </c>
      <c r="C280" t="s">
        <v>51</v>
      </c>
      <c r="D280">
        <v>475.99999666213989</v>
      </c>
    </row>
    <row r="281" spans="1:4">
      <c r="A281" t="s">
        <v>102</v>
      </c>
      <c r="B281" s="71">
        <v>35913</v>
      </c>
      <c r="C281" t="s">
        <v>50</v>
      </c>
      <c r="D281">
        <v>280</v>
      </c>
    </row>
    <row r="282" spans="1:4">
      <c r="A282" t="s">
        <v>102</v>
      </c>
      <c r="B282" s="71">
        <v>35265</v>
      </c>
      <c r="C282" t="s">
        <v>42</v>
      </c>
      <c r="D282">
        <v>189</v>
      </c>
    </row>
    <row r="283" spans="1:4">
      <c r="A283" t="s">
        <v>102</v>
      </c>
      <c r="B283" s="71">
        <v>35271</v>
      </c>
      <c r="C283" t="s">
        <v>51</v>
      </c>
      <c r="D283">
        <v>240</v>
      </c>
    </row>
    <row r="284" spans="1:4">
      <c r="A284" t="s">
        <v>102</v>
      </c>
      <c r="B284" s="71">
        <v>35314</v>
      </c>
      <c r="C284" t="s">
        <v>42</v>
      </c>
      <c r="D284">
        <v>240</v>
      </c>
    </row>
    <row r="285" spans="1:4">
      <c r="A285" t="s">
        <v>102</v>
      </c>
      <c r="B285" s="71">
        <v>35326</v>
      </c>
      <c r="C285" t="s">
        <v>52</v>
      </c>
      <c r="D285">
        <v>60</v>
      </c>
    </row>
    <row r="286" spans="1:4">
      <c r="A286" t="s">
        <v>102</v>
      </c>
      <c r="B286" s="71">
        <v>35334</v>
      </c>
      <c r="C286" t="s">
        <v>42</v>
      </c>
      <c r="D286">
        <v>360</v>
      </c>
    </row>
    <row r="287" spans="1:4">
      <c r="A287" t="s">
        <v>102</v>
      </c>
      <c r="B287" s="71">
        <v>35411</v>
      </c>
      <c r="C287" t="s">
        <v>50</v>
      </c>
      <c r="D287">
        <v>360</v>
      </c>
    </row>
    <row r="288" spans="1:4">
      <c r="A288" t="s">
        <v>102</v>
      </c>
      <c r="B288" s="71">
        <v>35419</v>
      </c>
      <c r="C288" t="s">
        <v>42</v>
      </c>
      <c r="D288">
        <v>360</v>
      </c>
    </row>
    <row r="289" spans="1:4">
      <c r="A289" t="s">
        <v>102</v>
      </c>
      <c r="B289" s="71">
        <v>35451</v>
      </c>
      <c r="C289" t="s">
        <v>45</v>
      </c>
      <c r="D289">
        <v>86.399999856948853</v>
      </c>
    </row>
    <row r="290" spans="1:4">
      <c r="A290" t="s">
        <v>102</v>
      </c>
      <c r="B290" s="71">
        <v>35482</v>
      </c>
      <c r="C290" t="s">
        <v>49</v>
      </c>
      <c r="D290">
        <v>269.99999955296516</v>
      </c>
    </row>
    <row r="291" spans="1:4">
      <c r="A291" t="s">
        <v>102</v>
      </c>
      <c r="B291" s="71">
        <v>35506</v>
      </c>
      <c r="C291" t="s">
        <v>50</v>
      </c>
      <c r="D291">
        <v>144</v>
      </c>
    </row>
    <row r="292" spans="1:4">
      <c r="A292" t="s">
        <v>102</v>
      </c>
      <c r="B292" s="71">
        <v>35514</v>
      </c>
      <c r="C292" t="s">
        <v>42</v>
      </c>
      <c r="D292">
        <v>647.99999892711639</v>
      </c>
    </row>
    <row r="293" spans="1:4">
      <c r="A293" t="s">
        <v>102</v>
      </c>
      <c r="B293" s="71">
        <v>35535</v>
      </c>
      <c r="C293" t="s">
        <v>48</v>
      </c>
      <c r="D293">
        <v>188.99999968707561</v>
      </c>
    </row>
    <row r="294" spans="1:4">
      <c r="A294" t="s">
        <v>102</v>
      </c>
      <c r="B294" s="71">
        <v>35544</v>
      </c>
      <c r="C294" t="s">
        <v>45</v>
      </c>
      <c r="D294">
        <v>90</v>
      </c>
    </row>
    <row r="295" spans="1:4">
      <c r="A295" t="s">
        <v>102</v>
      </c>
      <c r="B295" s="71">
        <v>35565</v>
      </c>
      <c r="C295" t="s">
        <v>48</v>
      </c>
      <c r="D295">
        <v>105</v>
      </c>
    </row>
    <row r="296" spans="1:4">
      <c r="A296" t="s">
        <v>102</v>
      </c>
      <c r="B296" s="71">
        <v>35642</v>
      </c>
      <c r="C296" t="s">
        <v>49</v>
      </c>
      <c r="D296">
        <v>213.74999983236194</v>
      </c>
    </row>
    <row r="297" spans="1:4">
      <c r="A297" t="s">
        <v>102</v>
      </c>
      <c r="B297" s="71">
        <v>35647</v>
      </c>
      <c r="C297" t="s">
        <v>42</v>
      </c>
      <c r="D297">
        <v>300</v>
      </c>
    </row>
    <row r="298" spans="1:4">
      <c r="A298" t="s">
        <v>102</v>
      </c>
      <c r="B298" s="71">
        <v>35663</v>
      </c>
      <c r="C298" t="s">
        <v>42</v>
      </c>
      <c r="D298">
        <v>168.75</v>
      </c>
    </row>
    <row r="299" spans="1:4">
      <c r="A299" t="s">
        <v>102</v>
      </c>
      <c r="B299" s="71">
        <v>35678</v>
      </c>
      <c r="C299" t="s">
        <v>52</v>
      </c>
      <c r="D299">
        <v>569.99999955296516</v>
      </c>
    </row>
    <row r="300" spans="1:4">
      <c r="A300" t="s">
        <v>102</v>
      </c>
      <c r="B300" s="71">
        <v>35709</v>
      </c>
      <c r="C300" t="s">
        <v>50</v>
      </c>
      <c r="D300">
        <v>750</v>
      </c>
    </row>
    <row r="301" spans="1:4">
      <c r="A301" t="s">
        <v>102</v>
      </c>
      <c r="B301" s="71">
        <v>35711</v>
      </c>
      <c r="C301" t="s">
        <v>45</v>
      </c>
      <c r="D301">
        <v>337.5</v>
      </c>
    </row>
    <row r="302" spans="1:4">
      <c r="A302" t="s">
        <v>102</v>
      </c>
      <c r="B302" s="71">
        <v>35712</v>
      </c>
      <c r="C302" t="s">
        <v>42</v>
      </c>
      <c r="D302">
        <v>113.99999991059303</v>
      </c>
    </row>
    <row r="303" spans="1:4">
      <c r="A303" t="s">
        <v>102</v>
      </c>
      <c r="B303" s="71">
        <v>35719</v>
      </c>
      <c r="C303" t="s">
        <v>42</v>
      </c>
      <c r="D303">
        <v>356.99999749660492</v>
      </c>
    </row>
    <row r="304" spans="1:4">
      <c r="A304" t="s">
        <v>102</v>
      </c>
      <c r="B304" s="71">
        <v>35762</v>
      </c>
      <c r="C304" t="s">
        <v>45</v>
      </c>
      <c r="D304">
        <v>600</v>
      </c>
    </row>
    <row r="305" spans="1:4">
      <c r="A305" t="s">
        <v>102</v>
      </c>
      <c r="B305" s="71">
        <v>35780</v>
      </c>
      <c r="C305" t="s">
        <v>51</v>
      </c>
      <c r="D305">
        <v>525</v>
      </c>
    </row>
    <row r="306" spans="1:4">
      <c r="A306" t="s">
        <v>102</v>
      </c>
      <c r="B306" s="71">
        <v>35796</v>
      </c>
      <c r="C306" t="s">
        <v>51</v>
      </c>
      <c r="D306">
        <v>75</v>
      </c>
    </row>
    <row r="307" spans="1:4">
      <c r="A307" t="s">
        <v>102</v>
      </c>
      <c r="B307" s="71">
        <v>35803</v>
      </c>
      <c r="C307" t="s">
        <v>37</v>
      </c>
      <c r="D307">
        <v>90</v>
      </c>
    </row>
    <row r="308" spans="1:4">
      <c r="A308" t="s">
        <v>102</v>
      </c>
      <c r="B308" s="71">
        <v>35804</v>
      </c>
      <c r="C308" t="s">
        <v>50</v>
      </c>
      <c r="D308">
        <v>135</v>
      </c>
    </row>
    <row r="309" spans="1:4">
      <c r="A309" t="s">
        <v>102</v>
      </c>
      <c r="B309" s="71">
        <v>35810</v>
      </c>
      <c r="C309" t="s">
        <v>49</v>
      </c>
      <c r="D309">
        <v>23.999999910593033</v>
      </c>
    </row>
    <row r="310" spans="1:4">
      <c r="A310" t="s">
        <v>102</v>
      </c>
      <c r="B310" s="71">
        <v>35815</v>
      </c>
      <c r="C310" t="s">
        <v>49</v>
      </c>
      <c r="D310">
        <v>180</v>
      </c>
    </row>
    <row r="311" spans="1:4">
      <c r="A311" t="s">
        <v>102</v>
      </c>
      <c r="B311" s="71">
        <v>35817</v>
      </c>
      <c r="C311" t="s">
        <v>51</v>
      </c>
      <c r="D311">
        <v>450</v>
      </c>
    </row>
    <row r="312" spans="1:4">
      <c r="A312" t="s">
        <v>102</v>
      </c>
      <c r="B312" s="71">
        <v>35818</v>
      </c>
      <c r="C312" t="s">
        <v>49</v>
      </c>
      <c r="D312">
        <v>382.49999731779099</v>
      </c>
    </row>
    <row r="313" spans="1:4">
      <c r="A313" t="s">
        <v>102</v>
      </c>
      <c r="B313" s="71">
        <v>35824</v>
      </c>
      <c r="C313" t="s">
        <v>51</v>
      </c>
      <c r="D313">
        <v>60</v>
      </c>
    </row>
    <row r="314" spans="1:4">
      <c r="A314" t="s">
        <v>102</v>
      </c>
      <c r="B314" s="71">
        <v>35836</v>
      </c>
      <c r="C314" t="s">
        <v>52</v>
      </c>
      <c r="D314">
        <v>599.99999776482582</v>
      </c>
    </row>
    <row r="315" spans="1:4">
      <c r="A315" t="s">
        <v>102</v>
      </c>
      <c r="B315" s="71">
        <v>35838</v>
      </c>
      <c r="C315" t="s">
        <v>37</v>
      </c>
      <c r="D315">
        <v>450</v>
      </c>
    </row>
    <row r="316" spans="1:4">
      <c r="A316" t="s">
        <v>102</v>
      </c>
      <c r="B316" s="71">
        <v>35846</v>
      </c>
      <c r="C316" t="s">
        <v>49</v>
      </c>
      <c r="D316">
        <v>33.75</v>
      </c>
    </row>
    <row r="317" spans="1:4">
      <c r="A317" t="s">
        <v>102</v>
      </c>
      <c r="B317" s="71">
        <v>35886</v>
      </c>
      <c r="C317" t="s">
        <v>49</v>
      </c>
      <c r="D317">
        <v>239.99999910593033</v>
      </c>
    </row>
    <row r="318" spans="1:4">
      <c r="A318" t="s">
        <v>102</v>
      </c>
      <c r="B318" s="71">
        <v>35898</v>
      </c>
      <c r="C318" t="s">
        <v>48</v>
      </c>
      <c r="D318">
        <v>450</v>
      </c>
    </row>
    <row r="319" spans="1:4">
      <c r="A319" t="s">
        <v>102</v>
      </c>
      <c r="B319" s="71">
        <v>35906</v>
      </c>
      <c r="C319" t="s">
        <v>52</v>
      </c>
      <c r="D319">
        <v>60</v>
      </c>
    </row>
    <row r="320" spans="1:4">
      <c r="A320" t="s">
        <v>102</v>
      </c>
      <c r="B320" s="71">
        <v>35914</v>
      </c>
      <c r="C320" t="s">
        <v>45</v>
      </c>
      <c r="D320">
        <v>45</v>
      </c>
    </row>
    <row r="321" spans="1:4">
      <c r="A321" t="s">
        <v>102</v>
      </c>
      <c r="B321" s="71">
        <v>35915</v>
      </c>
      <c r="C321" t="s">
        <v>42</v>
      </c>
      <c r="D321">
        <v>143.9999994635582</v>
      </c>
    </row>
    <row r="322" spans="1:4">
      <c r="A322" t="s">
        <v>102</v>
      </c>
      <c r="B322" s="71">
        <v>35291</v>
      </c>
      <c r="C322" t="s">
        <v>51</v>
      </c>
      <c r="D322">
        <v>186</v>
      </c>
    </row>
    <row r="323" spans="1:4">
      <c r="A323" t="s">
        <v>102</v>
      </c>
      <c r="B323" s="71">
        <v>35306</v>
      </c>
      <c r="C323" t="s">
        <v>49</v>
      </c>
      <c r="D323">
        <v>37.200000000000003</v>
      </c>
    </row>
    <row r="324" spans="1:4">
      <c r="A324" t="s">
        <v>102</v>
      </c>
      <c r="B324" s="71">
        <v>35307</v>
      </c>
      <c r="C324" t="s">
        <v>42</v>
      </c>
      <c r="D324">
        <v>37.200000000000003</v>
      </c>
    </row>
    <row r="325" spans="1:4">
      <c r="A325" t="s">
        <v>102</v>
      </c>
      <c r="B325" s="71">
        <v>35331</v>
      </c>
      <c r="C325" t="s">
        <v>51</v>
      </c>
      <c r="D325">
        <v>62</v>
      </c>
    </row>
    <row r="326" spans="1:4">
      <c r="A326" t="s">
        <v>102</v>
      </c>
      <c r="B326" s="71">
        <v>35348</v>
      </c>
      <c r="C326" t="s">
        <v>42</v>
      </c>
      <c r="D326">
        <v>310</v>
      </c>
    </row>
    <row r="327" spans="1:4">
      <c r="A327" t="s">
        <v>102</v>
      </c>
      <c r="B327" s="71">
        <v>35375</v>
      </c>
      <c r="C327" t="s">
        <v>42</v>
      </c>
      <c r="D327">
        <v>31.619999778270724</v>
      </c>
    </row>
    <row r="328" spans="1:4">
      <c r="A328" t="s">
        <v>102</v>
      </c>
      <c r="B328" s="71">
        <v>35395</v>
      </c>
      <c r="C328" t="s">
        <v>42</v>
      </c>
      <c r="D328">
        <v>74.400000000000006</v>
      </c>
    </row>
    <row r="329" spans="1:4">
      <c r="A329" t="s">
        <v>102</v>
      </c>
      <c r="B329" s="71">
        <v>35466</v>
      </c>
      <c r="C329" t="s">
        <v>45</v>
      </c>
      <c r="D329">
        <v>133.91999977827072</v>
      </c>
    </row>
    <row r="330" spans="1:4">
      <c r="A330" t="s">
        <v>102</v>
      </c>
      <c r="B330" s="71">
        <v>35489</v>
      </c>
      <c r="C330" t="s">
        <v>50</v>
      </c>
      <c r="D330">
        <v>18.600000000000001</v>
      </c>
    </row>
    <row r="331" spans="1:4">
      <c r="A331" t="s">
        <v>102</v>
      </c>
      <c r="B331" s="71">
        <v>35502</v>
      </c>
      <c r="C331" t="s">
        <v>30</v>
      </c>
      <c r="D331">
        <v>62</v>
      </c>
    </row>
    <row r="332" spans="1:4">
      <c r="A332" t="s">
        <v>102</v>
      </c>
      <c r="B332" s="71">
        <v>35520</v>
      </c>
      <c r="C332" t="s">
        <v>52</v>
      </c>
      <c r="D332">
        <v>223.2</v>
      </c>
    </row>
    <row r="333" spans="1:4">
      <c r="A333" t="s">
        <v>102</v>
      </c>
      <c r="B333" s="71">
        <v>35538</v>
      </c>
      <c r="C333" t="s">
        <v>37</v>
      </c>
      <c r="D333">
        <v>251.0999995842576</v>
      </c>
    </row>
    <row r="334" spans="1:4">
      <c r="A334" t="s">
        <v>102</v>
      </c>
      <c r="B334" s="71">
        <v>35542</v>
      </c>
      <c r="C334" t="s">
        <v>45</v>
      </c>
      <c r="D334">
        <v>387.5</v>
      </c>
    </row>
    <row r="335" spans="1:4">
      <c r="A335" t="s">
        <v>102</v>
      </c>
      <c r="B335" s="71">
        <v>35579</v>
      </c>
      <c r="C335" t="s">
        <v>51</v>
      </c>
      <c r="D335">
        <v>232.5</v>
      </c>
    </row>
    <row r="336" spans="1:4">
      <c r="A336" t="s">
        <v>102</v>
      </c>
      <c r="B336" s="71">
        <v>35584</v>
      </c>
      <c r="C336" t="s">
        <v>48</v>
      </c>
      <c r="D336">
        <v>155</v>
      </c>
    </row>
    <row r="337" spans="1:4">
      <c r="A337" t="s">
        <v>102</v>
      </c>
      <c r="B337" s="71">
        <v>35599</v>
      </c>
      <c r="C337" t="s">
        <v>45</v>
      </c>
      <c r="D337">
        <v>104.624999826774</v>
      </c>
    </row>
    <row r="338" spans="1:4">
      <c r="A338" t="s">
        <v>102</v>
      </c>
      <c r="B338" s="71">
        <v>35604</v>
      </c>
      <c r="C338" t="s">
        <v>48</v>
      </c>
      <c r="D338">
        <v>155</v>
      </c>
    </row>
    <row r="339" spans="1:4">
      <c r="A339" t="s">
        <v>102</v>
      </c>
      <c r="B339" s="71">
        <v>35606</v>
      </c>
      <c r="C339" t="s">
        <v>49</v>
      </c>
      <c r="D339">
        <v>162.75</v>
      </c>
    </row>
    <row r="340" spans="1:4">
      <c r="A340" t="s">
        <v>102</v>
      </c>
      <c r="B340" s="71">
        <v>35607</v>
      </c>
      <c r="C340" t="s">
        <v>45</v>
      </c>
      <c r="D340">
        <v>309.99999884516001</v>
      </c>
    </row>
    <row r="341" spans="1:4">
      <c r="A341" t="s">
        <v>102</v>
      </c>
      <c r="B341" s="71">
        <v>35622</v>
      </c>
      <c r="C341" t="s">
        <v>50</v>
      </c>
      <c r="D341">
        <v>185.999999307096</v>
      </c>
    </row>
    <row r="342" spans="1:4">
      <c r="A342" t="s">
        <v>102</v>
      </c>
      <c r="B342" s="71">
        <v>35640</v>
      </c>
      <c r="C342" t="s">
        <v>42</v>
      </c>
      <c r="D342">
        <v>310</v>
      </c>
    </row>
    <row r="343" spans="1:4">
      <c r="A343" t="s">
        <v>102</v>
      </c>
      <c r="B343" s="71">
        <v>35656</v>
      </c>
      <c r="C343" t="s">
        <v>50</v>
      </c>
      <c r="D343">
        <v>55.799999907612801</v>
      </c>
    </row>
    <row r="344" spans="1:4">
      <c r="A344" t="s">
        <v>102</v>
      </c>
      <c r="B344" s="71">
        <v>35657</v>
      </c>
      <c r="C344" t="s">
        <v>42</v>
      </c>
      <c r="D344">
        <v>15.5</v>
      </c>
    </row>
    <row r="345" spans="1:4">
      <c r="A345" t="s">
        <v>102</v>
      </c>
      <c r="B345" s="71">
        <v>35689</v>
      </c>
      <c r="C345" t="s">
        <v>42</v>
      </c>
      <c r="D345">
        <v>193.75</v>
      </c>
    </row>
    <row r="346" spans="1:4">
      <c r="A346" t="s">
        <v>102</v>
      </c>
      <c r="B346" s="71">
        <v>35698</v>
      </c>
      <c r="C346" t="s">
        <v>45</v>
      </c>
      <c r="D346">
        <v>232.5</v>
      </c>
    </row>
    <row r="347" spans="1:4">
      <c r="A347" t="s">
        <v>102</v>
      </c>
      <c r="B347" s="71">
        <v>35732</v>
      </c>
      <c r="C347" t="s">
        <v>50</v>
      </c>
      <c r="D347">
        <v>325.5</v>
      </c>
    </row>
    <row r="348" spans="1:4">
      <c r="A348" t="s">
        <v>102</v>
      </c>
      <c r="B348" s="71">
        <v>35745</v>
      </c>
      <c r="C348" t="s">
        <v>48</v>
      </c>
      <c r="D348">
        <v>155</v>
      </c>
    </row>
    <row r="349" spans="1:4">
      <c r="A349" t="s">
        <v>102</v>
      </c>
      <c r="B349" s="71">
        <v>35766</v>
      </c>
      <c r="C349" t="s">
        <v>30</v>
      </c>
      <c r="D349">
        <v>139.5</v>
      </c>
    </row>
    <row r="350" spans="1:4">
      <c r="A350" t="s">
        <v>102</v>
      </c>
      <c r="B350" s="71">
        <v>35775</v>
      </c>
      <c r="C350" t="s">
        <v>49</v>
      </c>
      <c r="D350">
        <v>43.399999838322401</v>
      </c>
    </row>
    <row r="351" spans="1:4">
      <c r="A351" t="s">
        <v>102</v>
      </c>
      <c r="B351" s="71">
        <v>35782</v>
      </c>
      <c r="C351" t="s">
        <v>49</v>
      </c>
      <c r="D351">
        <v>77.5</v>
      </c>
    </row>
    <row r="352" spans="1:4">
      <c r="A352" t="s">
        <v>102</v>
      </c>
      <c r="B352" s="71">
        <v>35783</v>
      </c>
      <c r="C352" t="s">
        <v>50</v>
      </c>
      <c r="D352">
        <v>260.39999902993441</v>
      </c>
    </row>
    <row r="353" spans="1:4">
      <c r="A353" t="s">
        <v>102</v>
      </c>
      <c r="B353" s="71">
        <v>35786</v>
      </c>
      <c r="C353" t="s">
        <v>49</v>
      </c>
      <c r="D353">
        <v>294.499999769032</v>
      </c>
    </row>
    <row r="354" spans="1:4">
      <c r="A354" t="s">
        <v>102</v>
      </c>
      <c r="B354" s="71">
        <v>35802</v>
      </c>
      <c r="C354" t="s">
        <v>51</v>
      </c>
      <c r="D354">
        <v>155</v>
      </c>
    </row>
    <row r="355" spans="1:4">
      <c r="A355" t="s">
        <v>102</v>
      </c>
      <c r="B355" s="71">
        <v>35844</v>
      </c>
      <c r="C355" t="s">
        <v>49</v>
      </c>
      <c r="D355">
        <v>883.499999307096</v>
      </c>
    </row>
    <row r="356" spans="1:4">
      <c r="A356" t="s">
        <v>102</v>
      </c>
      <c r="B356" s="71">
        <v>35851</v>
      </c>
      <c r="C356" t="s">
        <v>37</v>
      </c>
      <c r="D356">
        <v>108.5</v>
      </c>
    </row>
    <row r="357" spans="1:4">
      <c r="A357" t="s">
        <v>102</v>
      </c>
      <c r="B357" s="71">
        <v>35858</v>
      </c>
      <c r="C357" t="s">
        <v>45</v>
      </c>
      <c r="D357">
        <v>46.5</v>
      </c>
    </row>
    <row r="358" spans="1:4">
      <c r="A358" t="s">
        <v>102</v>
      </c>
      <c r="B358" s="71">
        <v>35859</v>
      </c>
      <c r="C358" t="s">
        <v>37</v>
      </c>
      <c r="D358">
        <v>379.75</v>
      </c>
    </row>
    <row r="359" spans="1:4">
      <c r="A359" t="s">
        <v>102</v>
      </c>
      <c r="B359" s="71">
        <v>35860</v>
      </c>
      <c r="C359" t="s">
        <v>50</v>
      </c>
      <c r="D359">
        <v>139.499999769032</v>
      </c>
    </row>
    <row r="360" spans="1:4">
      <c r="A360" t="s">
        <v>102</v>
      </c>
      <c r="B360" s="71">
        <v>35870</v>
      </c>
      <c r="C360" t="s">
        <v>48</v>
      </c>
      <c r="D360">
        <v>368.12499971129</v>
      </c>
    </row>
    <row r="361" spans="1:4">
      <c r="A361" t="s">
        <v>102</v>
      </c>
      <c r="B361" s="71">
        <v>35871</v>
      </c>
      <c r="C361" t="s">
        <v>50</v>
      </c>
      <c r="D361">
        <v>74.399999722838402</v>
      </c>
    </row>
    <row r="362" spans="1:4">
      <c r="A362" t="s">
        <v>102</v>
      </c>
      <c r="B362" s="71">
        <v>35872</v>
      </c>
      <c r="C362" t="s">
        <v>37</v>
      </c>
      <c r="D362">
        <v>131.74999907612801</v>
      </c>
    </row>
    <row r="363" spans="1:4">
      <c r="A363" t="s">
        <v>102</v>
      </c>
      <c r="B363" s="71">
        <v>35878</v>
      </c>
      <c r="C363" t="s">
        <v>37</v>
      </c>
      <c r="D363">
        <v>77.5</v>
      </c>
    </row>
    <row r="364" spans="1:4">
      <c r="A364" t="s">
        <v>102</v>
      </c>
      <c r="B364" s="71">
        <v>35879</v>
      </c>
      <c r="C364" t="s">
        <v>49</v>
      </c>
      <c r="D364">
        <v>77.5</v>
      </c>
    </row>
    <row r="365" spans="1:4">
      <c r="A365" t="s">
        <v>102</v>
      </c>
      <c r="B365" s="71">
        <v>35881</v>
      </c>
      <c r="C365" t="s">
        <v>42</v>
      </c>
      <c r="D365">
        <v>247.99999907612801</v>
      </c>
    </row>
    <row r="366" spans="1:4">
      <c r="A366" t="s">
        <v>102</v>
      </c>
      <c r="B366" s="71">
        <v>35888</v>
      </c>
      <c r="C366" t="s">
        <v>50</v>
      </c>
      <c r="D366">
        <v>232.5</v>
      </c>
    </row>
    <row r="367" spans="1:4">
      <c r="A367" t="s">
        <v>102</v>
      </c>
      <c r="B367" s="71">
        <v>35921</v>
      </c>
      <c r="C367" t="s">
        <v>49</v>
      </c>
      <c r="D367">
        <v>31</v>
      </c>
    </row>
    <row r="368" spans="1:4">
      <c r="A368" t="s">
        <v>102</v>
      </c>
      <c r="B368" s="71">
        <v>35275</v>
      </c>
      <c r="C368" t="s">
        <v>42</v>
      </c>
      <c r="D368">
        <v>183.59999871253967</v>
      </c>
    </row>
    <row r="369" spans="1:4">
      <c r="A369" t="s">
        <v>102</v>
      </c>
      <c r="B369" s="71">
        <v>35282</v>
      </c>
      <c r="C369" t="s">
        <v>45</v>
      </c>
      <c r="D369">
        <v>451.43999964594838</v>
      </c>
    </row>
    <row r="370" spans="1:4">
      <c r="A370" t="s">
        <v>102</v>
      </c>
      <c r="B370" s="71">
        <v>35339</v>
      </c>
      <c r="C370" t="s">
        <v>50</v>
      </c>
      <c r="D370">
        <v>86.4</v>
      </c>
    </row>
    <row r="371" spans="1:4">
      <c r="A371" t="s">
        <v>102</v>
      </c>
      <c r="B371" s="71">
        <v>35340</v>
      </c>
      <c r="C371" t="s">
        <v>52</v>
      </c>
      <c r="D371">
        <v>432</v>
      </c>
    </row>
    <row r="372" spans="1:4">
      <c r="A372" t="s">
        <v>102</v>
      </c>
      <c r="B372" s="71">
        <v>35369</v>
      </c>
      <c r="C372" t="s">
        <v>42</v>
      </c>
      <c r="D372">
        <v>216</v>
      </c>
    </row>
    <row r="373" spans="1:4">
      <c r="A373" t="s">
        <v>102</v>
      </c>
      <c r="B373" s="71">
        <v>35395</v>
      </c>
      <c r="C373" t="s">
        <v>42</v>
      </c>
      <c r="D373">
        <v>172.8</v>
      </c>
    </row>
    <row r="374" spans="1:4">
      <c r="A374" t="s">
        <v>102</v>
      </c>
      <c r="B374" s="71">
        <v>35430</v>
      </c>
      <c r="C374" t="s">
        <v>50</v>
      </c>
      <c r="D374">
        <v>504</v>
      </c>
    </row>
    <row r="375" spans="1:4">
      <c r="A375" t="s">
        <v>102</v>
      </c>
      <c r="B375" s="71">
        <v>35444</v>
      </c>
      <c r="C375" t="s">
        <v>45</v>
      </c>
      <c r="D375">
        <v>201.6</v>
      </c>
    </row>
    <row r="376" spans="1:4">
      <c r="A376" t="s">
        <v>102</v>
      </c>
      <c r="B376" s="71">
        <v>35454</v>
      </c>
      <c r="C376" t="s">
        <v>37</v>
      </c>
      <c r="D376">
        <v>216</v>
      </c>
    </row>
    <row r="377" spans="1:4">
      <c r="A377" t="s">
        <v>102</v>
      </c>
      <c r="B377" s="71">
        <v>35464</v>
      </c>
      <c r="C377" t="s">
        <v>45</v>
      </c>
      <c r="D377">
        <v>220.3199984550476</v>
      </c>
    </row>
    <row r="378" spans="1:4">
      <c r="A378" t="s">
        <v>102</v>
      </c>
      <c r="B378" s="71">
        <v>35503</v>
      </c>
      <c r="C378" t="s">
        <v>48</v>
      </c>
      <c r="D378">
        <v>514.07999639511104</v>
      </c>
    </row>
    <row r="379" spans="1:4">
      <c r="A379" t="s">
        <v>102</v>
      </c>
      <c r="B379" s="71">
        <v>35558</v>
      </c>
      <c r="C379" t="s">
        <v>45</v>
      </c>
      <c r="D379">
        <v>900</v>
      </c>
    </row>
    <row r="380" spans="1:4">
      <c r="A380" t="s">
        <v>102</v>
      </c>
      <c r="B380" s="71">
        <v>35593</v>
      </c>
      <c r="C380" t="s">
        <v>48</v>
      </c>
      <c r="D380">
        <v>180</v>
      </c>
    </row>
    <row r="381" spans="1:4">
      <c r="A381" t="s">
        <v>102</v>
      </c>
      <c r="B381" s="71">
        <v>35597</v>
      </c>
      <c r="C381" t="s">
        <v>30</v>
      </c>
      <c r="D381">
        <v>540</v>
      </c>
    </row>
    <row r="382" spans="1:4">
      <c r="A382" t="s">
        <v>102</v>
      </c>
      <c r="B382" s="71">
        <v>35601</v>
      </c>
      <c r="C382" t="s">
        <v>30</v>
      </c>
      <c r="D382">
        <v>180</v>
      </c>
    </row>
    <row r="383" spans="1:4">
      <c r="A383" t="s">
        <v>102</v>
      </c>
      <c r="B383" s="71">
        <v>35608</v>
      </c>
      <c r="C383" t="s">
        <v>45</v>
      </c>
      <c r="D383">
        <v>252</v>
      </c>
    </row>
    <row r="384" spans="1:4">
      <c r="A384" t="s">
        <v>102</v>
      </c>
      <c r="B384" s="71">
        <v>35620</v>
      </c>
      <c r="C384" t="s">
        <v>52</v>
      </c>
      <c r="D384">
        <v>57.599999785423279</v>
      </c>
    </row>
    <row r="385" spans="1:4">
      <c r="A385" t="s">
        <v>102</v>
      </c>
      <c r="B385" s="71">
        <v>35629</v>
      </c>
      <c r="C385" t="s">
        <v>49</v>
      </c>
      <c r="D385">
        <v>161.9999997317791</v>
      </c>
    </row>
    <row r="386" spans="1:4">
      <c r="A386" t="s">
        <v>102</v>
      </c>
      <c r="B386" s="71">
        <v>35639</v>
      </c>
      <c r="C386" t="s">
        <v>49</v>
      </c>
      <c r="D386">
        <v>1440</v>
      </c>
    </row>
    <row r="387" spans="1:4">
      <c r="A387" t="s">
        <v>102</v>
      </c>
      <c r="B387" s="71">
        <v>35655</v>
      </c>
      <c r="C387" t="s">
        <v>49</v>
      </c>
      <c r="D387">
        <v>630</v>
      </c>
    </row>
    <row r="388" spans="1:4">
      <c r="A388" t="s">
        <v>102</v>
      </c>
      <c r="B388" s="71">
        <v>35684</v>
      </c>
      <c r="C388" t="s">
        <v>49</v>
      </c>
      <c r="D388">
        <v>180</v>
      </c>
    </row>
    <row r="389" spans="1:4">
      <c r="A389" t="s">
        <v>102</v>
      </c>
      <c r="B389" s="71">
        <v>35716</v>
      </c>
      <c r="C389" t="s">
        <v>37</v>
      </c>
      <c r="D389">
        <v>535.49999624490738</v>
      </c>
    </row>
    <row r="390" spans="1:4">
      <c r="A390" t="s">
        <v>102</v>
      </c>
      <c r="B390" s="71">
        <v>35716</v>
      </c>
      <c r="C390" t="s">
        <v>49</v>
      </c>
      <c r="D390">
        <v>270</v>
      </c>
    </row>
    <row r="391" spans="1:4">
      <c r="A391" t="s">
        <v>102</v>
      </c>
      <c r="B391" s="71">
        <v>35740</v>
      </c>
      <c r="C391" t="s">
        <v>45</v>
      </c>
      <c r="D391">
        <v>360</v>
      </c>
    </row>
    <row r="392" spans="1:4">
      <c r="A392" t="s">
        <v>102</v>
      </c>
      <c r="B392" s="71">
        <v>35741</v>
      </c>
      <c r="C392" t="s">
        <v>51</v>
      </c>
      <c r="D392">
        <v>360</v>
      </c>
    </row>
    <row r="393" spans="1:4">
      <c r="A393" t="s">
        <v>102</v>
      </c>
      <c r="B393" s="71">
        <v>35754</v>
      </c>
      <c r="C393" t="s">
        <v>42</v>
      </c>
      <c r="D393">
        <v>180</v>
      </c>
    </row>
    <row r="394" spans="1:4">
      <c r="A394" t="s">
        <v>102</v>
      </c>
      <c r="B394" s="71">
        <v>35796</v>
      </c>
      <c r="C394" t="s">
        <v>51</v>
      </c>
      <c r="D394">
        <v>764.99999463558197</v>
      </c>
    </row>
    <row r="395" spans="1:4">
      <c r="A395" t="s">
        <v>102</v>
      </c>
      <c r="B395" s="71">
        <v>35811</v>
      </c>
      <c r="C395" t="s">
        <v>48</v>
      </c>
      <c r="D395">
        <v>283.5</v>
      </c>
    </row>
    <row r="396" spans="1:4">
      <c r="A396" t="s">
        <v>102</v>
      </c>
      <c r="B396" s="71">
        <v>35824</v>
      </c>
      <c r="C396" t="s">
        <v>45</v>
      </c>
      <c r="D396">
        <v>360</v>
      </c>
    </row>
    <row r="397" spans="1:4">
      <c r="A397" t="s">
        <v>102</v>
      </c>
      <c r="B397" s="71">
        <v>35836</v>
      </c>
      <c r="C397" t="s">
        <v>45</v>
      </c>
      <c r="D397">
        <v>180</v>
      </c>
    </row>
    <row r="398" spans="1:4">
      <c r="A398" t="s">
        <v>102</v>
      </c>
      <c r="B398" s="71">
        <v>35859</v>
      </c>
      <c r="C398" t="s">
        <v>42</v>
      </c>
      <c r="D398">
        <v>360</v>
      </c>
    </row>
    <row r="399" spans="1:4">
      <c r="A399" t="s">
        <v>102</v>
      </c>
      <c r="B399" s="71">
        <v>35859</v>
      </c>
      <c r="C399" t="s">
        <v>49</v>
      </c>
      <c r="D399">
        <v>90</v>
      </c>
    </row>
    <row r="400" spans="1:4">
      <c r="A400" t="s">
        <v>102</v>
      </c>
      <c r="B400" s="71">
        <v>35873</v>
      </c>
      <c r="C400" t="s">
        <v>50</v>
      </c>
      <c r="D400">
        <v>1080</v>
      </c>
    </row>
    <row r="401" spans="1:4">
      <c r="A401" t="s">
        <v>102</v>
      </c>
      <c r="B401" s="71">
        <v>35873</v>
      </c>
      <c r="C401" t="s">
        <v>50</v>
      </c>
      <c r="D401">
        <v>792</v>
      </c>
    </row>
    <row r="402" spans="1:4">
      <c r="A402" t="s">
        <v>102</v>
      </c>
      <c r="B402" s="71">
        <v>35884</v>
      </c>
      <c r="C402" t="s">
        <v>50</v>
      </c>
      <c r="D402">
        <v>180</v>
      </c>
    </row>
    <row r="403" spans="1:4">
      <c r="A403" t="s">
        <v>102</v>
      </c>
      <c r="B403" s="71">
        <v>35886</v>
      </c>
      <c r="C403" t="s">
        <v>49</v>
      </c>
      <c r="D403">
        <v>1295.9999951720238</v>
      </c>
    </row>
    <row r="404" spans="1:4">
      <c r="A404" t="s">
        <v>102</v>
      </c>
      <c r="B404" s="71">
        <v>35892</v>
      </c>
      <c r="C404" t="s">
        <v>45</v>
      </c>
      <c r="D404">
        <v>108</v>
      </c>
    </row>
    <row r="405" spans="1:4">
      <c r="A405" t="s">
        <v>102</v>
      </c>
      <c r="B405" s="71">
        <v>35912</v>
      </c>
      <c r="C405" t="s">
        <v>50</v>
      </c>
      <c r="D405">
        <v>809.99999865889549</v>
      </c>
    </row>
    <row r="406" spans="1:4">
      <c r="A406" t="s">
        <v>102</v>
      </c>
      <c r="B406" s="71">
        <v>35921</v>
      </c>
      <c r="C406" t="s">
        <v>50</v>
      </c>
      <c r="D406">
        <v>30.599999785423279</v>
      </c>
    </row>
    <row r="407" spans="1:4">
      <c r="A407" t="s">
        <v>103</v>
      </c>
      <c r="B407" s="71">
        <v>35303</v>
      </c>
      <c r="C407" t="s">
        <v>52</v>
      </c>
      <c r="D407">
        <v>240</v>
      </c>
    </row>
    <row r="408" spans="1:4">
      <c r="A408" t="s">
        <v>103</v>
      </c>
      <c r="B408" s="71">
        <v>35436</v>
      </c>
      <c r="C408" t="s">
        <v>49</v>
      </c>
      <c r="D408">
        <v>400</v>
      </c>
    </row>
    <row r="409" spans="1:4">
      <c r="A409" t="s">
        <v>103</v>
      </c>
      <c r="B409" s="71">
        <v>35514</v>
      </c>
      <c r="C409" t="s">
        <v>42</v>
      </c>
      <c r="D409">
        <v>143.99999976158142</v>
      </c>
    </row>
    <row r="410" spans="1:4">
      <c r="A410" t="s">
        <v>103</v>
      </c>
      <c r="B410" s="71">
        <v>35569</v>
      </c>
      <c r="C410" t="s">
        <v>45</v>
      </c>
      <c r="D410">
        <v>600</v>
      </c>
    </row>
    <row r="411" spans="1:4">
      <c r="A411" t="s">
        <v>103</v>
      </c>
      <c r="B411" s="71">
        <v>35618</v>
      </c>
      <c r="C411" t="s">
        <v>49</v>
      </c>
      <c r="D411">
        <v>140</v>
      </c>
    </row>
    <row r="412" spans="1:4">
      <c r="A412" t="s">
        <v>103</v>
      </c>
      <c r="B412" s="71">
        <v>35716</v>
      </c>
      <c r="C412" t="s">
        <v>49</v>
      </c>
      <c r="D412">
        <v>60</v>
      </c>
    </row>
    <row r="413" spans="1:4">
      <c r="A413" t="s">
        <v>103</v>
      </c>
      <c r="B413" s="71">
        <v>35748</v>
      </c>
      <c r="C413" t="s">
        <v>45</v>
      </c>
      <c r="D413">
        <v>200</v>
      </c>
    </row>
    <row r="414" spans="1:4">
      <c r="A414" t="s">
        <v>103</v>
      </c>
      <c r="B414" s="71">
        <v>35767</v>
      </c>
      <c r="C414" t="s">
        <v>37</v>
      </c>
      <c r="D414">
        <v>179.99999970197678</v>
      </c>
    </row>
    <row r="415" spans="1:4">
      <c r="A415" t="s">
        <v>103</v>
      </c>
      <c r="B415" s="71">
        <v>35818</v>
      </c>
      <c r="C415" t="s">
        <v>48</v>
      </c>
      <c r="D415">
        <v>490</v>
      </c>
    </row>
    <row r="416" spans="1:4">
      <c r="A416" t="s">
        <v>103</v>
      </c>
      <c r="B416" s="71">
        <v>35823</v>
      </c>
      <c r="C416" t="s">
        <v>50</v>
      </c>
      <c r="D416">
        <v>300</v>
      </c>
    </row>
    <row r="417" spans="1:4">
      <c r="A417" t="s">
        <v>103</v>
      </c>
      <c r="B417" s="71">
        <v>35898</v>
      </c>
      <c r="C417" t="s">
        <v>48</v>
      </c>
      <c r="D417">
        <v>250</v>
      </c>
    </row>
    <row r="418" spans="1:4">
      <c r="A418" t="s">
        <v>103</v>
      </c>
      <c r="B418" s="71">
        <v>35921</v>
      </c>
      <c r="C418" t="s">
        <v>49</v>
      </c>
      <c r="D418">
        <v>40</v>
      </c>
    </row>
    <row r="419" spans="1:4">
      <c r="A419" t="s">
        <v>103</v>
      </c>
      <c r="B419" s="71">
        <v>35327</v>
      </c>
      <c r="C419" t="s">
        <v>45</v>
      </c>
      <c r="D419">
        <v>352</v>
      </c>
    </row>
    <row r="420" spans="1:4">
      <c r="A420" t="s">
        <v>103</v>
      </c>
      <c r="B420" s="71">
        <v>35348</v>
      </c>
      <c r="C420" t="s">
        <v>42</v>
      </c>
      <c r="D420">
        <v>422.4</v>
      </c>
    </row>
    <row r="421" spans="1:4">
      <c r="A421" t="s">
        <v>103</v>
      </c>
      <c r="B421" s="71">
        <v>35361</v>
      </c>
      <c r="C421" t="s">
        <v>52</v>
      </c>
      <c r="D421">
        <v>285.11999952793121</v>
      </c>
    </row>
    <row r="422" spans="1:4">
      <c r="A422" t="s">
        <v>103</v>
      </c>
      <c r="B422" s="71">
        <v>35366</v>
      </c>
      <c r="C422" t="s">
        <v>51</v>
      </c>
      <c r="D422">
        <v>176</v>
      </c>
    </row>
    <row r="423" spans="1:4">
      <c r="A423" t="s">
        <v>103</v>
      </c>
      <c r="B423" s="71">
        <v>35370</v>
      </c>
      <c r="C423" t="s">
        <v>42</v>
      </c>
      <c r="D423">
        <v>616</v>
      </c>
    </row>
    <row r="424" spans="1:4">
      <c r="A424" t="s">
        <v>103</v>
      </c>
      <c r="B424" s="71">
        <v>35493</v>
      </c>
      <c r="C424" t="s">
        <v>42</v>
      </c>
      <c r="D424">
        <v>225.27999916076661</v>
      </c>
    </row>
    <row r="425" spans="1:4">
      <c r="A425" t="s">
        <v>103</v>
      </c>
      <c r="B425" s="71">
        <v>35538</v>
      </c>
      <c r="C425" t="s">
        <v>42</v>
      </c>
      <c r="D425">
        <v>934.99999344348907</v>
      </c>
    </row>
    <row r="426" spans="1:4">
      <c r="A426" t="s">
        <v>103</v>
      </c>
      <c r="B426" s="71">
        <v>35555</v>
      </c>
      <c r="C426" t="s">
        <v>52</v>
      </c>
      <c r="D426">
        <v>989.99999836087227</v>
      </c>
    </row>
    <row r="427" spans="1:4">
      <c r="A427" t="s">
        <v>103</v>
      </c>
      <c r="B427" s="71">
        <v>35562</v>
      </c>
      <c r="C427" t="s">
        <v>50</v>
      </c>
      <c r="D427">
        <v>1044.9999991804361</v>
      </c>
    </row>
    <row r="428" spans="1:4">
      <c r="A428" t="s">
        <v>103</v>
      </c>
      <c r="B428" s="71">
        <v>35633</v>
      </c>
      <c r="C428" t="s">
        <v>42</v>
      </c>
      <c r="D428">
        <v>351.99999868869781</v>
      </c>
    </row>
    <row r="429" spans="1:4">
      <c r="A429" t="s">
        <v>103</v>
      </c>
      <c r="B429" s="71">
        <v>35660</v>
      </c>
      <c r="C429" t="s">
        <v>50</v>
      </c>
      <c r="D429">
        <v>197.99999967217445</v>
      </c>
    </row>
    <row r="430" spans="1:4">
      <c r="A430" t="s">
        <v>103</v>
      </c>
      <c r="B430" s="71">
        <v>35661</v>
      </c>
      <c r="C430" t="s">
        <v>42</v>
      </c>
      <c r="D430">
        <v>550</v>
      </c>
    </row>
    <row r="431" spans="1:4">
      <c r="A431" t="s">
        <v>103</v>
      </c>
      <c r="B431" s="71">
        <v>35675</v>
      </c>
      <c r="C431" t="s">
        <v>30</v>
      </c>
      <c r="D431">
        <v>237.59999960660934</v>
      </c>
    </row>
    <row r="432" spans="1:4">
      <c r="A432" t="s">
        <v>103</v>
      </c>
      <c r="B432" s="71">
        <v>35717</v>
      </c>
      <c r="C432" t="s">
        <v>37</v>
      </c>
      <c r="D432">
        <v>132</v>
      </c>
    </row>
    <row r="433" spans="1:4">
      <c r="A433" t="s">
        <v>103</v>
      </c>
      <c r="B433" s="71">
        <v>35737</v>
      </c>
      <c r="C433" t="s">
        <v>42</v>
      </c>
      <c r="D433">
        <v>550</v>
      </c>
    </row>
    <row r="434" spans="1:4">
      <c r="A434" t="s">
        <v>103</v>
      </c>
      <c r="B434" s="71">
        <v>35817</v>
      </c>
      <c r="C434" t="s">
        <v>51</v>
      </c>
      <c r="D434">
        <v>462</v>
      </c>
    </row>
    <row r="435" spans="1:4">
      <c r="A435" t="s">
        <v>103</v>
      </c>
      <c r="B435" s="71">
        <v>35852</v>
      </c>
      <c r="C435" t="s">
        <v>42</v>
      </c>
      <c r="D435">
        <v>495</v>
      </c>
    </row>
    <row r="436" spans="1:4">
      <c r="A436" t="s">
        <v>103</v>
      </c>
      <c r="B436" s="71">
        <v>35870</v>
      </c>
      <c r="C436" t="s">
        <v>49</v>
      </c>
      <c r="D436">
        <v>110</v>
      </c>
    </row>
    <row r="437" spans="1:4">
      <c r="A437" t="s">
        <v>103</v>
      </c>
      <c r="B437" s="71">
        <v>35891</v>
      </c>
      <c r="C437" t="s">
        <v>51</v>
      </c>
      <c r="D437">
        <v>412.5</v>
      </c>
    </row>
    <row r="438" spans="1:4">
      <c r="A438" t="s">
        <v>103</v>
      </c>
      <c r="B438" s="71">
        <v>35921</v>
      </c>
      <c r="C438" t="s">
        <v>49</v>
      </c>
      <c r="D438">
        <v>22</v>
      </c>
    </row>
    <row r="439" spans="1:4">
      <c r="A439" t="s">
        <v>103</v>
      </c>
      <c r="B439" s="71">
        <v>35263</v>
      </c>
      <c r="C439" t="s">
        <v>49</v>
      </c>
      <c r="D439">
        <v>883.99999670684338</v>
      </c>
    </row>
    <row r="440" spans="1:4">
      <c r="A440" t="s">
        <v>103</v>
      </c>
      <c r="B440" s="71">
        <v>35268</v>
      </c>
      <c r="C440" t="s">
        <v>50</v>
      </c>
      <c r="D440">
        <v>163.19999939203262</v>
      </c>
    </row>
    <row r="441" spans="1:4">
      <c r="A441" t="s">
        <v>103</v>
      </c>
      <c r="B441" s="71">
        <v>35304</v>
      </c>
      <c r="C441" t="s">
        <v>50</v>
      </c>
      <c r="D441">
        <v>340</v>
      </c>
    </row>
    <row r="442" spans="1:4">
      <c r="A442" t="s">
        <v>103</v>
      </c>
      <c r="B442" s="71">
        <v>35412</v>
      </c>
      <c r="C442" t="s">
        <v>42</v>
      </c>
      <c r="D442">
        <v>544</v>
      </c>
    </row>
    <row r="443" spans="1:4">
      <c r="A443" t="s">
        <v>103</v>
      </c>
      <c r="B443" s="71">
        <v>35660</v>
      </c>
      <c r="C443" t="s">
        <v>50</v>
      </c>
      <c r="D443">
        <v>288.22499952279031</v>
      </c>
    </row>
    <row r="444" spans="1:4">
      <c r="A444" t="s">
        <v>103</v>
      </c>
      <c r="B444" s="71">
        <v>35720</v>
      </c>
      <c r="C444" t="s">
        <v>37</v>
      </c>
      <c r="D444">
        <v>85.4</v>
      </c>
    </row>
    <row r="445" spans="1:4">
      <c r="A445" t="s">
        <v>103</v>
      </c>
      <c r="B445" s="71">
        <v>35818</v>
      </c>
      <c r="C445" t="s">
        <v>52</v>
      </c>
      <c r="D445">
        <v>640.5</v>
      </c>
    </row>
    <row r="446" spans="1:4">
      <c r="A446" t="s">
        <v>103</v>
      </c>
      <c r="B446" s="71">
        <v>35872</v>
      </c>
      <c r="C446" t="s">
        <v>52</v>
      </c>
      <c r="D446">
        <v>427</v>
      </c>
    </row>
    <row r="447" spans="1:4">
      <c r="A447" t="s">
        <v>103</v>
      </c>
      <c r="B447" s="71">
        <v>35902</v>
      </c>
      <c r="C447" t="s">
        <v>52</v>
      </c>
      <c r="D447">
        <v>1494.5</v>
      </c>
    </row>
    <row r="448" spans="1:4">
      <c r="A448" t="s">
        <v>103</v>
      </c>
      <c r="B448" s="71">
        <v>35909</v>
      </c>
      <c r="C448" t="s">
        <v>52</v>
      </c>
      <c r="D448">
        <v>480.375</v>
      </c>
    </row>
    <row r="449" spans="1:4">
      <c r="A449" t="s">
        <v>103</v>
      </c>
      <c r="B449" s="71">
        <v>35327</v>
      </c>
      <c r="C449" t="s">
        <v>45</v>
      </c>
      <c r="D449">
        <v>600</v>
      </c>
    </row>
    <row r="450" spans="1:4">
      <c r="A450" t="s">
        <v>103</v>
      </c>
      <c r="B450" s="71">
        <v>35347</v>
      </c>
      <c r="C450" t="s">
        <v>49</v>
      </c>
      <c r="D450">
        <v>120</v>
      </c>
    </row>
    <row r="451" spans="1:4">
      <c r="A451" t="s">
        <v>103</v>
      </c>
      <c r="B451" s="71">
        <v>35643</v>
      </c>
      <c r="C451" t="s">
        <v>49</v>
      </c>
      <c r="D451">
        <v>1750</v>
      </c>
    </row>
    <row r="452" spans="1:4">
      <c r="A452" t="s">
        <v>103</v>
      </c>
      <c r="B452" s="71">
        <v>35741</v>
      </c>
      <c r="C452" t="s">
        <v>51</v>
      </c>
      <c r="D452">
        <v>750</v>
      </c>
    </row>
    <row r="453" spans="1:4">
      <c r="A453" t="s">
        <v>103</v>
      </c>
      <c r="B453" s="71">
        <v>35808</v>
      </c>
      <c r="C453" t="s">
        <v>42</v>
      </c>
      <c r="D453">
        <v>150</v>
      </c>
    </row>
    <row r="454" spans="1:4">
      <c r="A454" t="s">
        <v>103</v>
      </c>
      <c r="B454" s="71">
        <v>35831</v>
      </c>
      <c r="C454" t="s">
        <v>48</v>
      </c>
      <c r="D454">
        <v>1187.4999990686774</v>
      </c>
    </row>
    <row r="455" spans="1:4">
      <c r="A455" t="s">
        <v>103</v>
      </c>
      <c r="B455" s="71">
        <v>35863</v>
      </c>
      <c r="C455" t="s">
        <v>45</v>
      </c>
      <c r="D455">
        <v>500</v>
      </c>
    </row>
    <row r="456" spans="1:4">
      <c r="A456" t="s">
        <v>103</v>
      </c>
      <c r="B456" s="71">
        <v>35867</v>
      </c>
      <c r="C456" t="s">
        <v>51</v>
      </c>
      <c r="D456">
        <v>300</v>
      </c>
    </row>
    <row r="457" spans="1:4">
      <c r="A457" t="s">
        <v>103</v>
      </c>
      <c r="B457" s="71">
        <v>35870</v>
      </c>
      <c r="C457" t="s">
        <v>49</v>
      </c>
      <c r="D457">
        <v>379.99999970197678</v>
      </c>
    </row>
    <row r="458" spans="1:4">
      <c r="A458" t="s">
        <v>103</v>
      </c>
      <c r="B458" s="71">
        <v>35885</v>
      </c>
      <c r="C458" t="s">
        <v>51</v>
      </c>
      <c r="D458">
        <v>1000</v>
      </c>
    </row>
    <row r="459" spans="1:4">
      <c r="A459" t="s">
        <v>103</v>
      </c>
      <c r="B459" s="71">
        <v>35921</v>
      </c>
      <c r="C459" t="s">
        <v>42</v>
      </c>
      <c r="D459">
        <v>375</v>
      </c>
    </row>
    <row r="460" spans="1:4">
      <c r="A460" t="s">
        <v>103</v>
      </c>
      <c r="B460" s="71">
        <v>35921</v>
      </c>
      <c r="C460" t="s">
        <v>49</v>
      </c>
      <c r="D460">
        <v>24.500000011175871</v>
      </c>
    </row>
    <row r="461" spans="1:4">
      <c r="A461" t="s">
        <v>103</v>
      </c>
      <c r="B461" s="71">
        <v>35370</v>
      </c>
      <c r="C461" t="s">
        <v>42</v>
      </c>
      <c r="D461">
        <v>1680</v>
      </c>
    </row>
    <row r="462" spans="1:4">
      <c r="A462" t="s">
        <v>103</v>
      </c>
      <c r="B462" s="71">
        <v>35373</v>
      </c>
      <c r="C462" t="s">
        <v>51</v>
      </c>
      <c r="D462">
        <v>2240</v>
      </c>
    </row>
    <row r="463" spans="1:4">
      <c r="A463" t="s">
        <v>103</v>
      </c>
      <c r="B463" s="71">
        <v>35538</v>
      </c>
      <c r="C463" t="s">
        <v>42</v>
      </c>
      <c r="D463">
        <v>339.99999761581421</v>
      </c>
    </row>
    <row r="464" spans="1:4">
      <c r="A464" t="s">
        <v>103</v>
      </c>
      <c r="B464" s="71">
        <v>35550</v>
      </c>
      <c r="C464" t="s">
        <v>42</v>
      </c>
      <c r="D464">
        <v>960</v>
      </c>
    </row>
    <row r="465" spans="1:4">
      <c r="A465" t="s">
        <v>103</v>
      </c>
      <c r="B465" s="71">
        <v>35710</v>
      </c>
      <c r="C465" t="s">
        <v>52</v>
      </c>
      <c r="D465">
        <v>400</v>
      </c>
    </row>
    <row r="466" spans="1:4">
      <c r="A466" t="s">
        <v>103</v>
      </c>
      <c r="B466" s="71">
        <v>35720</v>
      </c>
      <c r="C466" t="s">
        <v>49</v>
      </c>
      <c r="D466">
        <v>1600</v>
      </c>
    </row>
    <row r="467" spans="1:4">
      <c r="A467" t="s">
        <v>103</v>
      </c>
      <c r="B467" s="71">
        <v>35783</v>
      </c>
      <c r="C467" t="s">
        <v>50</v>
      </c>
      <c r="D467">
        <v>959.99999642372131</v>
      </c>
    </row>
    <row r="468" spans="1:4">
      <c r="A468" t="s">
        <v>103</v>
      </c>
      <c r="B468" s="71">
        <v>35808</v>
      </c>
      <c r="C468" t="s">
        <v>48</v>
      </c>
      <c r="D468">
        <v>800</v>
      </c>
    </row>
    <row r="469" spans="1:4">
      <c r="A469" t="s">
        <v>103</v>
      </c>
      <c r="B469" s="71">
        <v>35844</v>
      </c>
      <c r="C469" t="s">
        <v>48</v>
      </c>
      <c r="D469">
        <v>1200</v>
      </c>
    </row>
    <row r="470" spans="1:4">
      <c r="A470" t="s">
        <v>103</v>
      </c>
      <c r="B470" s="71">
        <v>35879</v>
      </c>
      <c r="C470" t="s">
        <v>49</v>
      </c>
      <c r="D470">
        <v>640</v>
      </c>
    </row>
    <row r="471" spans="1:4">
      <c r="A471" t="s">
        <v>103</v>
      </c>
      <c r="B471" s="71">
        <v>35880</v>
      </c>
      <c r="C471" t="s">
        <v>48</v>
      </c>
      <c r="D471">
        <v>679.99999523162842</v>
      </c>
    </row>
    <row r="472" spans="1:4">
      <c r="A472" t="s">
        <v>103</v>
      </c>
      <c r="B472" s="71">
        <v>35893</v>
      </c>
      <c r="C472" t="s">
        <v>50</v>
      </c>
      <c r="D472">
        <v>1200</v>
      </c>
    </row>
    <row r="473" spans="1:4">
      <c r="A473" t="s">
        <v>103</v>
      </c>
      <c r="B473" s="71">
        <v>35921</v>
      </c>
      <c r="C473" t="s">
        <v>49</v>
      </c>
      <c r="D473">
        <v>71.99999988079071</v>
      </c>
    </row>
    <row r="474" spans="1:4">
      <c r="A474" t="s">
        <v>103</v>
      </c>
      <c r="B474" s="71">
        <v>35293</v>
      </c>
      <c r="C474" t="s">
        <v>45</v>
      </c>
      <c r="D474">
        <v>248</v>
      </c>
    </row>
    <row r="475" spans="1:4">
      <c r="A475" t="s">
        <v>103</v>
      </c>
      <c r="B475" s="71">
        <v>35345</v>
      </c>
      <c r="C475" t="s">
        <v>42</v>
      </c>
      <c r="D475">
        <v>62</v>
      </c>
    </row>
    <row r="476" spans="1:4">
      <c r="A476" t="s">
        <v>103</v>
      </c>
      <c r="B476" s="71">
        <v>35529</v>
      </c>
      <c r="C476" t="s">
        <v>37</v>
      </c>
      <c r="D476">
        <v>176.6999998614192</v>
      </c>
    </row>
    <row r="477" spans="1:4">
      <c r="A477" t="s">
        <v>103</v>
      </c>
      <c r="B477" s="71">
        <v>35606</v>
      </c>
      <c r="C477" t="s">
        <v>49</v>
      </c>
      <c r="D477">
        <v>155</v>
      </c>
    </row>
    <row r="478" spans="1:4">
      <c r="A478" t="s">
        <v>103</v>
      </c>
      <c r="B478" s="71">
        <v>35619</v>
      </c>
      <c r="C478" t="s">
        <v>45</v>
      </c>
      <c r="D478">
        <v>368.12499971129</v>
      </c>
    </row>
    <row r="479" spans="1:4">
      <c r="A479" t="s">
        <v>103</v>
      </c>
      <c r="B479" s="71">
        <v>35677</v>
      </c>
      <c r="C479" t="s">
        <v>51</v>
      </c>
      <c r="D479">
        <v>775</v>
      </c>
    </row>
    <row r="480" spans="1:4">
      <c r="A480" t="s">
        <v>103</v>
      </c>
      <c r="B480" s="71">
        <v>35289</v>
      </c>
      <c r="C480" t="s">
        <v>50</v>
      </c>
      <c r="D480">
        <v>248</v>
      </c>
    </row>
    <row r="481" spans="1:4">
      <c r="A481" t="s">
        <v>103</v>
      </c>
      <c r="B481" s="71">
        <v>35296</v>
      </c>
      <c r="C481" t="s">
        <v>42</v>
      </c>
      <c r="D481">
        <v>325.5</v>
      </c>
    </row>
    <row r="482" spans="1:4">
      <c r="A482" t="s">
        <v>103</v>
      </c>
      <c r="B482" s="71">
        <v>35304</v>
      </c>
      <c r="C482" t="s">
        <v>37</v>
      </c>
      <c r="D482">
        <v>334.7999994456768</v>
      </c>
    </row>
    <row r="483" spans="1:4">
      <c r="A483" t="s">
        <v>103</v>
      </c>
      <c r="B483" s="71">
        <v>35380</v>
      </c>
      <c r="C483" t="s">
        <v>49</v>
      </c>
      <c r="D483">
        <v>1133.8249991107732</v>
      </c>
    </row>
    <row r="484" spans="1:4">
      <c r="A484" t="s">
        <v>103</v>
      </c>
      <c r="B484" s="71">
        <v>35440</v>
      </c>
      <c r="C484" t="s">
        <v>48</v>
      </c>
      <c r="D484">
        <v>495.99999815225601</v>
      </c>
    </row>
    <row r="485" spans="1:4">
      <c r="A485" t="s">
        <v>103</v>
      </c>
      <c r="B485" s="71">
        <v>35481</v>
      </c>
      <c r="C485" t="s">
        <v>50</v>
      </c>
      <c r="D485">
        <v>1472.49999884516</v>
      </c>
    </row>
    <row r="486" spans="1:4">
      <c r="A486" t="s">
        <v>103</v>
      </c>
      <c r="B486" s="71">
        <v>35499</v>
      </c>
      <c r="C486" t="s">
        <v>49</v>
      </c>
      <c r="D486">
        <v>26.349999815225601</v>
      </c>
    </row>
    <row r="487" spans="1:4">
      <c r="A487" t="s">
        <v>103</v>
      </c>
      <c r="B487" s="71">
        <v>35520</v>
      </c>
      <c r="C487" t="s">
        <v>50</v>
      </c>
      <c r="D487">
        <v>197.62499861419201</v>
      </c>
    </row>
    <row r="488" spans="1:4">
      <c r="A488" t="s">
        <v>103</v>
      </c>
      <c r="B488" s="71">
        <v>35545</v>
      </c>
      <c r="C488" t="s">
        <v>42</v>
      </c>
      <c r="D488">
        <v>175.05</v>
      </c>
    </row>
    <row r="489" spans="1:4">
      <c r="A489" t="s">
        <v>103</v>
      </c>
      <c r="B489" s="71">
        <v>35578</v>
      </c>
      <c r="C489" t="s">
        <v>42</v>
      </c>
      <c r="D489">
        <v>778</v>
      </c>
    </row>
    <row r="490" spans="1:4">
      <c r="A490" t="s">
        <v>103</v>
      </c>
      <c r="B490" s="71">
        <v>35587</v>
      </c>
      <c r="C490" t="s">
        <v>51</v>
      </c>
      <c r="D490">
        <v>194.5</v>
      </c>
    </row>
    <row r="491" spans="1:4">
      <c r="A491" t="s">
        <v>103</v>
      </c>
      <c r="B491" s="71">
        <v>35604</v>
      </c>
      <c r="C491" t="s">
        <v>45</v>
      </c>
      <c r="D491">
        <v>408.45</v>
      </c>
    </row>
    <row r="492" spans="1:4">
      <c r="A492" t="s">
        <v>103</v>
      </c>
      <c r="B492" s="71">
        <v>35649</v>
      </c>
      <c r="C492" t="s">
        <v>42</v>
      </c>
      <c r="D492">
        <v>194.5</v>
      </c>
    </row>
    <row r="493" spans="1:4">
      <c r="A493" t="s">
        <v>103</v>
      </c>
      <c r="B493" s="71">
        <v>35677</v>
      </c>
      <c r="C493" t="s">
        <v>37</v>
      </c>
      <c r="D493">
        <v>490.13999918848276</v>
      </c>
    </row>
    <row r="494" spans="1:4">
      <c r="A494" t="s">
        <v>103</v>
      </c>
      <c r="B494" s="71">
        <v>35695</v>
      </c>
      <c r="C494" t="s">
        <v>51</v>
      </c>
      <c r="D494">
        <v>408.45</v>
      </c>
    </row>
    <row r="495" spans="1:4">
      <c r="A495" t="s">
        <v>103</v>
      </c>
      <c r="B495" s="71">
        <v>35706</v>
      </c>
      <c r="C495" t="s">
        <v>51</v>
      </c>
      <c r="D495">
        <v>466.8</v>
      </c>
    </row>
    <row r="496" spans="1:4">
      <c r="A496" t="s">
        <v>103</v>
      </c>
      <c r="B496" s="71">
        <v>35732</v>
      </c>
      <c r="C496" t="s">
        <v>30</v>
      </c>
      <c r="D496">
        <v>923.87499927543104</v>
      </c>
    </row>
    <row r="497" spans="1:4">
      <c r="A497" t="s">
        <v>103</v>
      </c>
      <c r="B497" s="71">
        <v>35752</v>
      </c>
      <c r="C497" t="s">
        <v>48</v>
      </c>
      <c r="D497">
        <v>311.2</v>
      </c>
    </row>
    <row r="498" spans="1:4">
      <c r="A498" t="s">
        <v>103</v>
      </c>
      <c r="B498" s="71">
        <v>35789</v>
      </c>
      <c r="C498" t="s">
        <v>45</v>
      </c>
      <c r="D498">
        <v>194.5</v>
      </c>
    </row>
    <row r="499" spans="1:4">
      <c r="A499" t="s">
        <v>103</v>
      </c>
      <c r="B499" s="71">
        <v>35809</v>
      </c>
      <c r="C499" t="s">
        <v>51</v>
      </c>
      <c r="D499">
        <v>248.95999907255171</v>
      </c>
    </row>
    <row r="500" spans="1:4">
      <c r="A500" t="s">
        <v>103</v>
      </c>
      <c r="B500" s="71">
        <v>35866</v>
      </c>
      <c r="C500" t="s">
        <v>37</v>
      </c>
      <c r="D500">
        <v>262.57500000000005</v>
      </c>
    </row>
    <row r="501" spans="1:4">
      <c r="A501" t="s">
        <v>103</v>
      </c>
      <c r="B501" s="71">
        <v>35880</v>
      </c>
      <c r="C501" t="s">
        <v>48</v>
      </c>
      <c r="D501">
        <v>99.194999304413798</v>
      </c>
    </row>
    <row r="502" spans="1:4">
      <c r="A502" t="s">
        <v>103</v>
      </c>
      <c r="B502" s="71">
        <v>35905</v>
      </c>
      <c r="C502" t="s">
        <v>50</v>
      </c>
      <c r="D502">
        <v>233.4</v>
      </c>
    </row>
    <row r="503" spans="1:4">
      <c r="A503" t="s">
        <v>103</v>
      </c>
      <c r="B503" s="71">
        <v>35907</v>
      </c>
      <c r="C503" t="s">
        <v>51</v>
      </c>
      <c r="D503">
        <v>291.75</v>
      </c>
    </row>
    <row r="504" spans="1:4">
      <c r="A504" t="s">
        <v>103</v>
      </c>
      <c r="B504" s="71">
        <v>35447</v>
      </c>
      <c r="C504" t="s">
        <v>42</v>
      </c>
      <c r="D504">
        <v>364.8</v>
      </c>
    </row>
    <row r="505" spans="1:4">
      <c r="A505" t="s">
        <v>103</v>
      </c>
      <c r="B505" s="71">
        <v>35471</v>
      </c>
      <c r="C505" t="s">
        <v>42</v>
      </c>
      <c r="D505">
        <v>1744.1999877691269</v>
      </c>
    </row>
    <row r="506" spans="1:4">
      <c r="A506" t="s">
        <v>103</v>
      </c>
      <c r="B506" s="71">
        <v>35485</v>
      </c>
      <c r="C506" t="s">
        <v>50</v>
      </c>
      <c r="D506">
        <v>570</v>
      </c>
    </row>
    <row r="507" spans="1:4">
      <c r="A507" t="s">
        <v>103</v>
      </c>
      <c r="B507" s="71">
        <v>35531</v>
      </c>
      <c r="C507" t="s">
        <v>42</v>
      </c>
      <c r="D507">
        <v>712.5</v>
      </c>
    </row>
    <row r="508" spans="1:4">
      <c r="A508" t="s">
        <v>103</v>
      </c>
      <c r="B508" s="71">
        <v>35542</v>
      </c>
      <c r="C508" t="s">
        <v>52</v>
      </c>
      <c r="D508">
        <v>341.99999872595072</v>
      </c>
    </row>
    <row r="509" spans="1:4">
      <c r="A509" t="s">
        <v>103</v>
      </c>
      <c r="B509" s="71">
        <v>35558</v>
      </c>
      <c r="C509" t="s">
        <v>45</v>
      </c>
      <c r="D509">
        <v>570</v>
      </c>
    </row>
    <row r="510" spans="1:4">
      <c r="A510" t="s">
        <v>103</v>
      </c>
      <c r="B510" s="71">
        <v>35578</v>
      </c>
      <c r="C510" t="s">
        <v>52</v>
      </c>
      <c r="D510">
        <v>256.49999957531691</v>
      </c>
    </row>
    <row r="511" spans="1:4">
      <c r="A511" t="s">
        <v>103</v>
      </c>
      <c r="B511" s="71">
        <v>35621</v>
      </c>
      <c r="C511" t="s">
        <v>51</v>
      </c>
      <c r="D511">
        <v>2565</v>
      </c>
    </row>
    <row r="512" spans="1:4">
      <c r="A512" t="s">
        <v>103</v>
      </c>
      <c r="B512" s="71">
        <v>35664</v>
      </c>
      <c r="C512" t="s">
        <v>52</v>
      </c>
      <c r="D512">
        <v>455.99999830126762</v>
      </c>
    </row>
    <row r="513" spans="1:4">
      <c r="A513" t="s">
        <v>103</v>
      </c>
      <c r="B513" s="71">
        <v>35727</v>
      </c>
      <c r="C513" t="s">
        <v>42</v>
      </c>
      <c r="D513">
        <v>285</v>
      </c>
    </row>
    <row r="514" spans="1:4">
      <c r="A514" t="s">
        <v>103</v>
      </c>
      <c r="B514" s="71">
        <v>35733</v>
      </c>
      <c r="C514" t="s">
        <v>50</v>
      </c>
      <c r="D514">
        <v>142.5</v>
      </c>
    </row>
    <row r="515" spans="1:4">
      <c r="A515" t="s">
        <v>103</v>
      </c>
      <c r="B515" s="71">
        <v>35744</v>
      </c>
      <c r="C515" t="s">
        <v>37</v>
      </c>
      <c r="D515">
        <v>512.99999915063381</v>
      </c>
    </row>
    <row r="516" spans="1:4">
      <c r="A516" t="s">
        <v>103</v>
      </c>
      <c r="B516" s="71">
        <v>35772</v>
      </c>
      <c r="C516" t="s">
        <v>45</v>
      </c>
      <c r="D516">
        <v>570</v>
      </c>
    </row>
    <row r="517" spans="1:4">
      <c r="A517" t="s">
        <v>103</v>
      </c>
      <c r="B517" s="71">
        <v>35800</v>
      </c>
      <c r="C517" t="s">
        <v>45</v>
      </c>
      <c r="D517">
        <v>726.74999490380287</v>
      </c>
    </row>
    <row r="518" spans="1:4">
      <c r="A518" t="s">
        <v>103</v>
      </c>
      <c r="B518" s="71">
        <v>35836</v>
      </c>
      <c r="C518" t="s">
        <v>52</v>
      </c>
      <c r="D518">
        <v>683.99999745190144</v>
      </c>
    </row>
    <row r="519" spans="1:4">
      <c r="A519" t="s">
        <v>103</v>
      </c>
      <c r="B519" s="71">
        <v>35851</v>
      </c>
      <c r="C519" t="s">
        <v>42</v>
      </c>
      <c r="D519">
        <v>427.5</v>
      </c>
    </row>
    <row r="520" spans="1:4">
      <c r="A520" t="s">
        <v>103</v>
      </c>
      <c r="B520" s="71">
        <v>35852</v>
      </c>
      <c r="C520" t="s">
        <v>49</v>
      </c>
      <c r="D520">
        <v>142.5</v>
      </c>
    </row>
    <row r="521" spans="1:4">
      <c r="A521" t="s">
        <v>103</v>
      </c>
      <c r="B521" s="71">
        <v>35860</v>
      </c>
      <c r="C521" t="s">
        <v>37</v>
      </c>
      <c r="D521">
        <v>855</v>
      </c>
    </row>
    <row r="522" spans="1:4">
      <c r="A522" t="s">
        <v>103</v>
      </c>
      <c r="B522" s="71">
        <v>35886</v>
      </c>
      <c r="C522" t="s">
        <v>51</v>
      </c>
      <c r="D522">
        <v>1598.8499887883663</v>
      </c>
    </row>
    <row r="523" spans="1:4">
      <c r="A523" t="s">
        <v>103</v>
      </c>
      <c r="B523" s="71">
        <v>35888</v>
      </c>
      <c r="C523" t="s">
        <v>50</v>
      </c>
      <c r="D523">
        <v>199.5</v>
      </c>
    </row>
    <row r="524" spans="1:4">
      <c r="A524" t="s">
        <v>103</v>
      </c>
      <c r="B524" s="71">
        <v>35905</v>
      </c>
      <c r="C524" t="s">
        <v>50</v>
      </c>
      <c r="D524">
        <v>171</v>
      </c>
    </row>
    <row r="525" spans="1:4">
      <c r="A525" t="s">
        <v>103</v>
      </c>
      <c r="B525" s="71">
        <v>35907</v>
      </c>
      <c r="C525" t="s">
        <v>51</v>
      </c>
      <c r="D525">
        <v>114</v>
      </c>
    </row>
    <row r="526" spans="1:4">
      <c r="A526" t="s">
        <v>103</v>
      </c>
      <c r="B526" s="71">
        <v>35912</v>
      </c>
      <c r="C526" t="s">
        <v>45</v>
      </c>
      <c r="D526">
        <v>227.99999915063381</v>
      </c>
    </row>
    <row r="527" spans="1:4">
      <c r="A527" t="s">
        <v>103</v>
      </c>
      <c r="B527" s="71">
        <v>35914</v>
      </c>
      <c r="C527" t="s">
        <v>48</v>
      </c>
      <c r="D527">
        <v>114</v>
      </c>
    </row>
    <row r="528" spans="1:4">
      <c r="A528" t="s">
        <v>103</v>
      </c>
      <c r="B528" s="71">
        <v>35289</v>
      </c>
      <c r="C528" t="s">
        <v>50</v>
      </c>
      <c r="D528">
        <v>280.8</v>
      </c>
    </row>
    <row r="529" spans="1:4">
      <c r="A529" t="s">
        <v>103</v>
      </c>
      <c r="B529" s="71">
        <v>35306</v>
      </c>
      <c r="C529" t="s">
        <v>49</v>
      </c>
      <c r="D529">
        <v>175.5</v>
      </c>
    </row>
    <row r="530" spans="1:4">
      <c r="A530" t="s">
        <v>103</v>
      </c>
      <c r="B530" s="71">
        <v>35346</v>
      </c>
      <c r="C530" t="s">
        <v>48</v>
      </c>
      <c r="D530">
        <v>2386.7999832630157</v>
      </c>
    </row>
    <row r="531" spans="1:4">
      <c r="A531" t="s">
        <v>103</v>
      </c>
      <c r="B531" s="71">
        <v>35410</v>
      </c>
      <c r="C531" t="s">
        <v>51</v>
      </c>
      <c r="D531">
        <v>505.43999916315079</v>
      </c>
    </row>
    <row r="532" spans="1:4">
      <c r="A532" t="s">
        <v>103</v>
      </c>
      <c r="B532" s="71">
        <v>35432</v>
      </c>
      <c r="C532" t="s">
        <v>50</v>
      </c>
      <c r="D532">
        <v>2281.5</v>
      </c>
    </row>
    <row r="533" spans="1:4">
      <c r="A533" t="s">
        <v>103</v>
      </c>
      <c r="B533" s="71">
        <v>35459</v>
      </c>
      <c r="C533" t="s">
        <v>45</v>
      </c>
      <c r="D533">
        <v>921.375</v>
      </c>
    </row>
    <row r="534" spans="1:4">
      <c r="A534" t="s">
        <v>103</v>
      </c>
      <c r="B534" s="71">
        <v>35601</v>
      </c>
      <c r="C534" t="s">
        <v>30</v>
      </c>
      <c r="D534">
        <v>263.39999999999998</v>
      </c>
    </row>
    <row r="535" spans="1:4">
      <c r="A535" t="s">
        <v>103</v>
      </c>
      <c r="B535" s="71">
        <v>35622</v>
      </c>
      <c r="C535" t="s">
        <v>50</v>
      </c>
      <c r="D535">
        <v>842.87999686002729</v>
      </c>
    </row>
    <row r="536" spans="1:4">
      <c r="A536" t="s">
        <v>103</v>
      </c>
      <c r="B536" s="71">
        <v>35753</v>
      </c>
      <c r="C536" t="s">
        <v>37</v>
      </c>
      <c r="D536">
        <v>395.1</v>
      </c>
    </row>
    <row r="537" spans="1:4">
      <c r="A537" t="s">
        <v>103</v>
      </c>
      <c r="B537" s="71">
        <v>35786</v>
      </c>
      <c r="C537" t="s">
        <v>49</v>
      </c>
      <c r="D537">
        <v>1317</v>
      </c>
    </row>
    <row r="538" spans="1:4">
      <c r="A538" t="s">
        <v>103</v>
      </c>
      <c r="B538" s="71">
        <v>35857</v>
      </c>
      <c r="C538" t="s">
        <v>49</v>
      </c>
      <c r="D538">
        <v>1756</v>
      </c>
    </row>
    <row r="539" spans="1:4">
      <c r="A539" t="s">
        <v>103</v>
      </c>
      <c r="B539" s="71">
        <v>35879</v>
      </c>
      <c r="C539" t="s">
        <v>45</v>
      </c>
      <c r="D539">
        <v>439</v>
      </c>
    </row>
    <row r="540" spans="1:4">
      <c r="A540" t="s">
        <v>103</v>
      </c>
      <c r="B540" s="71">
        <v>35880</v>
      </c>
      <c r="C540" t="s">
        <v>50</v>
      </c>
      <c r="D540">
        <v>878</v>
      </c>
    </row>
    <row r="541" spans="1:4">
      <c r="A541" t="s">
        <v>103</v>
      </c>
      <c r="B541" s="71">
        <v>35880</v>
      </c>
      <c r="C541" t="s">
        <v>50</v>
      </c>
      <c r="D541">
        <v>1536.5</v>
      </c>
    </row>
    <row r="542" spans="1:4">
      <c r="A542" t="s">
        <v>103</v>
      </c>
      <c r="B542" s="71">
        <v>35901</v>
      </c>
      <c r="C542" t="s">
        <v>42</v>
      </c>
      <c r="D542">
        <v>526.79999999999995</v>
      </c>
    </row>
    <row r="543" spans="1:4">
      <c r="A543" t="s">
        <v>103</v>
      </c>
      <c r="B543" s="71">
        <v>35907</v>
      </c>
      <c r="C543" t="s">
        <v>45</v>
      </c>
      <c r="D543">
        <v>1317</v>
      </c>
    </row>
    <row r="544" spans="1:4">
      <c r="A544" t="s">
        <v>103</v>
      </c>
      <c r="B544" s="71">
        <v>35254</v>
      </c>
      <c r="C544" t="s">
        <v>42</v>
      </c>
      <c r="D544">
        <v>214.19999849796295</v>
      </c>
    </row>
    <row r="545" spans="1:4">
      <c r="A545" t="s">
        <v>103</v>
      </c>
      <c r="B545" s="71">
        <v>35254</v>
      </c>
      <c r="C545" t="s">
        <v>45</v>
      </c>
      <c r="D545">
        <v>336</v>
      </c>
    </row>
    <row r="546" spans="1:4">
      <c r="A546" t="s">
        <v>103</v>
      </c>
      <c r="B546" s="71">
        <v>35319</v>
      </c>
      <c r="C546" t="s">
        <v>52</v>
      </c>
      <c r="D546">
        <v>453.59999924898148</v>
      </c>
    </row>
    <row r="547" spans="1:4">
      <c r="A547" t="s">
        <v>103</v>
      </c>
      <c r="B547" s="71">
        <v>35352</v>
      </c>
      <c r="C547" t="s">
        <v>42</v>
      </c>
      <c r="D547">
        <v>672</v>
      </c>
    </row>
    <row r="548" spans="1:4">
      <c r="A548" t="s">
        <v>103</v>
      </c>
      <c r="B548" s="71">
        <v>35380</v>
      </c>
      <c r="C548" t="s">
        <v>49</v>
      </c>
      <c r="D548">
        <v>159.59999987483025</v>
      </c>
    </row>
    <row r="549" spans="1:4">
      <c r="A549" t="s">
        <v>103</v>
      </c>
      <c r="B549" s="71">
        <v>35397</v>
      </c>
      <c r="C549" t="s">
        <v>50</v>
      </c>
      <c r="D549">
        <v>84</v>
      </c>
    </row>
    <row r="550" spans="1:4">
      <c r="A550" t="s">
        <v>103</v>
      </c>
      <c r="B550" s="71">
        <v>35397</v>
      </c>
      <c r="C550" t="s">
        <v>52</v>
      </c>
      <c r="D550">
        <v>252</v>
      </c>
    </row>
    <row r="551" spans="1:4">
      <c r="A551" t="s">
        <v>103</v>
      </c>
      <c r="B551" s="71">
        <v>35410</v>
      </c>
      <c r="C551" t="s">
        <v>51</v>
      </c>
      <c r="D551">
        <v>302.39999949932098</v>
      </c>
    </row>
    <row r="552" spans="1:4">
      <c r="A552" t="s">
        <v>103</v>
      </c>
      <c r="B552" s="71">
        <v>35431</v>
      </c>
      <c r="C552" t="s">
        <v>49</v>
      </c>
      <c r="D552">
        <v>336</v>
      </c>
    </row>
    <row r="553" spans="1:4">
      <c r="A553" t="s">
        <v>103</v>
      </c>
      <c r="B553" s="71">
        <v>35475</v>
      </c>
      <c r="C553" t="s">
        <v>42</v>
      </c>
      <c r="D553">
        <v>588</v>
      </c>
    </row>
    <row r="554" spans="1:4">
      <c r="A554" t="s">
        <v>103</v>
      </c>
      <c r="B554" s="71">
        <v>35480</v>
      </c>
      <c r="C554" t="s">
        <v>42</v>
      </c>
      <c r="D554">
        <v>423.35999929904938</v>
      </c>
    </row>
    <row r="555" spans="1:4">
      <c r="A555" t="s">
        <v>103</v>
      </c>
      <c r="B555" s="71">
        <v>35522</v>
      </c>
      <c r="C555" t="s">
        <v>42</v>
      </c>
      <c r="D555">
        <v>226.79999962449074</v>
      </c>
    </row>
    <row r="556" spans="1:4">
      <c r="A556" t="s">
        <v>103</v>
      </c>
      <c r="B556" s="71">
        <v>35531</v>
      </c>
      <c r="C556" t="s">
        <v>37</v>
      </c>
      <c r="D556">
        <v>421</v>
      </c>
    </row>
    <row r="557" spans="1:4">
      <c r="A557" t="s">
        <v>103</v>
      </c>
      <c r="B557" s="71">
        <v>35542</v>
      </c>
      <c r="C557" t="s">
        <v>45</v>
      </c>
      <c r="D557">
        <v>820.95</v>
      </c>
    </row>
    <row r="558" spans="1:4">
      <c r="A558" t="s">
        <v>103</v>
      </c>
      <c r="B558" s="71">
        <v>35569</v>
      </c>
      <c r="C558" t="s">
        <v>51</v>
      </c>
      <c r="D558">
        <v>682.01999887079</v>
      </c>
    </row>
    <row r="559" spans="1:4">
      <c r="A559" t="s">
        <v>103</v>
      </c>
      <c r="B559" s="71">
        <v>35607</v>
      </c>
      <c r="C559" t="s">
        <v>42</v>
      </c>
      <c r="D559">
        <v>599.92499952949584</v>
      </c>
    </row>
    <row r="560" spans="1:4">
      <c r="A560" t="s">
        <v>103</v>
      </c>
      <c r="B560" s="71">
        <v>35622</v>
      </c>
      <c r="C560" t="s">
        <v>52</v>
      </c>
      <c r="D560">
        <v>202.07999924719334</v>
      </c>
    </row>
    <row r="561" spans="1:4">
      <c r="A561" t="s">
        <v>103</v>
      </c>
      <c r="B561" s="71">
        <v>35662</v>
      </c>
      <c r="C561" t="s">
        <v>45</v>
      </c>
      <c r="D561">
        <v>442.05</v>
      </c>
    </row>
    <row r="562" spans="1:4">
      <c r="A562" t="s">
        <v>103</v>
      </c>
      <c r="B562" s="71">
        <v>35683</v>
      </c>
      <c r="C562" t="s">
        <v>49</v>
      </c>
      <c r="D562">
        <v>268.38749811798334</v>
      </c>
    </row>
    <row r="563" spans="1:4">
      <c r="A563" t="s">
        <v>103</v>
      </c>
      <c r="B563" s="71">
        <v>35685</v>
      </c>
      <c r="C563" t="s">
        <v>52</v>
      </c>
      <c r="D563">
        <v>210.5</v>
      </c>
    </row>
    <row r="564" spans="1:4">
      <c r="A564" t="s">
        <v>103</v>
      </c>
      <c r="B564" s="71">
        <v>35690</v>
      </c>
      <c r="C564" t="s">
        <v>49</v>
      </c>
      <c r="D564">
        <v>252.6</v>
      </c>
    </row>
    <row r="565" spans="1:4">
      <c r="A565" t="s">
        <v>103</v>
      </c>
      <c r="B565" s="71">
        <v>35712</v>
      </c>
      <c r="C565" t="s">
        <v>42</v>
      </c>
      <c r="D565">
        <v>1299.8374989805743</v>
      </c>
    </row>
    <row r="566" spans="1:4">
      <c r="A566" t="s">
        <v>103</v>
      </c>
      <c r="B566" s="71">
        <v>35739</v>
      </c>
      <c r="C566" t="s">
        <v>30</v>
      </c>
      <c r="D566">
        <v>199.97499984316528</v>
      </c>
    </row>
    <row r="567" spans="1:4">
      <c r="A567" t="s">
        <v>103</v>
      </c>
      <c r="B567" s="71">
        <v>35745</v>
      </c>
      <c r="C567" t="s">
        <v>48</v>
      </c>
      <c r="D567">
        <v>842</v>
      </c>
    </row>
    <row r="568" spans="1:4">
      <c r="A568" t="s">
        <v>103</v>
      </c>
      <c r="B568" s="71">
        <v>35768</v>
      </c>
      <c r="C568" t="s">
        <v>45</v>
      </c>
      <c r="D568">
        <v>1515.5999974906445</v>
      </c>
    </row>
    <row r="569" spans="1:4">
      <c r="A569" t="s">
        <v>103</v>
      </c>
      <c r="B569" s="71">
        <v>35795</v>
      </c>
      <c r="C569" t="s">
        <v>45</v>
      </c>
      <c r="D569">
        <v>42.1</v>
      </c>
    </row>
    <row r="570" spans="1:4">
      <c r="A570" t="s">
        <v>103</v>
      </c>
      <c r="B570" s="71">
        <v>35822</v>
      </c>
      <c r="C570" t="s">
        <v>45</v>
      </c>
      <c r="D570">
        <v>268.38749811798334</v>
      </c>
    </row>
    <row r="571" spans="1:4">
      <c r="A571" t="s">
        <v>103</v>
      </c>
      <c r="B571" s="71">
        <v>35831</v>
      </c>
      <c r="C571" t="s">
        <v>30</v>
      </c>
      <c r="D571">
        <v>419.94749967064712</v>
      </c>
    </row>
    <row r="572" spans="1:4">
      <c r="A572" t="s">
        <v>103</v>
      </c>
      <c r="B572" s="71">
        <v>35836</v>
      </c>
      <c r="C572" t="s">
        <v>45</v>
      </c>
      <c r="D572">
        <v>210.5</v>
      </c>
    </row>
    <row r="573" spans="1:4">
      <c r="A573" t="s">
        <v>103</v>
      </c>
      <c r="B573" s="71">
        <v>35838</v>
      </c>
      <c r="C573" t="s">
        <v>42</v>
      </c>
      <c r="D573">
        <v>239.96999981179832</v>
      </c>
    </row>
    <row r="574" spans="1:4">
      <c r="A574" t="s">
        <v>103</v>
      </c>
      <c r="B574" s="71">
        <v>35850</v>
      </c>
      <c r="C574" t="s">
        <v>45</v>
      </c>
      <c r="D574">
        <v>442.05</v>
      </c>
    </row>
    <row r="575" spans="1:4">
      <c r="A575" t="s">
        <v>103</v>
      </c>
      <c r="B575" s="71">
        <v>35900</v>
      </c>
      <c r="C575" t="s">
        <v>42</v>
      </c>
      <c r="D575">
        <v>442.05</v>
      </c>
    </row>
    <row r="576" spans="1:4">
      <c r="A576" t="s">
        <v>103</v>
      </c>
      <c r="B576" s="71">
        <v>35317</v>
      </c>
      <c r="C576" t="s">
        <v>51</v>
      </c>
      <c r="D576">
        <v>408</v>
      </c>
    </row>
    <row r="577" spans="1:4">
      <c r="A577" t="s">
        <v>103</v>
      </c>
      <c r="B577" s="71">
        <v>35472</v>
      </c>
      <c r="C577" t="s">
        <v>45</v>
      </c>
      <c r="D577">
        <v>816</v>
      </c>
    </row>
    <row r="578" spans="1:4">
      <c r="A578" t="s">
        <v>103</v>
      </c>
      <c r="B578" s="71">
        <v>35503</v>
      </c>
      <c r="C578" t="s">
        <v>48</v>
      </c>
      <c r="D578">
        <v>693.59999513626099</v>
      </c>
    </row>
    <row r="579" spans="1:4">
      <c r="A579" t="s">
        <v>103</v>
      </c>
      <c r="B579" s="71">
        <v>35522</v>
      </c>
      <c r="C579" t="s">
        <v>42</v>
      </c>
      <c r="D579">
        <v>122.39999979734421</v>
      </c>
    </row>
    <row r="580" spans="1:4">
      <c r="A580" t="s">
        <v>103</v>
      </c>
      <c r="B580" s="71">
        <v>35559</v>
      </c>
      <c r="C580" t="s">
        <v>52</v>
      </c>
      <c r="D580">
        <v>408</v>
      </c>
    </row>
    <row r="581" spans="1:4">
      <c r="A581" t="s">
        <v>103</v>
      </c>
      <c r="B581" s="71">
        <v>35698</v>
      </c>
      <c r="C581" t="s">
        <v>45</v>
      </c>
      <c r="D581">
        <v>68</v>
      </c>
    </row>
    <row r="582" spans="1:4">
      <c r="A582" t="s">
        <v>103</v>
      </c>
      <c r="B582" s="71">
        <v>35775</v>
      </c>
      <c r="C582" t="s">
        <v>42</v>
      </c>
      <c r="D582">
        <v>850</v>
      </c>
    </row>
    <row r="583" spans="1:4">
      <c r="A583" t="s">
        <v>103</v>
      </c>
      <c r="B583" s="71">
        <v>35921</v>
      </c>
      <c r="C583" t="s">
        <v>49</v>
      </c>
      <c r="D583">
        <v>17</v>
      </c>
    </row>
    <row r="584" spans="1:4">
      <c r="A584" t="s">
        <v>103</v>
      </c>
      <c r="B584" s="71">
        <v>35261</v>
      </c>
      <c r="C584" t="s">
        <v>45</v>
      </c>
      <c r="D584">
        <v>124.8</v>
      </c>
    </row>
    <row r="585" spans="1:4">
      <c r="A585" t="s">
        <v>103</v>
      </c>
      <c r="B585" s="71">
        <v>35262</v>
      </c>
      <c r="C585" t="s">
        <v>42</v>
      </c>
      <c r="D585">
        <v>156</v>
      </c>
    </row>
    <row r="586" spans="1:4">
      <c r="A586" t="s">
        <v>103</v>
      </c>
      <c r="B586" s="71">
        <v>35304</v>
      </c>
      <c r="C586" t="s">
        <v>50</v>
      </c>
      <c r="D586">
        <v>104</v>
      </c>
    </row>
    <row r="587" spans="1:4">
      <c r="A587" t="s">
        <v>103</v>
      </c>
      <c r="B587" s="71">
        <v>35397</v>
      </c>
      <c r="C587" t="s">
        <v>50</v>
      </c>
      <c r="D587">
        <v>52</v>
      </c>
    </row>
    <row r="588" spans="1:4">
      <c r="A588" t="s">
        <v>103</v>
      </c>
      <c r="B588" s="71">
        <v>35397</v>
      </c>
      <c r="C588" t="s">
        <v>52</v>
      </c>
      <c r="D588">
        <v>72.8</v>
      </c>
    </row>
    <row r="589" spans="1:4">
      <c r="A589" t="s">
        <v>103</v>
      </c>
      <c r="B589" s="71">
        <v>35430</v>
      </c>
      <c r="C589" t="s">
        <v>50</v>
      </c>
      <c r="D589">
        <v>145.6</v>
      </c>
    </row>
    <row r="590" spans="1:4">
      <c r="A590" t="s">
        <v>103</v>
      </c>
      <c r="B590" s="71">
        <v>35446</v>
      </c>
      <c r="C590" t="s">
        <v>42</v>
      </c>
      <c r="D590">
        <v>364</v>
      </c>
    </row>
    <row r="591" spans="1:4">
      <c r="A591" t="s">
        <v>103</v>
      </c>
      <c r="B591" s="71">
        <v>35451</v>
      </c>
      <c r="C591" t="s">
        <v>50</v>
      </c>
      <c r="D591">
        <v>88.399999380111694</v>
      </c>
    </row>
    <row r="592" spans="1:4">
      <c r="A592" t="s">
        <v>103</v>
      </c>
      <c r="B592" s="71">
        <v>35480</v>
      </c>
      <c r="C592" t="s">
        <v>42</v>
      </c>
      <c r="D592">
        <v>514.79999914765358</v>
      </c>
    </row>
    <row r="593" spans="1:4">
      <c r="A593" t="s">
        <v>103</v>
      </c>
      <c r="B593" s="71">
        <v>35513</v>
      </c>
      <c r="C593" t="s">
        <v>52</v>
      </c>
      <c r="D593">
        <v>296.39999976754189</v>
      </c>
    </row>
    <row r="594" spans="1:4">
      <c r="A594" t="s">
        <v>103</v>
      </c>
      <c r="B594" s="71">
        <v>35520</v>
      </c>
      <c r="C594" t="s">
        <v>50</v>
      </c>
      <c r="D594">
        <v>61.879999566078183</v>
      </c>
    </row>
    <row r="595" spans="1:4">
      <c r="A595" t="s">
        <v>103</v>
      </c>
      <c r="B595" s="71">
        <v>35523</v>
      </c>
      <c r="C595" t="s">
        <v>45</v>
      </c>
      <c r="D595">
        <v>52</v>
      </c>
    </row>
    <row r="596" spans="1:4">
      <c r="A596" t="s">
        <v>103</v>
      </c>
      <c r="B596" s="71">
        <v>35524</v>
      </c>
      <c r="C596" t="s">
        <v>52</v>
      </c>
      <c r="D596">
        <v>260</v>
      </c>
    </row>
    <row r="597" spans="1:4">
      <c r="A597" t="s">
        <v>103</v>
      </c>
      <c r="B597" s="71">
        <v>35580</v>
      </c>
      <c r="C597" t="s">
        <v>42</v>
      </c>
      <c r="D597">
        <v>123.49999990314245</v>
      </c>
    </row>
    <row r="598" spans="1:4">
      <c r="A598" t="s">
        <v>103</v>
      </c>
      <c r="B598" s="71">
        <v>35604</v>
      </c>
      <c r="C598" t="s">
        <v>48</v>
      </c>
      <c r="D598">
        <v>234</v>
      </c>
    </row>
    <row r="599" spans="1:4">
      <c r="A599" t="s">
        <v>103</v>
      </c>
      <c r="B599" s="71">
        <v>35613</v>
      </c>
      <c r="C599" t="s">
        <v>49</v>
      </c>
      <c r="D599">
        <v>260</v>
      </c>
    </row>
    <row r="600" spans="1:4">
      <c r="A600" t="s">
        <v>103</v>
      </c>
      <c r="B600" s="71">
        <v>35618</v>
      </c>
      <c r="C600" t="s">
        <v>42</v>
      </c>
      <c r="D600">
        <v>740.99999941885471</v>
      </c>
    </row>
    <row r="601" spans="1:4">
      <c r="A601" t="s">
        <v>103</v>
      </c>
      <c r="B601" s="71">
        <v>35628</v>
      </c>
      <c r="C601" t="s">
        <v>50</v>
      </c>
      <c r="D601">
        <v>48.75</v>
      </c>
    </row>
    <row r="602" spans="1:4">
      <c r="A602" t="s">
        <v>103</v>
      </c>
      <c r="B602" s="71">
        <v>35669</v>
      </c>
      <c r="C602" t="s">
        <v>48</v>
      </c>
      <c r="D602">
        <v>341.25</v>
      </c>
    </row>
    <row r="603" spans="1:4">
      <c r="A603" t="s">
        <v>103</v>
      </c>
      <c r="B603" s="71">
        <v>35678</v>
      </c>
      <c r="C603" t="s">
        <v>42</v>
      </c>
      <c r="D603">
        <v>864.49999932199717</v>
      </c>
    </row>
    <row r="604" spans="1:4">
      <c r="A604" t="s">
        <v>103</v>
      </c>
      <c r="B604" s="71">
        <v>35705</v>
      </c>
      <c r="C604" t="s">
        <v>49</v>
      </c>
      <c r="D604">
        <v>292.5</v>
      </c>
    </row>
    <row r="605" spans="1:4">
      <c r="A605" t="s">
        <v>103</v>
      </c>
      <c r="B605" s="71">
        <v>35744</v>
      </c>
      <c r="C605" t="s">
        <v>37</v>
      </c>
      <c r="D605">
        <v>23.399999961256981</v>
      </c>
    </row>
    <row r="606" spans="1:4">
      <c r="A606" t="s">
        <v>103</v>
      </c>
      <c r="B606" s="71">
        <v>35780</v>
      </c>
      <c r="C606" t="s">
        <v>51</v>
      </c>
      <c r="D606">
        <v>195</v>
      </c>
    </row>
    <row r="607" spans="1:4">
      <c r="A607" t="s">
        <v>103</v>
      </c>
      <c r="B607" s="71">
        <v>35797</v>
      </c>
      <c r="C607" t="s">
        <v>30</v>
      </c>
      <c r="D607">
        <v>260</v>
      </c>
    </row>
    <row r="608" spans="1:4">
      <c r="A608" t="s">
        <v>103</v>
      </c>
      <c r="B608" s="71">
        <v>35804</v>
      </c>
      <c r="C608" t="s">
        <v>30</v>
      </c>
      <c r="D608">
        <v>175.49999970942736</v>
      </c>
    </row>
    <row r="609" spans="1:4">
      <c r="A609" t="s">
        <v>103</v>
      </c>
      <c r="B609" s="71">
        <v>35815</v>
      </c>
      <c r="C609" t="s">
        <v>30</v>
      </c>
      <c r="D609">
        <v>195</v>
      </c>
    </row>
    <row r="610" spans="1:4">
      <c r="A610" t="s">
        <v>103</v>
      </c>
      <c r="B610" s="71">
        <v>35838</v>
      </c>
      <c r="C610" t="s">
        <v>37</v>
      </c>
      <c r="D610">
        <v>325</v>
      </c>
    </row>
    <row r="611" spans="1:4">
      <c r="A611" t="s">
        <v>103</v>
      </c>
      <c r="B611" s="71">
        <v>35839</v>
      </c>
      <c r="C611" t="s">
        <v>49</v>
      </c>
      <c r="D611">
        <v>520</v>
      </c>
    </row>
    <row r="612" spans="1:4">
      <c r="A612" t="s">
        <v>103</v>
      </c>
      <c r="B612" s="71">
        <v>35859</v>
      </c>
      <c r="C612" t="s">
        <v>37</v>
      </c>
      <c r="D612">
        <v>195</v>
      </c>
    </row>
    <row r="613" spans="1:4">
      <c r="A613" t="s">
        <v>103</v>
      </c>
      <c r="B613" s="71">
        <v>35866</v>
      </c>
      <c r="C613" t="s">
        <v>49</v>
      </c>
      <c r="D613">
        <v>520</v>
      </c>
    </row>
    <row r="614" spans="1:4">
      <c r="A614" t="s">
        <v>103</v>
      </c>
      <c r="B614" s="71">
        <v>35884</v>
      </c>
      <c r="C614" t="s">
        <v>50</v>
      </c>
      <c r="D614">
        <v>195</v>
      </c>
    </row>
    <row r="615" spans="1:4">
      <c r="A615" t="s">
        <v>103</v>
      </c>
      <c r="B615" s="71">
        <v>35888</v>
      </c>
      <c r="C615" t="s">
        <v>37</v>
      </c>
      <c r="D615">
        <v>259.34999979659915</v>
      </c>
    </row>
    <row r="616" spans="1:4">
      <c r="A616" t="s">
        <v>103</v>
      </c>
      <c r="B616" s="71">
        <v>35891</v>
      </c>
      <c r="C616" t="s">
        <v>51</v>
      </c>
      <c r="D616">
        <v>390</v>
      </c>
    </row>
    <row r="617" spans="1:4">
      <c r="A617" t="s">
        <v>103</v>
      </c>
      <c r="B617" s="71">
        <v>35895</v>
      </c>
      <c r="C617" t="s">
        <v>51</v>
      </c>
      <c r="D617">
        <v>234</v>
      </c>
    </row>
    <row r="618" spans="1:4">
      <c r="A618" t="s">
        <v>103</v>
      </c>
      <c r="B618" s="71">
        <v>35915</v>
      </c>
      <c r="C618" t="s">
        <v>51</v>
      </c>
      <c r="D618">
        <v>130</v>
      </c>
    </row>
    <row r="619" spans="1:4">
      <c r="A619" t="s">
        <v>103</v>
      </c>
      <c r="B619" s="71">
        <v>35919</v>
      </c>
      <c r="C619" t="s">
        <v>50</v>
      </c>
      <c r="D619">
        <v>309.39999783039093</v>
      </c>
    </row>
    <row r="620" spans="1:4">
      <c r="A620" t="s">
        <v>103</v>
      </c>
      <c r="B620" s="71">
        <v>35921</v>
      </c>
      <c r="C620" t="s">
        <v>49</v>
      </c>
      <c r="D620">
        <v>26</v>
      </c>
    </row>
    <row r="621" spans="1:4">
      <c r="A621" t="s">
        <v>104</v>
      </c>
      <c r="B621" s="71">
        <v>35258</v>
      </c>
      <c r="C621" t="s">
        <v>48</v>
      </c>
      <c r="D621">
        <v>486.5</v>
      </c>
    </row>
    <row r="622" spans="1:4">
      <c r="A622" t="s">
        <v>104</v>
      </c>
      <c r="B622" s="71">
        <v>35269</v>
      </c>
      <c r="C622" t="s">
        <v>48</v>
      </c>
      <c r="D622">
        <v>625.5</v>
      </c>
    </row>
    <row r="623" spans="1:4">
      <c r="A623" t="s">
        <v>104</v>
      </c>
      <c r="B623" s="71">
        <v>35299</v>
      </c>
      <c r="C623" t="s">
        <v>50</v>
      </c>
      <c r="D623">
        <v>472.59999668598175</v>
      </c>
    </row>
    <row r="624" spans="1:4">
      <c r="A624" t="s">
        <v>104</v>
      </c>
      <c r="B624" s="71">
        <v>35311</v>
      </c>
      <c r="C624" t="s">
        <v>37</v>
      </c>
      <c r="D624">
        <v>417</v>
      </c>
    </row>
    <row r="625" spans="1:4">
      <c r="A625" t="s">
        <v>104</v>
      </c>
      <c r="B625" s="71">
        <v>35328</v>
      </c>
      <c r="C625" t="s">
        <v>50</v>
      </c>
      <c r="D625">
        <v>139</v>
      </c>
    </row>
    <row r="626" spans="1:4">
      <c r="A626" t="s">
        <v>104</v>
      </c>
      <c r="B626" s="71">
        <v>35346</v>
      </c>
      <c r="C626" t="s">
        <v>48</v>
      </c>
      <c r="D626">
        <v>248.1149982601404</v>
      </c>
    </row>
    <row r="627" spans="1:4">
      <c r="A627" t="s">
        <v>104</v>
      </c>
      <c r="B627" s="71">
        <v>35390</v>
      </c>
      <c r="C627" t="s">
        <v>30</v>
      </c>
      <c r="D627">
        <v>739.47999942004674</v>
      </c>
    </row>
    <row r="628" spans="1:4">
      <c r="A628" t="s">
        <v>104</v>
      </c>
      <c r="B628" s="71">
        <v>35433</v>
      </c>
      <c r="C628" t="s">
        <v>42</v>
      </c>
      <c r="D628">
        <v>248.1149982601404</v>
      </c>
    </row>
    <row r="629" spans="1:4">
      <c r="A629" t="s">
        <v>104</v>
      </c>
      <c r="B629" s="71">
        <v>35468</v>
      </c>
      <c r="C629" t="s">
        <v>37</v>
      </c>
      <c r="D629">
        <v>222.4</v>
      </c>
    </row>
    <row r="630" spans="1:4">
      <c r="A630" t="s">
        <v>104</v>
      </c>
      <c r="B630" s="71">
        <v>35471</v>
      </c>
      <c r="C630" t="s">
        <v>42</v>
      </c>
      <c r="D630">
        <v>578.93499594032767</v>
      </c>
    </row>
    <row r="631" spans="1:4">
      <c r="A631" t="s">
        <v>104</v>
      </c>
      <c r="B631" s="71">
        <v>35482</v>
      </c>
      <c r="C631" t="s">
        <v>42</v>
      </c>
      <c r="D631">
        <v>222.39999917149544</v>
      </c>
    </row>
    <row r="632" spans="1:4">
      <c r="A632" t="s">
        <v>104</v>
      </c>
      <c r="B632" s="71">
        <v>35499</v>
      </c>
      <c r="C632" t="s">
        <v>49</v>
      </c>
      <c r="D632">
        <v>413.52499710023403</v>
      </c>
    </row>
    <row r="633" spans="1:4">
      <c r="A633" t="s">
        <v>104</v>
      </c>
      <c r="B633" s="71">
        <v>35517</v>
      </c>
      <c r="C633" t="s">
        <v>37</v>
      </c>
      <c r="D633">
        <v>250.2</v>
      </c>
    </row>
    <row r="634" spans="1:4">
      <c r="A634" t="s">
        <v>104</v>
      </c>
      <c r="B634" s="71">
        <v>35543</v>
      </c>
      <c r="C634" t="s">
        <v>51</v>
      </c>
      <c r="D634">
        <v>872.5</v>
      </c>
    </row>
    <row r="635" spans="1:4">
      <c r="A635" t="s">
        <v>104</v>
      </c>
      <c r="B635" s="71">
        <v>35578</v>
      </c>
      <c r="C635" t="s">
        <v>42</v>
      </c>
      <c r="D635">
        <v>593.29999583959579</v>
      </c>
    </row>
    <row r="636" spans="1:4">
      <c r="A636" t="s">
        <v>104</v>
      </c>
      <c r="B636" s="71">
        <v>35580</v>
      </c>
      <c r="C636" t="s">
        <v>51</v>
      </c>
      <c r="D636">
        <v>244.3</v>
      </c>
    </row>
    <row r="637" spans="1:4">
      <c r="A637" t="s">
        <v>104</v>
      </c>
      <c r="B637" s="71">
        <v>35580</v>
      </c>
      <c r="C637" t="s">
        <v>42</v>
      </c>
      <c r="D637">
        <v>497.32499960996211</v>
      </c>
    </row>
    <row r="638" spans="1:4">
      <c r="A638" t="s">
        <v>104</v>
      </c>
      <c r="B638" s="71">
        <v>35599</v>
      </c>
      <c r="C638" t="s">
        <v>45</v>
      </c>
      <c r="D638">
        <v>188.45999968796968</v>
      </c>
    </row>
    <row r="639" spans="1:4">
      <c r="A639" t="s">
        <v>104</v>
      </c>
      <c r="B639" s="71">
        <v>35632</v>
      </c>
      <c r="C639" t="s">
        <v>49</v>
      </c>
      <c r="D639">
        <v>497.32499960996211</v>
      </c>
    </row>
    <row r="640" spans="1:4">
      <c r="A640" t="s">
        <v>104</v>
      </c>
      <c r="B640" s="71">
        <v>35675</v>
      </c>
      <c r="C640" t="s">
        <v>49</v>
      </c>
      <c r="D640">
        <v>471.14999921992421</v>
      </c>
    </row>
    <row r="641" spans="1:4">
      <c r="A641" t="s">
        <v>104</v>
      </c>
      <c r="B641" s="71">
        <v>35690</v>
      </c>
      <c r="C641" t="s">
        <v>49</v>
      </c>
      <c r="D641">
        <v>174.5</v>
      </c>
    </row>
    <row r="642" spans="1:4">
      <c r="A642" t="s">
        <v>104</v>
      </c>
      <c r="B642" s="71">
        <v>35691</v>
      </c>
      <c r="C642" t="s">
        <v>51</v>
      </c>
      <c r="D642">
        <v>52.35</v>
      </c>
    </row>
    <row r="643" spans="1:4">
      <c r="A643" t="s">
        <v>104</v>
      </c>
      <c r="B643" s="71">
        <v>35697</v>
      </c>
      <c r="C643" t="s">
        <v>49</v>
      </c>
      <c r="D643">
        <v>654.375</v>
      </c>
    </row>
    <row r="644" spans="1:4">
      <c r="A644" t="s">
        <v>104</v>
      </c>
      <c r="B644" s="71">
        <v>35719</v>
      </c>
      <c r="C644" t="s">
        <v>50</v>
      </c>
      <c r="D644">
        <v>349</v>
      </c>
    </row>
    <row r="645" spans="1:4">
      <c r="A645" t="s">
        <v>104</v>
      </c>
      <c r="B645" s="71">
        <v>35730</v>
      </c>
      <c r="C645" t="s">
        <v>49</v>
      </c>
      <c r="D645">
        <v>349</v>
      </c>
    </row>
    <row r="646" spans="1:4">
      <c r="A646" t="s">
        <v>104</v>
      </c>
      <c r="B646" s="71">
        <v>35739</v>
      </c>
      <c r="C646" t="s">
        <v>30</v>
      </c>
      <c r="D646">
        <v>248.66249980498105</v>
      </c>
    </row>
    <row r="647" spans="1:4">
      <c r="A647" t="s">
        <v>104</v>
      </c>
      <c r="B647" s="71">
        <v>35746</v>
      </c>
      <c r="C647" t="s">
        <v>51</v>
      </c>
      <c r="D647">
        <v>52.35</v>
      </c>
    </row>
    <row r="648" spans="1:4">
      <c r="A648" t="s">
        <v>104</v>
      </c>
      <c r="B648" s="71">
        <v>35780</v>
      </c>
      <c r="C648" t="s">
        <v>45</v>
      </c>
      <c r="D648">
        <v>349</v>
      </c>
    </row>
    <row r="649" spans="1:4">
      <c r="A649" t="s">
        <v>104</v>
      </c>
      <c r="B649" s="71">
        <v>35788</v>
      </c>
      <c r="C649" t="s">
        <v>50</v>
      </c>
      <c r="D649">
        <v>1134.25</v>
      </c>
    </row>
    <row r="650" spans="1:4">
      <c r="A650" t="s">
        <v>104</v>
      </c>
      <c r="B650" s="71">
        <v>35822</v>
      </c>
      <c r="C650" t="s">
        <v>45</v>
      </c>
      <c r="D650">
        <v>872.5</v>
      </c>
    </row>
    <row r="651" spans="1:4">
      <c r="A651" t="s">
        <v>104</v>
      </c>
      <c r="B651" s="71">
        <v>35831</v>
      </c>
      <c r="C651" t="s">
        <v>48</v>
      </c>
      <c r="D651">
        <v>198.92999984398486</v>
      </c>
    </row>
    <row r="652" spans="1:4">
      <c r="A652" t="s">
        <v>104</v>
      </c>
      <c r="B652" s="71">
        <v>35835</v>
      </c>
      <c r="C652" t="s">
        <v>49</v>
      </c>
      <c r="D652">
        <v>392.625</v>
      </c>
    </row>
    <row r="653" spans="1:4">
      <c r="A653" t="s">
        <v>104</v>
      </c>
      <c r="B653" s="71">
        <v>35852</v>
      </c>
      <c r="C653" t="s">
        <v>49</v>
      </c>
      <c r="D653">
        <v>261.75</v>
      </c>
    </row>
    <row r="654" spans="1:4">
      <c r="A654" t="s">
        <v>104</v>
      </c>
      <c r="B654" s="71">
        <v>35853</v>
      </c>
      <c r="C654" t="s">
        <v>49</v>
      </c>
      <c r="D654">
        <v>104.7</v>
      </c>
    </row>
    <row r="655" spans="1:4">
      <c r="A655" t="s">
        <v>104</v>
      </c>
      <c r="B655" s="71">
        <v>35856</v>
      </c>
      <c r="C655" t="s">
        <v>51</v>
      </c>
      <c r="D655">
        <v>418.8</v>
      </c>
    </row>
    <row r="656" spans="1:4">
      <c r="A656" t="s">
        <v>104</v>
      </c>
      <c r="B656" s="71">
        <v>35860</v>
      </c>
      <c r="C656" t="s">
        <v>50</v>
      </c>
      <c r="D656">
        <v>471.14999921992421</v>
      </c>
    </row>
    <row r="657" spans="1:4">
      <c r="A657" t="s">
        <v>104</v>
      </c>
      <c r="B657" s="71">
        <v>35871</v>
      </c>
      <c r="C657" t="s">
        <v>30</v>
      </c>
      <c r="D657">
        <v>415.30999708771708</v>
      </c>
    </row>
    <row r="658" spans="1:4">
      <c r="A658" t="s">
        <v>104</v>
      </c>
      <c r="B658" s="71">
        <v>35884</v>
      </c>
      <c r="C658" t="s">
        <v>49</v>
      </c>
      <c r="D658">
        <v>959.75</v>
      </c>
    </row>
    <row r="659" spans="1:4">
      <c r="A659" t="s">
        <v>104</v>
      </c>
      <c r="B659" s="71">
        <v>35884</v>
      </c>
      <c r="C659" t="s">
        <v>51</v>
      </c>
      <c r="D659">
        <v>565.37999906390905</v>
      </c>
    </row>
    <row r="660" spans="1:4">
      <c r="A660" t="s">
        <v>104</v>
      </c>
      <c r="B660" s="71">
        <v>35916</v>
      </c>
      <c r="C660" t="s">
        <v>52</v>
      </c>
      <c r="D660">
        <v>52.35</v>
      </c>
    </row>
    <row r="661" spans="1:4">
      <c r="A661" t="s">
        <v>104</v>
      </c>
      <c r="B661" s="71">
        <v>35920</v>
      </c>
      <c r="C661" t="s">
        <v>51</v>
      </c>
      <c r="D661">
        <v>444.97499687969685</v>
      </c>
    </row>
    <row r="662" spans="1:4">
      <c r="A662" t="s">
        <v>104</v>
      </c>
      <c r="B662" s="71">
        <v>35921</v>
      </c>
      <c r="C662" t="s">
        <v>52</v>
      </c>
      <c r="D662">
        <v>232.08499981798232</v>
      </c>
    </row>
    <row r="663" spans="1:4">
      <c r="A663" t="s">
        <v>104</v>
      </c>
      <c r="B663" s="71">
        <v>35921</v>
      </c>
      <c r="C663" t="s">
        <v>49</v>
      </c>
      <c r="D663">
        <v>33.853000023402274</v>
      </c>
    </row>
    <row r="664" spans="1:4">
      <c r="A664" t="s">
        <v>104</v>
      </c>
      <c r="B664" s="71">
        <v>35291</v>
      </c>
      <c r="C664" t="s">
        <v>42</v>
      </c>
      <c r="D664">
        <v>7.3</v>
      </c>
    </row>
    <row r="665" spans="1:4">
      <c r="A665" t="s">
        <v>104</v>
      </c>
      <c r="B665" s="71">
        <v>35293</v>
      </c>
      <c r="C665" t="s">
        <v>45</v>
      </c>
      <c r="D665">
        <v>131.4</v>
      </c>
    </row>
    <row r="666" spans="1:4">
      <c r="A666" t="s">
        <v>104</v>
      </c>
      <c r="B666" s="71">
        <v>35314</v>
      </c>
      <c r="C666" t="s">
        <v>42</v>
      </c>
      <c r="D666">
        <v>109.5</v>
      </c>
    </row>
    <row r="667" spans="1:4">
      <c r="A667" t="s">
        <v>104</v>
      </c>
      <c r="B667" s="71">
        <v>35353</v>
      </c>
      <c r="C667" t="s">
        <v>42</v>
      </c>
      <c r="D667">
        <v>69.349999945610762</v>
      </c>
    </row>
    <row r="668" spans="1:4">
      <c r="A668" t="s">
        <v>104</v>
      </c>
      <c r="B668" s="71">
        <v>35373</v>
      </c>
      <c r="C668" t="s">
        <v>51</v>
      </c>
      <c r="D668">
        <v>584</v>
      </c>
    </row>
    <row r="669" spans="1:4">
      <c r="A669" t="s">
        <v>104</v>
      </c>
      <c r="B669" s="71">
        <v>35444</v>
      </c>
      <c r="C669" t="s">
        <v>51</v>
      </c>
      <c r="D669">
        <v>124.82999990209937</v>
      </c>
    </row>
    <row r="670" spans="1:4">
      <c r="A670" t="s">
        <v>104</v>
      </c>
      <c r="B670" s="71">
        <v>35446</v>
      </c>
      <c r="C670" t="s">
        <v>50</v>
      </c>
      <c r="D670">
        <v>146</v>
      </c>
    </row>
    <row r="671" spans="1:4">
      <c r="A671" t="s">
        <v>104</v>
      </c>
      <c r="B671" s="71">
        <v>35451</v>
      </c>
      <c r="C671" t="s">
        <v>50</v>
      </c>
      <c r="D671">
        <v>24.819999825954437</v>
      </c>
    </row>
    <row r="672" spans="1:4">
      <c r="A672" t="s">
        <v>104</v>
      </c>
      <c r="B672" s="71">
        <v>35467</v>
      </c>
      <c r="C672" t="s">
        <v>45</v>
      </c>
      <c r="D672">
        <v>87.59999967366457</v>
      </c>
    </row>
    <row r="673" spans="1:4">
      <c r="A673" t="s">
        <v>104</v>
      </c>
      <c r="B673" s="71">
        <v>35475</v>
      </c>
      <c r="C673" t="s">
        <v>37</v>
      </c>
      <c r="D673">
        <v>78.839999869465828</v>
      </c>
    </row>
    <row r="674" spans="1:4">
      <c r="A674" t="s">
        <v>104</v>
      </c>
      <c r="B674" s="71">
        <v>35475</v>
      </c>
      <c r="C674" t="s">
        <v>42</v>
      </c>
      <c r="D674">
        <v>292</v>
      </c>
    </row>
    <row r="675" spans="1:4">
      <c r="A675" t="s">
        <v>104</v>
      </c>
      <c r="B675" s="71">
        <v>35493</v>
      </c>
      <c r="C675" t="s">
        <v>30</v>
      </c>
      <c r="D675">
        <v>153.30000000000001</v>
      </c>
    </row>
    <row r="676" spans="1:4">
      <c r="A676" t="s">
        <v>104</v>
      </c>
      <c r="B676" s="71">
        <v>35515</v>
      </c>
      <c r="C676" t="s">
        <v>51</v>
      </c>
      <c r="D676">
        <v>36.5</v>
      </c>
    </row>
    <row r="677" spans="1:4">
      <c r="A677" t="s">
        <v>104</v>
      </c>
      <c r="B677" s="71">
        <v>35578</v>
      </c>
      <c r="C677" t="s">
        <v>52</v>
      </c>
      <c r="D677">
        <v>92</v>
      </c>
    </row>
    <row r="678" spans="1:4">
      <c r="A678" t="s">
        <v>104</v>
      </c>
      <c r="B678" s="71">
        <v>35583</v>
      </c>
      <c r="C678" t="s">
        <v>37</v>
      </c>
      <c r="D678">
        <v>257.59999904036522</v>
      </c>
    </row>
    <row r="679" spans="1:4">
      <c r="A679" t="s">
        <v>104</v>
      </c>
      <c r="B679" s="71">
        <v>35647</v>
      </c>
      <c r="C679" t="s">
        <v>42</v>
      </c>
      <c r="D679">
        <v>46</v>
      </c>
    </row>
    <row r="680" spans="1:4">
      <c r="A680" t="s">
        <v>104</v>
      </c>
      <c r="B680" s="71">
        <v>35649</v>
      </c>
      <c r="C680" t="s">
        <v>50</v>
      </c>
      <c r="D680">
        <v>124.19999979436398</v>
      </c>
    </row>
    <row r="681" spans="1:4">
      <c r="A681" t="s">
        <v>104</v>
      </c>
      <c r="B681" s="71">
        <v>35669</v>
      </c>
      <c r="C681" t="s">
        <v>42</v>
      </c>
      <c r="D681">
        <v>276</v>
      </c>
    </row>
    <row r="682" spans="1:4">
      <c r="A682" t="s">
        <v>104</v>
      </c>
      <c r="B682" s="71">
        <v>35674</v>
      </c>
      <c r="C682" t="s">
        <v>50</v>
      </c>
      <c r="D682">
        <v>82.800000000000011</v>
      </c>
    </row>
    <row r="683" spans="1:4">
      <c r="A683" t="s">
        <v>104</v>
      </c>
      <c r="B683" s="71">
        <v>35695</v>
      </c>
      <c r="C683" t="s">
        <v>51</v>
      </c>
      <c r="D683">
        <v>64.400000000000006</v>
      </c>
    </row>
    <row r="684" spans="1:4">
      <c r="A684" t="s">
        <v>104</v>
      </c>
      <c r="B684" s="71">
        <v>35698</v>
      </c>
      <c r="C684" t="s">
        <v>45</v>
      </c>
      <c r="D684">
        <v>248.39999958872795</v>
      </c>
    </row>
    <row r="685" spans="1:4">
      <c r="A685" t="s">
        <v>104</v>
      </c>
      <c r="B685" s="71">
        <v>35711</v>
      </c>
      <c r="C685" t="s">
        <v>45</v>
      </c>
      <c r="D685">
        <v>48.300000000000004</v>
      </c>
    </row>
    <row r="686" spans="1:4">
      <c r="A686" t="s">
        <v>104</v>
      </c>
      <c r="B686" s="71">
        <v>35723</v>
      </c>
      <c r="C686" t="s">
        <v>49</v>
      </c>
      <c r="D686">
        <v>46</v>
      </c>
    </row>
    <row r="687" spans="1:4">
      <c r="A687" t="s">
        <v>104</v>
      </c>
      <c r="B687" s="71">
        <v>35724</v>
      </c>
      <c r="C687" t="s">
        <v>30</v>
      </c>
      <c r="D687">
        <v>110.4</v>
      </c>
    </row>
    <row r="688" spans="1:4">
      <c r="A688" t="s">
        <v>104</v>
      </c>
      <c r="B688" s="71">
        <v>35786</v>
      </c>
      <c r="C688" t="s">
        <v>49</v>
      </c>
      <c r="D688">
        <v>436.99999965727329</v>
      </c>
    </row>
    <row r="689" spans="1:4">
      <c r="A689" t="s">
        <v>104</v>
      </c>
      <c r="B689" s="71">
        <v>35794</v>
      </c>
      <c r="C689" t="s">
        <v>42</v>
      </c>
      <c r="D689">
        <v>209.75999983549119</v>
      </c>
    </row>
    <row r="690" spans="1:4">
      <c r="A690" t="s">
        <v>104</v>
      </c>
      <c r="B690" s="71">
        <v>35797</v>
      </c>
      <c r="C690" t="s">
        <v>50</v>
      </c>
      <c r="D690">
        <v>138</v>
      </c>
    </row>
    <row r="691" spans="1:4">
      <c r="A691" t="s">
        <v>104</v>
      </c>
      <c r="B691" s="71">
        <v>35809</v>
      </c>
      <c r="C691" t="s">
        <v>45</v>
      </c>
      <c r="D691">
        <v>18.399999999999999</v>
      </c>
    </row>
    <row r="692" spans="1:4">
      <c r="A692" t="s">
        <v>104</v>
      </c>
      <c r="B692" s="71">
        <v>35817</v>
      </c>
      <c r="C692" t="s">
        <v>42</v>
      </c>
      <c r="D692">
        <v>88.319999670982369</v>
      </c>
    </row>
    <row r="693" spans="1:4">
      <c r="A693" t="s">
        <v>104</v>
      </c>
      <c r="B693" s="71">
        <v>35832</v>
      </c>
      <c r="C693" t="s">
        <v>42</v>
      </c>
      <c r="D693">
        <v>230</v>
      </c>
    </row>
    <row r="694" spans="1:4">
      <c r="A694" t="s">
        <v>104</v>
      </c>
      <c r="B694" s="71">
        <v>35852</v>
      </c>
      <c r="C694" t="s">
        <v>49</v>
      </c>
      <c r="D694">
        <v>110.4</v>
      </c>
    </row>
    <row r="695" spans="1:4">
      <c r="A695" t="s">
        <v>104</v>
      </c>
      <c r="B695" s="71">
        <v>35858</v>
      </c>
      <c r="C695" t="s">
        <v>42</v>
      </c>
      <c r="D695">
        <v>64.400000000000006</v>
      </c>
    </row>
    <row r="696" spans="1:4">
      <c r="A696" t="s">
        <v>104</v>
      </c>
      <c r="B696" s="71">
        <v>35877</v>
      </c>
      <c r="C696" t="s">
        <v>51</v>
      </c>
      <c r="D696">
        <v>110.4</v>
      </c>
    </row>
    <row r="697" spans="1:4">
      <c r="A697" t="s">
        <v>104</v>
      </c>
      <c r="B697" s="71">
        <v>35894</v>
      </c>
      <c r="C697" t="s">
        <v>49</v>
      </c>
      <c r="D697">
        <v>436.99999965727329</v>
      </c>
    </row>
    <row r="698" spans="1:4">
      <c r="A698" t="s">
        <v>104</v>
      </c>
      <c r="B698" s="71">
        <v>35899</v>
      </c>
      <c r="C698" t="s">
        <v>48</v>
      </c>
      <c r="D698">
        <v>322</v>
      </c>
    </row>
    <row r="699" spans="1:4">
      <c r="A699" t="s">
        <v>104</v>
      </c>
      <c r="B699" s="71">
        <v>35916</v>
      </c>
      <c r="C699" t="s">
        <v>52</v>
      </c>
      <c r="D699">
        <v>386.4</v>
      </c>
    </row>
    <row r="700" spans="1:4">
      <c r="A700" t="s">
        <v>104</v>
      </c>
      <c r="B700" s="71">
        <v>35921</v>
      </c>
      <c r="C700" t="s">
        <v>42</v>
      </c>
      <c r="D700">
        <v>69</v>
      </c>
    </row>
    <row r="701" spans="1:4">
      <c r="A701" t="s">
        <v>104</v>
      </c>
      <c r="B701" s="71">
        <v>35255</v>
      </c>
      <c r="C701" t="s">
        <v>42</v>
      </c>
      <c r="D701">
        <v>2462.3999980688095</v>
      </c>
    </row>
    <row r="702" spans="1:4">
      <c r="A702" t="s">
        <v>104</v>
      </c>
      <c r="B702" s="71">
        <v>35279</v>
      </c>
      <c r="C702" t="s">
        <v>37</v>
      </c>
      <c r="D702">
        <v>388.8</v>
      </c>
    </row>
    <row r="703" spans="1:4">
      <c r="A703" t="s">
        <v>104</v>
      </c>
      <c r="B703" s="71">
        <v>35305</v>
      </c>
      <c r="C703" t="s">
        <v>49</v>
      </c>
      <c r="D703">
        <v>1296</v>
      </c>
    </row>
    <row r="704" spans="1:4">
      <c r="A704" t="s">
        <v>104</v>
      </c>
      <c r="B704" s="71">
        <v>35403</v>
      </c>
      <c r="C704" t="s">
        <v>30</v>
      </c>
      <c r="D704">
        <v>583.20000000000005</v>
      </c>
    </row>
    <row r="705" spans="1:4">
      <c r="A705" t="s">
        <v>104</v>
      </c>
      <c r="B705" s="71">
        <v>35415</v>
      </c>
      <c r="C705" t="s">
        <v>45</v>
      </c>
      <c r="D705">
        <v>1814.4</v>
      </c>
    </row>
    <row r="706" spans="1:4">
      <c r="A706" t="s">
        <v>104</v>
      </c>
      <c r="B706" s="71">
        <v>35542</v>
      </c>
      <c r="C706" t="s">
        <v>45</v>
      </c>
      <c r="D706">
        <v>3159</v>
      </c>
    </row>
    <row r="707" spans="1:4">
      <c r="A707" t="s">
        <v>104</v>
      </c>
      <c r="B707" s="71">
        <v>35551</v>
      </c>
      <c r="C707" t="s">
        <v>52</v>
      </c>
      <c r="D707">
        <v>1093.4999981895089</v>
      </c>
    </row>
    <row r="708" spans="1:4">
      <c r="A708" t="s">
        <v>104</v>
      </c>
      <c r="B708" s="71">
        <v>35620</v>
      </c>
      <c r="C708" t="s">
        <v>52</v>
      </c>
      <c r="D708">
        <v>1360.799994930625</v>
      </c>
    </row>
    <row r="709" spans="1:4">
      <c r="A709" t="s">
        <v>104</v>
      </c>
      <c r="B709" s="71">
        <v>35681</v>
      </c>
      <c r="C709" t="s">
        <v>50</v>
      </c>
      <c r="D709">
        <v>1701</v>
      </c>
    </row>
    <row r="710" spans="1:4">
      <c r="A710" t="s">
        <v>104</v>
      </c>
      <c r="B710" s="71">
        <v>35808</v>
      </c>
      <c r="C710" t="s">
        <v>48</v>
      </c>
      <c r="D710">
        <v>405</v>
      </c>
    </row>
    <row r="711" spans="1:4">
      <c r="A711" t="s">
        <v>104</v>
      </c>
      <c r="B711" s="71">
        <v>35836</v>
      </c>
      <c r="C711" t="s">
        <v>42</v>
      </c>
      <c r="D711">
        <v>1538.9999987930059</v>
      </c>
    </row>
    <row r="712" spans="1:4">
      <c r="A712" t="s">
        <v>104</v>
      </c>
      <c r="B712" s="71">
        <v>35859</v>
      </c>
      <c r="C712" t="s">
        <v>42</v>
      </c>
      <c r="D712">
        <v>405</v>
      </c>
    </row>
    <row r="713" spans="1:4">
      <c r="A713" t="s">
        <v>104</v>
      </c>
      <c r="B713" s="71">
        <v>35870</v>
      </c>
      <c r="C713" t="s">
        <v>48</v>
      </c>
      <c r="D713">
        <v>3847.4999969825149</v>
      </c>
    </row>
    <row r="714" spans="1:4">
      <c r="A714" t="s">
        <v>104</v>
      </c>
      <c r="B714" s="71">
        <v>35884</v>
      </c>
      <c r="C714" t="s">
        <v>50</v>
      </c>
      <c r="D714">
        <v>1215</v>
      </c>
    </row>
    <row r="715" spans="1:4">
      <c r="A715" t="s">
        <v>104</v>
      </c>
      <c r="B715" s="71">
        <v>35899</v>
      </c>
      <c r="C715" t="s">
        <v>45</v>
      </c>
      <c r="D715">
        <v>1215</v>
      </c>
    </row>
    <row r="716" spans="1:4">
      <c r="A716" t="s">
        <v>104</v>
      </c>
      <c r="B716" s="71">
        <v>35921</v>
      </c>
      <c r="C716" t="s">
        <v>49</v>
      </c>
      <c r="D716">
        <v>77.760000072419643</v>
      </c>
    </row>
    <row r="717" spans="1:4">
      <c r="A717" t="s">
        <v>104</v>
      </c>
      <c r="B717" s="71">
        <v>35264</v>
      </c>
      <c r="C717" t="s">
        <v>42</v>
      </c>
      <c r="D717">
        <v>80</v>
      </c>
    </row>
    <row r="718" spans="1:4">
      <c r="A718" t="s">
        <v>104</v>
      </c>
      <c r="B718" s="71">
        <v>35265</v>
      </c>
      <c r="C718" t="s">
        <v>42</v>
      </c>
      <c r="D718">
        <v>160</v>
      </c>
    </row>
    <row r="719" spans="1:4">
      <c r="A719" t="s">
        <v>104</v>
      </c>
      <c r="B719" s="71">
        <v>35356</v>
      </c>
      <c r="C719" t="s">
        <v>30</v>
      </c>
      <c r="D719">
        <v>71.99999988079071</v>
      </c>
    </row>
    <row r="720" spans="1:4">
      <c r="A720" t="s">
        <v>104</v>
      </c>
      <c r="B720" s="71">
        <v>35398</v>
      </c>
      <c r="C720" t="s">
        <v>51</v>
      </c>
      <c r="D720">
        <v>35.999999940395355</v>
      </c>
    </row>
    <row r="721" spans="1:4">
      <c r="A721" t="s">
        <v>104</v>
      </c>
      <c r="B721" s="71">
        <v>35426</v>
      </c>
      <c r="C721" t="s">
        <v>30</v>
      </c>
      <c r="D721">
        <v>67.999999523162842</v>
      </c>
    </row>
    <row r="722" spans="1:4">
      <c r="A722" t="s">
        <v>104</v>
      </c>
      <c r="B722" s="71">
        <v>35437</v>
      </c>
      <c r="C722" t="s">
        <v>52</v>
      </c>
      <c r="D722">
        <v>215.99999964237213</v>
      </c>
    </row>
    <row r="723" spans="1:4">
      <c r="A723" t="s">
        <v>104</v>
      </c>
      <c r="B723" s="71">
        <v>35439</v>
      </c>
      <c r="C723" t="s">
        <v>45</v>
      </c>
      <c r="D723">
        <v>96</v>
      </c>
    </row>
    <row r="724" spans="1:4">
      <c r="A724" t="s">
        <v>104</v>
      </c>
      <c r="B724" s="71">
        <v>35460</v>
      </c>
      <c r="C724" t="s">
        <v>42</v>
      </c>
      <c r="D724">
        <v>400</v>
      </c>
    </row>
    <row r="725" spans="1:4">
      <c r="A725" t="s">
        <v>104</v>
      </c>
      <c r="B725" s="71">
        <v>35486</v>
      </c>
      <c r="C725" t="s">
        <v>50</v>
      </c>
      <c r="D725">
        <v>271.99999809265137</v>
      </c>
    </row>
    <row r="726" spans="1:4">
      <c r="A726" t="s">
        <v>104</v>
      </c>
      <c r="B726" s="71">
        <v>35489</v>
      </c>
      <c r="C726" t="s">
        <v>49</v>
      </c>
      <c r="D726">
        <v>240</v>
      </c>
    </row>
    <row r="727" spans="1:4">
      <c r="A727" t="s">
        <v>104</v>
      </c>
      <c r="B727" s="71">
        <v>35506</v>
      </c>
      <c r="C727" t="s">
        <v>30</v>
      </c>
      <c r="D727">
        <v>126</v>
      </c>
    </row>
    <row r="728" spans="1:4">
      <c r="A728" t="s">
        <v>104</v>
      </c>
      <c r="B728" s="71">
        <v>35513</v>
      </c>
      <c r="C728" t="s">
        <v>45</v>
      </c>
      <c r="D728">
        <v>112</v>
      </c>
    </row>
    <row r="729" spans="1:4">
      <c r="A729" t="s">
        <v>104</v>
      </c>
      <c r="B729" s="71">
        <v>35531</v>
      </c>
      <c r="C729" t="s">
        <v>42</v>
      </c>
      <c r="D729">
        <v>120</v>
      </c>
    </row>
    <row r="730" spans="1:4">
      <c r="A730" t="s">
        <v>104</v>
      </c>
      <c r="B730" s="71">
        <v>35542</v>
      </c>
      <c r="C730" t="s">
        <v>52</v>
      </c>
      <c r="D730">
        <v>319.9999988079071</v>
      </c>
    </row>
    <row r="731" spans="1:4">
      <c r="A731" t="s">
        <v>104</v>
      </c>
      <c r="B731" s="71">
        <v>35566</v>
      </c>
      <c r="C731" t="s">
        <v>37</v>
      </c>
      <c r="D731">
        <v>150</v>
      </c>
    </row>
    <row r="732" spans="1:4">
      <c r="A732" t="s">
        <v>104</v>
      </c>
      <c r="B732" s="71">
        <v>35578</v>
      </c>
      <c r="C732" t="s">
        <v>52</v>
      </c>
      <c r="D732">
        <v>53.999999910593033</v>
      </c>
    </row>
    <row r="733" spans="1:4">
      <c r="A733" t="s">
        <v>104</v>
      </c>
      <c r="B733" s="71">
        <v>35635</v>
      </c>
      <c r="C733" t="s">
        <v>52</v>
      </c>
      <c r="D733">
        <v>60</v>
      </c>
    </row>
    <row r="734" spans="1:4">
      <c r="A734" t="s">
        <v>104</v>
      </c>
      <c r="B734" s="71">
        <v>35640</v>
      </c>
      <c r="C734" t="s">
        <v>50</v>
      </c>
      <c r="D734">
        <v>80</v>
      </c>
    </row>
    <row r="735" spans="1:4">
      <c r="A735" t="s">
        <v>104</v>
      </c>
      <c r="B735" s="71">
        <v>35646</v>
      </c>
      <c r="C735" t="s">
        <v>45</v>
      </c>
      <c r="D735">
        <v>420</v>
      </c>
    </row>
    <row r="736" spans="1:4">
      <c r="A736" t="s">
        <v>104</v>
      </c>
      <c r="B736" s="71">
        <v>35649</v>
      </c>
      <c r="C736" t="s">
        <v>50</v>
      </c>
      <c r="D736">
        <v>224.99999962747097</v>
      </c>
    </row>
    <row r="737" spans="1:4">
      <c r="A737" t="s">
        <v>104</v>
      </c>
      <c r="B737" s="71">
        <v>35664</v>
      </c>
      <c r="C737" t="s">
        <v>52</v>
      </c>
      <c r="D737">
        <v>239.99999910593033</v>
      </c>
    </row>
    <row r="738" spans="1:4">
      <c r="A738" t="s">
        <v>104</v>
      </c>
      <c r="B738" s="71">
        <v>35678</v>
      </c>
      <c r="C738" t="s">
        <v>42</v>
      </c>
      <c r="D738">
        <v>600</v>
      </c>
    </row>
    <row r="739" spans="1:4">
      <c r="A739" t="s">
        <v>104</v>
      </c>
      <c r="B739" s="71">
        <v>35698</v>
      </c>
      <c r="C739" t="s">
        <v>45</v>
      </c>
      <c r="D739">
        <v>107.99999982118607</v>
      </c>
    </row>
    <row r="740" spans="1:4">
      <c r="A740" t="s">
        <v>104</v>
      </c>
      <c r="B740" s="71">
        <v>35727</v>
      </c>
      <c r="C740" t="s">
        <v>42</v>
      </c>
      <c r="D740">
        <v>50</v>
      </c>
    </row>
    <row r="741" spans="1:4">
      <c r="A741" t="s">
        <v>104</v>
      </c>
      <c r="B741" s="71">
        <v>35727</v>
      </c>
      <c r="C741" t="s">
        <v>49</v>
      </c>
      <c r="D741">
        <v>303.99999976158142</v>
      </c>
    </row>
    <row r="742" spans="1:4">
      <c r="A742" t="s">
        <v>104</v>
      </c>
      <c r="B742" s="71">
        <v>35738</v>
      </c>
      <c r="C742" t="s">
        <v>50</v>
      </c>
      <c r="D742">
        <v>300</v>
      </c>
    </row>
    <row r="743" spans="1:4">
      <c r="A743" t="s">
        <v>104</v>
      </c>
      <c r="B743" s="71">
        <v>35740</v>
      </c>
      <c r="C743" t="s">
        <v>52</v>
      </c>
      <c r="D743">
        <v>379.99999970197678</v>
      </c>
    </row>
    <row r="744" spans="1:4">
      <c r="A744" t="s">
        <v>104</v>
      </c>
      <c r="B744" s="71">
        <v>35767</v>
      </c>
      <c r="C744" t="s">
        <v>45</v>
      </c>
      <c r="D744">
        <v>400</v>
      </c>
    </row>
    <row r="745" spans="1:4">
      <c r="A745" t="s">
        <v>104</v>
      </c>
      <c r="B745" s="71">
        <v>35825</v>
      </c>
      <c r="C745" t="s">
        <v>42</v>
      </c>
      <c r="D745">
        <v>400</v>
      </c>
    </row>
    <row r="746" spans="1:4">
      <c r="A746" t="s">
        <v>104</v>
      </c>
      <c r="B746" s="71">
        <v>35832</v>
      </c>
      <c r="C746" t="s">
        <v>42</v>
      </c>
      <c r="D746">
        <v>200</v>
      </c>
    </row>
    <row r="747" spans="1:4">
      <c r="A747" t="s">
        <v>104</v>
      </c>
      <c r="B747" s="71">
        <v>35838</v>
      </c>
      <c r="C747" t="s">
        <v>42</v>
      </c>
      <c r="D747">
        <v>379.99999970197678</v>
      </c>
    </row>
    <row r="748" spans="1:4">
      <c r="A748" t="s">
        <v>104</v>
      </c>
      <c r="B748" s="71">
        <v>35859</v>
      </c>
      <c r="C748" t="s">
        <v>37</v>
      </c>
      <c r="D748">
        <v>600</v>
      </c>
    </row>
    <row r="749" spans="1:4">
      <c r="A749" t="s">
        <v>104</v>
      </c>
      <c r="B749" s="71">
        <v>35860</v>
      </c>
      <c r="C749" t="s">
        <v>42</v>
      </c>
      <c r="D749">
        <v>360</v>
      </c>
    </row>
    <row r="750" spans="1:4">
      <c r="A750" t="s">
        <v>104</v>
      </c>
      <c r="B750" s="71">
        <v>35871</v>
      </c>
      <c r="C750" t="s">
        <v>37</v>
      </c>
      <c r="D750">
        <v>120</v>
      </c>
    </row>
    <row r="751" spans="1:4">
      <c r="A751" t="s">
        <v>104</v>
      </c>
      <c r="B751" s="71">
        <v>35880</v>
      </c>
      <c r="C751" t="s">
        <v>48</v>
      </c>
      <c r="D751">
        <v>339.99999761581421</v>
      </c>
    </row>
    <row r="752" spans="1:4">
      <c r="A752" t="s">
        <v>104</v>
      </c>
      <c r="B752" s="71">
        <v>35886</v>
      </c>
      <c r="C752" t="s">
        <v>51</v>
      </c>
      <c r="D752">
        <v>650</v>
      </c>
    </row>
    <row r="753" spans="1:4">
      <c r="A753" t="s">
        <v>104</v>
      </c>
      <c r="B753" s="71">
        <v>35905</v>
      </c>
      <c r="C753" t="s">
        <v>50</v>
      </c>
      <c r="D753">
        <v>134.99999977648258</v>
      </c>
    </row>
    <row r="754" spans="1:4">
      <c r="A754" t="s">
        <v>104</v>
      </c>
      <c r="B754" s="71">
        <v>35907</v>
      </c>
      <c r="C754" t="s">
        <v>42</v>
      </c>
      <c r="D754">
        <v>200</v>
      </c>
    </row>
    <row r="755" spans="1:4">
      <c r="A755" t="s">
        <v>104</v>
      </c>
      <c r="B755" s="71">
        <v>35914</v>
      </c>
      <c r="C755" t="s">
        <v>48</v>
      </c>
      <c r="D755">
        <v>30</v>
      </c>
    </row>
    <row r="756" spans="1:4">
      <c r="A756" t="s">
        <v>104</v>
      </c>
      <c r="B756" s="71">
        <v>35345</v>
      </c>
      <c r="C756" t="s">
        <v>42</v>
      </c>
      <c r="D756">
        <v>44.8</v>
      </c>
    </row>
    <row r="757" spans="1:4">
      <c r="A757" t="s">
        <v>104</v>
      </c>
      <c r="B757" s="71">
        <v>35375</v>
      </c>
      <c r="C757" t="s">
        <v>42</v>
      </c>
      <c r="D757">
        <v>112</v>
      </c>
    </row>
    <row r="758" spans="1:4">
      <c r="A758" t="s">
        <v>104</v>
      </c>
      <c r="B758" s="71">
        <v>35394</v>
      </c>
      <c r="C758" t="s">
        <v>45</v>
      </c>
      <c r="D758">
        <v>560</v>
      </c>
    </row>
    <row r="759" spans="1:4">
      <c r="A759" t="s">
        <v>104</v>
      </c>
      <c r="B759" s="71">
        <v>35424</v>
      </c>
      <c r="C759" t="s">
        <v>49</v>
      </c>
      <c r="D759">
        <v>58.800000000000004</v>
      </c>
    </row>
    <row r="760" spans="1:4">
      <c r="A760" t="s">
        <v>104</v>
      </c>
      <c r="B760" s="71">
        <v>35495</v>
      </c>
      <c r="C760" t="s">
        <v>50</v>
      </c>
      <c r="D760">
        <v>134.4</v>
      </c>
    </row>
    <row r="761" spans="1:4">
      <c r="A761" t="s">
        <v>104</v>
      </c>
      <c r="B761" s="71">
        <v>35521</v>
      </c>
      <c r="C761" t="s">
        <v>45</v>
      </c>
      <c r="D761">
        <v>638.39999949932098</v>
      </c>
    </row>
    <row r="762" spans="1:4">
      <c r="A762" t="s">
        <v>104</v>
      </c>
      <c r="B762" s="71">
        <v>35535</v>
      </c>
      <c r="C762" t="s">
        <v>48</v>
      </c>
      <c r="D762">
        <v>226.79999962449074</v>
      </c>
    </row>
    <row r="763" spans="1:4">
      <c r="A763" t="s">
        <v>104</v>
      </c>
      <c r="B763" s="71">
        <v>35765</v>
      </c>
      <c r="C763" t="s">
        <v>42</v>
      </c>
      <c r="D763">
        <v>126</v>
      </c>
    </row>
    <row r="764" spans="1:4">
      <c r="A764" t="s">
        <v>104</v>
      </c>
      <c r="B764" s="71">
        <v>35766</v>
      </c>
      <c r="C764" t="s">
        <v>30</v>
      </c>
      <c r="D764">
        <v>367.5</v>
      </c>
    </row>
    <row r="765" spans="1:4">
      <c r="A765" t="s">
        <v>104</v>
      </c>
      <c r="B765" s="71">
        <v>35794</v>
      </c>
      <c r="C765" t="s">
        <v>42</v>
      </c>
      <c r="D765">
        <v>199.49999984353781</v>
      </c>
    </row>
    <row r="766" spans="1:4">
      <c r="A766" t="s">
        <v>104</v>
      </c>
      <c r="B766" s="71">
        <v>35796</v>
      </c>
      <c r="C766" t="s">
        <v>51</v>
      </c>
      <c r="D766">
        <v>70</v>
      </c>
    </row>
    <row r="767" spans="1:4">
      <c r="A767" t="s">
        <v>104</v>
      </c>
      <c r="B767" s="71">
        <v>35809</v>
      </c>
      <c r="C767" t="s">
        <v>51</v>
      </c>
      <c r="D767">
        <v>111.99999958276749</v>
      </c>
    </row>
    <row r="768" spans="1:4">
      <c r="A768" t="s">
        <v>104</v>
      </c>
      <c r="B768" s="71">
        <v>35814</v>
      </c>
      <c r="C768" t="s">
        <v>42</v>
      </c>
      <c r="D768">
        <v>67.199999749660492</v>
      </c>
    </row>
    <row r="769" spans="1:4">
      <c r="A769" t="s">
        <v>104</v>
      </c>
      <c r="B769" s="71">
        <v>35818</v>
      </c>
      <c r="C769" t="s">
        <v>49</v>
      </c>
      <c r="D769">
        <v>237.99999833106995</v>
      </c>
    </row>
    <row r="770" spans="1:4">
      <c r="A770" t="s">
        <v>104</v>
      </c>
      <c r="B770" s="71">
        <v>35821</v>
      </c>
      <c r="C770" t="s">
        <v>30</v>
      </c>
      <c r="D770">
        <v>132.99999989569187</v>
      </c>
    </row>
    <row r="771" spans="1:4">
      <c r="A771" t="s">
        <v>104</v>
      </c>
      <c r="B771" s="71">
        <v>35839</v>
      </c>
      <c r="C771" t="s">
        <v>50</v>
      </c>
      <c r="D771">
        <v>70</v>
      </c>
    </row>
    <row r="772" spans="1:4">
      <c r="A772" t="s">
        <v>104</v>
      </c>
      <c r="B772" s="71">
        <v>35856</v>
      </c>
      <c r="C772" t="s">
        <v>51</v>
      </c>
      <c r="D772">
        <v>336</v>
      </c>
    </row>
    <row r="773" spans="1:4">
      <c r="A773" t="s">
        <v>104</v>
      </c>
      <c r="B773" s="71">
        <v>35913</v>
      </c>
      <c r="C773" t="s">
        <v>52</v>
      </c>
      <c r="D773">
        <v>210</v>
      </c>
    </row>
    <row r="774" spans="1:4">
      <c r="A774" t="s">
        <v>104</v>
      </c>
      <c r="B774" s="71">
        <v>35354</v>
      </c>
      <c r="C774" t="s">
        <v>45</v>
      </c>
      <c r="D774">
        <v>1058.2499925792217</v>
      </c>
    </row>
    <row r="775" spans="1:4">
      <c r="A775" t="s">
        <v>104</v>
      </c>
      <c r="B775" s="71">
        <v>35362</v>
      </c>
      <c r="C775" t="s">
        <v>42</v>
      </c>
      <c r="D775">
        <v>597.6</v>
      </c>
    </row>
    <row r="776" spans="1:4">
      <c r="A776" t="s">
        <v>104</v>
      </c>
      <c r="B776" s="71">
        <v>35388</v>
      </c>
      <c r="C776" t="s">
        <v>49</v>
      </c>
      <c r="D776">
        <v>398.4</v>
      </c>
    </row>
    <row r="777" spans="1:4">
      <c r="A777" t="s">
        <v>104</v>
      </c>
      <c r="B777" s="71">
        <v>35424</v>
      </c>
      <c r="C777" t="s">
        <v>49</v>
      </c>
      <c r="D777">
        <v>1307.25</v>
      </c>
    </row>
    <row r="778" spans="1:4">
      <c r="A778" t="s">
        <v>104</v>
      </c>
      <c r="B778" s="71">
        <v>35433</v>
      </c>
      <c r="C778" t="s">
        <v>51</v>
      </c>
      <c r="D778">
        <v>709.64999944344163</v>
      </c>
    </row>
    <row r="779" spans="1:4">
      <c r="A779" t="s">
        <v>104</v>
      </c>
      <c r="B779" s="71">
        <v>35451</v>
      </c>
      <c r="C779" t="s">
        <v>50</v>
      </c>
      <c r="D779">
        <v>747</v>
      </c>
    </row>
    <row r="780" spans="1:4">
      <c r="A780" t="s">
        <v>104</v>
      </c>
      <c r="B780" s="71">
        <v>35452</v>
      </c>
      <c r="C780" t="s">
        <v>51</v>
      </c>
      <c r="D780">
        <v>49.8</v>
      </c>
    </row>
    <row r="781" spans="1:4">
      <c r="A781" t="s">
        <v>104</v>
      </c>
      <c r="B781" s="71">
        <v>35461</v>
      </c>
      <c r="C781" t="s">
        <v>45</v>
      </c>
      <c r="D781">
        <v>249</v>
      </c>
    </row>
    <row r="782" spans="1:4">
      <c r="A782" t="s">
        <v>104</v>
      </c>
      <c r="B782" s="71">
        <v>35473</v>
      </c>
      <c r="C782" t="s">
        <v>45</v>
      </c>
      <c r="D782">
        <v>373.5</v>
      </c>
    </row>
    <row r="783" spans="1:4">
      <c r="A783" t="s">
        <v>104</v>
      </c>
      <c r="B783" s="71">
        <v>35478</v>
      </c>
      <c r="C783" t="s">
        <v>42</v>
      </c>
      <c r="D783">
        <v>149.4</v>
      </c>
    </row>
    <row r="784" spans="1:4">
      <c r="A784" t="s">
        <v>104</v>
      </c>
      <c r="B784" s="71">
        <v>35487</v>
      </c>
      <c r="C784" t="s">
        <v>52</v>
      </c>
      <c r="D784">
        <v>747</v>
      </c>
    </row>
    <row r="785" spans="1:4">
      <c r="A785" t="s">
        <v>104</v>
      </c>
      <c r="B785" s="71">
        <v>35515</v>
      </c>
      <c r="C785" t="s">
        <v>51</v>
      </c>
      <c r="D785">
        <v>747</v>
      </c>
    </row>
    <row r="786" spans="1:4">
      <c r="A786" t="s">
        <v>104</v>
      </c>
      <c r="B786" s="71">
        <v>35569</v>
      </c>
      <c r="C786" t="s">
        <v>45</v>
      </c>
      <c r="D786">
        <v>1249.2</v>
      </c>
    </row>
    <row r="787" spans="1:4">
      <c r="A787" t="s">
        <v>104</v>
      </c>
      <c r="B787" s="71">
        <v>35613</v>
      </c>
      <c r="C787" t="s">
        <v>49</v>
      </c>
      <c r="D787">
        <v>187.38</v>
      </c>
    </row>
    <row r="788" spans="1:4">
      <c r="A788" t="s">
        <v>104</v>
      </c>
      <c r="B788" s="71">
        <v>35619</v>
      </c>
      <c r="C788" t="s">
        <v>45</v>
      </c>
      <c r="D788">
        <v>148.3424998836592</v>
      </c>
    </row>
    <row r="789" spans="1:4">
      <c r="A789" t="s">
        <v>104</v>
      </c>
      <c r="B789" s="71">
        <v>35657</v>
      </c>
      <c r="C789" t="s">
        <v>52</v>
      </c>
      <c r="D789">
        <v>929.09249348491426</v>
      </c>
    </row>
    <row r="790" spans="1:4">
      <c r="A790" t="s">
        <v>104</v>
      </c>
      <c r="B790" s="71">
        <v>35695</v>
      </c>
      <c r="C790" t="s">
        <v>49</v>
      </c>
      <c r="D790">
        <v>796.36499441564081</v>
      </c>
    </row>
    <row r="791" spans="1:4">
      <c r="A791" t="s">
        <v>104</v>
      </c>
      <c r="B791" s="71">
        <v>35703</v>
      </c>
      <c r="C791" t="s">
        <v>51</v>
      </c>
      <c r="D791">
        <v>468.45</v>
      </c>
    </row>
    <row r="792" spans="1:4">
      <c r="A792" t="s">
        <v>104</v>
      </c>
      <c r="B792" s="71">
        <v>35725</v>
      </c>
      <c r="C792" t="s">
        <v>49</v>
      </c>
      <c r="D792">
        <v>936.9</v>
      </c>
    </row>
    <row r="793" spans="1:4">
      <c r="A793" t="s">
        <v>104</v>
      </c>
      <c r="B793" s="71">
        <v>35733</v>
      </c>
      <c r="C793" t="s">
        <v>45</v>
      </c>
      <c r="D793">
        <v>468.45</v>
      </c>
    </row>
    <row r="794" spans="1:4">
      <c r="A794" t="s">
        <v>104</v>
      </c>
      <c r="B794" s="71">
        <v>35758</v>
      </c>
      <c r="C794" t="s">
        <v>45</v>
      </c>
      <c r="D794">
        <v>337.28399944156405</v>
      </c>
    </row>
    <row r="795" spans="1:4">
      <c r="A795" t="s">
        <v>104</v>
      </c>
      <c r="B795" s="71">
        <v>35762</v>
      </c>
      <c r="C795" t="s">
        <v>45</v>
      </c>
      <c r="D795">
        <v>624.6</v>
      </c>
    </row>
    <row r="796" spans="1:4">
      <c r="A796" t="s">
        <v>104</v>
      </c>
      <c r="B796" s="71">
        <v>35789</v>
      </c>
      <c r="C796" t="s">
        <v>45</v>
      </c>
      <c r="D796">
        <v>524.66399804547427</v>
      </c>
    </row>
    <row r="797" spans="1:4">
      <c r="A797" t="s">
        <v>104</v>
      </c>
      <c r="B797" s="71">
        <v>35801</v>
      </c>
      <c r="C797" t="s">
        <v>45</v>
      </c>
      <c r="D797">
        <v>1061.8199925541878</v>
      </c>
    </row>
    <row r="798" spans="1:4">
      <c r="A798" t="s">
        <v>104</v>
      </c>
      <c r="B798" s="71">
        <v>35804</v>
      </c>
      <c r="C798" t="s">
        <v>49</v>
      </c>
      <c r="D798">
        <v>374.76</v>
      </c>
    </row>
    <row r="799" spans="1:4">
      <c r="A799" t="s">
        <v>104</v>
      </c>
      <c r="B799" s="71">
        <v>35818</v>
      </c>
      <c r="C799" t="s">
        <v>48</v>
      </c>
      <c r="D799">
        <v>477.81899664938447</v>
      </c>
    </row>
    <row r="800" spans="1:4">
      <c r="A800" t="s">
        <v>104</v>
      </c>
      <c r="B800" s="71">
        <v>35823</v>
      </c>
      <c r="C800" t="s">
        <v>50</v>
      </c>
      <c r="D800">
        <v>819.78749999999991</v>
      </c>
    </row>
    <row r="801" spans="1:4">
      <c r="A801" t="s">
        <v>104</v>
      </c>
      <c r="B801" s="71">
        <v>35830</v>
      </c>
      <c r="C801" t="s">
        <v>52</v>
      </c>
      <c r="D801">
        <v>624.6</v>
      </c>
    </row>
    <row r="802" spans="1:4">
      <c r="A802" t="s">
        <v>104</v>
      </c>
      <c r="B802" s="71">
        <v>35878</v>
      </c>
      <c r="C802" t="s">
        <v>37</v>
      </c>
      <c r="D802">
        <v>156.15</v>
      </c>
    </row>
    <row r="803" spans="1:4">
      <c r="A803" t="s">
        <v>104</v>
      </c>
      <c r="B803" s="71">
        <v>35892</v>
      </c>
      <c r="C803" t="s">
        <v>45</v>
      </c>
      <c r="D803">
        <v>187.38</v>
      </c>
    </row>
    <row r="804" spans="1:4">
      <c r="A804" t="s">
        <v>104</v>
      </c>
      <c r="B804" s="71">
        <v>35899</v>
      </c>
      <c r="C804" t="s">
        <v>45</v>
      </c>
      <c r="D804">
        <v>1967.49</v>
      </c>
    </row>
    <row r="805" spans="1:4">
      <c r="A805" t="s">
        <v>104</v>
      </c>
      <c r="B805" s="71">
        <v>35900</v>
      </c>
      <c r="C805" t="s">
        <v>42</v>
      </c>
      <c r="D805">
        <v>374.76</v>
      </c>
    </row>
    <row r="806" spans="1:4">
      <c r="A806" t="s">
        <v>104</v>
      </c>
      <c r="B806" s="71">
        <v>35262</v>
      </c>
      <c r="C806" t="s">
        <v>42</v>
      </c>
      <c r="D806">
        <v>877.5</v>
      </c>
    </row>
    <row r="807" spans="1:4">
      <c r="A807" t="s">
        <v>104</v>
      </c>
      <c r="B807" s="71">
        <v>35296</v>
      </c>
      <c r="C807" t="s">
        <v>42</v>
      </c>
      <c r="D807">
        <v>394.875</v>
      </c>
    </row>
    <row r="808" spans="1:4">
      <c r="A808" t="s">
        <v>104</v>
      </c>
      <c r="B808" s="71">
        <v>35471</v>
      </c>
      <c r="C808" t="s">
        <v>45</v>
      </c>
      <c r="D808">
        <v>1755</v>
      </c>
    </row>
    <row r="809" spans="1:4">
      <c r="A809" t="s">
        <v>104</v>
      </c>
      <c r="B809" s="71">
        <v>35543</v>
      </c>
      <c r="C809" t="s">
        <v>51</v>
      </c>
      <c r="D809">
        <v>5268</v>
      </c>
    </row>
    <row r="810" spans="1:4">
      <c r="A810" t="s">
        <v>104</v>
      </c>
      <c r="B810" s="71">
        <v>35625</v>
      </c>
      <c r="C810" t="s">
        <v>49</v>
      </c>
      <c r="D810">
        <v>2195</v>
      </c>
    </row>
    <row r="811" spans="1:4">
      <c r="A811" t="s">
        <v>104</v>
      </c>
      <c r="B811" s="71">
        <v>35765</v>
      </c>
      <c r="C811" t="s">
        <v>42</v>
      </c>
      <c r="D811">
        <v>1756</v>
      </c>
    </row>
    <row r="812" spans="1:4">
      <c r="A812" t="s">
        <v>104</v>
      </c>
      <c r="B812" s="71">
        <v>35824</v>
      </c>
      <c r="C812" t="s">
        <v>51</v>
      </c>
      <c r="D812">
        <v>439</v>
      </c>
    </row>
    <row r="813" spans="1:4">
      <c r="A813" t="s">
        <v>104</v>
      </c>
      <c r="B813" s="71">
        <v>35860</v>
      </c>
      <c r="C813" t="s">
        <v>42</v>
      </c>
      <c r="D813">
        <v>1097.5</v>
      </c>
    </row>
    <row r="814" spans="1:4">
      <c r="A814" t="s">
        <v>104</v>
      </c>
      <c r="B814" s="71">
        <v>35880</v>
      </c>
      <c r="C814" t="s">
        <v>50</v>
      </c>
      <c r="D814">
        <v>1317</v>
      </c>
    </row>
    <row r="815" spans="1:4">
      <c r="A815" t="s">
        <v>104</v>
      </c>
      <c r="B815" s="71">
        <v>35355</v>
      </c>
      <c r="C815" t="s">
        <v>45</v>
      </c>
      <c r="D815">
        <v>97.279999637603751</v>
      </c>
    </row>
    <row r="816" spans="1:4">
      <c r="A816" t="s">
        <v>104</v>
      </c>
      <c r="B816" s="71">
        <v>35447</v>
      </c>
      <c r="C816" t="s">
        <v>42</v>
      </c>
      <c r="D816">
        <v>418</v>
      </c>
    </row>
    <row r="817" spans="1:4">
      <c r="A817" t="s">
        <v>104</v>
      </c>
      <c r="B817" s="71">
        <v>35460</v>
      </c>
      <c r="C817" t="s">
        <v>42</v>
      </c>
      <c r="D817">
        <v>171</v>
      </c>
    </row>
    <row r="818" spans="1:4">
      <c r="A818" t="s">
        <v>104</v>
      </c>
      <c r="B818" s="71">
        <v>35509</v>
      </c>
      <c r="C818" t="s">
        <v>37</v>
      </c>
      <c r="D818">
        <v>228</v>
      </c>
    </row>
    <row r="819" spans="1:4">
      <c r="A819" t="s">
        <v>104</v>
      </c>
      <c r="B819" s="71">
        <v>35541</v>
      </c>
      <c r="C819" t="s">
        <v>52</v>
      </c>
      <c r="D819">
        <v>48.449999660253525</v>
      </c>
    </row>
    <row r="820" spans="1:4">
      <c r="A820" t="s">
        <v>104</v>
      </c>
      <c r="B820" s="71">
        <v>35585</v>
      </c>
      <c r="C820" t="s">
        <v>49</v>
      </c>
      <c r="D820">
        <v>237.5</v>
      </c>
    </row>
    <row r="821" spans="1:4">
      <c r="A821" t="s">
        <v>104</v>
      </c>
      <c r="B821" s="71">
        <v>35612</v>
      </c>
      <c r="C821" t="s">
        <v>52</v>
      </c>
      <c r="D821">
        <v>142.5</v>
      </c>
    </row>
    <row r="822" spans="1:4">
      <c r="A822" t="s">
        <v>104</v>
      </c>
      <c r="B822" s="71">
        <v>35677</v>
      </c>
      <c r="C822" t="s">
        <v>37</v>
      </c>
      <c r="D822">
        <v>51.299999915063381</v>
      </c>
    </row>
    <row r="823" spans="1:4">
      <c r="A823" t="s">
        <v>104</v>
      </c>
      <c r="B823" s="71">
        <v>35677</v>
      </c>
      <c r="C823" t="s">
        <v>51</v>
      </c>
      <c r="D823">
        <v>95</v>
      </c>
    </row>
    <row r="824" spans="1:4">
      <c r="A824" t="s">
        <v>104</v>
      </c>
      <c r="B824" s="71">
        <v>35699</v>
      </c>
      <c r="C824" t="s">
        <v>45</v>
      </c>
      <c r="D824">
        <v>380</v>
      </c>
    </row>
    <row r="825" spans="1:4">
      <c r="A825" t="s">
        <v>104</v>
      </c>
      <c r="B825" s="71">
        <v>35702</v>
      </c>
      <c r="C825" t="s">
        <v>42</v>
      </c>
      <c r="D825">
        <v>142.5</v>
      </c>
    </row>
    <row r="826" spans="1:4">
      <c r="A826" t="s">
        <v>104</v>
      </c>
      <c r="B826" s="71">
        <v>35712</v>
      </c>
      <c r="C826" t="s">
        <v>45</v>
      </c>
      <c r="D826">
        <v>114</v>
      </c>
    </row>
    <row r="827" spans="1:4">
      <c r="A827" t="s">
        <v>104</v>
      </c>
      <c r="B827" s="71">
        <v>35723</v>
      </c>
      <c r="C827" t="s">
        <v>49</v>
      </c>
      <c r="D827">
        <v>47.5</v>
      </c>
    </row>
    <row r="828" spans="1:4">
      <c r="A828" t="s">
        <v>104</v>
      </c>
      <c r="B828" s="71">
        <v>35725</v>
      </c>
      <c r="C828" t="s">
        <v>30</v>
      </c>
      <c r="D828">
        <v>356.25</v>
      </c>
    </row>
    <row r="829" spans="1:4">
      <c r="A829" t="s">
        <v>104</v>
      </c>
      <c r="B829" s="71">
        <v>35760</v>
      </c>
      <c r="C829" t="s">
        <v>42</v>
      </c>
      <c r="D829">
        <v>213.75</v>
      </c>
    </row>
    <row r="830" spans="1:4">
      <c r="A830" t="s">
        <v>104</v>
      </c>
      <c r="B830" s="71">
        <v>35766</v>
      </c>
      <c r="C830" t="s">
        <v>45</v>
      </c>
      <c r="D830">
        <v>285</v>
      </c>
    </row>
    <row r="831" spans="1:4">
      <c r="A831" t="s">
        <v>104</v>
      </c>
      <c r="B831" s="71">
        <v>35811</v>
      </c>
      <c r="C831" t="s">
        <v>48</v>
      </c>
      <c r="D831">
        <v>285</v>
      </c>
    </row>
    <row r="832" spans="1:4">
      <c r="A832" t="s">
        <v>104</v>
      </c>
      <c r="B832" s="71">
        <v>35832</v>
      </c>
      <c r="C832" t="s">
        <v>42</v>
      </c>
      <c r="D832">
        <v>179.54999970272183</v>
      </c>
    </row>
    <row r="833" spans="1:4">
      <c r="A833" t="s">
        <v>104</v>
      </c>
      <c r="B833" s="71">
        <v>35859</v>
      </c>
      <c r="C833" t="s">
        <v>49</v>
      </c>
      <c r="D833">
        <v>47.5</v>
      </c>
    </row>
    <row r="834" spans="1:4">
      <c r="A834" t="s">
        <v>104</v>
      </c>
      <c r="B834" s="71">
        <v>35870</v>
      </c>
      <c r="C834" t="s">
        <v>49</v>
      </c>
      <c r="D834">
        <v>9.5</v>
      </c>
    </row>
    <row r="835" spans="1:4">
      <c r="A835" t="s">
        <v>104</v>
      </c>
      <c r="B835" s="71">
        <v>35871</v>
      </c>
      <c r="C835" t="s">
        <v>37</v>
      </c>
      <c r="D835">
        <v>133</v>
      </c>
    </row>
    <row r="836" spans="1:4">
      <c r="A836" t="s">
        <v>104</v>
      </c>
      <c r="B836" s="71">
        <v>35880</v>
      </c>
      <c r="C836" t="s">
        <v>50</v>
      </c>
      <c r="D836">
        <v>285</v>
      </c>
    </row>
    <row r="837" spans="1:4">
      <c r="A837" t="s">
        <v>104</v>
      </c>
      <c r="B837" s="71">
        <v>35433</v>
      </c>
      <c r="C837" t="s">
        <v>42</v>
      </c>
      <c r="D837">
        <v>606.89999574422836</v>
      </c>
    </row>
    <row r="838" spans="1:4">
      <c r="A838" t="s">
        <v>104</v>
      </c>
      <c r="B838" s="71">
        <v>35482</v>
      </c>
      <c r="C838" t="s">
        <v>49</v>
      </c>
      <c r="D838">
        <v>137.69999977201223</v>
      </c>
    </row>
    <row r="839" spans="1:4">
      <c r="A839" t="s">
        <v>104</v>
      </c>
      <c r="B839" s="71">
        <v>35535</v>
      </c>
      <c r="C839" t="s">
        <v>52</v>
      </c>
      <c r="D839">
        <v>162.56249886006117</v>
      </c>
    </row>
    <row r="840" spans="1:4">
      <c r="A840" t="s">
        <v>104</v>
      </c>
      <c r="B840" s="71">
        <v>35629</v>
      </c>
      <c r="C840" t="s">
        <v>49</v>
      </c>
      <c r="D840">
        <v>68.849999886006117</v>
      </c>
    </row>
    <row r="841" spans="1:4">
      <c r="A841" t="s">
        <v>104</v>
      </c>
      <c r="B841" s="71">
        <v>35717</v>
      </c>
      <c r="C841" t="s">
        <v>37</v>
      </c>
      <c r="D841">
        <v>306</v>
      </c>
    </row>
    <row r="842" spans="1:4">
      <c r="A842" t="s">
        <v>104</v>
      </c>
      <c r="B842" s="71">
        <v>35800</v>
      </c>
      <c r="C842" t="s">
        <v>45</v>
      </c>
      <c r="D842">
        <v>86.699999392032623</v>
      </c>
    </row>
    <row r="843" spans="1:4">
      <c r="A843" t="s">
        <v>104</v>
      </c>
      <c r="B843" s="71">
        <v>35256</v>
      </c>
      <c r="C843" t="s">
        <v>45</v>
      </c>
      <c r="D843">
        <v>640</v>
      </c>
    </row>
    <row r="844" spans="1:4">
      <c r="A844" t="s">
        <v>104</v>
      </c>
      <c r="B844" s="71">
        <v>35304</v>
      </c>
      <c r="C844" t="s">
        <v>50</v>
      </c>
      <c r="D844">
        <v>240</v>
      </c>
    </row>
    <row r="845" spans="1:4">
      <c r="A845" t="s">
        <v>104</v>
      </c>
      <c r="B845" s="71">
        <v>35320</v>
      </c>
      <c r="C845" t="s">
        <v>49</v>
      </c>
      <c r="D845">
        <v>480</v>
      </c>
    </row>
    <row r="846" spans="1:4">
      <c r="A846" t="s">
        <v>104</v>
      </c>
      <c r="B846" s="71">
        <v>35391</v>
      </c>
      <c r="C846" t="s">
        <v>42</v>
      </c>
      <c r="D846">
        <v>560</v>
      </c>
    </row>
    <row r="847" spans="1:4">
      <c r="A847" t="s">
        <v>104</v>
      </c>
      <c r="B847" s="71">
        <v>35431</v>
      </c>
      <c r="C847" t="s">
        <v>49</v>
      </c>
      <c r="D847">
        <v>480</v>
      </c>
    </row>
    <row r="848" spans="1:4">
      <c r="A848" t="s">
        <v>104</v>
      </c>
      <c r="B848" s="71">
        <v>35433</v>
      </c>
      <c r="C848" t="s">
        <v>51</v>
      </c>
      <c r="D848">
        <v>455.99999964237213</v>
      </c>
    </row>
    <row r="849" spans="1:4">
      <c r="A849" t="s">
        <v>104</v>
      </c>
      <c r="B849" s="71">
        <v>35486</v>
      </c>
      <c r="C849" t="s">
        <v>50</v>
      </c>
      <c r="D849">
        <v>285.59999799728394</v>
      </c>
    </row>
    <row r="850" spans="1:4">
      <c r="A850" t="s">
        <v>104</v>
      </c>
      <c r="B850" s="71">
        <v>35509</v>
      </c>
      <c r="C850" t="s">
        <v>50</v>
      </c>
      <c r="D850">
        <v>384</v>
      </c>
    </row>
    <row r="851" spans="1:4">
      <c r="A851" t="s">
        <v>104</v>
      </c>
      <c r="B851" s="71">
        <v>35528</v>
      </c>
      <c r="C851" t="s">
        <v>42</v>
      </c>
      <c r="D851">
        <v>500</v>
      </c>
    </row>
    <row r="852" spans="1:4">
      <c r="A852" t="s">
        <v>104</v>
      </c>
      <c r="B852" s="71">
        <v>35566</v>
      </c>
      <c r="C852" t="s">
        <v>37</v>
      </c>
      <c r="D852">
        <v>120</v>
      </c>
    </row>
    <row r="853" spans="1:4">
      <c r="A853" t="s">
        <v>104</v>
      </c>
      <c r="B853" s="71">
        <v>35629</v>
      </c>
      <c r="C853" t="s">
        <v>50</v>
      </c>
      <c r="D853">
        <v>474.99999962747097</v>
      </c>
    </row>
    <row r="854" spans="1:4">
      <c r="A854" t="s">
        <v>104</v>
      </c>
      <c r="B854" s="71">
        <v>35639</v>
      </c>
      <c r="C854" t="s">
        <v>49</v>
      </c>
      <c r="D854">
        <v>360</v>
      </c>
    </row>
    <row r="855" spans="1:4">
      <c r="A855" t="s">
        <v>104</v>
      </c>
      <c r="B855" s="71">
        <v>35794</v>
      </c>
      <c r="C855" t="s">
        <v>37</v>
      </c>
      <c r="D855">
        <v>67.999999523162842</v>
      </c>
    </row>
    <row r="856" spans="1:4">
      <c r="A856" t="s">
        <v>104</v>
      </c>
      <c r="B856" s="71">
        <v>35830</v>
      </c>
      <c r="C856" t="s">
        <v>52</v>
      </c>
      <c r="D856">
        <v>755.99999874830246</v>
      </c>
    </row>
    <row r="857" spans="1:4">
      <c r="A857" t="s">
        <v>104</v>
      </c>
      <c r="B857" s="71">
        <v>35832</v>
      </c>
      <c r="C857" t="s">
        <v>42</v>
      </c>
      <c r="D857">
        <v>300</v>
      </c>
    </row>
    <row r="858" spans="1:4">
      <c r="A858" t="s">
        <v>104</v>
      </c>
      <c r="B858" s="71">
        <v>35837</v>
      </c>
      <c r="C858" t="s">
        <v>42</v>
      </c>
      <c r="D858">
        <v>339.99999761581421</v>
      </c>
    </row>
    <row r="859" spans="1:4">
      <c r="A859" t="s">
        <v>104</v>
      </c>
      <c r="B859" s="71">
        <v>35852</v>
      </c>
      <c r="C859" t="s">
        <v>49</v>
      </c>
      <c r="D859">
        <v>200</v>
      </c>
    </row>
    <row r="860" spans="1:4">
      <c r="A860" t="s">
        <v>104</v>
      </c>
      <c r="B860" s="71">
        <v>35865</v>
      </c>
      <c r="C860" t="s">
        <v>48</v>
      </c>
      <c r="D860">
        <v>560</v>
      </c>
    </row>
    <row r="861" spans="1:4">
      <c r="A861" t="s">
        <v>104</v>
      </c>
      <c r="B861" s="71">
        <v>35877</v>
      </c>
      <c r="C861" t="s">
        <v>51</v>
      </c>
      <c r="D861">
        <v>800</v>
      </c>
    </row>
    <row r="862" spans="1:4">
      <c r="A862" t="s">
        <v>104</v>
      </c>
      <c r="B862" s="71">
        <v>35898</v>
      </c>
      <c r="C862" t="s">
        <v>37</v>
      </c>
      <c r="D862">
        <v>40</v>
      </c>
    </row>
    <row r="863" spans="1:4">
      <c r="A863" t="s">
        <v>104</v>
      </c>
      <c r="B863" s="71">
        <v>35906</v>
      </c>
      <c r="C863" t="s">
        <v>49</v>
      </c>
      <c r="D863">
        <v>1200</v>
      </c>
    </row>
    <row r="864" spans="1:4">
      <c r="A864" t="s">
        <v>104</v>
      </c>
      <c r="B864" s="71">
        <v>35380</v>
      </c>
      <c r="C864" t="s">
        <v>37</v>
      </c>
      <c r="D864">
        <v>175.49999970942736</v>
      </c>
    </row>
    <row r="865" spans="1:4">
      <c r="A865" t="s">
        <v>104</v>
      </c>
      <c r="B865" s="71">
        <v>35415</v>
      </c>
      <c r="C865" t="s">
        <v>50</v>
      </c>
      <c r="D865">
        <v>195</v>
      </c>
    </row>
    <row r="866" spans="1:4">
      <c r="A866" t="s">
        <v>104</v>
      </c>
      <c r="B866" s="71">
        <v>35459</v>
      </c>
      <c r="C866" t="s">
        <v>45</v>
      </c>
      <c r="D866">
        <v>520</v>
      </c>
    </row>
    <row r="867" spans="1:4">
      <c r="A867" t="s">
        <v>104</v>
      </c>
      <c r="B867" s="71">
        <v>35494</v>
      </c>
      <c r="C867" t="s">
        <v>49</v>
      </c>
      <c r="D867">
        <v>325</v>
      </c>
    </row>
    <row r="868" spans="1:4">
      <c r="A868" t="s">
        <v>104</v>
      </c>
      <c r="B868" s="71">
        <v>35661</v>
      </c>
      <c r="C868" t="s">
        <v>37</v>
      </c>
      <c r="D868">
        <v>385.93749969732016</v>
      </c>
    </row>
    <row r="869" spans="1:4">
      <c r="A869" t="s">
        <v>104</v>
      </c>
      <c r="B869" s="71">
        <v>35706</v>
      </c>
      <c r="C869" t="s">
        <v>48</v>
      </c>
      <c r="D869">
        <v>878</v>
      </c>
    </row>
    <row r="870" spans="1:4">
      <c r="A870" t="s">
        <v>104</v>
      </c>
      <c r="B870" s="71">
        <v>35738</v>
      </c>
      <c r="C870" t="s">
        <v>50</v>
      </c>
      <c r="D870">
        <v>650</v>
      </c>
    </row>
    <row r="871" spans="1:4">
      <c r="A871" t="s">
        <v>104</v>
      </c>
      <c r="B871" s="71">
        <v>35758</v>
      </c>
      <c r="C871" t="s">
        <v>45</v>
      </c>
      <c r="D871">
        <v>292.49999951571226</v>
      </c>
    </row>
    <row r="872" spans="1:4">
      <c r="A872" t="s">
        <v>104</v>
      </c>
      <c r="B872" s="71">
        <v>35857</v>
      </c>
      <c r="C872" t="s">
        <v>42</v>
      </c>
      <c r="D872">
        <v>390</v>
      </c>
    </row>
    <row r="873" spans="1:4">
      <c r="A873" t="s">
        <v>104</v>
      </c>
      <c r="B873" s="71">
        <v>35867</v>
      </c>
      <c r="C873" t="s">
        <v>45</v>
      </c>
      <c r="D873">
        <v>146.25</v>
      </c>
    </row>
    <row r="874" spans="1:4">
      <c r="A874" t="s">
        <v>104</v>
      </c>
      <c r="B874" s="71">
        <v>35920</v>
      </c>
      <c r="C874" t="s">
        <v>42</v>
      </c>
      <c r="D874">
        <v>357.5</v>
      </c>
    </row>
    <row r="875" spans="1:4">
      <c r="A875" t="s">
        <v>104</v>
      </c>
      <c r="B875" s="71">
        <v>35265</v>
      </c>
      <c r="C875" t="s">
        <v>42</v>
      </c>
      <c r="D875">
        <v>443.25</v>
      </c>
    </row>
    <row r="876" spans="1:4">
      <c r="A876" t="s">
        <v>104</v>
      </c>
      <c r="B876" s="71">
        <v>35286</v>
      </c>
      <c r="C876" t="s">
        <v>51</v>
      </c>
      <c r="D876">
        <v>472.8</v>
      </c>
    </row>
    <row r="877" spans="1:4">
      <c r="A877" t="s">
        <v>104</v>
      </c>
      <c r="B877" s="71">
        <v>35298</v>
      </c>
      <c r="C877" t="s">
        <v>50</v>
      </c>
      <c r="D877">
        <v>1576</v>
      </c>
    </row>
    <row r="878" spans="1:4">
      <c r="A878" t="s">
        <v>104</v>
      </c>
      <c r="B878" s="71">
        <v>35313</v>
      </c>
      <c r="C878" t="s">
        <v>37</v>
      </c>
      <c r="D878">
        <v>591</v>
      </c>
    </row>
    <row r="879" spans="1:4">
      <c r="A879" t="s">
        <v>104</v>
      </c>
      <c r="B879" s="71">
        <v>35325</v>
      </c>
      <c r="C879" t="s">
        <v>51</v>
      </c>
      <c r="D879">
        <v>394</v>
      </c>
    </row>
    <row r="880" spans="1:4">
      <c r="A880" t="s">
        <v>104</v>
      </c>
      <c r="B880" s="71">
        <v>35328</v>
      </c>
      <c r="C880" t="s">
        <v>50</v>
      </c>
      <c r="D880">
        <v>197</v>
      </c>
    </row>
    <row r="881" spans="1:4">
      <c r="A881" t="s">
        <v>104</v>
      </c>
      <c r="B881" s="71">
        <v>35333</v>
      </c>
      <c r="C881" t="s">
        <v>49</v>
      </c>
      <c r="D881">
        <v>886.49999853223562</v>
      </c>
    </row>
    <row r="882" spans="1:4">
      <c r="A882" t="s">
        <v>104</v>
      </c>
      <c r="B882" s="71">
        <v>35335</v>
      </c>
      <c r="C882" t="s">
        <v>49</v>
      </c>
      <c r="D882">
        <v>2758</v>
      </c>
    </row>
    <row r="883" spans="1:4">
      <c r="A883" t="s">
        <v>104</v>
      </c>
      <c r="B883" s="71">
        <v>35366</v>
      </c>
      <c r="C883" t="s">
        <v>51</v>
      </c>
      <c r="D883">
        <v>1103.2</v>
      </c>
    </row>
    <row r="884" spans="1:4">
      <c r="A884" t="s">
        <v>104</v>
      </c>
      <c r="B884" s="71">
        <v>35419</v>
      </c>
      <c r="C884" t="s">
        <v>42</v>
      </c>
      <c r="D884">
        <v>788</v>
      </c>
    </row>
    <row r="885" spans="1:4">
      <c r="A885" t="s">
        <v>104</v>
      </c>
      <c r="B885" s="71">
        <v>35424</v>
      </c>
      <c r="C885" t="s">
        <v>49</v>
      </c>
      <c r="D885">
        <v>394</v>
      </c>
    </row>
    <row r="886" spans="1:4">
      <c r="A886" t="s">
        <v>104</v>
      </c>
      <c r="B886" s="71">
        <v>35438</v>
      </c>
      <c r="C886" t="s">
        <v>50</v>
      </c>
      <c r="D886">
        <v>1379</v>
      </c>
    </row>
    <row r="887" spans="1:4">
      <c r="A887" t="s">
        <v>104</v>
      </c>
      <c r="B887" s="71">
        <v>35444</v>
      </c>
      <c r="C887" t="s">
        <v>45</v>
      </c>
      <c r="D887">
        <v>1576</v>
      </c>
    </row>
    <row r="888" spans="1:4">
      <c r="A888" t="s">
        <v>104</v>
      </c>
      <c r="B888" s="71">
        <v>35479</v>
      </c>
      <c r="C888" t="s">
        <v>45</v>
      </c>
      <c r="D888">
        <v>1379</v>
      </c>
    </row>
    <row r="889" spans="1:4">
      <c r="A889" t="s">
        <v>104</v>
      </c>
      <c r="B889" s="71">
        <v>35534</v>
      </c>
      <c r="C889" t="s">
        <v>45</v>
      </c>
      <c r="D889">
        <v>147.9</v>
      </c>
    </row>
    <row r="890" spans="1:4">
      <c r="A890" t="s">
        <v>104</v>
      </c>
      <c r="B890" s="71">
        <v>35573</v>
      </c>
      <c r="C890" t="s">
        <v>49</v>
      </c>
      <c r="D890">
        <v>1972</v>
      </c>
    </row>
    <row r="891" spans="1:4">
      <c r="A891" t="s">
        <v>104</v>
      </c>
      <c r="B891" s="71">
        <v>35580</v>
      </c>
      <c r="C891" t="s">
        <v>42</v>
      </c>
      <c r="D891">
        <v>936.69999926537275</v>
      </c>
    </row>
    <row r="892" spans="1:4">
      <c r="A892" t="s">
        <v>104</v>
      </c>
      <c r="B892" s="71">
        <v>35587</v>
      </c>
      <c r="C892" t="s">
        <v>50</v>
      </c>
      <c r="D892">
        <v>554.625</v>
      </c>
    </row>
    <row r="893" spans="1:4">
      <c r="A893" t="s">
        <v>104</v>
      </c>
      <c r="B893" s="71">
        <v>35590</v>
      </c>
      <c r="C893" t="s">
        <v>49</v>
      </c>
      <c r="D893">
        <v>443.69999926537275</v>
      </c>
    </row>
    <row r="894" spans="1:4">
      <c r="A894" t="s">
        <v>104</v>
      </c>
      <c r="B894" s="71">
        <v>35600</v>
      </c>
      <c r="C894" t="s">
        <v>42</v>
      </c>
      <c r="D894">
        <v>493</v>
      </c>
    </row>
    <row r="895" spans="1:4">
      <c r="A895" t="s">
        <v>104</v>
      </c>
      <c r="B895" s="71">
        <v>35626</v>
      </c>
      <c r="C895" t="s">
        <v>37</v>
      </c>
      <c r="D895">
        <v>493</v>
      </c>
    </row>
    <row r="896" spans="1:4">
      <c r="A896" t="s">
        <v>104</v>
      </c>
      <c r="B896" s="71">
        <v>35633</v>
      </c>
      <c r="C896" t="s">
        <v>42</v>
      </c>
      <c r="D896">
        <v>394.39999853074551</v>
      </c>
    </row>
    <row r="897" spans="1:4">
      <c r="A897" t="s">
        <v>104</v>
      </c>
      <c r="B897" s="71">
        <v>35653</v>
      </c>
      <c r="C897" t="s">
        <v>50</v>
      </c>
      <c r="D897">
        <v>739.5</v>
      </c>
    </row>
    <row r="898" spans="1:4">
      <c r="A898" t="s">
        <v>104</v>
      </c>
      <c r="B898" s="71">
        <v>35657</v>
      </c>
      <c r="C898" t="s">
        <v>52</v>
      </c>
      <c r="D898">
        <v>3352.3999764919281</v>
      </c>
    </row>
    <row r="899" spans="1:4">
      <c r="A899" t="s">
        <v>104</v>
      </c>
      <c r="B899" s="71">
        <v>35690</v>
      </c>
      <c r="C899" t="s">
        <v>49</v>
      </c>
      <c r="D899">
        <v>493</v>
      </c>
    </row>
    <row r="900" spans="1:4">
      <c r="A900" t="s">
        <v>104</v>
      </c>
      <c r="B900" s="71">
        <v>35706</v>
      </c>
      <c r="C900" t="s">
        <v>51</v>
      </c>
      <c r="D900">
        <v>2366.4</v>
      </c>
    </row>
    <row r="901" spans="1:4">
      <c r="A901" t="s">
        <v>104</v>
      </c>
      <c r="B901" s="71">
        <v>35730</v>
      </c>
      <c r="C901" t="s">
        <v>49</v>
      </c>
      <c r="D901">
        <v>986</v>
      </c>
    </row>
    <row r="902" spans="1:4">
      <c r="A902" t="s">
        <v>104</v>
      </c>
      <c r="B902" s="71">
        <v>35753</v>
      </c>
      <c r="C902" t="s">
        <v>49</v>
      </c>
      <c r="D902">
        <v>443.7</v>
      </c>
    </row>
    <row r="903" spans="1:4">
      <c r="A903" t="s">
        <v>104</v>
      </c>
      <c r="B903" s="71">
        <v>35761</v>
      </c>
      <c r="C903" t="s">
        <v>37</v>
      </c>
      <c r="D903">
        <v>1479</v>
      </c>
    </row>
    <row r="904" spans="1:4">
      <c r="A904" t="s">
        <v>104</v>
      </c>
      <c r="B904" s="71">
        <v>35772</v>
      </c>
      <c r="C904" t="s">
        <v>45</v>
      </c>
      <c r="D904">
        <v>739.5</v>
      </c>
    </row>
    <row r="905" spans="1:4">
      <c r="A905" t="s">
        <v>104</v>
      </c>
      <c r="B905" s="71">
        <v>35780</v>
      </c>
      <c r="C905" t="s">
        <v>45</v>
      </c>
      <c r="D905">
        <v>986</v>
      </c>
    </row>
    <row r="906" spans="1:4">
      <c r="A906" t="s">
        <v>104</v>
      </c>
      <c r="B906" s="71">
        <v>35790</v>
      </c>
      <c r="C906" t="s">
        <v>51</v>
      </c>
      <c r="D906">
        <v>98.6</v>
      </c>
    </row>
    <row r="907" spans="1:4">
      <c r="A907" t="s">
        <v>104</v>
      </c>
      <c r="B907" s="71">
        <v>35793</v>
      </c>
      <c r="C907" t="s">
        <v>42</v>
      </c>
      <c r="D907">
        <v>184.875</v>
      </c>
    </row>
    <row r="908" spans="1:4">
      <c r="A908" t="s">
        <v>104</v>
      </c>
      <c r="B908" s="71">
        <v>35801</v>
      </c>
      <c r="C908" t="s">
        <v>42</v>
      </c>
      <c r="D908">
        <v>936.69999926537275</v>
      </c>
    </row>
    <row r="909" spans="1:4">
      <c r="A909" t="s">
        <v>104</v>
      </c>
      <c r="B909" s="71">
        <v>35801</v>
      </c>
      <c r="C909" t="s">
        <v>45</v>
      </c>
      <c r="D909">
        <v>1047.6249926537275</v>
      </c>
    </row>
    <row r="910" spans="1:4">
      <c r="A910" t="s">
        <v>104</v>
      </c>
      <c r="B910" s="71">
        <v>35803</v>
      </c>
      <c r="C910" t="s">
        <v>37</v>
      </c>
      <c r="D910">
        <v>147.9</v>
      </c>
    </row>
    <row r="911" spans="1:4">
      <c r="A911" t="s">
        <v>104</v>
      </c>
      <c r="B911" s="71">
        <v>35821</v>
      </c>
      <c r="C911" t="s">
        <v>50</v>
      </c>
      <c r="D911">
        <v>2465</v>
      </c>
    </row>
    <row r="912" spans="1:4">
      <c r="A912" t="s">
        <v>104</v>
      </c>
      <c r="B912" s="71">
        <v>35825</v>
      </c>
      <c r="C912" t="s">
        <v>42</v>
      </c>
      <c r="D912">
        <v>147.9</v>
      </c>
    </row>
    <row r="913" spans="1:4">
      <c r="A913" t="s">
        <v>104</v>
      </c>
      <c r="B913" s="71">
        <v>35831</v>
      </c>
      <c r="C913" t="s">
        <v>30</v>
      </c>
      <c r="D913">
        <v>936.69999926537275</v>
      </c>
    </row>
    <row r="914" spans="1:4">
      <c r="A914" t="s">
        <v>104</v>
      </c>
      <c r="B914" s="71">
        <v>35849</v>
      </c>
      <c r="C914" t="s">
        <v>49</v>
      </c>
      <c r="D914">
        <v>251.42999823689462</v>
      </c>
    </row>
    <row r="915" spans="1:4">
      <c r="A915" t="s">
        <v>104</v>
      </c>
      <c r="B915" s="71">
        <v>35850</v>
      </c>
      <c r="C915" t="s">
        <v>45</v>
      </c>
      <c r="D915">
        <v>1725.5</v>
      </c>
    </row>
    <row r="916" spans="1:4">
      <c r="A916" t="s">
        <v>104</v>
      </c>
      <c r="B916" s="71">
        <v>35860</v>
      </c>
      <c r="C916" t="s">
        <v>50</v>
      </c>
      <c r="D916">
        <v>621.17999897152185</v>
      </c>
    </row>
    <row r="917" spans="1:4">
      <c r="A917" t="s">
        <v>104</v>
      </c>
      <c r="B917" s="71">
        <v>35865</v>
      </c>
      <c r="C917" t="s">
        <v>52</v>
      </c>
      <c r="D917">
        <v>1109.25</v>
      </c>
    </row>
    <row r="918" spans="1:4">
      <c r="A918" t="s">
        <v>104</v>
      </c>
      <c r="B918" s="71">
        <v>35867</v>
      </c>
      <c r="C918" t="s">
        <v>51</v>
      </c>
      <c r="D918">
        <v>2958</v>
      </c>
    </row>
    <row r="919" spans="1:4">
      <c r="A919" t="s">
        <v>104</v>
      </c>
      <c r="B919" s="71">
        <v>35874</v>
      </c>
      <c r="C919" t="s">
        <v>42</v>
      </c>
      <c r="D919">
        <v>502.85999647378924</v>
      </c>
    </row>
    <row r="920" spans="1:4">
      <c r="A920" t="s">
        <v>104</v>
      </c>
      <c r="B920" s="71">
        <v>35885</v>
      </c>
      <c r="C920" t="s">
        <v>45</v>
      </c>
      <c r="D920">
        <v>1774.799997061491</v>
      </c>
    </row>
    <row r="921" spans="1:4">
      <c r="A921" t="s">
        <v>104</v>
      </c>
      <c r="B921" s="71">
        <v>35901</v>
      </c>
      <c r="C921" t="s">
        <v>49</v>
      </c>
      <c r="D921">
        <v>776.47499999999991</v>
      </c>
    </row>
    <row r="922" spans="1:4">
      <c r="A922" t="s">
        <v>104</v>
      </c>
      <c r="B922" s="71">
        <v>35908</v>
      </c>
      <c r="C922" t="s">
        <v>42</v>
      </c>
      <c r="D922">
        <v>591.6</v>
      </c>
    </row>
    <row r="923" spans="1:4">
      <c r="A923" t="s">
        <v>104</v>
      </c>
      <c r="B923" s="71">
        <v>35300</v>
      </c>
      <c r="C923" t="s">
        <v>42</v>
      </c>
      <c r="D923">
        <v>26.999999955296516</v>
      </c>
    </row>
    <row r="924" spans="1:4">
      <c r="A924" t="s">
        <v>104</v>
      </c>
      <c r="B924" s="71">
        <v>35317</v>
      </c>
      <c r="C924" t="s">
        <v>51</v>
      </c>
      <c r="D924">
        <v>200</v>
      </c>
    </row>
    <row r="925" spans="1:4">
      <c r="A925" t="s">
        <v>104</v>
      </c>
      <c r="B925" s="71">
        <v>35319</v>
      </c>
      <c r="C925" t="s">
        <v>52</v>
      </c>
      <c r="D925">
        <v>134.99999977648258</v>
      </c>
    </row>
    <row r="926" spans="1:4">
      <c r="A926" t="s">
        <v>104</v>
      </c>
      <c r="B926" s="71">
        <v>35325</v>
      </c>
      <c r="C926" t="s">
        <v>51</v>
      </c>
      <c r="D926">
        <v>30</v>
      </c>
    </row>
    <row r="927" spans="1:4">
      <c r="A927" t="s">
        <v>104</v>
      </c>
      <c r="B927" s="71">
        <v>35352</v>
      </c>
      <c r="C927" t="s">
        <v>42</v>
      </c>
      <c r="D927">
        <v>100</v>
      </c>
    </row>
    <row r="928" spans="1:4">
      <c r="A928" t="s">
        <v>104</v>
      </c>
      <c r="B928" s="71">
        <v>35359</v>
      </c>
      <c r="C928" t="s">
        <v>50</v>
      </c>
      <c r="D928">
        <v>100</v>
      </c>
    </row>
    <row r="929" spans="1:4">
      <c r="A929" t="s">
        <v>104</v>
      </c>
      <c r="B929" s="71">
        <v>35369</v>
      </c>
      <c r="C929" t="s">
        <v>42</v>
      </c>
      <c r="D929">
        <v>37.999999970197678</v>
      </c>
    </row>
    <row r="930" spans="1:4">
      <c r="A930" t="s">
        <v>104</v>
      </c>
      <c r="B930" s="71">
        <v>35416</v>
      </c>
      <c r="C930" t="s">
        <v>49</v>
      </c>
      <c r="D930">
        <v>63.999999761581421</v>
      </c>
    </row>
    <row r="931" spans="1:4">
      <c r="A931" t="s">
        <v>104</v>
      </c>
      <c r="B931" s="71">
        <v>35430</v>
      </c>
      <c r="C931" t="s">
        <v>50</v>
      </c>
      <c r="D931">
        <v>600</v>
      </c>
    </row>
    <row r="932" spans="1:4">
      <c r="A932" t="s">
        <v>104</v>
      </c>
      <c r="B932" s="71">
        <v>35446</v>
      </c>
      <c r="C932" t="s">
        <v>42</v>
      </c>
      <c r="D932">
        <v>270</v>
      </c>
    </row>
    <row r="933" spans="1:4">
      <c r="A933" t="s">
        <v>104</v>
      </c>
      <c r="B933" s="71">
        <v>35453</v>
      </c>
      <c r="C933" t="s">
        <v>52</v>
      </c>
      <c r="D933">
        <v>239.99999910593033</v>
      </c>
    </row>
    <row r="934" spans="1:4">
      <c r="A934" t="s">
        <v>104</v>
      </c>
      <c r="B934" s="71">
        <v>35489</v>
      </c>
      <c r="C934" t="s">
        <v>50</v>
      </c>
      <c r="D934">
        <v>157.5</v>
      </c>
    </row>
    <row r="935" spans="1:4">
      <c r="A935" t="s">
        <v>104</v>
      </c>
      <c r="B935" s="71">
        <v>35520</v>
      </c>
      <c r="C935" t="s">
        <v>52</v>
      </c>
      <c r="D935">
        <v>300</v>
      </c>
    </row>
    <row r="936" spans="1:4">
      <c r="A936" t="s">
        <v>104</v>
      </c>
      <c r="B936" s="71">
        <v>35549</v>
      </c>
      <c r="C936" t="s">
        <v>50</v>
      </c>
      <c r="D936">
        <v>75</v>
      </c>
    </row>
    <row r="937" spans="1:4">
      <c r="A937" t="s">
        <v>104</v>
      </c>
      <c r="B937" s="71">
        <v>35557</v>
      </c>
      <c r="C937" t="s">
        <v>30</v>
      </c>
      <c r="D937">
        <v>250</v>
      </c>
    </row>
    <row r="938" spans="1:4">
      <c r="A938" t="s">
        <v>104</v>
      </c>
      <c r="B938" s="71">
        <v>35569</v>
      </c>
      <c r="C938" t="s">
        <v>45</v>
      </c>
      <c r="D938">
        <v>437.5</v>
      </c>
    </row>
    <row r="939" spans="1:4">
      <c r="A939" t="s">
        <v>104</v>
      </c>
      <c r="B939" s="71">
        <v>35643</v>
      </c>
      <c r="C939" t="s">
        <v>49</v>
      </c>
      <c r="D939">
        <v>187.5</v>
      </c>
    </row>
    <row r="940" spans="1:4">
      <c r="A940" t="s">
        <v>104</v>
      </c>
      <c r="B940" s="71">
        <v>35648</v>
      </c>
      <c r="C940" t="s">
        <v>42</v>
      </c>
      <c r="D940">
        <v>179.99999932944775</v>
      </c>
    </row>
    <row r="941" spans="1:4">
      <c r="A941" t="s">
        <v>104</v>
      </c>
      <c r="B941" s="71">
        <v>35682</v>
      </c>
      <c r="C941" t="s">
        <v>45</v>
      </c>
      <c r="D941">
        <v>125</v>
      </c>
    </row>
    <row r="942" spans="1:4">
      <c r="A942" t="s">
        <v>104</v>
      </c>
      <c r="B942" s="71">
        <v>35713</v>
      </c>
      <c r="C942" t="s">
        <v>45</v>
      </c>
      <c r="D942">
        <v>399.99999850988388</v>
      </c>
    </row>
    <row r="943" spans="1:4">
      <c r="A943" t="s">
        <v>104</v>
      </c>
      <c r="B943" s="71">
        <v>35732</v>
      </c>
      <c r="C943" t="s">
        <v>50</v>
      </c>
      <c r="D943">
        <v>562.5</v>
      </c>
    </row>
    <row r="944" spans="1:4">
      <c r="A944" t="s">
        <v>104</v>
      </c>
      <c r="B944" s="71">
        <v>35761</v>
      </c>
      <c r="C944" t="s">
        <v>50</v>
      </c>
      <c r="D944">
        <v>59.999999776482582</v>
      </c>
    </row>
    <row r="945" spans="1:4">
      <c r="A945" t="s">
        <v>104</v>
      </c>
      <c r="B945" s="71">
        <v>35769</v>
      </c>
      <c r="C945" t="s">
        <v>42</v>
      </c>
      <c r="D945">
        <v>500</v>
      </c>
    </row>
    <row r="946" spans="1:4">
      <c r="A946" t="s">
        <v>104</v>
      </c>
      <c r="B946" s="71">
        <v>35786</v>
      </c>
      <c r="C946" t="s">
        <v>49</v>
      </c>
      <c r="D946">
        <v>225</v>
      </c>
    </row>
    <row r="947" spans="1:4">
      <c r="A947" t="s">
        <v>104</v>
      </c>
      <c r="B947" s="71">
        <v>35787</v>
      </c>
      <c r="C947" t="s">
        <v>49</v>
      </c>
      <c r="D947">
        <v>187.5</v>
      </c>
    </row>
    <row r="948" spans="1:4">
      <c r="A948" t="s">
        <v>104</v>
      </c>
      <c r="B948" s="71">
        <v>35808</v>
      </c>
      <c r="C948" t="s">
        <v>42</v>
      </c>
      <c r="D948">
        <v>300</v>
      </c>
    </row>
    <row r="949" spans="1:4">
      <c r="A949" t="s">
        <v>104</v>
      </c>
      <c r="B949" s="71">
        <v>35815</v>
      </c>
      <c r="C949" t="s">
        <v>49</v>
      </c>
      <c r="D949">
        <v>250</v>
      </c>
    </row>
    <row r="950" spans="1:4">
      <c r="A950" t="s">
        <v>104</v>
      </c>
      <c r="B950" s="71">
        <v>35830</v>
      </c>
      <c r="C950" t="s">
        <v>30</v>
      </c>
      <c r="D950">
        <v>250</v>
      </c>
    </row>
    <row r="951" spans="1:4">
      <c r="A951" t="s">
        <v>104</v>
      </c>
      <c r="B951" s="71">
        <v>35842</v>
      </c>
      <c r="C951" t="s">
        <v>49</v>
      </c>
      <c r="D951">
        <v>225</v>
      </c>
    </row>
    <row r="952" spans="1:4">
      <c r="A952" t="s">
        <v>104</v>
      </c>
      <c r="B952" s="71">
        <v>35850</v>
      </c>
      <c r="C952" t="s">
        <v>45</v>
      </c>
      <c r="D952">
        <v>250</v>
      </c>
    </row>
    <row r="953" spans="1:4">
      <c r="A953" t="s">
        <v>104</v>
      </c>
      <c r="B953" s="71">
        <v>35865</v>
      </c>
      <c r="C953" t="s">
        <v>52</v>
      </c>
      <c r="D953">
        <v>750</v>
      </c>
    </row>
    <row r="954" spans="1:4">
      <c r="A954" t="s">
        <v>104</v>
      </c>
      <c r="B954" s="71">
        <v>35894</v>
      </c>
      <c r="C954" t="s">
        <v>51</v>
      </c>
      <c r="D954">
        <v>25</v>
      </c>
    </row>
    <row r="955" spans="1:4">
      <c r="A955" t="s">
        <v>104</v>
      </c>
      <c r="B955" s="71">
        <v>35909</v>
      </c>
      <c r="C955" t="s">
        <v>52</v>
      </c>
      <c r="D955">
        <v>525</v>
      </c>
    </row>
    <row r="956" spans="1:4">
      <c r="A956" t="s">
        <v>104</v>
      </c>
      <c r="B956" s="71">
        <v>35916</v>
      </c>
      <c r="C956" t="s">
        <v>49</v>
      </c>
      <c r="D956">
        <v>687.5</v>
      </c>
    </row>
    <row r="957" spans="1:4">
      <c r="A957" t="s">
        <v>53</v>
      </c>
      <c r="B957" s="71">
        <v>35311</v>
      </c>
      <c r="C957" t="s">
        <v>37</v>
      </c>
      <c r="D957">
        <v>201.6</v>
      </c>
    </row>
    <row r="958" spans="1:4">
      <c r="A958" t="s">
        <v>53</v>
      </c>
      <c r="B958" s="71">
        <v>35349</v>
      </c>
      <c r="C958" t="s">
        <v>51</v>
      </c>
      <c r="D958">
        <v>671.99999749660492</v>
      </c>
    </row>
    <row r="959" spans="1:4">
      <c r="A959" t="s">
        <v>53</v>
      </c>
      <c r="B959" s="71">
        <v>35382</v>
      </c>
      <c r="C959" t="s">
        <v>52</v>
      </c>
      <c r="D959">
        <v>161.27999939918519</v>
      </c>
    </row>
    <row r="960" spans="1:4">
      <c r="A960" t="s">
        <v>53</v>
      </c>
      <c r="B960" s="71">
        <v>35396</v>
      </c>
      <c r="C960" t="s">
        <v>45</v>
      </c>
      <c r="D960">
        <v>403.2</v>
      </c>
    </row>
    <row r="961" spans="1:4">
      <c r="A961" t="s">
        <v>53</v>
      </c>
      <c r="B961" s="71">
        <v>35437</v>
      </c>
      <c r="C961" t="s">
        <v>51</v>
      </c>
      <c r="D961">
        <v>504</v>
      </c>
    </row>
    <row r="962" spans="1:4">
      <c r="A962" t="s">
        <v>53</v>
      </c>
      <c r="B962" s="71">
        <v>35464</v>
      </c>
      <c r="C962" t="s">
        <v>45</v>
      </c>
      <c r="D962">
        <v>100.8</v>
      </c>
    </row>
    <row r="963" spans="1:4">
      <c r="A963" t="s">
        <v>53</v>
      </c>
      <c r="B963" s="71">
        <v>35472</v>
      </c>
      <c r="C963" t="s">
        <v>45</v>
      </c>
      <c r="D963">
        <v>504</v>
      </c>
    </row>
    <row r="964" spans="1:4">
      <c r="A964" t="s">
        <v>53</v>
      </c>
      <c r="B964" s="71">
        <v>35473</v>
      </c>
      <c r="C964" t="s">
        <v>50</v>
      </c>
      <c r="D964">
        <v>80.639999699592593</v>
      </c>
    </row>
    <row r="965" spans="1:4">
      <c r="A965" t="s">
        <v>53</v>
      </c>
      <c r="B965" s="71">
        <v>35495</v>
      </c>
      <c r="C965" t="s">
        <v>42</v>
      </c>
      <c r="D965">
        <v>168</v>
      </c>
    </row>
    <row r="966" spans="1:4">
      <c r="A966" t="s">
        <v>53</v>
      </c>
      <c r="B966" s="71">
        <v>35515</v>
      </c>
      <c r="C966" t="s">
        <v>49</v>
      </c>
      <c r="D966">
        <v>84</v>
      </c>
    </row>
    <row r="967" spans="1:4">
      <c r="A967" t="s">
        <v>53</v>
      </c>
      <c r="B967" s="71">
        <v>35517</v>
      </c>
      <c r="C967" t="s">
        <v>37</v>
      </c>
      <c r="D967">
        <v>189</v>
      </c>
    </row>
    <row r="968" spans="1:4">
      <c r="A968" t="s">
        <v>53</v>
      </c>
      <c r="B968" s="71">
        <v>35556</v>
      </c>
      <c r="C968" t="s">
        <v>37</v>
      </c>
      <c r="D968">
        <v>63</v>
      </c>
    </row>
    <row r="969" spans="1:4">
      <c r="A969" t="s">
        <v>53</v>
      </c>
      <c r="B969" s="71">
        <v>35563</v>
      </c>
      <c r="C969" t="s">
        <v>42</v>
      </c>
      <c r="D969">
        <v>944.99999843537807</v>
      </c>
    </row>
    <row r="970" spans="1:4">
      <c r="A970" t="s">
        <v>53</v>
      </c>
      <c r="B970" s="71">
        <v>35570</v>
      </c>
      <c r="C970" t="s">
        <v>49</v>
      </c>
      <c r="D970">
        <v>299.24999976530671</v>
      </c>
    </row>
    <row r="971" spans="1:4">
      <c r="A971" t="s">
        <v>53</v>
      </c>
      <c r="B971" s="71">
        <v>35572</v>
      </c>
      <c r="C971" t="s">
        <v>50</v>
      </c>
      <c r="D971">
        <v>210</v>
      </c>
    </row>
    <row r="972" spans="1:4">
      <c r="A972" t="s">
        <v>53</v>
      </c>
      <c r="B972" s="71">
        <v>35580</v>
      </c>
      <c r="C972" t="s">
        <v>51</v>
      </c>
      <c r="D972">
        <v>315</v>
      </c>
    </row>
    <row r="973" spans="1:4">
      <c r="A973" t="s">
        <v>53</v>
      </c>
      <c r="B973" s="71">
        <v>35593</v>
      </c>
      <c r="C973" t="s">
        <v>48</v>
      </c>
      <c r="D973">
        <v>624.74999561905861</v>
      </c>
    </row>
    <row r="974" spans="1:4">
      <c r="A974" t="s">
        <v>53</v>
      </c>
      <c r="B974" s="71">
        <v>35598</v>
      </c>
      <c r="C974" t="s">
        <v>45</v>
      </c>
      <c r="D974">
        <v>299.24999976530671</v>
      </c>
    </row>
    <row r="975" spans="1:4">
      <c r="A975" t="s">
        <v>53</v>
      </c>
      <c r="B975" s="71">
        <v>35640</v>
      </c>
      <c r="C975" t="s">
        <v>50</v>
      </c>
      <c r="D975">
        <v>294</v>
      </c>
    </row>
    <row r="976" spans="1:4">
      <c r="A976" t="s">
        <v>53</v>
      </c>
      <c r="B976" s="71">
        <v>35661</v>
      </c>
      <c r="C976" t="s">
        <v>37</v>
      </c>
      <c r="D976">
        <v>210</v>
      </c>
    </row>
    <row r="977" spans="1:4">
      <c r="A977" t="s">
        <v>53</v>
      </c>
      <c r="B977" s="71">
        <v>35712</v>
      </c>
      <c r="C977" t="s">
        <v>42</v>
      </c>
      <c r="D977">
        <v>315</v>
      </c>
    </row>
    <row r="978" spans="1:4">
      <c r="A978" t="s">
        <v>53</v>
      </c>
      <c r="B978" s="71">
        <v>35737</v>
      </c>
      <c r="C978" t="s">
        <v>42</v>
      </c>
      <c r="D978">
        <v>105</v>
      </c>
    </row>
    <row r="979" spans="1:4">
      <c r="A979" t="s">
        <v>53</v>
      </c>
      <c r="B979" s="71">
        <v>35773</v>
      </c>
      <c r="C979" t="s">
        <v>50</v>
      </c>
      <c r="D979">
        <v>236.25</v>
      </c>
    </row>
    <row r="980" spans="1:4">
      <c r="A980" t="s">
        <v>53</v>
      </c>
      <c r="B980" s="71">
        <v>35789</v>
      </c>
      <c r="C980" t="s">
        <v>52</v>
      </c>
      <c r="D980">
        <v>420</v>
      </c>
    </row>
    <row r="981" spans="1:4">
      <c r="A981" t="s">
        <v>53</v>
      </c>
      <c r="B981" s="71">
        <v>35790</v>
      </c>
      <c r="C981" t="s">
        <v>49</v>
      </c>
      <c r="D981">
        <v>944.99999843537807</v>
      </c>
    </row>
    <row r="982" spans="1:4">
      <c r="A982" t="s">
        <v>53</v>
      </c>
      <c r="B982" s="71">
        <v>35804</v>
      </c>
      <c r="C982" t="s">
        <v>30</v>
      </c>
      <c r="D982">
        <v>377.99999937415123</v>
      </c>
    </row>
    <row r="983" spans="1:4">
      <c r="A983" t="s">
        <v>53</v>
      </c>
      <c r="B983" s="71">
        <v>35815</v>
      </c>
      <c r="C983" t="s">
        <v>49</v>
      </c>
      <c r="D983">
        <v>315</v>
      </c>
    </row>
    <row r="984" spans="1:4">
      <c r="A984" t="s">
        <v>53</v>
      </c>
      <c r="B984" s="71">
        <v>35825</v>
      </c>
      <c r="C984" t="s">
        <v>50</v>
      </c>
      <c r="D984">
        <v>525</v>
      </c>
    </row>
    <row r="985" spans="1:4">
      <c r="A985" t="s">
        <v>53</v>
      </c>
      <c r="B985" s="71">
        <v>35830</v>
      </c>
      <c r="C985" t="s">
        <v>30</v>
      </c>
      <c r="D985">
        <v>210</v>
      </c>
    </row>
    <row r="986" spans="1:4">
      <c r="A986" t="s">
        <v>53</v>
      </c>
      <c r="B986" s="71">
        <v>35842</v>
      </c>
      <c r="C986" t="s">
        <v>48</v>
      </c>
      <c r="D986">
        <v>840</v>
      </c>
    </row>
    <row r="987" spans="1:4">
      <c r="A987" t="s">
        <v>53</v>
      </c>
      <c r="B987" s="71">
        <v>35852</v>
      </c>
      <c r="C987" t="s">
        <v>51</v>
      </c>
      <c r="D987">
        <v>630</v>
      </c>
    </row>
    <row r="988" spans="1:4">
      <c r="A988" t="s">
        <v>53</v>
      </c>
      <c r="B988" s="71">
        <v>35858</v>
      </c>
      <c r="C988" t="s">
        <v>42</v>
      </c>
      <c r="D988">
        <v>42</v>
      </c>
    </row>
    <row r="989" spans="1:4">
      <c r="A989" t="s">
        <v>53</v>
      </c>
      <c r="B989" s="71">
        <v>35866</v>
      </c>
      <c r="C989" t="s">
        <v>37</v>
      </c>
      <c r="D989">
        <v>78.75</v>
      </c>
    </row>
    <row r="990" spans="1:4">
      <c r="A990" t="s">
        <v>53</v>
      </c>
      <c r="B990" s="71">
        <v>35884</v>
      </c>
      <c r="C990" t="s">
        <v>50</v>
      </c>
      <c r="D990">
        <v>630</v>
      </c>
    </row>
    <row r="991" spans="1:4">
      <c r="A991" t="s">
        <v>53</v>
      </c>
      <c r="B991" s="71">
        <v>35885</v>
      </c>
      <c r="C991" t="s">
        <v>51</v>
      </c>
      <c r="D991">
        <v>315</v>
      </c>
    </row>
    <row r="992" spans="1:4">
      <c r="A992" t="s">
        <v>53</v>
      </c>
      <c r="B992" s="71">
        <v>35907</v>
      </c>
      <c r="C992" t="s">
        <v>30</v>
      </c>
      <c r="D992">
        <v>210</v>
      </c>
    </row>
    <row r="993" spans="1:4">
      <c r="A993" t="s">
        <v>53</v>
      </c>
      <c r="B993" s="71">
        <v>35920</v>
      </c>
      <c r="C993" t="s">
        <v>51</v>
      </c>
      <c r="D993">
        <v>210</v>
      </c>
    </row>
    <row r="994" spans="1:4">
      <c r="A994" t="s">
        <v>53</v>
      </c>
      <c r="B994" s="71">
        <v>35272</v>
      </c>
      <c r="C994" t="s">
        <v>45</v>
      </c>
      <c r="D994">
        <v>346.55999972820285</v>
      </c>
    </row>
    <row r="995" spans="1:4">
      <c r="A995" t="s">
        <v>53</v>
      </c>
      <c r="B995" s="71">
        <v>35468</v>
      </c>
      <c r="C995" t="s">
        <v>37</v>
      </c>
      <c r="D995">
        <v>456</v>
      </c>
    </row>
    <row r="996" spans="1:4">
      <c r="A996" t="s">
        <v>53</v>
      </c>
      <c r="B996" s="71">
        <v>35564</v>
      </c>
      <c r="C996" t="s">
        <v>45</v>
      </c>
      <c r="D996">
        <v>427.5</v>
      </c>
    </row>
    <row r="997" spans="1:4">
      <c r="A997" t="s">
        <v>53</v>
      </c>
      <c r="B997" s="71">
        <v>35571</v>
      </c>
      <c r="C997" t="s">
        <v>50</v>
      </c>
      <c r="D997">
        <v>968.9999932050705</v>
      </c>
    </row>
    <row r="998" spans="1:4">
      <c r="A998" t="s">
        <v>53</v>
      </c>
      <c r="B998" s="71">
        <v>35657</v>
      </c>
      <c r="C998" t="s">
        <v>52</v>
      </c>
      <c r="D998">
        <v>1162.7999918460846</v>
      </c>
    </row>
    <row r="999" spans="1:4">
      <c r="A999" t="s">
        <v>53</v>
      </c>
      <c r="B999" s="71">
        <v>35696</v>
      </c>
      <c r="C999" t="s">
        <v>52</v>
      </c>
      <c r="D999">
        <v>3800</v>
      </c>
    </row>
    <row r="1000" spans="1:4">
      <c r="A1000" t="s">
        <v>53</v>
      </c>
      <c r="B1000" s="71">
        <v>35710</v>
      </c>
      <c r="C1000" t="s">
        <v>52</v>
      </c>
      <c r="D1000">
        <v>152</v>
      </c>
    </row>
    <row r="1001" spans="1:4">
      <c r="A1001" t="s">
        <v>53</v>
      </c>
      <c r="B1001" s="71">
        <v>35730</v>
      </c>
      <c r="C1001" t="s">
        <v>49</v>
      </c>
      <c r="D1001">
        <v>1368</v>
      </c>
    </row>
    <row r="1002" spans="1:4">
      <c r="A1002" t="s">
        <v>53</v>
      </c>
      <c r="B1002" s="71">
        <v>35877</v>
      </c>
      <c r="C1002" t="s">
        <v>49</v>
      </c>
      <c r="D1002">
        <v>1140</v>
      </c>
    </row>
    <row r="1003" spans="1:4">
      <c r="A1003" t="s">
        <v>53</v>
      </c>
      <c r="B1003" s="71">
        <v>35880</v>
      </c>
      <c r="C1003" t="s">
        <v>50</v>
      </c>
      <c r="D1003">
        <v>760</v>
      </c>
    </row>
    <row r="1004" spans="1:4">
      <c r="A1004" t="s">
        <v>53</v>
      </c>
      <c r="B1004" s="71">
        <v>35898</v>
      </c>
      <c r="C1004" t="s">
        <v>42</v>
      </c>
      <c r="D1004">
        <v>760</v>
      </c>
    </row>
    <row r="1005" spans="1:4">
      <c r="A1005" t="s">
        <v>53</v>
      </c>
      <c r="B1005" s="71">
        <v>35908</v>
      </c>
      <c r="C1005" t="s">
        <v>50</v>
      </c>
      <c r="D1005">
        <v>721.99999943375587</v>
      </c>
    </row>
    <row r="1006" spans="1:4">
      <c r="A1006" t="s">
        <v>53</v>
      </c>
      <c r="B1006" s="71">
        <v>35909</v>
      </c>
      <c r="C1006" t="s">
        <v>45</v>
      </c>
      <c r="D1006">
        <v>121.5999995470047</v>
      </c>
    </row>
    <row r="1007" spans="1:4">
      <c r="A1007" t="s">
        <v>53</v>
      </c>
      <c r="B1007" s="71">
        <v>35921</v>
      </c>
      <c r="C1007" t="s">
        <v>49</v>
      </c>
      <c r="D1007">
        <v>72.199999943375587</v>
      </c>
    </row>
    <row r="1008" spans="1:4">
      <c r="A1008" t="s">
        <v>53</v>
      </c>
      <c r="B1008" s="71">
        <v>35256</v>
      </c>
      <c r="C1008" t="s">
        <v>45</v>
      </c>
      <c r="D1008">
        <v>200</v>
      </c>
    </row>
    <row r="1009" spans="1:4">
      <c r="A1009" t="s">
        <v>53</v>
      </c>
      <c r="B1009" s="71">
        <v>35279</v>
      </c>
      <c r="C1009" t="s">
        <v>37</v>
      </c>
      <c r="D1009">
        <v>400</v>
      </c>
    </row>
    <row r="1010" spans="1:4">
      <c r="A1010" t="s">
        <v>53</v>
      </c>
      <c r="B1010" s="71">
        <v>35282</v>
      </c>
      <c r="C1010" t="s">
        <v>45</v>
      </c>
      <c r="D1010">
        <v>142.49999988824129</v>
      </c>
    </row>
    <row r="1011" spans="1:4">
      <c r="A1011" t="s">
        <v>53</v>
      </c>
      <c r="B1011" s="71">
        <v>35347</v>
      </c>
      <c r="C1011" t="s">
        <v>49</v>
      </c>
      <c r="D1011">
        <v>40</v>
      </c>
    </row>
    <row r="1012" spans="1:4">
      <c r="A1012" t="s">
        <v>53</v>
      </c>
      <c r="B1012" s="71">
        <v>35360</v>
      </c>
      <c r="C1012" t="s">
        <v>52</v>
      </c>
      <c r="D1012">
        <v>199.99999925494194</v>
      </c>
    </row>
    <row r="1013" spans="1:4">
      <c r="A1013" t="s">
        <v>53</v>
      </c>
      <c r="B1013" s="71">
        <v>35368</v>
      </c>
      <c r="C1013" t="s">
        <v>42</v>
      </c>
      <c r="D1013">
        <v>447.99999833106995</v>
      </c>
    </row>
    <row r="1014" spans="1:4">
      <c r="A1014" t="s">
        <v>53</v>
      </c>
      <c r="B1014" s="71">
        <v>35387</v>
      </c>
      <c r="C1014" t="s">
        <v>37</v>
      </c>
      <c r="D1014">
        <v>300</v>
      </c>
    </row>
    <row r="1015" spans="1:4">
      <c r="A1015" t="s">
        <v>53</v>
      </c>
      <c r="B1015" s="71">
        <v>35390</v>
      </c>
      <c r="C1015" t="s">
        <v>30</v>
      </c>
      <c r="D1015">
        <v>664.99999947845936</v>
      </c>
    </row>
    <row r="1016" spans="1:4">
      <c r="A1016" t="s">
        <v>53</v>
      </c>
      <c r="B1016" s="71">
        <v>35395</v>
      </c>
      <c r="C1016" t="s">
        <v>42</v>
      </c>
      <c r="D1016">
        <v>200</v>
      </c>
    </row>
    <row r="1017" spans="1:4">
      <c r="A1017" t="s">
        <v>53</v>
      </c>
      <c r="B1017" s="71">
        <v>35404</v>
      </c>
      <c r="C1017" t="s">
        <v>49</v>
      </c>
      <c r="D1017">
        <v>300</v>
      </c>
    </row>
    <row r="1018" spans="1:4">
      <c r="A1018" t="s">
        <v>53</v>
      </c>
      <c r="B1018" s="71">
        <v>35408</v>
      </c>
      <c r="C1018" t="s">
        <v>49</v>
      </c>
      <c r="D1018">
        <v>398.99999968707561</v>
      </c>
    </row>
    <row r="1019" spans="1:4">
      <c r="A1019" t="s">
        <v>53</v>
      </c>
      <c r="B1019" s="71">
        <v>35422</v>
      </c>
      <c r="C1019" t="s">
        <v>37</v>
      </c>
      <c r="D1019">
        <v>539.99999910593033</v>
      </c>
    </row>
    <row r="1020" spans="1:4">
      <c r="A1020" t="s">
        <v>53</v>
      </c>
      <c r="B1020" s="71">
        <v>35424</v>
      </c>
      <c r="C1020" t="s">
        <v>49</v>
      </c>
      <c r="D1020">
        <v>320</v>
      </c>
    </row>
    <row r="1021" spans="1:4">
      <c r="A1021" t="s">
        <v>53</v>
      </c>
      <c r="B1021" s="71">
        <v>35453</v>
      </c>
      <c r="C1021" t="s">
        <v>37</v>
      </c>
      <c r="D1021">
        <v>140</v>
      </c>
    </row>
    <row r="1022" spans="1:4">
      <c r="A1022" t="s">
        <v>53</v>
      </c>
      <c r="B1022" s="71">
        <v>35475</v>
      </c>
      <c r="C1022" t="s">
        <v>37</v>
      </c>
      <c r="D1022">
        <v>26.999999955296516</v>
      </c>
    </row>
    <row r="1023" spans="1:4">
      <c r="A1023" t="s">
        <v>53</v>
      </c>
      <c r="B1023" s="71">
        <v>35503</v>
      </c>
      <c r="C1023" t="s">
        <v>48</v>
      </c>
      <c r="D1023">
        <v>297.49999791383743</v>
      </c>
    </row>
    <row r="1024" spans="1:4">
      <c r="A1024" t="s">
        <v>53</v>
      </c>
      <c r="B1024" s="71">
        <v>35524</v>
      </c>
      <c r="C1024" t="s">
        <v>52</v>
      </c>
      <c r="D1024">
        <v>189.99999985098839</v>
      </c>
    </row>
    <row r="1025" spans="1:4">
      <c r="A1025" t="s">
        <v>53</v>
      </c>
      <c r="B1025" s="71">
        <v>35564</v>
      </c>
      <c r="C1025" t="s">
        <v>45</v>
      </c>
      <c r="D1025">
        <v>250</v>
      </c>
    </row>
    <row r="1026" spans="1:4">
      <c r="A1026" t="s">
        <v>53</v>
      </c>
      <c r="B1026" s="71">
        <v>35564</v>
      </c>
      <c r="C1026" t="s">
        <v>49</v>
      </c>
      <c r="D1026">
        <v>375</v>
      </c>
    </row>
    <row r="1027" spans="1:4">
      <c r="A1027" t="s">
        <v>53</v>
      </c>
      <c r="B1027" s="71">
        <v>35577</v>
      </c>
      <c r="C1027" t="s">
        <v>30</v>
      </c>
      <c r="D1027">
        <v>584.37499590218067</v>
      </c>
    </row>
    <row r="1028" spans="1:4">
      <c r="A1028" t="s">
        <v>53</v>
      </c>
      <c r="B1028" s="71">
        <v>35580</v>
      </c>
      <c r="C1028" t="s">
        <v>51</v>
      </c>
      <c r="D1028">
        <v>375</v>
      </c>
    </row>
    <row r="1029" spans="1:4">
      <c r="A1029" t="s">
        <v>53</v>
      </c>
      <c r="B1029" s="71">
        <v>35591</v>
      </c>
      <c r="C1029" t="s">
        <v>42</v>
      </c>
      <c r="D1029">
        <v>71.249999944120646</v>
      </c>
    </row>
    <row r="1030" spans="1:4">
      <c r="A1030" t="s">
        <v>53</v>
      </c>
      <c r="B1030" s="71">
        <v>35593</v>
      </c>
      <c r="C1030" t="s">
        <v>49</v>
      </c>
      <c r="D1030">
        <v>599.99999776482582</v>
      </c>
    </row>
    <row r="1031" spans="1:4">
      <c r="A1031" t="s">
        <v>53</v>
      </c>
      <c r="B1031" s="71">
        <v>35597</v>
      </c>
      <c r="C1031" t="s">
        <v>30</v>
      </c>
      <c r="D1031">
        <v>349.9999986961484</v>
      </c>
    </row>
    <row r="1032" spans="1:4">
      <c r="A1032" t="s">
        <v>53</v>
      </c>
      <c r="B1032" s="71">
        <v>35604</v>
      </c>
      <c r="C1032" t="s">
        <v>45</v>
      </c>
      <c r="D1032">
        <v>250</v>
      </c>
    </row>
    <row r="1033" spans="1:4">
      <c r="A1033" t="s">
        <v>53</v>
      </c>
      <c r="B1033" s="71">
        <v>35611</v>
      </c>
      <c r="C1033" t="s">
        <v>42</v>
      </c>
      <c r="D1033">
        <v>593.74999953433871</v>
      </c>
    </row>
    <row r="1034" spans="1:4">
      <c r="A1034" t="s">
        <v>53</v>
      </c>
      <c r="B1034" s="71">
        <v>35678</v>
      </c>
      <c r="C1034" t="s">
        <v>52</v>
      </c>
      <c r="D1034">
        <v>237.49999981373549</v>
      </c>
    </row>
    <row r="1035" spans="1:4">
      <c r="A1035" t="s">
        <v>53</v>
      </c>
      <c r="B1035" s="71">
        <v>35688</v>
      </c>
      <c r="C1035" t="s">
        <v>49</v>
      </c>
      <c r="D1035">
        <v>89.999999850988388</v>
      </c>
    </row>
    <row r="1036" spans="1:4">
      <c r="A1036" t="s">
        <v>53</v>
      </c>
      <c r="B1036" s="71">
        <v>35697</v>
      </c>
      <c r="C1036" t="s">
        <v>49</v>
      </c>
      <c r="D1036">
        <v>187.5</v>
      </c>
    </row>
    <row r="1037" spans="1:4">
      <c r="A1037" t="s">
        <v>53</v>
      </c>
      <c r="B1037" s="71">
        <v>35718</v>
      </c>
      <c r="C1037" t="s">
        <v>48</v>
      </c>
      <c r="D1037">
        <v>250</v>
      </c>
    </row>
    <row r="1038" spans="1:4">
      <c r="A1038" t="s">
        <v>53</v>
      </c>
      <c r="B1038" s="71">
        <v>35732</v>
      </c>
      <c r="C1038" t="s">
        <v>50</v>
      </c>
      <c r="D1038">
        <v>625</v>
      </c>
    </row>
    <row r="1039" spans="1:4">
      <c r="A1039" t="s">
        <v>53</v>
      </c>
      <c r="B1039" s="71">
        <v>35739</v>
      </c>
      <c r="C1039" t="s">
        <v>30</v>
      </c>
      <c r="D1039">
        <v>35.624999972060323</v>
      </c>
    </row>
    <row r="1040" spans="1:4">
      <c r="A1040" t="s">
        <v>53</v>
      </c>
      <c r="B1040" s="71">
        <v>35753</v>
      </c>
      <c r="C1040" t="s">
        <v>37</v>
      </c>
      <c r="D1040">
        <v>100</v>
      </c>
    </row>
    <row r="1041" spans="1:4">
      <c r="A1041" t="s">
        <v>53</v>
      </c>
      <c r="B1041" s="71">
        <v>35772</v>
      </c>
      <c r="C1041" t="s">
        <v>45</v>
      </c>
      <c r="D1041">
        <v>625</v>
      </c>
    </row>
    <row r="1042" spans="1:4">
      <c r="A1042" t="s">
        <v>53</v>
      </c>
      <c r="B1042" s="71">
        <v>35775</v>
      </c>
      <c r="C1042" t="s">
        <v>49</v>
      </c>
      <c r="D1042">
        <v>699.99999739229679</v>
      </c>
    </row>
    <row r="1043" spans="1:4">
      <c r="A1043" t="s">
        <v>53</v>
      </c>
      <c r="B1043" s="71">
        <v>35775</v>
      </c>
      <c r="C1043" t="s">
        <v>42</v>
      </c>
      <c r="D1043">
        <v>18.75</v>
      </c>
    </row>
    <row r="1044" spans="1:4">
      <c r="A1044" t="s">
        <v>53</v>
      </c>
      <c r="B1044" s="71">
        <v>35779</v>
      </c>
      <c r="C1044" t="s">
        <v>49</v>
      </c>
      <c r="D1044">
        <v>189.99999985098839</v>
      </c>
    </row>
    <row r="1045" spans="1:4">
      <c r="A1045" t="s">
        <v>53</v>
      </c>
      <c r="B1045" s="71">
        <v>35781</v>
      </c>
      <c r="C1045" t="s">
        <v>48</v>
      </c>
      <c r="D1045">
        <v>12.5</v>
      </c>
    </row>
    <row r="1046" spans="1:4">
      <c r="A1046" t="s">
        <v>53</v>
      </c>
      <c r="B1046" s="71">
        <v>35782</v>
      </c>
      <c r="C1046" t="s">
        <v>42</v>
      </c>
      <c r="D1046">
        <v>125</v>
      </c>
    </row>
    <row r="1047" spans="1:4">
      <c r="A1047" t="s">
        <v>53</v>
      </c>
      <c r="B1047" s="71">
        <v>35797</v>
      </c>
      <c r="C1047" t="s">
        <v>30</v>
      </c>
      <c r="D1047">
        <v>179.99999970197678</v>
      </c>
    </row>
    <row r="1048" spans="1:4">
      <c r="A1048" t="s">
        <v>53</v>
      </c>
      <c r="B1048" s="71">
        <v>35807</v>
      </c>
      <c r="C1048" t="s">
        <v>37</v>
      </c>
      <c r="D1048">
        <v>437.5</v>
      </c>
    </row>
    <row r="1049" spans="1:4">
      <c r="A1049" t="s">
        <v>53</v>
      </c>
      <c r="B1049" s="71">
        <v>35810</v>
      </c>
      <c r="C1049" t="s">
        <v>37</v>
      </c>
      <c r="D1049">
        <v>101.24999983236194</v>
      </c>
    </row>
    <row r="1050" spans="1:4">
      <c r="A1050" t="s">
        <v>53</v>
      </c>
      <c r="B1050" s="71">
        <v>35822</v>
      </c>
      <c r="C1050" t="s">
        <v>45</v>
      </c>
      <c r="D1050">
        <v>175</v>
      </c>
    </row>
    <row r="1051" spans="1:4">
      <c r="A1051" t="s">
        <v>53</v>
      </c>
      <c r="B1051" s="71">
        <v>35839</v>
      </c>
      <c r="C1051" t="s">
        <v>49</v>
      </c>
      <c r="D1051">
        <v>437.5</v>
      </c>
    </row>
    <row r="1052" spans="1:4">
      <c r="A1052" t="s">
        <v>53</v>
      </c>
      <c r="B1052" s="71">
        <v>35865</v>
      </c>
      <c r="C1052" t="s">
        <v>52</v>
      </c>
      <c r="D1052">
        <v>412.5</v>
      </c>
    </row>
    <row r="1053" spans="1:4">
      <c r="A1053" t="s">
        <v>53</v>
      </c>
      <c r="B1053" s="71">
        <v>35866</v>
      </c>
      <c r="C1053" t="s">
        <v>42</v>
      </c>
      <c r="D1053">
        <v>125</v>
      </c>
    </row>
    <row r="1054" spans="1:4">
      <c r="A1054" t="s">
        <v>53</v>
      </c>
      <c r="B1054" s="71">
        <v>35870</v>
      </c>
      <c r="C1054" t="s">
        <v>48</v>
      </c>
      <c r="D1054">
        <v>593.74999953433871</v>
      </c>
    </row>
    <row r="1055" spans="1:4">
      <c r="A1055" t="s">
        <v>53</v>
      </c>
      <c r="B1055" s="71">
        <v>35871</v>
      </c>
      <c r="C1055" t="s">
        <v>30</v>
      </c>
      <c r="D1055">
        <v>265.62499813735485</v>
      </c>
    </row>
    <row r="1056" spans="1:4">
      <c r="A1056" t="s">
        <v>53</v>
      </c>
      <c r="B1056" s="71">
        <v>35880</v>
      </c>
      <c r="C1056" t="s">
        <v>50</v>
      </c>
      <c r="D1056">
        <v>300</v>
      </c>
    </row>
    <row r="1057" spans="1:4">
      <c r="A1057" t="s">
        <v>53</v>
      </c>
      <c r="B1057" s="71">
        <v>35895</v>
      </c>
      <c r="C1057" t="s">
        <v>48</v>
      </c>
      <c r="D1057">
        <v>187.5</v>
      </c>
    </row>
    <row r="1058" spans="1:4">
      <c r="A1058" t="s">
        <v>53</v>
      </c>
      <c r="B1058" s="71">
        <v>35920</v>
      </c>
      <c r="C1058" t="s">
        <v>51</v>
      </c>
      <c r="D1058">
        <v>250</v>
      </c>
    </row>
    <row r="1059" spans="1:4">
      <c r="A1059" t="s">
        <v>53</v>
      </c>
      <c r="B1059" s="71">
        <v>35263</v>
      </c>
      <c r="C1059" t="s">
        <v>49</v>
      </c>
      <c r="D1059">
        <v>122.87999954223632</v>
      </c>
    </row>
    <row r="1060" spans="1:4">
      <c r="A1060" t="s">
        <v>53</v>
      </c>
      <c r="B1060" s="71">
        <v>35333</v>
      </c>
      <c r="C1060" t="s">
        <v>49</v>
      </c>
      <c r="D1060">
        <v>921.59999847412109</v>
      </c>
    </row>
    <row r="1061" spans="1:4">
      <c r="A1061" t="s">
        <v>53</v>
      </c>
      <c r="B1061" s="71">
        <v>35360</v>
      </c>
      <c r="C1061" t="s">
        <v>52</v>
      </c>
      <c r="D1061">
        <v>122.87999954223632</v>
      </c>
    </row>
    <row r="1062" spans="1:4">
      <c r="A1062" t="s">
        <v>53</v>
      </c>
      <c r="B1062" s="71">
        <v>35542</v>
      </c>
      <c r="C1062" t="s">
        <v>52</v>
      </c>
      <c r="D1062">
        <v>1279.9999952316284</v>
      </c>
    </row>
    <row r="1063" spans="1:4">
      <c r="A1063" t="s">
        <v>53</v>
      </c>
      <c r="B1063" s="71">
        <v>35573</v>
      </c>
      <c r="C1063" t="s">
        <v>45</v>
      </c>
      <c r="D1063">
        <v>652.79999542236328</v>
      </c>
    </row>
    <row r="1064" spans="1:4">
      <c r="A1064" t="s">
        <v>53</v>
      </c>
      <c r="B1064" s="71">
        <v>35599</v>
      </c>
      <c r="C1064" t="s">
        <v>45</v>
      </c>
      <c r="D1064">
        <v>287.99999952316284</v>
      </c>
    </row>
    <row r="1065" spans="1:4">
      <c r="A1065" t="s">
        <v>53</v>
      </c>
      <c r="B1065" s="71">
        <v>35718</v>
      </c>
      <c r="C1065" t="s">
        <v>48</v>
      </c>
      <c r="D1065">
        <v>128</v>
      </c>
    </row>
    <row r="1066" spans="1:4">
      <c r="A1066" t="s">
        <v>53</v>
      </c>
      <c r="B1066" s="71">
        <v>35762</v>
      </c>
      <c r="C1066" t="s">
        <v>45</v>
      </c>
      <c r="D1066">
        <v>320</v>
      </c>
    </row>
    <row r="1067" spans="1:4">
      <c r="A1067" t="s">
        <v>53</v>
      </c>
      <c r="B1067" s="71">
        <v>35802</v>
      </c>
      <c r="C1067" t="s">
        <v>52</v>
      </c>
      <c r="D1067">
        <v>640</v>
      </c>
    </row>
    <row r="1068" spans="1:4">
      <c r="A1068" t="s">
        <v>53</v>
      </c>
      <c r="B1068" s="71">
        <v>35853</v>
      </c>
      <c r="C1068" t="s">
        <v>49</v>
      </c>
      <c r="D1068">
        <v>192</v>
      </c>
    </row>
    <row r="1069" spans="1:4">
      <c r="A1069" t="s">
        <v>53</v>
      </c>
      <c r="B1069" s="71">
        <v>35884</v>
      </c>
      <c r="C1069" t="s">
        <v>51</v>
      </c>
      <c r="D1069">
        <v>1007.9999983310699</v>
      </c>
    </row>
    <row r="1070" spans="1:4">
      <c r="A1070" t="s">
        <v>53</v>
      </c>
      <c r="B1070" s="71">
        <v>35888</v>
      </c>
      <c r="C1070" t="s">
        <v>50</v>
      </c>
      <c r="D1070">
        <v>1600</v>
      </c>
    </row>
    <row r="1071" spans="1:4">
      <c r="A1071" t="s">
        <v>53</v>
      </c>
      <c r="B1071" s="71">
        <v>35908</v>
      </c>
      <c r="C1071" t="s">
        <v>50</v>
      </c>
      <c r="D1071">
        <v>455.99999964237213</v>
      </c>
    </row>
    <row r="1072" spans="1:4">
      <c r="A1072" t="s">
        <v>53</v>
      </c>
      <c r="B1072" s="71">
        <v>35912</v>
      </c>
      <c r="C1072" t="s">
        <v>51</v>
      </c>
      <c r="D1072">
        <v>640</v>
      </c>
    </row>
    <row r="1073" spans="1:4">
      <c r="A1073" t="s">
        <v>53</v>
      </c>
      <c r="B1073" s="71">
        <v>35921</v>
      </c>
      <c r="C1073" t="s">
        <v>49</v>
      </c>
      <c r="D1073">
        <v>32</v>
      </c>
    </row>
    <row r="1074" spans="1:4">
      <c r="A1074" t="s">
        <v>53</v>
      </c>
      <c r="B1074" s="71">
        <v>35255</v>
      </c>
      <c r="C1074" t="s">
        <v>42</v>
      </c>
      <c r="D1074">
        <v>47.499999962747097</v>
      </c>
    </row>
    <row r="1075" spans="1:4">
      <c r="A1075" t="s">
        <v>53</v>
      </c>
      <c r="B1075" s="71">
        <v>35277</v>
      </c>
      <c r="C1075" t="s">
        <v>30</v>
      </c>
      <c r="D1075">
        <v>113.99999991059303</v>
      </c>
    </row>
    <row r="1076" spans="1:4">
      <c r="A1076" t="s">
        <v>53</v>
      </c>
      <c r="B1076" s="71">
        <v>35278</v>
      </c>
      <c r="C1076" t="s">
        <v>37</v>
      </c>
      <c r="D1076">
        <v>48</v>
      </c>
    </row>
    <row r="1077" spans="1:4">
      <c r="A1077" t="s">
        <v>53</v>
      </c>
      <c r="B1077" s="71">
        <v>35282</v>
      </c>
      <c r="C1077" t="s">
        <v>45</v>
      </c>
      <c r="D1077">
        <v>40</v>
      </c>
    </row>
    <row r="1078" spans="1:4">
      <c r="A1078" t="s">
        <v>53</v>
      </c>
      <c r="B1078" s="71">
        <v>35367</v>
      </c>
      <c r="C1078" t="s">
        <v>52</v>
      </c>
      <c r="D1078">
        <v>16</v>
      </c>
    </row>
    <row r="1079" spans="1:4">
      <c r="A1079" t="s">
        <v>53</v>
      </c>
      <c r="B1079" s="71">
        <v>35412</v>
      </c>
      <c r="C1079" t="s">
        <v>42</v>
      </c>
      <c r="D1079">
        <v>120</v>
      </c>
    </row>
    <row r="1080" spans="1:4">
      <c r="A1080" t="s">
        <v>53</v>
      </c>
      <c r="B1080" s="71">
        <v>35440</v>
      </c>
      <c r="C1080" t="s">
        <v>45</v>
      </c>
      <c r="D1080">
        <v>98</v>
      </c>
    </row>
    <row r="1081" spans="1:4">
      <c r="A1081" t="s">
        <v>53</v>
      </c>
      <c r="B1081" s="71">
        <v>35444</v>
      </c>
      <c r="C1081" t="s">
        <v>51</v>
      </c>
      <c r="D1081">
        <v>100</v>
      </c>
    </row>
    <row r="1082" spans="1:4">
      <c r="A1082" t="s">
        <v>53</v>
      </c>
      <c r="B1082" s="71">
        <v>35445</v>
      </c>
      <c r="C1082" t="s">
        <v>45</v>
      </c>
      <c r="D1082">
        <v>40</v>
      </c>
    </row>
    <row r="1083" spans="1:4">
      <c r="A1083" t="s">
        <v>53</v>
      </c>
      <c r="B1083" s="71">
        <v>35482</v>
      </c>
      <c r="C1083" t="s">
        <v>42</v>
      </c>
      <c r="D1083">
        <v>31.99999988079071</v>
      </c>
    </row>
    <row r="1084" spans="1:4">
      <c r="A1084" t="s">
        <v>53</v>
      </c>
      <c r="B1084" s="71">
        <v>35502</v>
      </c>
      <c r="C1084" t="s">
        <v>49</v>
      </c>
      <c r="D1084">
        <v>24</v>
      </c>
    </row>
    <row r="1085" spans="1:4">
      <c r="A1085" t="s">
        <v>53</v>
      </c>
      <c r="B1085" s="71">
        <v>35543</v>
      </c>
      <c r="C1085" t="s">
        <v>51</v>
      </c>
      <c r="D1085">
        <v>33.999999761581421</v>
      </c>
    </row>
    <row r="1086" spans="1:4">
      <c r="A1086" t="s">
        <v>53</v>
      </c>
      <c r="B1086" s="71">
        <v>35556</v>
      </c>
      <c r="C1086" t="s">
        <v>37</v>
      </c>
      <c r="D1086">
        <v>15.999999940395355</v>
      </c>
    </row>
    <row r="1087" spans="1:4">
      <c r="A1087" t="s">
        <v>53</v>
      </c>
      <c r="B1087" s="71">
        <v>35564</v>
      </c>
      <c r="C1087" t="s">
        <v>45</v>
      </c>
      <c r="D1087">
        <v>75</v>
      </c>
    </row>
    <row r="1088" spans="1:4">
      <c r="A1088" t="s">
        <v>53</v>
      </c>
      <c r="B1088" s="71">
        <v>35566</v>
      </c>
      <c r="C1088" t="s">
        <v>37</v>
      </c>
      <c r="D1088">
        <v>37.5</v>
      </c>
    </row>
    <row r="1089" spans="1:4">
      <c r="A1089" t="s">
        <v>53</v>
      </c>
      <c r="B1089" s="71">
        <v>35590</v>
      </c>
      <c r="C1089" t="s">
        <v>49</v>
      </c>
      <c r="D1089">
        <v>44.999999925494194</v>
      </c>
    </row>
    <row r="1090" spans="1:4">
      <c r="A1090" t="s">
        <v>53</v>
      </c>
      <c r="B1090" s="71">
        <v>35600</v>
      </c>
      <c r="C1090" t="s">
        <v>42</v>
      </c>
      <c r="D1090">
        <v>35</v>
      </c>
    </row>
    <row r="1091" spans="1:4">
      <c r="A1091" t="s">
        <v>53</v>
      </c>
      <c r="B1091" s="71">
        <v>35633</v>
      </c>
      <c r="C1091" t="s">
        <v>30</v>
      </c>
      <c r="D1091">
        <v>35</v>
      </c>
    </row>
    <row r="1092" spans="1:4">
      <c r="A1092" t="s">
        <v>53</v>
      </c>
      <c r="B1092" s="71">
        <v>35656</v>
      </c>
      <c r="C1092" t="s">
        <v>50</v>
      </c>
      <c r="D1092">
        <v>47.499999962747097</v>
      </c>
    </row>
    <row r="1093" spans="1:4">
      <c r="A1093" t="s">
        <v>53</v>
      </c>
      <c r="B1093" s="71">
        <v>35695</v>
      </c>
      <c r="C1093" t="s">
        <v>49</v>
      </c>
      <c r="D1093">
        <v>16.99999988079071</v>
      </c>
    </row>
    <row r="1094" spans="1:4">
      <c r="A1094" t="s">
        <v>53</v>
      </c>
      <c r="B1094" s="71">
        <v>35696</v>
      </c>
      <c r="C1094" t="s">
        <v>52</v>
      </c>
      <c r="D1094">
        <v>75</v>
      </c>
    </row>
    <row r="1095" spans="1:4">
      <c r="A1095" t="s">
        <v>53</v>
      </c>
      <c r="B1095" s="71">
        <v>35698</v>
      </c>
      <c r="C1095" t="s">
        <v>45</v>
      </c>
      <c r="D1095">
        <v>75</v>
      </c>
    </row>
    <row r="1096" spans="1:4">
      <c r="A1096" t="s">
        <v>53</v>
      </c>
      <c r="B1096" s="71">
        <v>35800</v>
      </c>
      <c r="C1096" t="s">
        <v>51</v>
      </c>
      <c r="D1096">
        <v>40</v>
      </c>
    </row>
    <row r="1097" spans="1:4">
      <c r="A1097" t="s">
        <v>53</v>
      </c>
      <c r="B1097" s="71">
        <v>35818</v>
      </c>
      <c r="C1097" t="s">
        <v>49</v>
      </c>
      <c r="D1097">
        <v>8.4999999403953552</v>
      </c>
    </row>
    <row r="1098" spans="1:4">
      <c r="A1098" t="s">
        <v>53</v>
      </c>
      <c r="B1098" s="71">
        <v>35825</v>
      </c>
      <c r="C1098" t="s">
        <v>42</v>
      </c>
      <c r="D1098">
        <v>87.5</v>
      </c>
    </row>
    <row r="1099" spans="1:4">
      <c r="A1099" t="s">
        <v>53</v>
      </c>
      <c r="B1099" s="71">
        <v>35852</v>
      </c>
      <c r="C1099" t="s">
        <v>42</v>
      </c>
      <c r="D1099">
        <v>75</v>
      </c>
    </row>
    <row r="1100" spans="1:4">
      <c r="A1100" t="s">
        <v>53</v>
      </c>
      <c r="B1100" s="71">
        <v>35853</v>
      </c>
      <c r="C1100" t="s">
        <v>51</v>
      </c>
      <c r="D1100">
        <v>75</v>
      </c>
    </row>
    <row r="1101" spans="1:4">
      <c r="A1101" t="s">
        <v>53</v>
      </c>
      <c r="B1101" s="71">
        <v>35870</v>
      </c>
      <c r="C1101" t="s">
        <v>48</v>
      </c>
      <c r="D1101">
        <v>35.624999972060323</v>
      </c>
    </row>
    <row r="1102" spans="1:4">
      <c r="A1102" t="s">
        <v>53</v>
      </c>
      <c r="B1102" s="71">
        <v>35878</v>
      </c>
      <c r="C1102" t="s">
        <v>42</v>
      </c>
      <c r="D1102">
        <v>17.5</v>
      </c>
    </row>
    <row r="1103" spans="1:4">
      <c r="A1103" t="s">
        <v>53</v>
      </c>
      <c r="B1103" s="71">
        <v>35900</v>
      </c>
      <c r="C1103" t="s">
        <v>42</v>
      </c>
      <c r="D1103">
        <v>75</v>
      </c>
    </row>
    <row r="1104" spans="1:4">
      <c r="A1104" t="s">
        <v>53</v>
      </c>
      <c r="B1104" s="71">
        <v>35908</v>
      </c>
      <c r="C1104" t="s">
        <v>37</v>
      </c>
      <c r="D1104">
        <v>37.5</v>
      </c>
    </row>
    <row r="1105" spans="1:4">
      <c r="A1105" t="s">
        <v>53</v>
      </c>
      <c r="B1105" s="71">
        <v>35913</v>
      </c>
      <c r="C1105" t="s">
        <v>50</v>
      </c>
      <c r="D1105">
        <v>25</v>
      </c>
    </row>
    <row r="1106" spans="1:4">
      <c r="A1106" t="s">
        <v>53</v>
      </c>
      <c r="B1106" s="71">
        <v>35258</v>
      </c>
      <c r="C1106" t="s">
        <v>48</v>
      </c>
      <c r="D1106">
        <v>1320</v>
      </c>
    </row>
    <row r="1107" spans="1:4">
      <c r="A1107" t="s">
        <v>53</v>
      </c>
      <c r="B1107" s="71">
        <v>35275</v>
      </c>
      <c r="C1107" t="s">
        <v>42</v>
      </c>
      <c r="D1107">
        <v>2617.9999816417694</v>
      </c>
    </row>
    <row r="1108" spans="1:4">
      <c r="A1108" t="s">
        <v>53</v>
      </c>
      <c r="B1108" s="71">
        <v>35284</v>
      </c>
      <c r="C1108" t="s">
        <v>49</v>
      </c>
      <c r="D1108">
        <v>250.79999980330467</v>
      </c>
    </row>
    <row r="1109" spans="1:4">
      <c r="A1109" t="s">
        <v>53</v>
      </c>
      <c r="B1109" s="71">
        <v>35289</v>
      </c>
      <c r="C1109" t="s">
        <v>50</v>
      </c>
      <c r="D1109">
        <v>660</v>
      </c>
    </row>
    <row r="1110" spans="1:4">
      <c r="A1110" t="s">
        <v>53</v>
      </c>
      <c r="B1110" s="71">
        <v>35313</v>
      </c>
      <c r="C1110" t="s">
        <v>37</v>
      </c>
      <c r="D1110">
        <v>990</v>
      </c>
    </row>
    <row r="1111" spans="1:4">
      <c r="A1111" t="s">
        <v>53</v>
      </c>
      <c r="B1111" s="71">
        <v>35320</v>
      </c>
      <c r="C1111" t="s">
        <v>49</v>
      </c>
      <c r="D1111">
        <v>440</v>
      </c>
    </row>
    <row r="1112" spans="1:4">
      <c r="A1112" t="s">
        <v>53</v>
      </c>
      <c r="B1112" s="71">
        <v>35346</v>
      </c>
      <c r="C1112" t="s">
        <v>48</v>
      </c>
      <c r="D1112">
        <v>1495.9999895095825</v>
      </c>
    </row>
    <row r="1113" spans="1:4">
      <c r="A1113" t="s">
        <v>53</v>
      </c>
      <c r="B1113" s="71">
        <v>35352</v>
      </c>
      <c r="C1113" t="s">
        <v>42</v>
      </c>
      <c r="D1113">
        <v>396</v>
      </c>
    </row>
    <row r="1114" spans="1:4">
      <c r="A1114" t="s">
        <v>53</v>
      </c>
      <c r="B1114" s="71">
        <v>35367</v>
      </c>
      <c r="C1114" t="s">
        <v>52</v>
      </c>
      <c r="D1114">
        <v>336.59999763965607</v>
      </c>
    </row>
    <row r="1115" spans="1:4">
      <c r="A1115" t="s">
        <v>53</v>
      </c>
      <c r="B1115" s="71">
        <v>35417</v>
      </c>
      <c r="C1115" t="s">
        <v>49</v>
      </c>
      <c r="D1115">
        <v>528</v>
      </c>
    </row>
    <row r="1116" spans="1:4">
      <c r="A1116" t="s">
        <v>53</v>
      </c>
      <c r="B1116" s="71">
        <v>35440</v>
      </c>
      <c r="C1116" t="s">
        <v>45</v>
      </c>
      <c r="D1116">
        <v>704</v>
      </c>
    </row>
    <row r="1117" spans="1:4">
      <c r="A1117" t="s">
        <v>53</v>
      </c>
      <c r="B1117" s="71">
        <v>35440</v>
      </c>
      <c r="C1117" t="s">
        <v>48</v>
      </c>
      <c r="D1117">
        <v>316.79999881982803</v>
      </c>
    </row>
    <row r="1118" spans="1:4">
      <c r="A1118" t="s">
        <v>53</v>
      </c>
      <c r="B1118" s="71">
        <v>35453</v>
      </c>
      <c r="C1118" t="s">
        <v>37</v>
      </c>
      <c r="D1118">
        <v>880</v>
      </c>
    </row>
    <row r="1119" spans="1:4">
      <c r="A1119" t="s">
        <v>53</v>
      </c>
      <c r="B1119" s="71">
        <v>35460</v>
      </c>
      <c r="C1119" t="s">
        <v>42</v>
      </c>
      <c r="D1119">
        <v>2463.9999908208847</v>
      </c>
    </row>
    <row r="1120" spans="1:4">
      <c r="A1120" t="s">
        <v>53</v>
      </c>
      <c r="B1120" s="71">
        <v>35486</v>
      </c>
      <c r="C1120" t="s">
        <v>51</v>
      </c>
      <c r="D1120">
        <v>1584</v>
      </c>
    </row>
    <row r="1121" spans="1:4">
      <c r="A1121" t="s">
        <v>53</v>
      </c>
      <c r="B1121" s="71">
        <v>35508</v>
      </c>
      <c r="C1121" t="s">
        <v>45</v>
      </c>
      <c r="D1121">
        <v>2640</v>
      </c>
    </row>
    <row r="1122" spans="1:4">
      <c r="A1122" t="s">
        <v>53</v>
      </c>
      <c r="B1122" s="71">
        <v>35509</v>
      </c>
      <c r="C1122" t="s">
        <v>37</v>
      </c>
      <c r="D1122">
        <v>528</v>
      </c>
    </row>
    <row r="1123" spans="1:4">
      <c r="A1123" t="s">
        <v>53</v>
      </c>
      <c r="B1123" s="71">
        <v>35516</v>
      </c>
      <c r="C1123" t="s">
        <v>50</v>
      </c>
      <c r="D1123">
        <v>1320</v>
      </c>
    </row>
    <row r="1124" spans="1:4">
      <c r="A1124" t="s">
        <v>53</v>
      </c>
      <c r="B1124" s="71">
        <v>35520</v>
      </c>
      <c r="C1124" t="s">
        <v>52</v>
      </c>
      <c r="D1124">
        <v>2640</v>
      </c>
    </row>
    <row r="1125" spans="1:4">
      <c r="A1125" t="s">
        <v>53</v>
      </c>
      <c r="B1125" s="71">
        <v>35544</v>
      </c>
      <c r="C1125" t="s">
        <v>45</v>
      </c>
      <c r="D1125">
        <v>220</v>
      </c>
    </row>
    <row r="1126" spans="1:4">
      <c r="A1126" t="s">
        <v>53</v>
      </c>
      <c r="B1126" s="71">
        <v>35558</v>
      </c>
      <c r="C1126" t="s">
        <v>52</v>
      </c>
      <c r="D1126">
        <v>110</v>
      </c>
    </row>
    <row r="1127" spans="1:4">
      <c r="A1127" t="s">
        <v>53</v>
      </c>
      <c r="B1127" s="71">
        <v>35563</v>
      </c>
      <c r="C1127" t="s">
        <v>42</v>
      </c>
      <c r="D1127">
        <v>742.4999987706542</v>
      </c>
    </row>
    <row r="1128" spans="1:4">
      <c r="A1128" t="s">
        <v>53</v>
      </c>
      <c r="B1128" s="71">
        <v>35593</v>
      </c>
      <c r="C1128" t="s">
        <v>49</v>
      </c>
      <c r="D1128">
        <v>1759.9999934434891</v>
      </c>
    </row>
    <row r="1129" spans="1:4">
      <c r="A1129" t="s">
        <v>53</v>
      </c>
      <c r="B1129" s="71">
        <v>35601</v>
      </c>
      <c r="C1129" t="s">
        <v>30</v>
      </c>
      <c r="D1129">
        <v>660</v>
      </c>
    </row>
    <row r="1130" spans="1:4">
      <c r="A1130" t="s">
        <v>53</v>
      </c>
      <c r="B1130" s="71">
        <v>35627</v>
      </c>
      <c r="C1130" t="s">
        <v>52</v>
      </c>
      <c r="D1130">
        <v>1925</v>
      </c>
    </row>
    <row r="1131" spans="1:4">
      <c r="A1131" t="s">
        <v>53</v>
      </c>
      <c r="B1131" s="71">
        <v>35632</v>
      </c>
      <c r="C1131" t="s">
        <v>49</v>
      </c>
      <c r="D1131">
        <v>1044.9999991804361</v>
      </c>
    </row>
    <row r="1132" spans="1:4">
      <c r="A1132" t="s">
        <v>53</v>
      </c>
      <c r="B1132" s="71">
        <v>35642</v>
      </c>
      <c r="C1132" t="s">
        <v>42</v>
      </c>
      <c r="D1132">
        <v>1402.4999901652336</v>
      </c>
    </row>
    <row r="1133" spans="1:4">
      <c r="A1133" t="s">
        <v>53</v>
      </c>
      <c r="B1133" s="71">
        <v>35684</v>
      </c>
      <c r="C1133" t="s">
        <v>49</v>
      </c>
      <c r="D1133">
        <v>55</v>
      </c>
    </row>
    <row r="1134" spans="1:4">
      <c r="A1134" t="s">
        <v>53</v>
      </c>
      <c r="B1134" s="71">
        <v>35696</v>
      </c>
      <c r="C1134" t="s">
        <v>50</v>
      </c>
      <c r="D1134">
        <v>660</v>
      </c>
    </row>
    <row r="1135" spans="1:4">
      <c r="A1135" t="s">
        <v>53</v>
      </c>
      <c r="B1135" s="71">
        <v>35709</v>
      </c>
      <c r="C1135" t="s">
        <v>50</v>
      </c>
      <c r="D1135">
        <v>1375</v>
      </c>
    </row>
    <row r="1136" spans="1:4">
      <c r="A1136" t="s">
        <v>53</v>
      </c>
      <c r="B1136" s="71">
        <v>35716</v>
      </c>
      <c r="C1136" t="s">
        <v>37</v>
      </c>
      <c r="D1136">
        <v>1963.4999862313271</v>
      </c>
    </row>
    <row r="1137" spans="1:4">
      <c r="A1137" t="s">
        <v>53</v>
      </c>
      <c r="B1137" s="71">
        <v>35717</v>
      </c>
      <c r="C1137" t="s">
        <v>37</v>
      </c>
      <c r="D1137">
        <v>1925</v>
      </c>
    </row>
    <row r="1138" spans="1:4">
      <c r="A1138" t="s">
        <v>53</v>
      </c>
      <c r="B1138" s="71">
        <v>35719</v>
      </c>
      <c r="C1138" t="s">
        <v>50</v>
      </c>
      <c r="D1138">
        <v>440</v>
      </c>
    </row>
    <row r="1139" spans="1:4">
      <c r="A1139" t="s">
        <v>53</v>
      </c>
      <c r="B1139" s="71">
        <v>35737</v>
      </c>
      <c r="C1139" t="s">
        <v>51</v>
      </c>
      <c r="D1139">
        <v>522.49999959021807</v>
      </c>
    </row>
    <row r="1140" spans="1:4">
      <c r="A1140" t="s">
        <v>53</v>
      </c>
      <c r="B1140" s="71">
        <v>35752</v>
      </c>
      <c r="C1140" t="s">
        <v>48</v>
      </c>
      <c r="D1140">
        <v>2475</v>
      </c>
    </row>
    <row r="1141" spans="1:4">
      <c r="A1141" t="s">
        <v>53</v>
      </c>
      <c r="B1141" s="71">
        <v>35754</v>
      </c>
      <c r="C1141" t="s">
        <v>42</v>
      </c>
      <c r="D1141">
        <v>330</v>
      </c>
    </row>
    <row r="1142" spans="1:4">
      <c r="A1142" t="s">
        <v>53</v>
      </c>
      <c r="B1142" s="71">
        <v>35755</v>
      </c>
      <c r="C1142" t="s">
        <v>48</v>
      </c>
      <c r="D1142">
        <v>1168.7499918043613</v>
      </c>
    </row>
    <row r="1143" spans="1:4">
      <c r="A1143" t="s">
        <v>53</v>
      </c>
      <c r="B1143" s="71">
        <v>35761</v>
      </c>
      <c r="C1143" t="s">
        <v>37</v>
      </c>
      <c r="D1143">
        <v>385</v>
      </c>
    </row>
    <row r="1144" spans="1:4">
      <c r="A1144" t="s">
        <v>53</v>
      </c>
      <c r="B1144" s="71">
        <v>35774</v>
      </c>
      <c r="C1144" t="s">
        <v>45</v>
      </c>
      <c r="D1144">
        <v>1375</v>
      </c>
    </row>
    <row r="1145" spans="1:4">
      <c r="A1145" t="s">
        <v>53</v>
      </c>
      <c r="B1145" s="71">
        <v>35790</v>
      </c>
      <c r="C1145" t="s">
        <v>48</v>
      </c>
      <c r="D1145">
        <v>1375</v>
      </c>
    </row>
    <row r="1146" spans="1:4">
      <c r="A1146" t="s">
        <v>53</v>
      </c>
      <c r="B1146" s="71">
        <v>35794</v>
      </c>
      <c r="C1146" t="s">
        <v>42</v>
      </c>
      <c r="D1146">
        <v>783.7499993853271</v>
      </c>
    </row>
    <row r="1147" spans="1:4">
      <c r="A1147" t="s">
        <v>53</v>
      </c>
      <c r="B1147" s="71">
        <v>35804</v>
      </c>
      <c r="C1147" t="s">
        <v>30</v>
      </c>
      <c r="D1147">
        <v>1979.9999967217445</v>
      </c>
    </row>
    <row r="1148" spans="1:4">
      <c r="A1148" t="s">
        <v>53</v>
      </c>
      <c r="B1148" s="71">
        <v>35810</v>
      </c>
      <c r="C1148" t="s">
        <v>49</v>
      </c>
      <c r="D1148">
        <v>825</v>
      </c>
    </row>
    <row r="1149" spans="1:4">
      <c r="A1149" t="s">
        <v>53</v>
      </c>
      <c r="B1149" s="71">
        <v>35815</v>
      </c>
      <c r="C1149" t="s">
        <v>30</v>
      </c>
      <c r="D1149">
        <v>2750</v>
      </c>
    </row>
    <row r="1150" spans="1:4">
      <c r="A1150" t="s">
        <v>53</v>
      </c>
      <c r="B1150" s="71">
        <v>35821</v>
      </c>
      <c r="C1150" t="s">
        <v>30</v>
      </c>
      <c r="D1150">
        <v>2194.4999982789159</v>
      </c>
    </row>
    <row r="1151" spans="1:4">
      <c r="A1151" t="s">
        <v>53</v>
      </c>
      <c r="B1151" s="71">
        <v>35843</v>
      </c>
      <c r="C1151" t="s">
        <v>42</v>
      </c>
      <c r="D1151">
        <v>2089.9999983608723</v>
      </c>
    </row>
    <row r="1152" spans="1:4">
      <c r="A1152" t="s">
        <v>53</v>
      </c>
      <c r="B1152" s="71">
        <v>35867</v>
      </c>
      <c r="C1152" t="s">
        <v>45</v>
      </c>
      <c r="D1152">
        <v>220</v>
      </c>
    </row>
    <row r="1153" spans="1:4">
      <c r="A1153" t="s">
        <v>53</v>
      </c>
      <c r="B1153" s="71">
        <v>35887</v>
      </c>
      <c r="C1153" t="s">
        <v>51</v>
      </c>
      <c r="D1153">
        <v>940.49999926239252</v>
      </c>
    </row>
    <row r="1154" spans="1:4">
      <c r="A1154" t="s">
        <v>53</v>
      </c>
      <c r="B1154" s="71">
        <v>35892</v>
      </c>
      <c r="C1154" t="s">
        <v>51</v>
      </c>
      <c r="D1154">
        <v>550</v>
      </c>
    </row>
    <row r="1155" spans="1:4">
      <c r="A1155" t="s">
        <v>53</v>
      </c>
      <c r="B1155" s="71">
        <v>35898</v>
      </c>
      <c r="C1155" t="s">
        <v>48</v>
      </c>
      <c r="D1155">
        <v>6050</v>
      </c>
    </row>
    <row r="1156" spans="1:4">
      <c r="A1156" t="s">
        <v>53</v>
      </c>
      <c r="B1156" s="71">
        <v>35901</v>
      </c>
      <c r="C1156" t="s">
        <v>51</v>
      </c>
      <c r="D1156">
        <v>1320</v>
      </c>
    </row>
    <row r="1157" spans="1:4">
      <c r="A1157" t="s">
        <v>53</v>
      </c>
      <c r="B1157" s="71">
        <v>35902</v>
      </c>
      <c r="C1157" t="s">
        <v>52</v>
      </c>
      <c r="D1157">
        <v>4125</v>
      </c>
    </row>
    <row r="1158" spans="1:4">
      <c r="A1158" t="s">
        <v>53</v>
      </c>
      <c r="B1158" s="71">
        <v>35902</v>
      </c>
      <c r="C1158" t="s">
        <v>51</v>
      </c>
      <c r="D1158">
        <v>1650</v>
      </c>
    </row>
    <row r="1159" spans="1:4">
      <c r="A1159" t="s">
        <v>53</v>
      </c>
      <c r="B1159" s="71">
        <v>35905</v>
      </c>
      <c r="C1159" t="s">
        <v>50</v>
      </c>
      <c r="D1159">
        <v>1650</v>
      </c>
    </row>
    <row r="1160" spans="1:4">
      <c r="A1160" t="s">
        <v>53</v>
      </c>
      <c r="B1160" s="71">
        <v>35255</v>
      </c>
      <c r="C1160" t="s">
        <v>42</v>
      </c>
      <c r="D1160">
        <v>1088</v>
      </c>
    </row>
    <row r="1161" spans="1:4">
      <c r="A1161" t="s">
        <v>53</v>
      </c>
      <c r="B1161" s="71">
        <v>35293</v>
      </c>
      <c r="C1161" t="s">
        <v>45</v>
      </c>
      <c r="D1161">
        <v>952</v>
      </c>
    </row>
    <row r="1162" spans="1:4">
      <c r="A1162" t="s">
        <v>53</v>
      </c>
      <c r="B1162" s="71">
        <v>35296</v>
      </c>
      <c r="C1162" t="s">
        <v>42</v>
      </c>
      <c r="D1162">
        <v>408</v>
      </c>
    </row>
    <row r="1163" spans="1:4">
      <c r="A1163" t="s">
        <v>53</v>
      </c>
      <c r="B1163" s="71">
        <v>35307</v>
      </c>
      <c r="C1163" t="s">
        <v>42</v>
      </c>
      <c r="D1163">
        <v>571.20000000000005</v>
      </c>
    </row>
    <row r="1164" spans="1:4">
      <c r="A1164" t="s">
        <v>53</v>
      </c>
      <c r="B1164" s="71">
        <v>35388</v>
      </c>
      <c r="C1164" t="s">
        <v>49</v>
      </c>
      <c r="D1164">
        <v>174.07999935150147</v>
      </c>
    </row>
    <row r="1165" spans="1:4">
      <c r="A1165" t="s">
        <v>53</v>
      </c>
      <c r="B1165" s="71">
        <v>35390</v>
      </c>
      <c r="C1165" t="s">
        <v>30</v>
      </c>
      <c r="D1165">
        <v>2067.1999983787537</v>
      </c>
    </row>
    <row r="1166" spans="1:4">
      <c r="A1166" t="s">
        <v>53</v>
      </c>
      <c r="B1166" s="71">
        <v>35391</v>
      </c>
      <c r="C1166" t="s">
        <v>49</v>
      </c>
      <c r="D1166">
        <v>1346.3999977707863</v>
      </c>
    </row>
    <row r="1167" spans="1:4">
      <c r="A1167" t="s">
        <v>53</v>
      </c>
      <c r="B1167" s="71">
        <v>35403</v>
      </c>
      <c r="C1167" t="s">
        <v>30</v>
      </c>
      <c r="D1167">
        <v>1428</v>
      </c>
    </row>
    <row r="1168" spans="1:4">
      <c r="A1168" t="s">
        <v>53</v>
      </c>
      <c r="B1168" s="71">
        <v>35411</v>
      </c>
      <c r="C1168" t="s">
        <v>50</v>
      </c>
      <c r="D1168">
        <v>146.87999975681305</v>
      </c>
    </row>
    <row r="1169" spans="1:4">
      <c r="A1169" t="s">
        <v>53</v>
      </c>
      <c r="B1169" s="71">
        <v>35415</v>
      </c>
      <c r="C1169" t="s">
        <v>45</v>
      </c>
      <c r="D1169">
        <v>408</v>
      </c>
    </row>
    <row r="1170" spans="1:4">
      <c r="A1170" t="s">
        <v>53</v>
      </c>
      <c r="B1170" s="71">
        <v>35416</v>
      </c>
      <c r="C1170" t="s">
        <v>49</v>
      </c>
      <c r="D1170">
        <v>435.19999837875366</v>
      </c>
    </row>
    <row r="1171" spans="1:4">
      <c r="A1171" t="s">
        <v>53</v>
      </c>
      <c r="B1171" s="71">
        <v>35450</v>
      </c>
      <c r="C1171" t="s">
        <v>42</v>
      </c>
      <c r="D1171">
        <v>1550.3999987840652</v>
      </c>
    </row>
    <row r="1172" spans="1:4">
      <c r="A1172" t="s">
        <v>53</v>
      </c>
      <c r="B1172" s="71">
        <v>35493</v>
      </c>
      <c r="C1172" t="s">
        <v>42</v>
      </c>
      <c r="D1172">
        <v>544</v>
      </c>
    </row>
    <row r="1173" spans="1:4">
      <c r="A1173" t="s">
        <v>53</v>
      </c>
      <c r="B1173" s="71">
        <v>35509</v>
      </c>
      <c r="C1173" t="s">
        <v>50</v>
      </c>
      <c r="D1173">
        <v>1088</v>
      </c>
    </row>
    <row r="1174" spans="1:4">
      <c r="A1174" t="s">
        <v>53</v>
      </c>
      <c r="B1174" s="71">
        <v>35541</v>
      </c>
      <c r="C1174" t="s">
        <v>52</v>
      </c>
      <c r="D1174">
        <v>346.79999756813049</v>
      </c>
    </row>
    <row r="1175" spans="1:4">
      <c r="A1175" t="s">
        <v>53</v>
      </c>
      <c r="B1175" s="71">
        <v>35543</v>
      </c>
      <c r="C1175" t="s">
        <v>51</v>
      </c>
      <c r="D1175">
        <v>2427.5999829769135</v>
      </c>
    </row>
    <row r="1176" spans="1:4">
      <c r="A1176" t="s">
        <v>53</v>
      </c>
      <c r="B1176" s="71">
        <v>35548</v>
      </c>
      <c r="C1176" t="s">
        <v>37</v>
      </c>
      <c r="D1176">
        <v>322.99999974668026</v>
      </c>
    </row>
    <row r="1177" spans="1:4">
      <c r="A1177" t="s">
        <v>53</v>
      </c>
      <c r="B1177" s="71">
        <v>35564</v>
      </c>
      <c r="C1177" t="s">
        <v>45</v>
      </c>
      <c r="D1177">
        <v>892.5</v>
      </c>
    </row>
    <row r="1178" spans="1:4">
      <c r="A1178" t="s">
        <v>53</v>
      </c>
      <c r="B1178" s="71">
        <v>35611</v>
      </c>
      <c r="C1178" t="s">
        <v>51</v>
      </c>
      <c r="D1178">
        <v>693.59999513626099</v>
      </c>
    </row>
    <row r="1179" spans="1:4">
      <c r="A1179" t="s">
        <v>53</v>
      </c>
      <c r="B1179" s="71">
        <v>35632</v>
      </c>
      <c r="C1179" t="s">
        <v>49</v>
      </c>
      <c r="D1179">
        <v>2260.9999982267618</v>
      </c>
    </row>
    <row r="1180" spans="1:4">
      <c r="A1180" t="s">
        <v>53</v>
      </c>
      <c r="B1180" s="71">
        <v>35636</v>
      </c>
      <c r="C1180" t="s">
        <v>37</v>
      </c>
      <c r="D1180">
        <v>510</v>
      </c>
    </row>
    <row r="1181" spans="1:4">
      <c r="A1181" t="s">
        <v>53</v>
      </c>
      <c r="B1181" s="71">
        <v>35639</v>
      </c>
      <c r="C1181" t="s">
        <v>49</v>
      </c>
      <c r="D1181">
        <v>1360</v>
      </c>
    </row>
    <row r="1182" spans="1:4">
      <c r="A1182" t="s">
        <v>53</v>
      </c>
      <c r="B1182" s="71">
        <v>35650</v>
      </c>
      <c r="C1182" t="s">
        <v>45</v>
      </c>
      <c r="D1182">
        <v>340</v>
      </c>
    </row>
    <row r="1183" spans="1:4">
      <c r="A1183" t="s">
        <v>53</v>
      </c>
      <c r="B1183" s="71">
        <v>35653</v>
      </c>
      <c r="C1183" t="s">
        <v>49</v>
      </c>
      <c r="D1183">
        <v>680</v>
      </c>
    </row>
    <row r="1184" spans="1:4">
      <c r="A1184" t="s">
        <v>53</v>
      </c>
      <c r="B1184" s="71">
        <v>35675</v>
      </c>
      <c r="C1184" t="s">
        <v>49</v>
      </c>
      <c r="D1184">
        <v>611.99999898672104</v>
      </c>
    </row>
    <row r="1185" spans="1:4">
      <c r="A1185" t="s">
        <v>53</v>
      </c>
      <c r="B1185" s="71">
        <v>35677</v>
      </c>
      <c r="C1185" t="s">
        <v>51</v>
      </c>
      <c r="D1185">
        <v>1020</v>
      </c>
    </row>
    <row r="1186" spans="1:4">
      <c r="A1186" t="s">
        <v>53</v>
      </c>
      <c r="B1186" s="71">
        <v>35678</v>
      </c>
      <c r="C1186" t="s">
        <v>42</v>
      </c>
      <c r="D1186">
        <v>1776.4999986067414</v>
      </c>
    </row>
    <row r="1187" spans="1:4">
      <c r="A1187" t="s">
        <v>53</v>
      </c>
      <c r="B1187" s="71">
        <v>35699</v>
      </c>
      <c r="C1187" t="s">
        <v>45</v>
      </c>
      <c r="D1187">
        <v>1020</v>
      </c>
    </row>
    <row r="1188" spans="1:4">
      <c r="A1188" t="s">
        <v>53</v>
      </c>
      <c r="B1188" s="71">
        <v>35720</v>
      </c>
      <c r="C1188" t="s">
        <v>49</v>
      </c>
      <c r="D1188">
        <v>340</v>
      </c>
    </row>
    <row r="1189" spans="1:4">
      <c r="A1189" t="s">
        <v>53</v>
      </c>
      <c r="B1189" s="71">
        <v>35738</v>
      </c>
      <c r="C1189" t="s">
        <v>42</v>
      </c>
      <c r="D1189">
        <v>510</v>
      </c>
    </row>
    <row r="1190" spans="1:4">
      <c r="A1190" t="s">
        <v>53</v>
      </c>
      <c r="B1190" s="71">
        <v>35748</v>
      </c>
      <c r="C1190" t="s">
        <v>45</v>
      </c>
      <c r="D1190">
        <v>1700</v>
      </c>
    </row>
    <row r="1191" spans="1:4">
      <c r="A1191" t="s">
        <v>53</v>
      </c>
      <c r="B1191" s="71">
        <v>35772</v>
      </c>
      <c r="C1191" t="s">
        <v>45</v>
      </c>
      <c r="D1191">
        <v>510</v>
      </c>
    </row>
    <row r="1192" spans="1:4">
      <c r="A1192" t="s">
        <v>53</v>
      </c>
      <c r="B1192" s="71">
        <v>35808</v>
      </c>
      <c r="C1192" t="s">
        <v>48</v>
      </c>
      <c r="D1192">
        <v>714</v>
      </c>
    </row>
    <row r="1193" spans="1:4">
      <c r="A1193" t="s">
        <v>53</v>
      </c>
      <c r="B1193" s="71">
        <v>35808</v>
      </c>
      <c r="C1193" t="s">
        <v>42</v>
      </c>
      <c r="D1193">
        <v>1020</v>
      </c>
    </row>
    <row r="1194" spans="1:4">
      <c r="A1194" t="s">
        <v>53</v>
      </c>
      <c r="B1194" s="71">
        <v>35811</v>
      </c>
      <c r="C1194" t="s">
        <v>52</v>
      </c>
      <c r="D1194">
        <v>2040</v>
      </c>
    </row>
    <row r="1195" spans="1:4">
      <c r="A1195" t="s">
        <v>53</v>
      </c>
      <c r="B1195" s="71">
        <v>35817</v>
      </c>
      <c r="C1195" t="s">
        <v>42</v>
      </c>
      <c r="D1195">
        <v>1223.9999954402447</v>
      </c>
    </row>
    <row r="1196" spans="1:4">
      <c r="A1196" t="s">
        <v>53</v>
      </c>
      <c r="B1196" s="71">
        <v>35844</v>
      </c>
      <c r="C1196" t="s">
        <v>45</v>
      </c>
      <c r="D1196">
        <v>3400</v>
      </c>
    </row>
    <row r="1197" spans="1:4">
      <c r="A1197" t="s">
        <v>53</v>
      </c>
      <c r="B1197" s="71">
        <v>35856</v>
      </c>
      <c r="C1197" t="s">
        <v>42</v>
      </c>
      <c r="D1197">
        <v>340</v>
      </c>
    </row>
    <row r="1198" spans="1:4">
      <c r="A1198" t="s">
        <v>53</v>
      </c>
      <c r="B1198" s="71">
        <v>35856</v>
      </c>
      <c r="C1198" t="s">
        <v>45</v>
      </c>
      <c r="D1198">
        <v>637.5</v>
      </c>
    </row>
    <row r="1199" spans="1:4">
      <c r="A1199" t="s">
        <v>53</v>
      </c>
      <c r="B1199" s="71">
        <v>35864</v>
      </c>
      <c r="C1199" t="s">
        <v>45</v>
      </c>
      <c r="D1199">
        <v>1249.5</v>
      </c>
    </row>
    <row r="1200" spans="1:4">
      <c r="A1200" t="s">
        <v>53</v>
      </c>
      <c r="B1200" s="71">
        <v>35871</v>
      </c>
      <c r="C1200" t="s">
        <v>30</v>
      </c>
      <c r="D1200">
        <v>693.59999513626099</v>
      </c>
    </row>
    <row r="1201" spans="1:4">
      <c r="A1201" t="s">
        <v>53</v>
      </c>
      <c r="B1201" s="71">
        <v>35873</v>
      </c>
      <c r="C1201" t="s">
        <v>48</v>
      </c>
      <c r="D1201">
        <v>57.799999594688416</v>
      </c>
    </row>
    <row r="1202" spans="1:4">
      <c r="A1202" t="s">
        <v>53</v>
      </c>
      <c r="B1202" s="71">
        <v>35887</v>
      </c>
      <c r="C1202" t="s">
        <v>49</v>
      </c>
      <c r="D1202">
        <v>136</v>
      </c>
    </row>
    <row r="1203" spans="1:4">
      <c r="A1203" t="s">
        <v>53</v>
      </c>
      <c r="B1203" s="71">
        <v>35893</v>
      </c>
      <c r="C1203" t="s">
        <v>51</v>
      </c>
      <c r="D1203">
        <v>306</v>
      </c>
    </row>
    <row r="1204" spans="1:4">
      <c r="A1204" t="s">
        <v>53</v>
      </c>
      <c r="B1204" s="71">
        <v>35894</v>
      </c>
      <c r="C1204" t="s">
        <v>49</v>
      </c>
      <c r="D1204">
        <v>1162.7999990880489</v>
      </c>
    </row>
    <row r="1205" spans="1:4">
      <c r="A1205" t="s">
        <v>53</v>
      </c>
      <c r="B1205" s="71">
        <v>35913</v>
      </c>
      <c r="C1205" t="s">
        <v>50</v>
      </c>
      <c r="D1205">
        <v>1700</v>
      </c>
    </row>
    <row r="1206" spans="1:4">
      <c r="A1206" t="s">
        <v>53</v>
      </c>
      <c r="B1206" s="71">
        <v>35914</v>
      </c>
      <c r="C1206" t="s">
        <v>48</v>
      </c>
      <c r="D1206">
        <v>714</v>
      </c>
    </row>
    <row r="1207" spans="1:4">
      <c r="A1207" t="s">
        <v>53</v>
      </c>
      <c r="B1207" s="71">
        <v>35914</v>
      </c>
      <c r="C1207" t="s">
        <v>51</v>
      </c>
      <c r="D1207">
        <v>1190</v>
      </c>
    </row>
    <row r="1208" spans="1:4">
      <c r="A1208" t="s">
        <v>53</v>
      </c>
      <c r="B1208" s="71">
        <v>35915</v>
      </c>
      <c r="C1208" t="s">
        <v>51</v>
      </c>
      <c r="D1208">
        <v>136</v>
      </c>
    </row>
    <row r="1209" spans="1:4">
      <c r="A1209" t="s">
        <v>53</v>
      </c>
      <c r="B1209" s="71">
        <v>35915</v>
      </c>
      <c r="C1209" t="s">
        <v>42</v>
      </c>
      <c r="D1209">
        <v>510</v>
      </c>
    </row>
    <row r="1210" spans="1:4">
      <c r="A1210" t="s">
        <v>53</v>
      </c>
      <c r="B1210" s="71">
        <v>35921</v>
      </c>
      <c r="C1210" t="s">
        <v>49</v>
      </c>
      <c r="D1210">
        <v>63.920000091195107</v>
      </c>
    </row>
    <row r="1211" spans="1:4">
      <c r="A1211" t="s">
        <v>53</v>
      </c>
      <c r="B1211" s="71">
        <v>35311</v>
      </c>
      <c r="C1211" t="s">
        <v>37</v>
      </c>
      <c r="D1211">
        <v>432</v>
      </c>
    </row>
    <row r="1212" spans="1:4">
      <c r="A1212" t="s">
        <v>53</v>
      </c>
      <c r="B1212" s="71">
        <v>35326</v>
      </c>
      <c r="C1212" t="s">
        <v>52</v>
      </c>
      <c r="D1212">
        <v>28.8</v>
      </c>
    </row>
    <row r="1213" spans="1:4">
      <c r="A1213" t="s">
        <v>53</v>
      </c>
      <c r="B1213" s="71">
        <v>35328</v>
      </c>
      <c r="C1213" t="s">
        <v>49</v>
      </c>
      <c r="D1213">
        <v>201.6</v>
      </c>
    </row>
    <row r="1214" spans="1:4">
      <c r="A1214" t="s">
        <v>53</v>
      </c>
      <c r="B1214" s="71">
        <v>35380</v>
      </c>
      <c r="C1214" t="s">
        <v>37</v>
      </c>
      <c r="D1214">
        <v>466.5599992275238</v>
      </c>
    </row>
    <row r="1215" spans="1:4">
      <c r="A1215" t="s">
        <v>53</v>
      </c>
      <c r="B1215" s="71">
        <v>35387</v>
      </c>
      <c r="C1215" t="s">
        <v>37</v>
      </c>
      <c r="D1215">
        <v>576</v>
      </c>
    </row>
    <row r="1216" spans="1:4">
      <c r="A1216" t="s">
        <v>53</v>
      </c>
      <c r="B1216" s="71">
        <v>35395</v>
      </c>
      <c r="C1216" t="s">
        <v>49</v>
      </c>
      <c r="D1216">
        <v>864</v>
      </c>
    </row>
    <row r="1217" spans="1:4">
      <c r="A1217" t="s">
        <v>53</v>
      </c>
      <c r="B1217" s="71">
        <v>35423</v>
      </c>
      <c r="C1217" t="s">
        <v>51</v>
      </c>
      <c r="D1217">
        <v>1440</v>
      </c>
    </row>
    <row r="1218" spans="1:4">
      <c r="A1218" t="s">
        <v>53</v>
      </c>
      <c r="B1218" s="71">
        <v>35425</v>
      </c>
      <c r="C1218" t="s">
        <v>37</v>
      </c>
      <c r="D1218">
        <v>230.4</v>
      </c>
    </row>
    <row r="1219" spans="1:4">
      <c r="A1219" t="s">
        <v>53</v>
      </c>
      <c r="B1219" s="71">
        <v>35437</v>
      </c>
      <c r="C1219" t="s">
        <v>51</v>
      </c>
      <c r="D1219">
        <v>432</v>
      </c>
    </row>
    <row r="1220" spans="1:4">
      <c r="A1220" t="s">
        <v>53</v>
      </c>
      <c r="B1220" s="71">
        <v>35450</v>
      </c>
      <c r="C1220" t="s">
        <v>42</v>
      </c>
      <c r="D1220">
        <v>547.19999957084656</v>
      </c>
    </row>
    <row r="1221" spans="1:4">
      <c r="A1221" t="s">
        <v>53</v>
      </c>
      <c r="B1221" s="71">
        <v>35522</v>
      </c>
      <c r="C1221" t="s">
        <v>42</v>
      </c>
      <c r="D1221">
        <v>259.19999957084656</v>
      </c>
    </row>
    <row r="1222" spans="1:4">
      <c r="A1222" t="s">
        <v>53</v>
      </c>
      <c r="B1222" s="71">
        <v>35557</v>
      </c>
      <c r="C1222" t="s">
        <v>30</v>
      </c>
      <c r="D1222">
        <v>360</v>
      </c>
    </row>
    <row r="1223" spans="1:4">
      <c r="A1223" t="s">
        <v>53</v>
      </c>
      <c r="B1223" s="71">
        <v>35579</v>
      </c>
      <c r="C1223" t="s">
        <v>51</v>
      </c>
      <c r="D1223">
        <v>648</v>
      </c>
    </row>
    <row r="1224" spans="1:4">
      <c r="A1224" t="s">
        <v>53</v>
      </c>
      <c r="B1224" s="71">
        <v>35611</v>
      </c>
      <c r="C1224" t="s">
        <v>51</v>
      </c>
      <c r="D1224">
        <v>305.99999785423279</v>
      </c>
    </row>
    <row r="1225" spans="1:4">
      <c r="A1225" t="s">
        <v>53</v>
      </c>
      <c r="B1225" s="71">
        <v>35620</v>
      </c>
      <c r="C1225" t="s">
        <v>52</v>
      </c>
      <c r="D1225">
        <v>575.99999785423279</v>
      </c>
    </row>
    <row r="1226" spans="1:4">
      <c r="A1226" t="s">
        <v>53</v>
      </c>
      <c r="B1226" s="71">
        <v>35621</v>
      </c>
      <c r="C1226" t="s">
        <v>51</v>
      </c>
      <c r="D1226">
        <v>1755</v>
      </c>
    </row>
    <row r="1227" spans="1:4">
      <c r="A1227" t="s">
        <v>53</v>
      </c>
      <c r="B1227" s="71">
        <v>35663</v>
      </c>
      <c r="C1227" t="s">
        <v>42</v>
      </c>
      <c r="D1227">
        <v>540</v>
      </c>
    </row>
    <row r="1228" spans="1:4">
      <c r="A1228" t="s">
        <v>53</v>
      </c>
      <c r="B1228" s="71">
        <v>35685</v>
      </c>
      <c r="C1228" t="s">
        <v>52</v>
      </c>
      <c r="D1228">
        <v>1295.9999951720238</v>
      </c>
    </row>
    <row r="1229" spans="1:4">
      <c r="A1229" t="s">
        <v>53</v>
      </c>
      <c r="B1229" s="71">
        <v>35709</v>
      </c>
      <c r="C1229" t="s">
        <v>45</v>
      </c>
      <c r="D1229">
        <v>917.99999356269836</v>
      </c>
    </row>
    <row r="1230" spans="1:4">
      <c r="A1230" t="s">
        <v>53</v>
      </c>
      <c r="B1230" s="71">
        <v>35727</v>
      </c>
      <c r="C1230" t="s">
        <v>49</v>
      </c>
      <c r="D1230">
        <v>854.99999932944775</v>
      </c>
    </row>
    <row r="1231" spans="1:4">
      <c r="A1231" t="s">
        <v>53</v>
      </c>
      <c r="B1231" s="71">
        <v>35753</v>
      </c>
      <c r="C1231" t="s">
        <v>49</v>
      </c>
      <c r="D1231">
        <v>1440</v>
      </c>
    </row>
    <row r="1232" spans="1:4">
      <c r="A1232" t="s">
        <v>53</v>
      </c>
      <c r="B1232" s="71">
        <v>35753</v>
      </c>
      <c r="C1232" t="s">
        <v>37</v>
      </c>
      <c r="D1232">
        <v>1080</v>
      </c>
    </row>
    <row r="1233" spans="1:4">
      <c r="A1233" t="s">
        <v>53</v>
      </c>
      <c r="B1233" s="71">
        <v>35758</v>
      </c>
      <c r="C1233" t="s">
        <v>51</v>
      </c>
      <c r="D1233">
        <v>108</v>
      </c>
    </row>
    <row r="1234" spans="1:4">
      <c r="A1234" t="s">
        <v>53</v>
      </c>
      <c r="B1234" s="71">
        <v>35760</v>
      </c>
      <c r="C1234" t="s">
        <v>42</v>
      </c>
      <c r="D1234">
        <v>675</v>
      </c>
    </row>
    <row r="1235" spans="1:4">
      <c r="A1235" t="s">
        <v>53</v>
      </c>
      <c r="B1235" s="71">
        <v>35761</v>
      </c>
      <c r="C1235" t="s">
        <v>50</v>
      </c>
      <c r="D1235">
        <v>575.99999785423279</v>
      </c>
    </row>
    <row r="1236" spans="1:4">
      <c r="A1236" t="s">
        <v>53</v>
      </c>
      <c r="B1236" s="71">
        <v>35789</v>
      </c>
      <c r="C1236" t="s">
        <v>45</v>
      </c>
      <c r="D1236">
        <v>691.19999742507935</v>
      </c>
    </row>
    <row r="1237" spans="1:4">
      <c r="A1237" t="s">
        <v>53</v>
      </c>
      <c r="B1237" s="71">
        <v>35844</v>
      </c>
      <c r="C1237" t="s">
        <v>49</v>
      </c>
      <c r="D1237">
        <v>1709.9999986588955</v>
      </c>
    </row>
    <row r="1238" spans="1:4">
      <c r="A1238" t="s">
        <v>53</v>
      </c>
      <c r="B1238" s="71">
        <v>35873</v>
      </c>
      <c r="C1238" t="s">
        <v>50</v>
      </c>
      <c r="D1238">
        <v>324</v>
      </c>
    </row>
    <row r="1239" spans="1:4">
      <c r="A1239" t="s">
        <v>53</v>
      </c>
      <c r="B1239" s="71">
        <v>35874</v>
      </c>
      <c r="C1239" t="s">
        <v>45</v>
      </c>
      <c r="D1239">
        <v>360</v>
      </c>
    </row>
    <row r="1240" spans="1:4">
      <c r="A1240" t="s">
        <v>53</v>
      </c>
      <c r="B1240" s="71">
        <v>35899</v>
      </c>
      <c r="C1240" t="s">
        <v>48</v>
      </c>
      <c r="D1240">
        <v>1080</v>
      </c>
    </row>
    <row r="1241" spans="1:4">
      <c r="A1241" t="s">
        <v>53</v>
      </c>
      <c r="B1241" s="71">
        <v>35902</v>
      </c>
      <c r="C1241" t="s">
        <v>52</v>
      </c>
      <c r="D1241">
        <v>1166.3999980688095</v>
      </c>
    </row>
    <row r="1242" spans="1:4">
      <c r="A1242" t="s">
        <v>53</v>
      </c>
      <c r="B1242" s="71">
        <v>35283</v>
      </c>
      <c r="C1242" t="s">
        <v>37</v>
      </c>
      <c r="D1242">
        <v>344</v>
      </c>
    </row>
    <row r="1243" spans="1:4">
      <c r="A1243" t="s">
        <v>53</v>
      </c>
      <c r="B1243" s="71">
        <v>35320</v>
      </c>
      <c r="C1243" t="s">
        <v>49</v>
      </c>
      <c r="D1243">
        <v>34.4</v>
      </c>
    </row>
    <row r="1244" spans="1:4">
      <c r="A1244" t="s">
        <v>53</v>
      </c>
      <c r="B1244" s="71">
        <v>35327</v>
      </c>
      <c r="C1244" t="s">
        <v>45</v>
      </c>
      <c r="D1244">
        <v>51.6</v>
      </c>
    </row>
    <row r="1245" spans="1:4">
      <c r="A1245" t="s">
        <v>53</v>
      </c>
      <c r="B1245" s="71">
        <v>35341</v>
      </c>
      <c r="C1245" t="s">
        <v>30</v>
      </c>
      <c r="D1245">
        <v>516</v>
      </c>
    </row>
    <row r="1246" spans="1:4">
      <c r="A1246" t="s">
        <v>53</v>
      </c>
      <c r="B1246" s="71">
        <v>35356</v>
      </c>
      <c r="C1246" t="s">
        <v>30</v>
      </c>
      <c r="D1246">
        <v>619.19999897480011</v>
      </c>
    </row>
    <row r="1247" spans="1:4">
      <c r="A1247" t="s">
        <v>53</v>
      </c>
      <c r="B1247" s="71">
        <v>35395</v>
      </c>
      <c r="C1247" t="s">
        <v>49</v>
      </c>
      <c r="D1247">
        <v>86</v>
      </c>
    </row>
    <row r="1248" spans="1:4">
      <c r="A1248" t="s">
        <v>53</v>
      </c>
      <c r="B1248" s="71">
        <v>35404</v>
      </c>
      <c r="C1248" t="s">
        <v>42</v>
      </c>
      <c r="D1248">
        <v>687.99999743700027</v>
      </c>
    </row>
    <row r="1249" spans="1:4">
      <c r="A1249" t="s">
        <v>53</v>
      </c>
      <c r="B1249" s="71">
        <v>35409</v>
      </c>
      <c r="C1249" t="s">
        <v>30</v>
      </c>
      <c r="D1249">
        <v>103.2</v>
      </c>
    </row>
    <row r="1250" spans="1:4">
      <c r="A1250" t="s">
        <v>53</v>
      </c>
      <c r="B1250" s="71">
        <v>35417</v>
      </c>
      <c r="C1250" t="s">
        <v>49</v>
      </c>
      <c r="D1250">
        <v>258</v>
      </c>
    </row>
    <row r="1251" spans="1:4">
      <c r="A1251" t="s">
        <v>53</v>
      </c>
      <c r="B1251" s="71">
        <v>35426</v>
      </c>
      <c r="C1251" t="s">
        <v>49</v>
      </c>
      <c r="D1251">
        <v>1032</v>
      </c>
    </row>
    <row r="1252" spans="1:4">
      <c r="A1252" t="s">
        <v>53</v>
      </c>
      <c r="B1252" s="71">
        <v>35430</v>
      </c>
      <c r="C1252" t="s">
        <v>50</v>
      </c>
      <c r="D1252">
        <v>516</v>
      </c>
    </row>
    <row r="1253" spans="1:4">
      <c r="A1253" t="s">
        <v>53</v>
      </c>
      <c r="B1253" s="71">
        <v>35431</v>
      </c>
      <c r="C1253" t="s">
        <v>49</v>
      </c>
      <c r="D1253">
        <v>1032</v>
      </c>
    </row>
    <row r="1254" spans="1:4">
      <c r="A1254" t="s">
        <v>53</v>
      </c>
      <c r="B1254" s="71">
        <v>35437</v>
      </c>
      <c r="C1254" t="s">
        <v>51</v>
      </c>
      <c r="D1254">
        <v>258</v>
      </c>
    </row>
    <row r="1255" spans="1:4">
      <c r="A1255" t="s">
        <v>53</v>
      </c>
      <c r="B1255" s="71">
        <v>35475</v>
      </c>
      <c r="C1255" t="s">
        <v>42</v>
      </c>
      <c r="D1255">
        <v>34.4</v>
      </c>
    </row>
    <row r="1256" spans="1:4">
      <c r="A1256" t="s">
        <v>53</v>
      </c>
      <c r="B1256" s="71">
        <v>35485</v>
      </c>
      <c r="C1256" t="s">
        <v>50</v>
      </c>
      <c r="D1256">
        <v>516</v>
      </c>
    </row>
    <row r="1257" spans="1:4">
      <c r="A1257" t="s">
        <v>53</v>
      </c>
      <c r="B1257" s="71">
        <v>35487</v>
      </c>
      <c r="C1257" t="s">
        <v>52</v>
      </c>
      <c r="D1257">
        <v>860</v>
      </c>
    </row>
    <row r="1258" spans="1:4">
      <c r="A1258" t="s">
        <v>53</v>
      </c>
      <c r="B1258" s="71">
        <v>35502</v>
      </c>
      <c r="C1258" t="s">
        <v>49</v>
      </c>
      <c r="D1258">
        <v>206.4</v>
      </c>
    </row>
    <row r="1259" spans="1:4">
      <c r="A1259" t="s">
        <v>53</v>
      </c>
      <c r="B1259" s="71">
        <v>35569</v>
      </c>
      <c r="C1259" t="s">
        <v>51</v>
      </c>
      <c r="D1259">
        <v>174.14999971166253</v>
      </c>
    </row>
    <row r="1260" spans="1:4">
      <c r="A1260" t="s">
        <v>53</v>
      </c>
      <c r="B1260" s="71">
        <v>35625</v>
      </c>
      <c r="C1260" t="s">
        <v>49</v>
      </c>
      <c r="D1260">
        <v>193.5</v>
      </c>
    </row>
    <row r="1261" spans="1:4">
      <c r="A1261" t="s">
        <v>53</v>
      </c>
      <c r="B1261" s="71">
        <v>35632</v>
      </c>
      <c r="C1261" t="s">
        <v>49</v>
      </c>
      <c r="D1261">
        <v>306.37499975971878</v>
      </c>
    </row>
    <row r="1262" spans="1:4">
      <c r="A1262" t="s">
        <v>53</v>
      </c>
      <c r="B1262" s="71">
        <v>35642</v>
      </c>
      <c r="C1262" t="s">
        <v>49</v>
      </c>
      <c r="D1262">
        <v>306.37499975971878</v>
      </c>
    </row>
    <row r="1263" spans="1:4">
      <c r="A1263" t="s">
        <v>53</v>
      </c>
      <c r="B1263" s="71">
        <v>35647</v>
      </c>
      <c r="C1263" t="s">
        <v>42</v>
      </c>
      <c r="D1263">
        <v>322.5</v>
      </c>
    </row>
    <row r="1264" spans="1:4">
      <c r="A1264" t="s">
        <v>53</v>
      </c>
      <c r="B1264" s="71">
        <v>35653</v>
      </c>
      <c r="C1264" t="s">
        <v>49</v>
      </c>
      <c r="D1264">
        <v>430</v>
      </c>
    </row>
    <row r="1265" spans="1:4">
      <c r="A1265" t="s">
        <v>53</v>
      </c>
      <c r="B1265" s="71">
        <v>35669</v>
      </c>
      <c r="C1265" t="s">
        <v>48</v>
      </c>
      <c r="D1265">
        <v>483.75</v>
      </c>
    </row>
    <row r="1266" spans="1:4">
      <c r="A1266" t="s">
        <v>53</v>
      </c>
      <c r="B1266" s="71">
        <v>35685</v>
      </c>
      <c r="C1266" t="s">
        <v>52</v>
      </c>
      <c r="D1266">
        <v>240.7999991029501</v>
      </c>
    </row>
    <row r="1267" spans="1:4">
      <c r="A1267" t="s">
        <v>53</v>
      </c>
      <c r="B1267" s="71">
        <v>35690</v>
      </c>
      <c r="C1267" t="s">
        <v>48</v>
      </c>
      <c r="D1267">
        <v>258</v>
      </c>
    </row>
    <row r="1268" spans="1:4">
      <c r="A1268" t="s">
        <v>53</v>
      </c>
      <c r="B1268" s="71">
        <v>35713</v>
      </c>
      <c r="C1268" t="s">
        <v>45</v>
      </c>
      <c r="D1268">
        <v>1031.9999961555004</v>
      </c>
    </row>
    <row r="1269" spans="1:4">
      <c r="A1269" t="s">
        <v>53</v>
      </c>
      <c r="B1269" s="71">
        <v>35716</v>
      </c>
      <c r="C1269" t="s">
        <v>37</v>
      </c>
      <c r="D1269">
        <v>365.49999743700027</v>
      </c>
    </row>
    <row r="1270" spans="1:4">
      <c r="A1270" t="s">
        <v>53</v>
      </c>
      <c r="B1270" s="71">
        <v>35726</v>
      </c>
      <c r="C1270" t="s">
        <v>45</v>
      </c>
      <c r="D1270">
        <v>645</v>
      </c>
    </row>
    <row r="1271" spans="1:4">
      <c r="A1271" t="s">
        <v>53</v>
      </c>
      <c r="B1271" s="71">
        <v>35731</v>
      </c>
      <c r="C1271" t="s">
        <v>50</v>
      </c>
      <c r="D1271">
        <v>172</v>
      </c>
    </row>
    <row r="1272" spans="1:4">
      <c r="A1272" t="s">
        <v>53</v>
      </c>
      <c r="B1272" s="71">
        <v>35772</v>
      </c>
      <c r="C1272" t="s">
        <v>45</v>
      </c>
      <c r="D1272">
        <v>258</v>
      </c>
    </row>
    <row r="1273" spans="1:4">
      <c r="A1273" t="s">
        <v>53</v>
      </c>
      <c r="B1273" s="71">
        <v>35774</v>
      </c>
      <c r="C1273" t="s">
        <v>48</v>
      </c>
      <c r="D1273">
        <v>344</v>
      </c>
    </row>
    <row r="1274" spans="1:4">
      <c r="A1274" t="s">
        <v>53</v>
      </c>
      <c r="B1274" s="71">
        <v>35817</v>
      </c>
      <c r="C1274" t="s">
        <v>42</v>
      </c>
      <c r="D1274">
        <v>945.99999647587538</v>
      </c>
    </row>
    <row r="1275" spans="1:4">
      <c r="A1275" t="s">
        <v>53</v>
      </c>
      <c r="B1275" s="71">
        <v>35849</v>
      </c>
      <c r="C1275" t="s">
        <v>42</v>
      </c>
      <c r="D1275">
        <v>645</v>
      </c>
    </row>
    <row r="1276" spans="1:4">
      <c r="A1276" t="s">
        <v>53</v>
      </c>
      <c r="B1276" s="71">
        <v>35853</v>
      </c>
      <c r="C1276" t="s">
        <v>37</v>
      </c>
      <c r="D1276">
        <v>537.5</v>
      </c>
    </row>
    <row r="1277" spans="1:4">
      <c r="A1277" t="s">
        <v>53</v>
      </c>
      <c r="B1277" s="71">
        <v>35864</v>
      </c>
      <c r="C1277" t="s">
        <v>45</v>
      </c>
      <c r="D1277">
        <v>564.375</v>
      </c>
    </row>
    <row r="1278" spans="1:4">
      <c r="A1278" t="s">
        <v>53</v>
      </c>
      <c r="B1278" s="71">
        <v>35893</v>
      </c>
      <c r="C1278" t="s">
        <v>52</v>
      </c>
      <c r="D1278">
        <v>451.5</v>
      </c>
    </row>
    <row r="1279" spans="1:4">
      <c r="A1279" t="s">
        <v>53</v>
      </c>
      <c r="B1279" s="71">
        <v>35894</v>
      </c>
      <c r="C1279" t="s">
        <v>45</v>
      </c>
      <c r="D1279">
        <v>430</v>
      </c>
    </row>
    <row r="1280" spans="1:4">
      <c r="A1280" t="s">
        <v>53</v>
      </c>
      <c r="B1280" s="71">
        <v>35894</v>
      </c>
      <c r="C1280" t="s">
        <v>49</v>
      </c>
      <c r="D1280">
        <v>1225.4999990388751</v>
      </c>
    </row>
    <row r="1281" spans="1:4">
      <c r="A1281" t="s">
        <v>53</v>
      </c>
      <c r="B1281" s="71">
        <v>35900</v>
      </c>
      <c r="C1281" t="s">
        <v>42</v>
      </c>
      <c r="D1281">
        <v>1075</v>
      </c>
    </row>
    <row r="1282" spans="1:4">
      <c r="A1282" t="s">
        <v>53</v>
      </c>
      <c r="B1282" s="71">
        <v>35902</v>
      </c>
      <c r="C1282" t="s">
        <v>37</v>
      </c>
      <c r="D1282">
        <v>344</v>
      </c>
    </row>
    <row r="1283" spans="1:4">
      <c r="A1283" t="s">
        <v>53</v>
      </c>
      <c r="B1283" s="71">
        <v>35906</v>
      </c>
      <c r="C1283" t="s">
        <v>49</v>
      </c>
      <c r="D1283">
        <v>645</v>
      </c>
    </row>
    <row r="1284" spans="1:4">
      <c r="A1284" t="s">
        <v>53</v>
      </c>
      <c r="B1284" s="71">
        <v>35250</v>
      </c>
      <c r="C1284" t="s">
        <v>30</v>
      </c>
      <c r="D1284">
        <v>174</v>
      </c>
    </row>
    <row r="1285" spans="1:4">
      <c r="A1285" t="s">
        <v>53</v>
      </c>
      <c r="B1285" s="71">
        <v>35276</v>
      </c>
      <c r="C1285" t="s">
        <v>50</v>
      </c>
      <c r="D1285">
        <v>111.2</v>
      </c>
    </row>
    <row r="1286" spans="1:4">
      <c r="A1286" t="s">
        <v>53</v>
      </c>
      <c r="B1286" s="71">
        <v>35277</v>
      </c>
      <c r="C1286" t="s">
        <v>30</v>
      </c>
      <c r="D1286">
        <v>528.19999958574772</v>
      </c>
    </row>
    <row r="1287" spans="1:4">
      <c r="A1287" t="s">
        <v>53</v>
      </c>
      <c r="B1287" s="71">
        <v>35279</v>
      </c>
      <c r="C1287" t="s">
        <v>37</v>
      </c>
      <c r="D1287">
        <v>667.2</v>
      </c>
    </row>
    <row r="1288" spans="1:4">
      <c r="A1288" t="s">
        <v>53</v>
      </c>
      <c r="B1288" s="71">
        <v>35283</v>
      </c>
      <c r="C1288" t="s">
        <v>37</v>
      </c>
      <c r="D1288">
        <v>194.6</v>
      </c>
    </row>
    <row r="1289" spans="1:4">
      <c r="A1289" t="s">
        <v>53</v>
      </c>
      <c r="B1289" s="71">
        <v>35293</v>
      </c>
      <c r="C1289" t="s">
        <v>45</v>
      </c>
      <c r="D1289">
        <v>83.4</v>
      </c>
    </row>
    <row r="1290" spans="1:4">
      <c r="A1290" t="s">
        <v>53</v>
      </c>
      <c r="B1290" s="71">
        <v>35312</v>
      </c>
      <c r="C1290" t="s">
        <v>30</v>
      </c>
      <c r="D1290">
        <v>556</v>
      </c>
    </row>
    <row r="1291" spans="1:4">
      <c r="A1291" t="s">
        <v>53</v>
      </c>
      <c r="B1291" s="71">
        <v>35347</v>
      </c>
      <c r="C1291" t="s">
        <v>49</v>
      </c>
      <c r="D1291">
        <v>1112</v>
      </c>
    </row>
    <row r="1292" spans="1:4">
      <c r="A1292" t="s">
        <v>53</v>
      </c>
      <c r="B1292" s="71">
        <v>35354</v>
      </c>
      <c r="C1292" t="s">
        <v>45</v>
      </c>
      <c r="D1292">
        <v>590.74999585747719</v>
      </c>
    </row>
    <row r="1293" spans="1:4">
      <c r="A1293" t="s">
        <v>53</v>
      </c>
      <c r="B1293" s="71">
        <v>35362</v>
      </c>
      <c r="C1293" t="s">
        <v>42</v>
      </c>
      <c r="D1293">
        <v>695</v>
      </c>
    </row>
    <row r="1294" spans="1:4">
      <c r="A1294" t="s">
        <v>53</v>
      </c>
      <c r="B1294" s="71">
        <v>35403</v>
      </c>
      <c r="C1294" t="s">
        <v>30</v>
      </c>
      <c r="D1294">
        <v>875.69999999999993</v>
      </c>
    </row>
    <row r="1295" spans="1:4">
      <c r="A1295" t="s">
        <v>53</v>
      </c>
      <c r="B1295" s="71">
        <v>35422</v>
      </c>
      <c r="C1295" t="s">
        <v>37</v>
      </c>
      <c r="D1295">
        <v>600.47999900579453</v>
      </c>
    </row>
    <row r="1296" spans="1:4">
      <c r="A1296" t="s">
        <v>53</v>
      </c>
      <c r="B1296" s="71">
        <v>35426</v>
      </c>
      <c r="C1296" t="s">
        <v>49</v>
      </c>
      <c r="D1296">
        <v>583.79999999999995</v>
      </c>
    </row>
    <row r="1297" spans="1:4">
      <c r="A1297" t="s">
        <v>53</v>
      </c>
      <c r="B1297" s="71">
        <v>35465</v>
      </c>
      <c r="C1297" t="s">
        <v>50</v>
      </c>
      <c r="D1297">
        <v>278</v>
      </c>
    </row>
    <row r="1298" spans="1:4">
      <c r="A1298" t="s">
        <v>53</v>
      </c>
      <c r="B1298" s="71">
        <v>35488</v>
      </c>
      <c r="C1298" t="s">
        <v>42</v>
      </c>
      <c r="D1298">
        <v>1112</v>
      </c>
    </row>
    <row r="1299" spans="1:4">
      <c r="A1299" t="s">
        <v>53</v>
      </c>
      <c r="B1299" s="71">
        <v>35524</v>
      </c>
      <c r="C1299" t="s">
        <v>52</v>
      </c>
      <c r="D1299">
        <v>695</v>
      </c>
    </row>
    <row r="1300" spans="1:4">
      <c r="A1300" t="s">
        <v>53</v>
      </c>
      <c r="B1300" s="71">
        <v>35556</v>
      </c>
      <c r="C1300" t="s">
        <v>37</v>
      </c>
      <c r="D1300">
        <v>313.2</v>
      </c>
    </row>
    <row r="1301" spans="1:4">
      <c r="A1301" t="s">
        <v>53</v>
      </c>
      <c r="B1301" s="71">
        <v>35562</v>
      </c>
      <c r="C1301" t="s">
        <v>50</v>
      </c>
      <c r="D1301">
        <v>835.2</v>
      </c>
    </row>
    <row r="1302" spans="1:4">
      <c r="A1302" t="s">
        <v>53</v>
      </c>
      <c r="B1302" s="71">
        <v>35564</v>
      </c>
      <c r="C1302" t="s">
        <v>49</v>
      </c>
      <c r="D1302">
        <v>730.8</v>
      </c>
    </row>
    <row r="1303" spans="1:4">
      <c r="A1303" t="s">
        <v>53</v>
      </c>
      <c r="B1303" s="71">
        <v>35565</v>
      </c>
      <c r="C1303" t="s">
        <v>48</v>
      </c>
      <c r="D1303">
        <v>34.799999999999997</v>
      </c>
    </row>
    <row r="1304" spans="1:4">
      <c r="A1304" t="s">
        <v>53</v>
      </c>
      <c r="B1304" s="71">
        <v>35584</v>
      </c>
      <c r="C1304" t="s">
        <v>51</v>
      </c>
      <c r="D1304">
        <v>835.2</v>
      </c>
    </row>
    <row r="1305" spans="1:4">
      <c r="A1305" t="s">
        <v>53</v>
      </c>
      <c r="B1305" s="71">
        <v>35601</v>
      </c>
      <c r="C1305" t="s">
        <v>30</v>
      </c>
      <c r="D1305">
        <v>1044</v>
      </c>
    </row>
    <row r="1306" spans="1:4">
      <c r="A1306" t="s">
        <v>53</v>
      </c>
      <c r="B1306" s="71">
        <v>35633</v>
      </c>
      <c r="C1306" t="s">
        <v>30</v>
      </c>
      <c r="D1306">
        <v>417.6</v>
      </c>
    </row>
    <row r="1307" spans="1:4">
      <c r="A1307" t="s">
        <v>53</v>
      </c>
      <c r="B1307" s="71">
        <v>35662</v>
      </c>
      <c r="C1307" t="s">
        <v>45</v>
      </c>
      <c r="D1307">
        <v>2088</v>
      </c>
    </row>
    <row r="1308" spans="1:4">
      <c r="A1308" t="s">
        <v>53</v>
      </c>
      <c r="B1308" s="71">
        <v>35670</v>
      </c>
      <c r="C1308" t="s">
        <v>30</v>
      </c>
      <c r="D1308">
        <v>522</v>
      </c>
    </row>
    <row r="1309" spans="1:4">
      <c r="A1309" t="s">
        <v>53</v>
      </c>
      <c r="B1309" s="71">
        <v>35748</v>
      </c>
      <c r="C1309" t="s">
        <v>45</v>
      </c>
      <c r="D1309">
        <v>1218</v>
      </c>
    </row>
    <row r="1310" spans="1:4">
      <c r="A1310" t="s">
        <v>53</v>
      </c>
      <c r="B1310" s="71">
        <v>35752</v>
      </c>
      <c r="C1310" t="s">
        <v>48</v>
      </c>
      <c r="D1310">
        <v>243.6</v>
      </c>
    </row>
    <row r="1311" spans="1:4">
      <c r="A1311" t="s">
        <v>53</v>
      </c>
      <c r="B1311" s="71">
        <v>35782</v>
      </c>
      <c r="C1311" t="s">
        <v>42</v>
      </c>
      <c r="D1311">
        <v>887.39999377727509</v>
      </c>
    </row>
    <row r="1312" spans="1:4">
      <c r="A1312" t="s">
        <v>53</v>
      </c>
      <c r="B1312" s="71">
        <v>35790</v>
      </c>
      <c r="C1312" t="s">
        <v>51</v>
      </c>
      <c r="D1312">
        <v>348</v>
      </c>
    </row>
    <row r="1313" spans="1:4">
      <c r="A1313" t="s">
        <v>53</v>
      </c>
      <c r="B1313" s="71">
        <v>35797</v>
      </c>
      <c r="C1313" t="s">
        <v>30</v>
      </c>
      <c r="D1313">
        <v>1252.7999979257584</v>
      </c>
    </row>
    <row r="1314" spans="1:4">
      <c r="A1314" t="s">
        <v>53</v>
      </c>
      <c r="B1314" s="71">
        <v>35814</v>
      </c>
      <c r="C1314" t="s">
        <v>45</v>
      </c>
      <c r="D1314">
        <v>469.79999922215939</v>
      </c>
    </row>
    <row r="1315" spans="1:4">
      <c r="A1315" t="s">
        <v>53</v>
      </c>
      <c r="B1315" s="71">
        <v>35858</v>
      </c>
      <c r="C1315" t="s">
        <v>42</v>
      </c>
      <c r="D1315">
        <v>348</v>
      </c>
    </row>
    <row r="1316" spans="1:4">
      <c r="A1316" t="s">
        <v>53</v>
      </c>
      <c r="B1316" s="71">
        <v>35860</v>
      </c>
      <c r="C1316" t="s">
        <v>50</v>
      </c>
      <c r="D1316">
        <v>556.79999999999995</v>
      </c>
    </row>
    <row r="1317" spans="1:4">
      <c r="A1317" t="s">
        <v>53</v>
      </c>
      <c r="B1317" s="71">
        <v>35865</v>
      </c>
      <c r="C1317" t="s">
        <v>52</v>
      </c>
      <c r="D1317">
        <v>1740</v>
      </c>
    </row>
    <row r="1318" spans="1:4">
      <c r="A1318" t="s">
        <v>53</v>
      </c>
      <c r="B1318" s="71">
        <v>35872</v>
      </c>
      <c r="C1318" t="s">
        <v>52</v>
      </c>
      <c r="D1318">
        <v>174</v>
      </c>
    </row>
    <row r="1319" spans="1:4">
      <c r="A1319" t="s">
        <v>53</v>
      </c>
      <c r="B1319" s="71">
        <v>35885</v>
      </c>
      <c r="C1319" t="s">
        <v>50</v>
      </c>
      <c r="D1319">
        <v>696</v>
      </c>
    </row>
    <row r="1320" spans="1:4">
      <c r="A1320" t="s">
        <v>53</v>
      </c>
      <c r="B1320" s="71">
        <v>35886</v>
      </c>
      <c r="C1320" t="s">
        <v>49</v>
      </c>
      <c r="D1320">
        <v>69.599999999999994</v>
      </c>
    </row>
    <row r="1321" spans="1:4">
      <c r="A1321" t="s">
        <v>53</v>
      </c>
      <c r="B1321" s="71">
        <v>35899</v>
      </c>
      <c r="C1321" t="s">
        <v>45</v>
      </c>
      <c r="D1321">
        <v>1218</v>
      </c>
    </row>
    <row r="1322" spans="1:4">
      <c r="A1322" t="s">
        <v>105</v>
      </c>
      <c r="B1322" s="71">
        <v>35254</v>
      </c>
      <c r="C1322" t="s">
        <v>45</v>
      </c>
      <c r="D1322">
        <v>95.759999924898139</v>
      </c>
    </row>
    <row r="1323" spans="1:4">
      <c r="A1323" t="s">
        <v>105</v>
      </c>
      <c r="B1323" s="71">
        <v>35465</v>
      </c>
      <c r="C1323" t="s">
        <v>50</v>
      </c>
      <c r="D1323">
        <v>201.6</v>
      </c>
    </row>
    <row r="1324" spans="1:4">
      <c r="A1324" t="s">
        <v>105</v>
      </c>
      <c r="B1324" s="71">
        <v>35580</v>
      </c>
      <c r="C1324" t="s">
        <v>51</v>
      </c>
      <c r="D1324">
        <v>504</v>
      </c>
    </row>
    <row r="1325" spans="1:4">
      <c r="A1325" t="s">
        <v>105</v>
      </c>
      <c r="B1325" s="71">
        <v>35629</v>
      </c>
      <c r="C1325" t="s">
        <v>50</v>
      </c>
      <c r="D1325">
        <v>1008</v>
      </c>
    </row>
    <row r="1326" spans="1:4">
      <c r="A1326" t="s">
        <v>105</v>
      </c>
      <c r="B1326" s="71">
        <v>35646</v>
      </c>
      <c r="C1326" t="s">
        <v>45</v>
      </c>
      <c r="D1326">
        <v>840</v>
      </c>
    </row>
    <row r="1327" spans="1:4">
      <c r="A1327" t="s">
        <v>105</v>
      </c>
      <c r="B1327" s="71">
        <v>35660</v>
      </c>
      <c r="C1327" t="s">
        <v>50</v>
      </c>
      <c r="D1327">
        <v>840</v>
      </c>
    </row>
    <row r="1328" spans="1:4">
      <c r="A1328" t="s">
        <v>105</v>
      </c>
      <c r="B1328" s="71">
        <v>35670</v>
      </c>
      <c r="C1328" t="s">
        <v>30</v>
      </c>
      <c r="D1328">
        <v>315</v>
      </c>
    </row>
    <row r="1329" spans="1:4">
      <c r="A1329" t="s">
        <v>105</v>
      </c>
      <c r="B1329" s="71">
        <v>35674</v>
      </c>
      <c r="C1329" t="s">
        <v>50</v>
      </c>
      <c r="D1329">
        <v>315</v>
      </c>
    </row>
    <row r="1330" spans="1:4">
      <c r="A1330" t="s">
        <v>105</v>
      </c>
      <c r="B1330" s="71">
        <v>35767</v>
      </c>
      <c r="C1330" t="s">
        <v>45</v>
      </c>
      <c r="D1330">
        <v>126</v>
      </c>
    </row>
    <row r="1331" spans="1:4">
      <c r="A1331" t="s">
        <v>105</v>
      </c>
      <c r="B1331" s="71">
        <v>35772</v>
      </c>
      <c r="C1331" t="s">
        <v>45</v>
      </c>
      <c r="D1331">
        <v>84</v>
      </c>
    </row>
    <row r="1332" spans="1:4">
      <c r="A1332" t="s">
        <v>105</v>
      </c>
      <c r="B1332" s="71">
        <v>35811</v>
      </c>
      <c r="C1332" t="s">
        <v>52</v>
      </c>
      <c r="D1332">
        <v>1092</v>
      </c>
    </row>
    <row r="1333" spans="1:4">
      <c r="A1333" t="s">
        <v>105</v>
      </c>
      <c r="B1333" s="71">
        <v>35816</v>
      </c>
      <c r="C1333" t="s">
        <v>50</v>
      </c>
      <c r="D1333">
        <v>735</v>
      </c>
    </row>
    <row r="1334" spans="1:4">
      <c r="A1334" t="s">
        <v>105</v>
      </c>
      <c r="B1334" s="71">
        <v>35865</v>
      </c>
      <c r="C1334" t="s">
        <v>42</v>
      </c>
      <c r="D1334">
        <v>441</v>
      </c>
    </row>
    <row r="1335" spans="1:4">
      <c r="A1335" t="s">
        <v>105</v>
      </c>
      <c r="B1335" s="71">
        <v>35891</v>
      </c>
      <c r="C1335" t="s">
        <v>51</v>
      </c>
      <c r="D1335">
        <v>525</v>
      </c>
    </row>
    <row r="1336" spans="1:4">
      <c r="A1336" t="s">
        <v>105</v>
      </c>
      <c r="B1336" s="71">
        <v>35362</v>
      </c>
      <c r="C1336" t="s">
        <v>42</v>
      </c>
      <c r="D1336">
        <v>288</v>
      </c>
    </row>
    <row r="1337" spans="1:4">
      <c r="A1337" t="s">
        <v>105</v>
      </c>
      <c r="B1337" s="71">
        <v>35376</v>
      </c>
      <c r="C1337" t="s">
        <v>42</v>
      </c>
      <c r="D1337">
        <v>180</v>
      </c>
    </row>
    <row r="1338" spans="1:4">
      <c r="A1338" t="s">
        <v>105</v>
      </c>
      <c r="B1338" s="71">
        <v>35426</v>
      </c>
      <c r="C1338" t="s">
        <v>49</v>
      </c>
      <c r="D1338">
        <v>288</v>
      </c>
    </row>
    <row r="1339" spans="1:4">
      <c r="A1339" t="s">
        <v>105</v>
      </c>
      <c r="B1339" s="71">
        <v>35432</v>
      </c>
      <c r="C1339" t="s">
        <v>50</v>
      </c>
      <c r="D1339">
        <v>432</v>
      </c>
    </row>
    <row r="1340" spans="1:4">
      <c r="A1340" t="s">
        <v>105</v>
      </c>
      <c r="B1340" s="71">
        <v>35492</v>
      </c>
      <c r="C1340" t="s">
        <v>51</v>
      </c>
      <c r="D1340">
        <v>151.19999999999999</v>
      </c>
    </row>
    <row r="1341" spans="1:4">
      <c r="A1341" t="s">
        <v>105</v>
      </c>
      <c r="B1341" s="71">
        <v>35500</v>
      </c>
      <c r="C1341" t="s">
        <v>42</v>
      </c>
      <c r="D1341">
        <v>108</v>
      </c>
    </row>
    <row r="1342" spans="1:4">
      <c r="A1342" t="s">
        <v>105</v>
      </c>
      <c r="B1342" s="71">
        <v>35523</v>
      </c>
      <c r="C1342" t="s">
        <v>45</v>
      </c>
      <c r="D1342">
        <v>72</v>
      </c>
    </row>
    <row r="1343" spans="1:4">
      <c r="A1343" t="s">
        <v>105</v>
      </c>
      <c r="B1343" s="71">
        <v>35571</v>
      </c>
      <c r="C1343" t="s">
        <v>50</v>
      </c>
      <c r="D1343">
        <v>535.49999624490738</v>
      </c>
    </row>
    <row r="1344" spans="1:4">
      <c r="A1344" t="s">
        <v>105</v>
      </c>
      <c r="B1344" s="71">
        <v>35580</v>
      </c>
      <c r="C1344" t="s">
        <v>42</v>
      </c>
      <c r="D1344">
        <v>170.99999986588955</v>
      </c>
    </row>
    <row r="1345" spans="1:4">
      <c r="A1345" t="s">
        <v>105</v>
      </c>
      <c r="B1345" s="71">
        <v>35647</v>
      </c>
      <c r="C1345" t="s">
        <v>42</v>
      </c>
      <c r="D1345">
        <v>90</v>
      </c>
    </row>
    <row r="1346" spans="1:4">
      <c r="A1346" t="s">
        <v>105</v>
      </c>
      <c r="B1346" s="71">
        <v>35689</v>
      </c>
      <c r="C1346" t="s">
        <v>42</v>
      </c>
      <c r="D1346">
        <v>288</v>
      </c>
    </row>
    <row r="1347" spans="1:4">
      <c r="A1347" t="s">
        <v>105</v>
      </c>
      <c r="B1347" s="71">
        <v>35691</v>
      </c>
      <c r="C1347" t="s">
        <v>42</v>
      </c>
      <c r="D1347">
        <v>45</v>
      </c>
    </row>
    <row r="1348" spans="1:4">
      <c r="A1348" t="s">
        <v>105</v>
      </c>
      <c r="B1348" s="71">
        <v>35754</v>
      </c>
      <c r="C1348" t="s">
        <v>45</v>
      </c>
      <c r="D1348">
        <v>396</v>
      </c>
    </row>
    <row r="1349" spans="1:4">
      <c r="A1349" t="s">
        <v>105</v>
      </c>
      <c r="B1349" s="71">
        <v>35797</v>
      </c>
      <c r="C1349" t="s">
        <v>50</v>
      </c>
      <c r="D1349">
        <v>162</v>
      </c>
    </row>
    <row r="1350" spans="1:4">
      <c r="A1350" t="s">
        <v>105</v>
      </c>
      <c r="B1350" s="71">
        <v>35816</v>
      </c>
      <c r="C1350" t="s">
        <v>50</v>
      </c>
      <c r="D1350">
        <v>566.99999906122684</v>
      </c>
    </row>
    <row r="1351" spans="1:4">
      <c r="A1351" t="s">
        <v>105</v>
      </c>
      <c r="B1351" s="71">
        <v>35830</v>
      </c>
      <c r="C1351" t="s">
        <v>30</v>
      </c>
      <c r="D1351">
        <v>450</v>
      </c>
    </row>
    <row r="1352" spans="1:4">
      <c r="A1352" t="s">
        <v>105</v>
      </c>
      <c r="B1352" s="71">
        <v>35836</v>
      </c>
      <c r="C1352" t="s">
        <v>52</v>
      </c>
      <c r="D1352">
        <v>215.9999991953373</v>
      </c>
    </row>
    <row r="1353" spans="1:4">
      <c r="A1353" t="s">
        <v>105</v>
      </c>
      <c r="B1353" s="71">
        <v>35863</v>
      </c>
      <c r="C1353" t="s">
        <v>42</v>
      </c>
      <c r="D1353">
        <v>54</v>
      </c>
    </row>
    <row r="1354" spans="1:4">
      <c r="A1354" t="s">
        <v>105</v>
      </c>
      <c r="B1354" s="71">
        <v>35894</v>
      </c>
      <c r="C1354" t="s">
        <v>51</v>
      </c>
      <c r="D1354">
        <v>90</v>
      </c>
    </row>
    <row r="1355" spans="1:4">
      <c r="A1355" t="s">
        <v>105</v>
      </c>
      <c r="B1355" s="71">
        <v>35921</v>
      </c>
      <c r="C1355" t="s">
        <v>49</v>
      </c>
      <c r="D1355">
        <v>18</v>
      </c>
    </row>
    <row r="1356" spans="1:4">
      <c r="A1356" t="s">
        <v>105</v>
      </c>
      <c r="B1356" s="71">
        <v>35250</v>
      </c>
      <c r="C1356" t="s">
        <v>30</v>
      </c>
      <c r="D1356">
        <v>98</v>
      </c>
    </row>
    <row r="1357" spans="1:4">
      <c r="A1357" t="s">
        <v>105</v>
      </c>
      <c r="B1357" s="71">
        <v>35327</v>
      </c>
      <c r="C1357" t="s">
        <v>45</v>
      </c>
      <c r="D1357">
        <v>22.4</v>
      </c>
    </row>
    <row r="1358" spans="1:4">
      <c r="A1358" t="s">
        <v>105</v>
      </c>
      <c r="B1358" s="71">
        <v>35328</v>
      </c>
      <c r="C1358" t="s">
        <v>49</v>
      </c>
      <c r="D1358">
        <v>67.2</v>
      </c>
    </row>
    <row r="1359" spans="1:4">
      <c r="A1359" t="s">
        <v>105</v>
      </c>
      <c r="B1359" s="71">
        <v>35355</v>
      </c>
      <c r="C1359" t="s">
        <v>45</v>
      </c>
      <c r="D1359">
        <v>89.599999666213989</v>
      </c>
    </row>
    <row r="1360" spans="1:4">
      <c r="A1360" t="s">
        <v>105</v>
      </c>
      <c r="B1360" s="71">
        <v>35373</v>
      </c>
      <c r="C1360" t="s">
        <v>51</v>
      </c>
      <c r="D1360">
        <v>100.8</v>
      </c>
    </row>
    <row r="1361" spans="1:4">
      <c r="A1361" t="s">
        <v>105</v>
      </c>
      <c r="B1361" s="71">
        <v>35433</v>
      </c>
      <c r="C1361" t="s">
        <v>51</v>
      </c>
      <c r="D1361">
        <v>425.59999966621399</v>
      </c>
    </row>
    <row r="1362" spans="1:4">
      <c r="A1362" t="s">
        <v>105</v>
      </c>
      <c r="B1362" s="71">
        <v>35493</v>
      </c>
      <c r="C1362" t="s">
        <v>30</v>
      </c>
      <c r="D1362">
        <v>560</v>
      </c>
    </row>
    <row r="1363" spans="1:4">
      <c r="A1363" t="s">
        <v>105</v>
      </c>
      <c r="B1363" s="71">
        <v>35521</v>
      </c>
      <c r="C1363" t="s">
        <v>45</v>
      </c>
      <c r="D1363">
        <v>212.79999983310699</v>
      </c>
    </row>
    <row r="1364" spans="1:4">
      <c r="A1364" t="s">
        <v>105</v>
      </c>
      <c r="B1364" s="71">
        <v>35527</v>
      </c>
      <c r="C1364" t="s">
        <v>50</v>
      </c>
      <c r="D1364">
        <v>420</v>
      </c>
    </row>
    <row r="1365" spans="1:4">
      <c r="A1365" t="s">
        <v>105</v>
      </c>
      <c r="B1365" s="71">
        <v>35544</v>
      </c>
      <c r="C1365" t="s">
        <v>51</v>
      </c>
      <c r="D1365">
        <v>280</v>
      </c>
    </row>
    <row r="1366" spans="1:4">
      <c r="A1366" t="s">
        <v>105</v>
      </c>
      <c r="B1366" s="71">
        <v>35598</v>
      </c>
      <c r="C1366" t="s">
        <v>50</v>
      </c>
      <c r="D1366">
        <v>333.19999766349792</v>
      </c>
    </row>
    <row r="1367" spans="1:4">
      <c r="A1367" t="s">
        <v>105</v>
      </c>
      <c r="B1367" s="71">
        <v>35614</v>
      </c>
      <c r="C1367" t="s">
        <v>51</v>
      </c>
      <c r="D1367">
        <v>1119.9999958276749</v>
      </c>
    </row>
    <row r="1368" spans="1:4">
      <c r="A1368" t="s">
        <v>105</v>
      </c>
      <c r="B1368" s="71">
        <v>35650</v>
      </c>
      <c r="C1368" t="s">
        <v>45</v>
      </c>
      <c r="D1368">
        <v>70</v>
      </c>
    </row>
    <row r="1369" spans="1:4">
      <c r="A1369" t="s">
        <v>105</v>
      </c>
      <c r="B1369" s="71">
        <v>35674</v>
      </c>
      <c r="C1369" t="s">
        <v>42</v>
      </c>
      <c r="D1369">
        <v>280</v>
      </c>
    </row>
    <row r="1370" spans="1:4">
      <c r="A1370" t="s">
        <v>105</v>
      </c>
      <c r="B1370" s="71">
        <v>35683</v>
      </c>
      <c r="C1370" t="s">
        <v>51</v>
      </c>
      <c r="D1370">
        <v>398.99999968707561</v>
      </c>
    </row>
    <row r="1371" spans="1:4">
      <c r="A1371" t="s">
        <v>105</v>
      </c>
      <c r="B1371" s="71">
        <v>35691</v>
      </c>
      <c r="C1371" t="s">
        <v>51</v>
      </c>
      <c r="D1371">
        <v>84</v>
      </c>
    </row>
    <row r="1372" spans="1:4">
      <c r="A1372" t="s">
        <v>105</v>
      </c>
      <c r="B1372" s="71">
        <v>35697</v>
      </c>
      <c r="C1372" t="s">
        <v>49</v>
      </c>
      <c r="D1372">
        <v>420</v>
      </c>
    </row>
    <row r="1373" spans="1:4">
      <c r="A1373" t="s">
        <v>105</v>
      </c>
      <c r="B1373" s="71">
        <v>35753</v>
      </c>
      <c r="C1373" t="s">
        <v>49</v>
      </c>
      <c r="D1373">
        <v>392</v>
      </c>
    </row>
    <row r="1374" spans="1:4">
      <c r="A1374" t="s">
        <v>105</v>
      </c>
      <c r="B1374" s="71">
        <v>35769</v>
      </c>
      <c r="C1374" t="s">
        <v>42</v>
      </c>
      <c r="D1374">
        <v>28</v>
      </c>
    </row>
    <row r="1375" spans="1:4">
      <c r="A1375" t="s">
        <v>105</v>
      </c>
      <c r="B1375" s="71">
        <v>35779</v>
      </c>
      <c r="C1375" t="s">
        <v>49</v>
      </c>
      <c r="D1375">
        <v>159.59999987483025</v>
      </c>
    </row>
    <row r="1376" spans="1:4">
      <c r="A1376" t="s">
        <v>105</v>
      </c>
      <c r="B1376" s="71">
        <v>35779</v>
      </c>
      <c r="C1376" t="s">
        <v>52</v>
      </c>
      <c r="D1376">
        <v>223.99999916553497</v>
      </c>
    </row>
    <row r="1377" spans="1:4">
      <c r="A1377" t="s">
        <v>105</v>
      </c>
      <c r="B1377" s="71">
        <v>35816</v>
      </c>
      <c r="C1377" t="s">
        <v>50</v>
      </c>
      <c r="D1377">
        <v>529.19999912381172</v>
      </c>
    </row>
    <row r="1378" spans="1:4">
      <c r="A1378" t="s">
        <v>105</v>
      </c>
      <c r="B1378" s="71">
        <v>35823</v>
      </c>
      <c r="C1378" t="s">
        <v>45</v>
      </c>
      <c r="D1378">
        <v>280</v>
      </c>
    </row>
    <row r="1379" spans="1:4">
      <c r="A1379" t="s">
        <v>105</v>
      </c>
      <c r="B1379" s="71">
        <v>35837</v>
      </c>
      <c r="C1379" t="s">
        <v>42</v>
      </c>
      <c r="D1379">
        <v>350</v>
      </c>
    </row>
    <row r="1380" spans="1:4">
      <c r="A1380" t="s">
        <v>105</v>
      </c>
      <c r="B1380" s="71">
        <v>35857</v>
      </c>
      <c r="C1380" t="s">
        <v>52</v>
      </c>
      <c r="D1380">
        <v>111.99999958276749</v>
      </c>
    </row>
    <row r="1381" spans="1:4">
      <c r="A1381" t="s">
        <v>105</v>
      </c>
      <c r="B1381" s="71">
        <v>35887</v>
      </c>
      <c r="C1381" t="s">
        <v>42</v>
      </c>
      <c r="D1381">
        <v>560</v>
      </c>
    </row>
    <row r="1382" spans="1:4">
      <c r="A1382" t="s">
        <v>105</v>
      </c>
      <c r="B1382" s="71">
        <v>35891</v>
      </c>
      <c r="C1382" t="s">
        <v>42</v>
      </c>
      <c r="D1382">
        <v>285.59999799728394</v>
      </c>
    </row>
    <row r="1383" spans="1:4">
      <c r="A1383" t="s">
        <v>105</v>
      </c>
      <c r="B1383" s="71">
        <v>35893</v>
      </c>
      <c r="C1383" t="s">
        <v>50</v>
      </c>
      <c r="D1383">
        <v>196</v>
      </c>
    </row>
    <row r="1384" spans="1:4">
      <c r="A1384" t="s">
        <v>105</v>
      </c>
      <c r="B1384" s="71">
        <v>35894</v>
      </c>
      <c r="C1384" t="s">
        <v>51</v>
      </c>
      <c r="D1384">
        <v>56</v>
      </c>
    </row>
    <row r="1385" spans="1:4">
      <c r="A1385" t="s">
        <v>105</v>
      </c>
      <c r="B1385" s="71">
        <v>35905</v>
      </c>
      <c r="C1385" t="s">
        <v>51</v>
      </c>
      <c r="D1385">
        <v>420</v>
      </c>
    </row>
    <row r="1386" spans="1:4">
      <c r="A1386" t="s">
        <v>105</v>
      </c>
      <c r="B1386" s="71">
        <v>35342</v>
      </c>
      <c r="C1386" t="s">
        <v>52</v>
      </c>
      <c r="D1386">
        <v>112</v>
      </c>
    </row>
    <row r="1387" spans="1:4">
      <c r="A1387" t="s">
        <v>105</v>
      </c>
      <c r="B1387" s="71">
        <v>35359</v>
      </c>
      <c r="C1387" t="s">
        <v>50</v>
      </c>
      <c r="D1387">
        <v>44.8</v>
      </c>
    </row>
    <row r="1388" spans="1:4">
      <c r="A1388" t="s">
        <v>105</v>
      </c>
      <c r="B1388" s="71">
        <v>35418</v>
      </c>
      <c r="C1388" t="s">
        <v>51</v>
      </c>
      <c r="D1388">
        <v>89.599999666213989</v>
      </c>
    </row>
    <row r="1389" spans="1:4">
      <c r="A1389" t="s">
        <v>105</v>
      </c>
      <c r="B1389" s="71">
        <v>35475</v>
      </c>
      <c r="C1389" t="s">
        <v>37</v>
      </c>
      <c r="D1389">
        <v>75.599999874830246</v>
      </c>
    </row>
    <row r="1390" spans="1:4">
      <c r="A1390" t="s">
        <v>105</v>
      </c>
      <c r="B1390" s="71">
        <v>35479</v>
      </c>
      <c r="C1390" t="s">
        <v>45</v>
      </c>
      <c r="D1390">
        <v>112</v>
      </c>
    </row>
    <row r="1391" spans="1:4">
      <c r="A1391" t="s">
        <v>105</v>
      </c>
      <c r="B1391" s="71">
        <v>35544</v>
      </c>
      <c r="C1391" t="s">
        <v>45</v>
      </c>
      <c r="D1391">
        <v>42</v>
      </c>
    </row>
    <row r="1392" spans="1:4">
      <c r="A1392" t="s">
        <v>105</v>
      </c>
      <c r="B1392" s="71">
        <v>35585</v>
      </c>
      <c r="C1392" t="s">
        <v>49</v>
      </c>
      <c r="D1392">
        <v>210</v>
      </c>
    </row>
    <row r="1393" spans="1:4">
      <c r="A1393" t="s">
        <v>105</v>
      </c>
      <c r="B1393" s="71">
        <v>35591</v>
      </c>
      <c r="C1393" t="s">
        <v>51</v>
      </c>
      <c r="D1393">
        <v>490</v>
      </c>
    </row>
    <row r="1394" spans="1:4">
      <c r="A1394" t="s">
        <v>105</v>
      </c>
      <c r="B1394" s="71">
        <v>35613</v>
      </c>
      <c r="C1394" t="s">
        <v>48</v>
      </c>
      <c r="D1394">
        <v>23.799999833106995</v>
      </c>
    </row>
    <row r="1395" spans="1:4">
      <c r="A1395" t="s">
        <v>105</v>
      </c>
      <c r="B1395" s="71">
        <v>35620</v>
      </c>
      <c r="C1395" t="s">
        <v>45</v>
      </c>
      <c r="D1395">
        <v>168</v>
      </c>
    </row>
    <row r="1396" spans="1:4">
      <c r="A1396" t="s">
        <v>105</v>
      </c>
      <c r="B1396" s="71">
        <v>35647</v>
      </c>
      <c r="C1396" t="s">
        <v>51</v>
      </c>
      <c r="D1396">
        <v>35</v>
      </c>
    </row>
    <row r="1397" spans="1:4">
      <c r="A1397" t="s">
        <v>105</v>
      </c>
      <c r="B1397" s="71">
        <v>35699</v>
      </c>
      <c r="C1397" t="s">
        <v>51</v>
      </c>
      <c r="D1397">
        <v>63</v>
      </c>
    </row>
    <row r="1398" spans="1:4">
      <c r="A1398" t="s">
        <v>105</v>
      </c>
      <c r="B1398" s="71">
        <v>35734</v>
      </c>
      <c r="C1398" t="s">
        <v>42</v>
      </c>
      <c r="D1398">
        <v>28</v>
      </c>
    </row>
    <row r="1399" spans="1:4">
      <c r="A1399" t="s">
        <v>105</v>
      </c>
      <c r="B1399" s="71">
        <v>35741</v>
      </c>
      <c r="C1399" t="s">
        <v>49</v>
      </c>
      <c r="D1399">
        <v>175</v>
      </c>
    </row>
    <row r="1400" spans="1:4">
      <c r="A1400" t="s">
        <v>105</v>
      </c>
      <c r="B1400" s="71">
        <v>35746</v>
      </c>
      <c r="C1400" t="s">
        <v>45</v>
      </c>
      <c r="D1400">
        <v>126</v>
      </c>
    </row>
    <row r="1401" spans="1:4">
      <c r="A1401" t="s">
        <v>105</v>
      </c>
      <c r="B1401" s="71">
        <v>35762</v>
      </c>
      <c r="C1401" t="s">
        <v>45</v>
      </c>
      <c r="D1401">
        <v>420</v>
      </c>
    </row>
    <row r="1402" spans="1:4">
      <c r="A1402" t="s">
        <v>105</v>
      </c>
      <c r="B1402" s="71">
        <v>35772</v>
      </c>
      <c r="C1402" t="s">
        <v>45</v>
      </c>
      <c r="D1402">
        <v>99.749999921768904</v>
      </c>
    </row>
    <row r="1403" spans="1:4">
      <c r="A1403" t="s">
        <v>105</v>
      </c>
      <c r="B1403" s="71">
        <v>35788</v>
      </c>
      <c r="C1403" t="s">
        <v>45</v>
      </c>
      <c r="D1403">
        <v>56</v>
      </c>
    </row>
    <row r="1404" spans="1:4">
      <c r="A1404" t="s">
        <v>105</v>
      </c>
      <c r="B1404" s="71">
        <v>35796</v>
      </c>
      <c r="C1404" t="s">
        <v>52</v>
      </c>
      <c r="D1404">
        <v>140</v>
      </c>
    </row>
    <row r="1405" spans="1:4">
      <c r="A1405" t="s">
        <v>105</v>
      </c>
      <c r="B1405" s="71">
        <v>35825</v>
      </c>
      <c r="C1405" t="s">
        <v>50</v>
      </c>
      <c r="D1405">
        <v>56</v>
      </c>
    </row>
    <row r="1406" spans="1:4">
      <c r="A1406" t="s">
        <v>105</v>
      </c>
      <c r="B1406" s="71">
        <v>35852</v>
      </c>
      <c r="C1406" t="s">
        <v>42</v>
      </c>
      <c r="D1406">
        <v>93.09999992698431</v>
      </c>
    </row>
    <row r="1407" spans="1:4">
      <c r="A1407" t="s">
        <v>105</v>
      </c>
      <c r="B1407" s="71">
        <v>35858</v>
      </c>
      <c r="C1407" t="s">
        <v>45</v>
      </c>
      <c r="D1407">
        <v>71.399999499320984</v>
      </c>
    </row>
    <row r="1408" spans="1:4">
      <c r="A1408" t="s">
        <v>105</v>
      </c>
      <c r="B1408" s="71">
        <v>35859</v>
      </c>
      <c r="C1408" t="s">
        <v>42</v>
      </c>
      <c r="D1408">
        <v>35</v>
      </c>
    </row>
    <row r="1409" spans="1:4">
      <c r="A1409" t="s">
        <v>105</v>
      </c>
      <c r="B1409" s="71">
        <v>35873</v>
      </c>
      <c r="C1409" t="s">
        <v>50</v>
      </c>
      <c r="D1409">
        <v>39.899999968707561</v>
      </c>
    </row>
    <row r="1410" spans="1:4">
      <c r="A1410" t="s">
        <v>105</v>
      </c>
      <c r="B1410" s="71">
        <v>35878</v>
      </c>
      <c r="C1410" t="s">
        <v>48</v>
      </c>
      <c r="D1410">
        <v>223.99999916553497</v>
      </c>
    </row>
    <row r="1411" spans="1:4">
      <c r="A1411" t="s">
        <v>105</v>
      </c>
      <c r="B1411" s="71">
        <v>35888</v>
      </c>
      <c r="C1411" t="s">
        <v>50</v>
      </c>
      <c r="D1411">
        <v>105</v>
      </c>
    </row>
    <row r="1412" spans="1:4">
      <c r="A1412" t="s">
        <v>105</v>
      </c>
      <c r="B1412" s="71">
        <v>35891</v>
      </c>
      <c r="C1412" t="s">
        <v>45</v>
      </c>
      <c r="D1412">
        <v>70</v>
      </c>
    </row>
    <row r="1413" spans="1:4">
      <c r="A1413" t="s">
        <v>105</v>
      </c>
      <c r="B1413" s="71">
        <v>35906</v>
      </c>
      <c r="C1413" t="s">
        <v>49</v>
      </c>
      <c r="D1413">
        <v>14</v>
      </c>
    </row>
    <row r="1414" spans="1:4">
      <c r="A1414" t="s">
        <v>105</v>
      </c>
      <c r="B1414" s="71">
        <v>35921</v>
      </c>
      <c r="C1414" t="s">
        <v>49</v>
      </c>
      <c r="D1414">
        <v>14</v>
      </c>
    </row>
    <row r="1415" spans="1:4">
      <c r="A1415" t="s">
        <v>105</v>
      </c>
      <c r="B1415" s="71">
        <v>35268</v>
      </c>
      <c r="C1415" t="s">
        <v>50</v>
      </c>
      <c r="D1415">
        <v>60.8</v>
      </c>
    </row>
    <row r="1416" spans="1:4">
      <c r="A1416" t="s">
        <v>105</v>
      </c>
      <c r="B1416" s="71">
        <v>35310</v>
      </c>
      <c r="C1416" t="s">
        <v>51</v>
      </c>
      <c r="D1416">
        <v>121.6</v>
      </c>
    </row>
    <row r="1417" spans="1:4">
      <c r="A1417" t="s">
        <v>105</v>
      </c>
      <c r="B1417" s="71">
        <v>35317</v>
      </c>
      <c r="C1417" t="s">
        <v>50</v>
      </c>
      <c r="D1417">
        <v>608</v>
      </c>
    </row>
    <row r="1418" spans="1:4">
      <c r="A1418" t="s">
        <v>105</v>
      </c>
      <c r="B1418" s="71">
        <v>35353</v>
      </c>
      <c r="C1418" t="s">
        <v>42</v>
      </c>
      <c r="D1418">
        <v>346.55999972820285</v>
      </c>
    </row>
    <row r="1419" spans="1:4">
      <c r="A1419" t="s">
        <v>105</v>
      </c>
      <c r="B1419" s="71">
        <v>35374</v>
      </c>
      <c r="C1419" t="s">
        <v>45</v>
      </c>
      <c r="D1419">
        <v>608</v>
      </c>
    </row>
    <row r="1420" spans="1:4">
      <c r="A1420" t="s">
        <v>105</v>
      </c>
      <c r="B1420" s="71">
        <v>35401</v>
      </c>
      <c r="C1420" t="s">
        <v>50</v>
      </c>
      <c r="D1420">
        <v>410.40000000000003</v>
      </c>
    </row>
    <row r="1421" spans="1:4">
      <c r="A1421" t="s">
        <v>105</v>
      </c>
      <c r="B1421" s="71">
        <v>35415</v>
      </c>
      <c r="C1421" t="s">
        <v>50</v>
      </c>
      <c r="D1421">
        <v>608</v>
      </c>
    </row>
    <row r="1422" spans="1:4">
      <c r="A1422" t="s">
        <v>105</v>
      </c>
      <c r="B1422" s="71">
        <v>35431</v>
      </c>
      <c r="C1422" t="s">
        <v>49</v>
      </c>
      <c r="D1422">
        <v>2128</v>
      </c>
    </row>
    <row r="1423" spans="1:4">
      <c r="A1423" t="s">
        <v>105</v>
      </c>
      <c r="B1423" s="71">
        <v>35457</v>
      </c>
      <c r="C1423" t="s">
        <v>42</v>
      </c>
      <c r="D1423">
        <v>152</v>
      </c>
    </row>
    <row r="1424" spans="1:4">
      <c r="A1424" t="s">
        <v>105</v>
      </c>
      <c r="B1424" s="71">
        <v>35460</v>
      </c>
      <c r="C1424" t="s">
        <v>42</v>
      </c>
      <c r="D1424">
        <v>912</v>
      </c>
    </row>
    <row r="1425" spans="1:4">
      <c r="A1425" t="s">
        <v>105</v>
      </c>
      <c r="B1425" s="71">
        <v>35464</v>
      </c>
      <c r="C1425" t="s">
        <v>45</v>
      </c>
      <c r="D1425">
        <v>851.2</v>
      </c>
    </row>
    <row r="1426" spans="1:4">
      <c r="A1426" t="s">
        <v>105</v>
      </c>
      <c r="B1426" s="71">
        <v>35466</v>
      </c>
      <c r="C1426" t="s">
        <v>45</v>
      </c>
      <c r="D1426">
        <v>1094.3999981880188</v>
      </c>
    </row>
    <row r="1427" spans="1:4">
      <c r="A1427" t="s">
        <v>105</v>
      </c>
      <c r="B1427" s="71">
        <v>35487</v>
      </c>
      <c r="C1427" t="s">
        <v>52</v>
      </c>
      <c r="D1427">
        <v>456</v>
      </c>
    </row>
    <row r="1428" spans="1:4">
      <c r="A1428" t="s">
        <v>105</v>
      </c>
      <c r="B1428" s="71">
        <v>35493</v>
      </c>
      <c r="C1428" t="s">
        <v>42</v>
      </c>
      <c r="D1428">
        <v>729.5999972820282</v>
      </c>
    </row>
    <row r="1429" spans="1:4">
      <c r="A1429" t="s">
        <v>105</v>
      </c>
      <c r="B1429" s="71">
        <v>35500</v>
      </c>
      <c r="C1429" t="s">
        <v>51</v>
      </c>
      <c r="D1429">
        <v>608</v>
      </c>
    </row>
    <row r="1430" spans="1:4">
      <c r="A1430" t="s">
        <v>105</v>
      </c>
      <c r="B1430" s="71">
        <v>35522</v>
      </c>
      <c r="C1430" t="s">
        <v>42</v>
      </c>
      <c r="D1430">
        <v>912</v>
      </c>
    </row>
    <row r="1431" spans="1:4">
      <c r="A1431" t="s">
        <v>105</v>
      </c>
      <c r="B1431" s="71">
        <v>35524</v>
      </c>
      <c r="C1431" t="s">
        <v>52</v>
      </c>
      <c r="D1431">
        <v>425.6</v>
      </c>
    </row>
    <row r="1432" spans="1:4">
      <c r="A1432" t="s">
        <v>105</v>
      </c>
      <c r="B1432" s="71">
        <v>35542</v>
      </c>
      <c r="C1432" t="s">
        <v>45</v>
      </c>
      <c r="D1432">
        <v>2660</v>
      </c>
    </row>
    <row r="1433" spans="1:4">
      <c r="A1433" t="s">
        <v>105</v>
      </c>
      <c r="B1433" s="71">
        <v>35548</v>
      </c>
      <c r="C1433" t="s">
        <v>37</v>
      </c>
      <c r="D1433">
        <v>1520</v>
      </c>
    </row>
    <row r="1434" spans="1:4">
      <c r="A1434" t="s">
        <v>105</v>
      </c>
      <c r="B1434" s="71">
        <v>35555</v>
      </c>
      <c r="C1434" t="s">
        <v>42</v>
      </c>
      <c r="D1434">
        <v>968.9999932050705</v>
      </c>
    </row>
    <row r="1435" spans="1:4">
      <c r="A1435" t="s">
        <v>105</v>
      </c>
      <c r="B1435" s="71">
        <v>35583</v>
      </c>
      <c r="C1435" t="s">
        <v>37</v>
      </c>
      <c r="D1435">
        <v>1215.999995470047</v>
      </c>
    </row>
    <row r="1436" spans="1:4">
      <c r="A1436" t="s">
        <v>105</v>
      </c>
      <c r="B1436" s="71">
        <v>35598</v>
      </c>
      <c r="C1436" t="s">
        <v>45</v>
      </c>
      <c r="D1436">
        <v>2165.9999983012676</v>
      </c>
    </row>
    <row r="1437" spans="1:4">
      <c r="A1437" t="s">
        <v>105</v>
      </c>
      <c r="B1437" s="71">
        <v>35622</v>
      </c>
      <c r="C1437" t="s">
        <v>50</v>
      </c>
      <c r="D1437">
        <v>151.99999943375587</v>
      </c>
    </row>
    <row r="1438" spans="1:4">
      <c r="A1438" t="s">
        <v>105</v>
      </c>
      <c r="B1438" s="71">
        <v>35634</v>
      </c>
      <c r="C1438" t="s">
        <v>42</v>
      </c>
      <c r="D1438">
        <v>1064</v>
      </c>
    </row>
    <row r="1439" spans="1:4">
      <c r="A1439" t="s">
        <v>105</v>
      </c>
      <c r="B1439" s="71">
        <v>35642</v>
      </c>
      <c r="C1439" t="s">
        <v>49</v>
      </c>
      <c r="D1439">
        <v>532</v>
      </c>
    </row>
    <row r="1440" spans="1:4">
      <c r="A1440" t="s">
        <v>105</v>
      </c>
      <c r="B1440" s="71">
        <v>35643</v>
      </c>
      <c r="C1440" t="s">
        <v>49</v>
      </c>
      <c r="D1440">
        <v>760</v>
      </c>
    </row>
    <row r="1441" spans="1:4">
      <c r="A1441" t="s">
        <v>105</v>
      </c>
      <c r="B1441" s="71">
        <v>35661</v>
      </c>
      <c r="C1441" t="s">
        <v>37</v>
      </c>
      <c r="D1441">
        <v>2165.9999983012676</v>
      </c>
    </row>
    <row r="1442" spans="1:4">
      <c r="A1442" t="s">
        <v>105</v>
      </c>
      <c r="B1442" s="71">
        <v>35677</v>
      </c>
      <c r="C1442" t="s">
        <v>51</v>
      </c>
      <c r="D1442">
        <v>1710</v>
      </c>
    </row>
    <row r="1443" spans="1:4">
      <c r="A1443" t="s">
        <v>105</v>
      </c>
      <c r="B1443" s="71">
        <v>35683</v>
      </c>
      <c r="C1443" t="s">
        <v>49</v>
      </c>
      <c r="D1443">
        <v>387.5999972820282</v>
      </c>
    </row>
    <row r="1444" spans="1:4">
      <c r="A1444" t="s">
        <v>105</v>
      </c>
      <c r="B1444" s="71">
        <v>35705</v>
      </c>
      <c r="C1444" t="s">
        <v>49</v>
      </c>
      <c r="D1444">
        <v>570</v>
      </c>
    </row>
    <row r="1445" spans="1:4">
      <c r="A1445" t="s">
        <v>105</v>
      </c>
      <c r="B1445" s="71">
        <v>35724</v>
      </c>
      <c r="C1445" t="s">
        <v>45</v>
      </c>
      <c r="D1445">
        <v>1140</v>
      </c>
    </row>
    <row r="1446" spans="1:4">
      <c r="A1446" t="s">
        <v>105</v>
      </c>
      <c r="B1446" s="71">
        <v>35725</v>
      </c>
      <c r="C1446" t="s">
        <v>30</v>
      </c>
      <c r="D1446">
        <v>513</v>
      </c>
    </row>
    <row r="1447" spans="1:4">
      <c r="A1447" t="s">
        <v>105</v>
      </c>
      <c r="B1447" s="71">
        <v>35737</v>
      </c>
      <c r="C1447" t="s">
        <v>51</v>
      </c>
      <c r="D1447">
        <v>360.99999971687794</v>
      </c>
    </row>
    <row r="1448" spans="1:4">
      <c r="A1448" t="s">
        <v>105</v>
      </c>
      <c r="B1448" s="71">
        <v>35747</v>
      </c>
      <c r="C1448" t="s">
        <v>42</v>
      </c>
      <c r="D1448">
        <v>425.59999841451645</v>
      </c>
    </row>
    <row r="1449" spans="1:4">
      <c r="A1449" t="s">
        <v>105</v>
      </c>
      <c r="B1449" s="71">
        <v>35754</v>
      </c>
      <c r="C1449" t="s">
        <v>45</v>
      </c>
      <c r="D1449">
        <v>1064</v>
      </c>
    </row>
    <row r="1450" spans="1:4">
      <c r="A1450" t="s">
        <v>105</v>
      </c>
      <c r="B1450" s="71">
        <v>35754</v>
      </c>
      <c r="C1450" t="s">
        <v>42</v>
      </c>
      <c r="D1450">
        <v>570</v>
      </c>
    </row>
    <row r="1451" spans="1:4">
      <c r="A1451" t="s">
        <v>105</v>
      </c>
      <c r="B1451" s="71">
        <v>35760</v>
      </c>
      <c r="C1451" t="s">
        <v>42</v>
      </c>
      <c r="D1451">
        <v>855</v>
      </c>
    </row>
    <row r="1452" spans="1:4">
      <c r="A1452" t="s">
        <v>105</v>
      </c>
      <c r="B1452" s="71">
        <v>35766</v>
      </c>
      <c r="C1452" t="s">
        <v>45</v>
      </c>
      <c r="D1452">
        <v>2280</v>
      </c>
    </row>
    <row r="1453" spans="1:4">
      <c r="A1453" t="s">
        <v>105</v>
      </c>
      <c r="B1453" s="71">
        <v>35781</v>
      </c>
      <c r="C1453" t="s">
        <v>51</v>
      </c>
      <c r="D1453">
        <v>607.9999977350235</v>
      </c>
    </row>
    <row r="1454" spans="1:4">
      <c r="A1454" t="s">
        <v>105</v>
      </c>
      <c r="B1454" s="71">
        <v>35786</v>
      </c>
      <c r="C1454" t="s">
        <v>37</v>
      </c>
      <c r="D1454">
        <v>645.999995470047</v>
      </c>
    </row>
    <row r="1455" spans="1:4">
      <c r="A1455" t="s">
        <v>105</v>
      </c>
      <c r="B1455" s="71">
        <v>35796</v>
      </c>
      <c r="C1455" t="s">
        <v>51</v>
      </c>
      <c r="D1455">
        <v>645.999995470047</v>
      </c>
    </row>
    <row r="1456" spans="1:4">
      <c r="A1456" t="s">
        <v>105</v>
      </c>
      <c r="B1456" s="71">
        <v>35802</v>
      </c>
      <c r="C1456" t="s">
        <v>45</v>
      </c>
      <c r="D1456">
        <v>1140</v>
      </c>
    </row>
    <row r="1457" spans="1:4">
      <c r="A1457" t="s">
        <v>105</v>
      </c>
      <c r="B1457" s="71">
        <v>35815</v>
      </c>
      <c r="C1457" t="s">
        <v>30</v>
      </c>
      <c r="D1457">
        <v>1140</v>
      </c>
    </row>
    <row r="1458" spans="1:4">
      <c r="A1458" t="s">
        <v>105</v>
      </c>
      <c r="B1458" s="71">
        <v>35822</v>
      </c>
      <c r="C1458" t="s">
        <v>45</v>
      </c>
      <c r="D1458">
        <v>912</v>
      </c>
    </row>
    <row r="1459" spans="1:4">
      <c r="A1459" t="s">
        <v>105</v>
      </c>
      <c r="B1459" s="71">
        <v>35838</v>
      </c>
      <c r="C1459" t="s">
        <v>42</v>
      </c>
      <c r="D1459">
        <v>758.09999940544367</v>
      </c>
    </row>
    <row r="1460" spans="1:4">
      <c r="A1460" t="s">
        <v>105</v>
      </c>
      <c r="B1460" s="71">
        <v>35845</v>
      </c>
      <c r="C1460" t="s">
        <v>52</v>
      </c>
      <c r="D1460">
        <v>608</v>
      </c>
    </row>
    <row r="1461" spans="1:4">
      <c r="A1461" t="s">
        <v>105</v>
      </c>
      <c r="B1461" s="71">
        <v>35866</v>
      </c>
      <c r="C1461" t="s">
        <v>37</v>
      </c>
      <c r="D1461">
        <v>684</v>
      </c>
    </row>
    <row r="1462" spans="1:4">
      <c r="A1462" t="s">
        <v>105</v>
      </c>
      <c r="B1462" s="71">
        <v>35870</v>
      </c>
      <c r="C1462" t="s">
        <v>49</v>
      </c>
      <c r="D1462">
        <v>38</v>
      </c>
    </row>
    <row r="1463" spans="1:4">
      <c r="A1463" t="s">
        <v>105</v>
      </c>
      <c r="B1463" s="71">
        <v>35874</v>
      </c>
      <c r="C1463" t="s">
        <v>42</v>
      </c>
      <c r="D1463">
        <v>387.5999972820282</v>
      </c>
    </row>
    <row r="1464" spans="1:4">
      <c r="A1464" t="s">
        <v>105</v>
      </c>
      <c r="B1464" s="71">
        <v>35898</v>
      </c>
      <c r="C1464" t="s">
        <v>42</v>
      </c>
      <c r="D1464">
        <v>190</v>
      </c>
    </row>
    <row r="1465" spans="1:4">
      <c r="A1465" t="s">
        <v>105</v>
      </c>
      <c r="B1465" s="71">
        <v>35901</v>
      </c>
      <c r="C1465" t="s">
        <v>42</v>
      </c>
      <c r="D1465">
        <v>760</v>
      </c>
    </row>
    <row r="1466" spans="1:4">
      <c r="A1466" t="s">
        <v>105</v>
      </c>
      <c r="B1466" s="71">
        <v>35254</v>
      </c>
      <c r="C1466" t="s">
        <v>45</v>
      </c>
      <c r="D1466">
        <v>222.29999982565641</v>
      </c>
    </row>
    <row r="1467" spans="1:4">
      <c r="A1467" t="s">
        <v>105</v>
      </c>
      <c r="B1467" s="71">
        <v>35265</v>
      </c>
      <c r="C1467" t="s">
        <v>42</v>
      </c>
      <c r="D1467">
        <v>780</v>
      </c>
    </row>
    <row r="1468" spans="1:4">
      <c r="A1468" t="s">
        <v>105</v>
      </c>
      <c r="B1468" s="71">
        <v>35292</v>
      </c>
      <c r="C1468" t="s">
        <v>42</v>
      </c>
      <c r="D1468">
        <v>31.2</v>
      </c>
    </row>
    <row r="1469" spans="1:4">
      <c r="A1469" t="s">
        <v>105</v>
      </c>
      <c r="B1469" s="71">
        <v>35348</v>
      </c>
      <c r="C1469" t="s">
        <v>42</v>
      </c>
      <c r="D1469">
        <v>249.6</v>
      </c>
    </row>
    <row r="1470" spans="1:4">
      <c r="A1470" t="s">
        <v>105</v>
      </c>
      <c r="B1470" s="71">
        <v>35384</v>
      </c>
      <c r="C1470" t="s">
        <v>37</v>
      </c>
      <c r="D1470">
        <v>390</v>
      </c>
    </row>
    <row r="1471" spans="1:4">
      <c r="A1471" t="s">
        <v>105</v>
      </c>
      <c r="B1471" s="71">
        <v>35398</v>
      </c>
      <c r="C1471" t="s">
        <v>51</v>
      </c>
      <c r="D1471">
        <v>390</v>
      </c>
    </row>
    <row r="1472" spans="1:4">
      <c r="A1472" t="s">
        <v>105</v>
      </c>
      <c r="B1472" s="71">
        <v>35446</v>
      </c>
      <c r="C1472" t="s">
        <v>50</v>
      </c>
      <c r="D1472">
        <v>312</v>
      </c>
    </row>
    <row r="1473" spans="1:4">
      <c r="A1473" t="s">
        <v>105</v>
      </c>
      <c r="B1473" s="71">
        <v>35467</v>
      </c>
      <c r="C1473" t="s">
        <v>45</v>
      </c>
      <c r="D1473">
        <v>187.19999930262566</v>
      </c>
    </row>
    <row r="1474" spans="1:4">
      <c r="A1474" t="s">
        <v>105</v>
      </c>
      <c r="B1474" s="71">
        <v>35563</v>
      </c>
      <c r="C1474" t="s">
        <v>42</v>
      </c>
      <c r="D1474">
        <v>87.749999854713678</v>
      </c>
    </row>
    <row r="1475" spans="1:4">
      <c r="A1475" t="s">
        <v>105</v>
      </c>
      <c r="B1475" s="71">
        <v>35605</v>
      </c>
      <c r="C1475" t="s">
        <v>42</v>
      </c>
      <c r="D1475">
        <v>117</v>
      </c>
    </row>
    <row r="1476" spans="1:4">
      <c r="A1476" t="s">
        <v>105</v>
      </c>
      <c r="B1476" s="71">
        <v>35608</v>
      </c>
      <c r="C1476" t="s">
        <v>45</v>
      </c>
      <c r="D1476">
        <v>78</v>
      </c>
    </row>
    <row r="1477" spans="1:4">
      <c r="A1477" t="s">
        <v>105</v>
      </c>
      <c r="B1477" s="71">
        <v>35622</v>
      </c>
      <c r="C1477" t="s">
        <v>52</v>
      </c>
      <c r="D1477">
        <v>390</v>
      </c>
    </row>
    <row r="1478" spans="1:4">
      <c r="A1478" t="s">
        <v>105</v>
      </c>
      <c r="B1478" s="71">
        <v>35719</v>
      </c>
      <c r="C1478" t="s">
        <v>42</v>
      </c>
      <c r="D1478">
        <v>780</v>
      </c>
    </row>
    <row r="1479" spans="1:4">
      <c r="A1479" t="s">
        <v>105</v>
      </c>
      <c r="B1479" s="71">
        <v>35760</v>
      </c>
      <c r="C1479" t="s">
        <v>42</v>
      </c>
      <c r="D1479">
        <v>204.75</v>
      </c>
    </row>
    <row r="1480" spans="1:4">
      <c r="A1480" t="s">
        <v>105</v>
      </c>
      <c r="B1480" s="71">
        <v>35804</v>
      </c>
      <c r="C1480" t="s">
        <v>30</v>
      </c>
      <c r="D1480">
        <v>292.5</v>
      </c>
    </row>
    <row r="1481" spans="1:4">
      <c r="A1481" t="s">
        <v>105</v>
      </c>
      <c r="B1481" s="71">
        <v>35807</v>
      </c>
      <c r="C1481" t="s">
        <v>37</v>
      </c>
      <c r="D1481">
        <v>292.5</v>
      </c>
    </row>
    <row r="1482" spans="1:4">
      <c r="A1482" t="s">
        <v>105</v>
      </c>
      <c r="B1482" s="71">
        <v>35811</v>
      </c>
      <c r="C1482" t="s">
        <v>52</v>
      </c>
      <c r="D1482">
        <v>468</v>
      </c>
    </row>
    <row r="1483" spans="1:4">
      <c r="A1483" t="s">
        <v>105</v>
      </c>
      <c r="B1483" s="71">
        <v>35821</v>
      </c>
      <c r="C1483" t="s">
        <v>30</v>
      </c>
      <c r="D1483">
        <v>185.24999985471368</v>
      </c>
    </row>
    <row r="1484" spans="1:4">
      <c r="A1484" t="s">
        <v>105</v>
      </c>
      <c r="B1484" s="71">
        <v>35853</v>
      </c>
      <c r="C1484" t="s">
        <v>49</v>
      </c>
      <c r="D1484">
        <v>390</v>
      </c>
    </row>
    <row r="1485" spans="1:4">
      <c r="A1485" t="s">
        <v>105</v>
      </c>
      <c r="B1485" s="71">
        <v>35860</v>
      </c>
      <c r="C1485" t="s">
        <v>42</v>
      </c>
      <c r="D1485">
        <v>585</v>
      </c>
    </row>
    <row r="1486" spans="1:4">
      <c r="A1486" t="s">
        <v>105</v>
      </c>
      <c r="B1486" s="71">
        <v>35881</v>
      </c>
      <c r="C1486" t="s">
        <v>51</v>
      </c>
      <c r="D1486">
        <v>292.5</v>
      </c>
    </row>
    <row r="1487" spans="1:4">
      <c r="A1487" t="s">
        <v>105</v>
      </c>
      <c r="B1487" s="71">
        <v>35906</v>
      </c>
      <c r="C1487" t="s">
        <v>49</v>
      </c>
      <c r="D1487">
        <v>546</v>
      </c>
    </row>
    <row r="1488" spans="1:4">
      <c r="A1488" t="s">
        <v>105</v>
      </c>
      <c r="B1488" s="71">
        <v>35913</v>
      </c>
      <c r="C1488" t="s">
        <v>52</v>
      </c>
      <c r="D1488">
        <v>390</v>
      </c>
    </row>
    <row r="1489" spans="1:4">
      <c r="A1489" t="s">
        <v>105</v>
      </c>
      <c r="B1489" s="71">
        <v>35303</v>
      </c>
      <c r="C1489" t="s">
        <v>52</v>
      </c>
      <c r="D1489">
        <v>239.4</v>
      </c>
    </row>
    <row r="1490" spans="1:4">
      <c r="A1490" t="s">
        <v>105</v>
      </c>
      <c r="B1490" s="71">
        <v>35369</v>
      </c>
      <c r="C1490" t="s">
        <v>42</v>
      </c>
      <c r="D1490">
        <v>1330</v>
      </c>
    </row>
    <row r="1491" spans="1:4">
      <c r="A1491" t="s">
        <v>105</v>
      </c>
      <c r="B1491" s="71">
        <v>35398</v>
      </c>
      <c r="C1491" t="s">
        <v>51</v>
      </c>
      <c r="D1491">
        <v>837.89999861270189</v>
      </c>
    </row>
    <row r="1492" spans="1:4">
      <c r="A1492" t="s">
        <v>105</v>
      </c>
      <c r="B1492" s="71">
        <v>35402</v>
      </c>
      <c r="C1492" t="s">
        <v>37</v>
      </c>
      <c r="D1492">
        <v>798</v>
      </c>
    </row>
    <row r="1493" spans="1:4">
      <c r="A1493" t="s">
        <v>105</v>
      </c>
      <c r="B1493" s="71">
        <v>35457</v>
      </c>
      <c r="C1493" t="s">
        <v>42</v>
      </c>
      <c r="D1493">
        <v>186.2</v>
      </c>
    </row>
    <row r="1494" spans="1:4">
      <c r="A1494" t="s">
        <v>105</v>
      </c>
      <c r="B1494" s="71">
        <v>35466</v>
      </c>
      <c r="C1494" t="s">
        <v>45</v>
      </c>
      <c r="D1494">
        <v>718.19999881088734</v>
      </c>
    </row>
    <row r="1495" spans="1:4">
      <c r="A1495" t="s">
        <v>105</v>
      </c>
      <c r="B1495" s="71">
        <v>35468</v>
      </c>
      <c r="C1495" t="s">
        <v>37</v>
      </c>
      <c r="D1495">
        <v>159.6</v>
      </c>
    </row>
    <row r="1496" spans="1:4">
      <c r="A1496" t="s">
        <v>105</v>
      </c>
      <c r="B1496" s="71">
        <v>35480</v>
      </c>
      <c r="C1496" t="s">
        <v>42</v>
      </c>
      <c r="D1496">
        <v>837.89999861270189</v>
      </c>
    </row>
    <row r="1497" spans="1:4">
      <c r="A1497" t="s">
        <v>105</v>
      </c>
      <c r="B1497" s="71">
        <v>35500</v>
      </c>
      <c r="C1497" t="s">
        <v>42</v>
      </c>
      <c r="D1497">
        <v>212.8</v>
      </c>
    </row>
    <row r="1498" spans="1:4">
      <c r="A1498" t="s">
        <v>105</v>
      </c>
      <c r="B1498" s="71">
        <v>35508</v>
      </c>
      <c r="C1498" t="s">
        <v>45</v>
      </c>
      <c r="D1498">
        <v>798</v>
      </c>
    </row>
    <row r="1499" spans="1:4">
      <c r="A1499" t="s">
        <v>105</v>
      </c>
      <c r="B1499" s="71">
        <v>35584</v>
      </c>
      <c r="C1499" t="s">
        <v>48</v>
      </c>
      <c r="D1499">
        <v>997.5</v>
      </c>
    </row>
    <row r="1500" spans="1:4">
      <c r="A1500" t="s">
        <v>105</v>
      </c>
      <c r="B1500" s="71">
        <v>35592</v>
      </c>
      <c r="C1500" t="s">
        <v>50</v>
      </c>
      <c r="D1500">
        <v>538.6499991081655</v>
      </c>
    </row>
    <row r="1501" spans="1:4">
      <c r="A1501" t="s">
        <v>105</v>
      </c>
      <c r="B1501" s="71">
        <v>35600</v>
      </c>
      <c r="C1501" t="s">
        <v>42</v>
      </c>
      <c r="D1501">
        <v>199.5</v>
      </c>
    </row>
    <row r="1502" spans="1:4">
      <c r="A1502" t="s">
        <v>105</v>
      </c>
      <c r="B1502" s="71">
        <v>35654</v>
      </c>
      <c r="C1502" t="s">
        <v>42</v>
      </c>
      <c r="D1502">
        <v>299.25</v>
      </c>
    </row>
    <row r="1503" spans="1:4">
      <c r="A1503" t="s">
        <v>105</v>
      </c>
      <c r="B1503" s="71">
        <v>35688</v>
      </c>
      <c r="C1503" t="s">
        <v>49</v>
      </c>
      <c r="D1503">
        <v>448.87499925680459</v>
      </c>
    </row>
    <row r="1504" spans="1:4">
      <c r="A1504" t="s">
        <v>105</v>
      </c>
      <c r="B1504" s="71">
        <v>35698</v>
      </c>
      <c r="C1504" t="s">
        <v>45</v>
      </c>
      <c r="D1504">
        <v>931</v>
      </c>
    </row>
    <row r="1505" spans="1:4">
      <c r="A1505" t="s">
        <v>105</v>
      </c>
      <c r="B1505" s="71">
        <v>35761</v>
      </c>
      <c r="C1505" t="s">
        <v>37</v>
      </c>
      <c r="D1505">
        <v>798</v>
      </c>
    </row>
    <row r="1506" spans="1:4">
      <c r="A1506" t="s">
        <v>105</v>
      </c>
      <c r="B1506" s="71">
        <v>35789</v>
      </c>
      <c r="C1506" t="s">
        <v>45</v>
      </c>
      <c r="D1506">
        <v>930.99999653175473</v>
      </c>
    </row>
    <row r="1507" spans="1:4">
      <c r="A1507" t="s">
        <v>105</v>
      </c>
      <c r="B1507" s="71">
        <v>35809</v>
      </c>
      <c r="C1507" t="s">
        <v>51</v>
      </c>
      <c r="D1507">
        <v>99.75</v>
      </c>
    </row>
    <row r="1508" spans="1:4">
      <c r="A1508" t="s">
        <v>105</v>
      </c>
      <c r="B1508" s="71">
        <v>35811</v>
      </c>
      <c r="C1508" t="s">
        <v>52</v>
      </c>
      <c r="D1508">
        <v>997.5</v>
      </c>
    </row>
    <row r="1509" spans="1:4">
      <c r="A1509" t="s">
        <v>105</v>
      </c>
      <c r="B1509" s="71">
        <v>35816</v>
      </c>
      <c r="C1509" t="s">
        <v>50</v>
      </c>
      <c r="D1509">
        <v>1596</v>
      </c>
    </row>
    <row r="1510" spans="1:4">
      <c r="A1510" t="s">
        <v>105</v>
      </c>
      <c r="B1510" s="71">
        <v>35824</v>
      </c>
      <c r="C1510" t="s">
        <v>49</v>
      </c>
      <c r="D1510">
        <v>748.125</v>
      </c>
    </row>
    <row r="1511" spans="1:4">
      <c r="A1511" t="s">
        <v>105</v>
      </c>
      <c r="B1511" s="71">
        <v>35831</v>
      </c>
      <c r="C1511" t="s">
        <v>30</v>
      </c>
      <c r="D1511">
        <v>473.81249962840229</v>
      </c>
    </row>
    <row r="1512" spans="1:4">
      <c r="A1512" t="s">
        <v>105</v>
      </c>
      <c r="B1512" s="71">
        <v>35835</v>
      </c>
      <c r="C1512" t="s">
        <v>52</v>
      </c>
      <c r="D1512">
        <v>665</v>
      </c>
    </row>
    <row r="1513" spans="1:4">
      <c r="A1513" t="s">
        <v>105</v>
      </c>
      <c r="B1513" s="71">
        <v>35872</v>
      </c>
      <c r="C1513" t="s">
        <v>50</v>
      </c>
      <c r="D1513">
        <v>266</v>
      </c>
    </row>
    <row r="1514" spans="1:4">
      <c r="A1514" t="s">
        <v>105</v>
      </c>
      <c r="B1514" s="71">
        <v>35877</v>
      </c>
      <c r="C1514" t="s">
        <v>49</v>
      </c>
      <c r="D1514">
        <v>133</v>
      </c>
    </row>
    <row r="1515" spans="1:4">
      <c r="A1515" t="s">
        <v>105</v>
      </c>
      <c r="B1515" s="71">
        <v>35902</v>
      </c>
      <c r="C1515" t="s">
        <v>37</v>
      </c>
      <c r="D1515">
        <v>665</v>
      </c>
    </row>
    <row r="1516" spans="1:4">
      <c r="A1516" t="s">
        <v>105</v>
      </c>
      <c r="B1516" s="71">
        <v>35912</v>
      </c>
      <c r="C1516" t="s">
        <v>51</v>
      </c>
      <c r="D1516">
        <v>664.99999752268195</v>
      </c>
    </row>
    <row r="1517" spans="1:4">
      <c r="A1517" t="s">
        <v>105</v>
      </c>
      <c r="B1517" s="71">
        <v>35920</v>
      </c>
      <c r="C1517" t="s">
        <v>42</v>
      </c>
      <c r="D1517">
        <v>4322.5</v>
      </c>
    </row>
    <row r="1518" spans="1:4">
      <c r="A1518" t="s">
        <v>105</v>
      </c>
      <c r="B1518" s="71">
        <v>35921</v>
      </c>
      <c r="C1518" t="s">
        <v>49</v>
      </c>
      <c r="D1518">
        <v>64.505000044591725</v>
      </c>
    </row>
    <row r="1519" spans="1:4">
      <c r="A1519" t="s">
        <v>28</v>
      </c>
      <c r="B1519" s="71">
        <v>35451</v>
      </c>
      <c r="C1519" t="s">
        <v>45</v>
      </c>
      <c r="D1519">
        <v>1396.7999976873398</v>
      </c>
    </row>
    <row r="1520" spans="1:4">
      <c r="A1520" t="s">
        <v>28</v>
      </c>
      <c r="B1520" s="71">
        <v>35543</v>
      </c>
      <c r="C1520" t="s">
        <v>51</v>
      </c>
      <c r="D1520">
        <v>1319.1999907493591</v>
      </c>
    </row>
    <row r="1521" spans="1:4">
      <c r="A1521" t="s">
        <v>28</v>
      </c>
      <c r="B1521" s="71">
        <v>35703</v>
      </c>
      <c r="C1521" t="s">
        <v>48</v>
      </c>
      <c r="D1521">
        <v>3637.5</v>
      </c>
    </row>
    <row r="1522" spans="1:4">
      <c r="A1522" t="s">
        <v>28</v>
      </c>
      <c r="B1522" s="71">
        <v>35709</v>
      </c>
      <c r="C1522" t="s">
        <v>45</v>
      </c>
      <c r="D1522">
        <v>582</v>
      </c>
    </row>
    <row r="1523" spans="1:4">
      <c r="A1523" t="s">
        <v>28</v>
      </c>
      <c r="B1523" s="71">
        <v>35818</v>
      </c>
      <c r="C1523" t="s">
        <v>52</v>
      </c>
      <c r="D1523">
        <v>291</v>
      </c>
    </row>
    <row r="1524" spans="1:4">
      <c r="A1524" t="s">
        <v>28</v>
      </c>
      <c r="B1524" s="71">
        <v>35250</v>
      </c>
      <c r="C1524" t="s">
        <v>30</v>
      </c>
      <c r="D1524">
        <v>168</v>
      </c>
    </row>
    <row r="1525" spans="1:4">
      <c r="A1525" t="s">
        <v>28</v>
      </c>
      <c r="B1525" s="71">
        <v>35271</v>
      </c>
      <c r="C1525" t="s">
        <v>51</v>
      </c>
      <c r="D1525">
        <v>936</v>
      </c>
    </row>
    <row r="1526" spans="1:4">
      <c r="A1526" t="s">
        <v>28</v>
      </c>
      <c r="B1526" s="71">
        <v>35290</v>
      </c>
      <c r="C1526" t="s">
        <v>50</v>
      </c>
      <c r="D1526">
        <v>351</v>
      </c>
    </row>
    <row r="1527" spans="1:4">
      <c r="A1527" t="s">
        <v>28</v>
      </c>
      <c r="B1527" s="71">
        <v>35307</v>
      </c>
      <c r="C1527" t="s">
        <v>42</v>
      </c>
      <c r="D1527">
        <v>468</v>
      </c>
    </row>
    <row r="1528" spans="1:4">
      <c r="A1528" t="s">
        <v>28</v>
      </c>
      <c r="B1528" s="71">
        <v>35318</v>
      </c>
      <c r="C1528" t="s">
        <v>42</v>
      </c>
      <c r="D1528">
        <v>1248</v>
      </c>
    </row>
    <row r="1529" spans="1:4">
      <c r="A1529" t="s">
        <v>28</v>
      </c>
      <c r="B1529" s="71">
        <v>35340</v>
      </c>
      <c r="C1529" t="s">
        <v>52</v>
      </c>
      <c r="D1529">
        <v>249.6</v>
      </c>
    </row>
    <row r="1530" spans="1:4">
      <c r="A1530" t="s">
        <v>28</v>
      </c>
      <c r="B1530" s="71">
        <v>35363</v>
      </c>
      <c r="C1530" t="s">
        <v>42</v>
      </c>
      <c r="D1530">
        <v>624</v>
      </c>
    </row>
    <row r="1531" spans="1:4">
      <c r="A1531" t="s">
        <v>28</v>
      </c>
      <c r="B1531" s="71">
        <v>35366</v>
      </c>
      <c r="C1531" t="s">
        <v>51</v>
      </c>
      <c r="D1531">
        <v>2074.7999983727932</v>
      </c>
    </row>
    <row r="1532" spans="1:4">
      <c r="A1532" t="s">
        <v>28</v>
      </c>
      <c r="B1532" s="71">
        <v>35374</v>
      </c>
      <c r="C1532" t="s">
        <v>45</v>
      </c>
      <c r="D1532">
        <v>1010.8799983263016</v>
      </c>
    </row>
    <row r="1533" spans="1:4">
      <c r="A1533" t="s">
        <v>28</v>
      </c>
      <c r="B1533" s="71">
        <v>35445</v>
      </c>
      <c r="C1533" t="s">
        <v>45</v>
      </c>
      <c r="D1533">
        <v>62.4</v>
      </c>
    </row>
    <row r="1534" spans="1:4">
      <c r="A1534" t="s">
        <v>28</v>
      </c>
      <c r="B1534" s="71">
        <v>35460</v>
      </c>
      <c r="C1534" t="s">
        <v>42</v>
      </c>
      <c r="D1534">
        <v>1123.1999958157539</v>
      </c>
    </row>
    <row r="1535" spans="1:4">
      <c r="A1535" t="s">
        <v>28</v>
      </c>
      <c r="B1535" s="71">
        <v>35460</v>
      </c>
      <c r="C1535" t="s">
        <v>42</v>
      </c>
      <c r="D1535">
        <v>1170</v>
      </c>
    </row>
    <row r="1536" spans="1:4">
      <c r="A1536" t="s">
        <v>28</v>
      </c>
      <c r="B1536" s="71">
        <v>35473</v>
      </c>
      <c r="C1536" t="s">
        <v>45</v>
      </c>
      <c r="D1536">
        <v>312</v>
      </c>
    </row>
    <row r="1537" spans="1:4">
      <c r="A1537" t="s">
        <v>28</v>
      </c>
      <c r="B1537" s="71">
        <v>35551</v>
      </c>
      <c r="C1537" t="s">
        <v>52</v>
      </c>
      <c r="D1537">
        <v>877.49999854713678</v>
      </c>
    </row>
    <row r="1538" spans="1:4">
      <c r="A1538" t="s">
        <v>28</v>
      </c>
      <c r="B1538" s="71">
        <v>35558</v>
      </c>
      <c r="C1538" t="s">
        <v>45</v>
      </c>
      <c r="D1538">
        <v>1560</v>
      </c>
    </row>
    <row r="1539" spans="1:4">
      <c r="A1539" t="s">
        <v>28</v>
      </c>
      <c r="B1539" s="71">
        <v>35578</v>
      </c>
      <c r="C1539" t="s">
        <v>52</v>
      </c>
      <c r="D1539">
        <v>280.79999953508377</v>
      </c>
    </row>
    <row r="1540" spans="1:4">
      <c r="A1540" t="s">
        <v>28</v>
      </c>
      <c r="B1540" s="71">
        <v>35591</v>
      </c>
      <c r="C1540" t="s">
        <v>42</v>
      </c>
      <c r="D1540">
        <v>592.79999953508377</v>
      </c>
    </row>
    <row r="1541" spans="1:4">
      <c r="A1541" t="s">
        <v>28</v>
      </c>
      <c r="B1541" s="71">
        <v>35600</v>
      </c>
      <c r="C1541" t="s">
        <v>52</v>
      </c>
      <c r="D1541">
        <v>702</v>
      </c>
    </row>
    <row r="1542" spans="1:4">
      <c r="A1542" t="s">
        <v>28</v>
      </c>
      <c r="B1542" s="71">
        <v>35633</v>
      </c>
      <c r="C1542" t="s">
        <v>30</v>
      </c>
      <c r="D1542">
        <v>3900</v>
      </c>
    </row>
    <row r="1543" spans="1:4">
      <c r="A1543" t="s">
        <v>28</v>
      </c>
      <c r="B1543" s="71">
        <v>35703</v>
      </c>
      <c r="C1543" t="s">
        <v>51</v>
      </c>
      <c r="D1543">
        <v>935.99999651312828</v>
      </c>
    </row>
    <row r="1544" spans="1:4">
      <c r="A1544" t="s">
        <v>28</v>
      </c>
      <c r="B1544" s="71">
        <v>35711</v>
      </c>
      <c r="C1544" t="s">
        <v>50</v>
      </c>
      <c r="D1544">
        <v>780</v>
      </c>
    </row>
    <row r="1545" spans="1:4">
      <c r="A1545" t="s">
        <v>28</v>
      </c>
      <c r="B1545" s="71">
        <v>35712</v>
      </c>
      <c r="C1545" t="s">
        <v>42</v>
      </c>
      <c r="D1545">
        <v>296.39999976754189</v>
      </c>
    </row>
    <row r="1546" spans="1:4">
      <c r="A1546" t="s">
        <v>28</v>
      </c>
      <c r="B1546" s="71">
        <v>35725</v>
      </c>
      <c r="C1546" t="s">
        <v>30</v>
      </c>
      <c r="D1546">
        <v>789.75</v>
      </c>
    </row>
    <row r="1547" spans="1:4">
      <c r="A1547" t="s">
        <v>28</v>
      </c>
      <c r="B1547" s="71">
        <v>35737</v>
      </c>
      <c r="C1547" t="s">
        <v>51</v>
      </c>
      <c r="D1547">
        <v>740.99999941885471</v>
      </c>
    </row>
    <row r="1548" spans="1:4">
      <c r="A1548" t="s">
        <v>28</v>
      </c>
      <c r="B1548" s="71">
        <v>35775</v>
      </c>
      <c r="C1548" t="s">
        <v>49</v>
      </c>
      <c r="D1548">
        <v>1287</v>
      </c>
    </row>
    <row r="1549" spans="1:4">
      <c r="A1549" t="s">
        <v>28</v>
      </c>
      <c r="B1549" s="71">
        <v>35788</v>
      </c>
      <c r="C1549" t="s">
        <v>50</v>
      </c>
      <c r="D1549">
        <v>1023.75</v>
      </c>
    </row>
    <row r="1550" spans="1:4">
      <c r="A1550" t="s">
        <v>28</v>
      </c>
      <c r="B1550" s="71">
        <v>35793</v>
      </c>
      <c r="C1550" t="s">
        <v>42</v>
      </c>
      <c r="D1550">
        <v>1170</v>
      </c>
    </row>
    <row r="1551" spans="1:4">
      <c r="A1551" t="s">
        <v>28</v>
      </c>
      <c r="B1551" s="71">
        <v>35821</v>
      </c>
      <c r="C1551" t="s">
        <v>50</v>
      </c>
      <c r="D1551">
        <v>234</v>
      </c>
    </row>
    <row r="1552" spans="1:4">
      <c r="A1552" t="s">
        <v>28</v>
      </c>
      <c r="B1552" s="71">
        <v>35825</v>
      </c>
      <c r="C1552" t="s">
        <v>42</v>
      </c>
      <c r="D1552">
        <v>1638</v>
      </c>
    </row>
    <row r="1553" spans="1:4">
      <c r="A1553" t="s">
        <v>28</v>
      </c>
      <c r="B1553" s="71">
        <v>35831</v>
      </c>
      <c r="C1553" t="s">
        <v>48</v>
      </c>
      <c r="D1553">
        <v>592.79999953508377</v>
      </c>
    </row>
    <row r="1554" spans="1:4">
      <c r="A1554" t="s">
        <v>28</v>
      </c>
      <c r="B1554" s="71">
        <v>35842</v>
      </c>
      <c r="C1554" t="s">
        <v>52</v>
      </c>
      <c r="D1554">
        <v>585</v>
      </c>
    </row>
    <row r="1555" spans="1:4">
      <c r="A1555" t="s">
        <v>28</v>
      </c>
      <c r="B1555" s="71">
        <v>35852</v>
      </c>
      <c r="C1555" t="s">
        <v>45</v>
      </c>
      <c r="D1555">
        <v>468</v>
      </c>
    </row>
    <row r="1556" spans="1:4">
      <c r="A1556" t="s">
        <v>28</v>
      </c>
      <c r="B1556" s="71">
        <v>35853</v>
      </c>
      <c r="C1556" t="s">
        <v>51</v>
      </c>
      <c r="D1556">
        <v>390</v>
      </c>
    </row>
    <row r="1557" spans="1:4">
      <c r="A1557" t="s">
        <v>28</v>
      </c>
      <c r="B1557" s="71">
        <v>35857</v>
      </c>
      <c r="C1557" t="s">
        <v>30</v>
      </c>
      <c r="D1557">
        <v>585</v>
      </c>
    </row>
    <row r="1558" spans="1:4">
      <c r="A1558" t="s">
        <v>28</v>
      </c>
      <c r="B1558" s="71">
        <v>35867</v>
      </c>
      <c r="C1558" t="s">
        <v>51</v>
      </c>
      <c r="D1558">
        <v>234</v>
      </c>
    </row>
    <row r="1559" spans="1:4">
      <c r="A1559" t="s">
        <v>28</v>
      </c>
      <c r="B1559" s="71">
        <v>35878</v>
      </c>
      <c r="C1559" t="s">
        <v>42</v>
      </c>
      <c r="D1559">
        <v>234</v>
      </c>
    </row>
    <row r="1560" spans="1:4">
      <c r="A1560" t="s">
        <v>28</v>
      </c>
      <c r="B1560" s="71">
        <v>35914</v>
      </c>
      <c r="C1560" t="s">
        <v>51</v>
      </c>
      <c r="D1560">
        <v>468</v>
      </c>
    </row>
    <row r="1561" spans="1:4">
      <c r="A1561" t="s">
        <v>28</v>
      </c>
      <c r="B1561" s="71">
        <v>35916</v>
      </c>
      <c r="C1561" t="s">
        <v>49</v>
      </c>
      <c r="D1561">
        <v>2702.6999955251813</v>
      </c>
    </row>
    <row r="1562" spans="1:4">
      <c r="A1562" t="s">
        <v>28</v>
      </c>
      <c r="B1562" s="71">
        <v>35276</v>
      </c>
      <c r="C1562" t="s">
        <v>50</v>
      </c>
      <c r="D1562">
        <v>990</v>
      </c>
    </row>
    <row r="1563" spans="1:4">
      <c r="A1563" t="s">
        <v>28</v>
      </c>
      <c r="B1563" s="71">
        <v>35304</v>
      </c>
      <c r="C1563" t="s">
        <v>50</v>
      </c>
      <c r="D1563">
        <v>1485</v>
      </c>
    </row>
    <row r="1564" spans="1:4">
      <c r="A1564" t="s">
        <v>28</v>
      </c>
      <c r="B1564" s="71">
        <v>35321</v>
      </c>
      <c r="C1564" t="s">
        <v>50</v>
      </c>
      <c r="D1564">
        <v>2227.4999963119626</v>
      </c>
    </row>
    <row r="1565" spans="1:4">
      <c r="A1565" t="s">
        <v>28</v>
      </c>
      <c r="B1565" s="71">
        <v>35383</v>
      </c>
      <c r="C1565" t="s">
        <v>50</v>
      </c>
      <c r="D1565">
        <v>396</v>
      </c>
    </row>
    <row r="1566" spans="1:4">
      <c r="A1566" t="s">
        <v>28</v>
      </c>
      <c r="B1566" s="71">
        <v>35391</v>
      </c>
      <c r="C1566" t="s">
        <v>42</v>
      </c>
      <c r="D1566">
        <v>3465</v>
      </c>
    </row>
    <row r="1567" spans="1:4">
      <c r="A1567" t="s">
        <v>28</v>
      </c>
      <c r="B1567" s="71">
        <v>35401</v>
      </c>
      <c r="C1567" t="s">
        <v>50</v>
      </c>
      <c r="D1567">
        <v>1980</v>
      </c>
    </row>
    <row r="1568" spans="1:4">
      <c r="A1568" t="s">
        <v>28</v>
      </c>
      <c r="B1568" s="71">
        <v>35412</v>
      </c>
      <c r="C1568" t="s">
        <v>42</v>
      </c>
      <c r="D1568">
        <v>1386</v>
      </c>
    </row>
    <row r="1569" spans="1:4">
      <c r="A1569" t="s">
        <v>28</v>
      </c>
      <c r="B1569" s="71">
        <v>35431</v>
      </c>
      <c r="C1569" t="s">
        <v>49</v>
      </c>
      <c r="D1569">
        <v>2079</v>
      </c>
    </row>
    <row r="1570" spans="1:4">
      <c r="A1570" t="s">
        <v>28</v>
      </c>
      <c r="B1570" s="71">
        <v>35471</v>
      </c>
      <c r="C1570" t="s">
        <v>42</v>
      </c>
      <c r="D1570">
        <v>2019.5999858379364</v>
      </c>
    </row>
    <row r="1571" spans="1:4">
      <c r="A1571" t="s">
        <v>28</v>
      </c>
      <c r="B1571" s="71">
        <v>35494</v>
      </c>
      <c r="C1571" t="s">
        <v>49</v>
      </c>
      <c r="D1571">
        <v>1603.7999973446131</v>
      </c>
    </row>
    <row r="1572" spans="1:4">
      <c r="A1572" t="s">
        <v>28</v>
      </c>
      <c r="B1572" s="71">
        <v>35538</v>
      </c>
      <c r="C1572" t="s">
        <v>37</v>
      </c>
      <c r="D1572">
        <v>4456.4399999999996</v>
      </c>
    </row>
    <row r="1573" spans="1:4">
      <c r="A1573" t="s">
        <v>28</v>
      </c>
      <c r="B1573" s="71">
        <v>35611</v>
      </c>
      <c r="C1573" t="s">
        <v>51</v>
      </c>
      <c r="D1573">
        <v>1237.9000000000001</v>
      </c>
    </row>
    <row r="1574" spans="1:4">
      <c r="A1574" t="s">
        <v>28</v>
      </c>
      <c r="B1574" s="71">
        <v>35649</v>
      </c>
      <c r="C1574" t="s">
        <v>42</v>
      </c>
      <c r="D1574">
        <v>742.74</v>
      </c>
    </row>
    <row r="1575" spans="1:4">
      <c r="A1575" t="s">
        <v>28</v>
      </c>
      <c r="B1575" s="71">
        <v>35654</v>
      </c>
      <c r="C1575" t="s">
        <v>42</v>
      </c>
      <c r="D1575">
        <v>2475.8000000000002</v>
      </c>
    </row>
    <row r="1576" spans="1:4">
      <c r="A1576" t="s">
        <v>28</v>
      </c>
      <c r="B1576" s="71">
        <v>35685</v>
      </c>
      <c r="C1576" t="s">
        <v>52</v>
      </c>
      <c r="D1576">
        <v>4456.4399999999996</v>
      </c>
    </row>
    <row r="1577" spans="1:4">
      <c r="A1577" t="s">
        <v>28</v>
      </c>
      <c r="B1577" s="71">
        <v>35703</v>
      </c>
      <c r="C1577" t="s">
        <v>48</v>
      </c>
      <c r="D1577">
        <v>1237.9000000000001</v>
      </c>
    </row>
    <row r="1578" spans="1:4">
      <c r="A1578" t="s">
        <v>28</v>
      </c>
      <c r="B1578" s="71">
        <v>35706</v>
      </c>
      <c r="C1578" t="s">
        <v>51</v>
      </c>
      <c r="D1578">
        <v>4951.6000000000004</v>
      </c>
    </row>
    <row r="1579" spans="1:4">
      <c r="A1579" t="s">
        <v>28</v>
      </c>
      <c r="B1579" s="71">
        <v>35712</v>
      </c>
      <c r="C1579" t="s">
        <v>42</v>
      </c>
      <c r="D1579">
        <v>1411.2059988932313</v>
      </c>
    </row>
    <row r="1580" spans="1:4">
      <c r="A1580" t="s">
        <v>28</v>
      </c>
      <c r="B1580" s="71">
        <v>35774</v>
      </c>
      <c r="C1580" t="s">
        <v>45</v>
      </c>
      <c r="D1580">
        <v>2228.2199999999998</v>
      </c>
    </row>
    <row r="1581" spans="1:4">
      <c r="A1581" t="s">
        <v>28</v>
      </c>
      <c r="B1581" s="71">
        <v>35783</v>
      </c>
      <c r="C1581" t="s">
        <v>51</v>
      </c>
      <c r="D1581">
        <v>2352.0099981553853</v>
      </c>
    </row>
    <row r="1582" spans="1:4">
      <c r="A1582" t="s">
        <v>28</v>
      </c>
      <c r="B1582" s="71">
        <v>35787</v>
      </c>
      <c r="C1582" t="s">
        <v>37</v>
      </c>
      <c r="D1582">
        <v>1646.4069987087696</v>
      </c>
    </row>
    <row r="1583" spans="1:4">
      <c r="A1583" t="s">
        <v>28</v>
      </c>
      <c r="B1583" s="71">
        <v>35793</v>
      </c>
      <c r="C1583" t="s">
        <v>42</v>
      </c>
      <c r="D1583">
        <v>1856.8500000000001</v>
      </c>
    </row>
    <row r="1584" spans="1:4">
      <c r="A1584" t="s">
        <v>28</v>
      </c>
      <c r="B1584" s="71">
        <v>35810</v>
      </c>
      <c r="C1584" t="s">
        <v>49</v>
      </c>
      <c r="D1584">
        <v>940.80399926215409</v>
      </c>
    </row>
    <row r="1585" spans="1:4">
      <c r="A1585" t="s">
        <v>28</v>
      </c>
      <c r="B1585" s="71">
        <v>35823</v>
      </c>
      <c r="C1585" t="s">
        <v>50</v>
      </c>
      <c r="D1585">
        <v>928.42500000000007</v>
      </c>
    </row>
    <row r="1586" spans="1:4">
      <c r="A1586" t="s">
        <v>28</v>
      </c>
      <c r="B1586" s="71">
        <v>35844</v>
      </c>
      <c r="C1586" t="s">
        <v>48</v>
      </c>
      <c r="D1586">
        <v>2970.96</v>
      </c>
    </row>
    <row r="1587" spans="1:4">
      <c r="A1587" t="s">
        <v>28</v>
      </c>
      <c r="B1587" s="71">
        <v>35845</v>
      </c>
      <c r="C1587" t="s">
        <v>45</v>
      </c>
      <c r="D1587">
        <v>9903.2000000000007</v>
      </c>
    </row>
    <row r="1588" spans="1:4">
      <c r="A1588" t="s">
        <v>28</v>
      </c>
      <c r="B1588" s="71">
        <v>35852</v>
      </c>
      <c r="C1588" t="s">
        <v>51</v>
      </c>
      <c r="D1588">
        <v>5570.5499999999993</v>
      </c>
    </row>
    <row r="1589" spans="1:4">
      <c r="A1589" t="s">
        <v>28</v>
      </c>
      <c r="B1589" s="71">
        <v>35878</v>
      </c>
      <c r="C1589" t="s">
        <v>51</v>
      </c>
      <c r="D1589">
        <v>1733.06</v>
      </c>
    </row>
    <row r="1590" spans="1:4">
      <c r="A1590" t="s">
        <v>28</v>
      </c>
      <c r="B1590" s="71">
        <v>35886</v>
      </c>
      <c r="C1590" t="s">
        <v>52</v>
      </c>
      <c r="D1590">
        <v>4642.125</v>
      </c>
    </row>
    <row r="1591" spans="1:4">
      <c r="A1591" t="s">
        <v>28</v>
      </c>
      <c r="B1591" s="71">
        <v>35892</v>
      </c>
      <c r="C1591" t="s">
        <v>45</v>
      </c>
      <c r="D1591">
        <v>185.685</v>
      </c>
    </row>
    <row r="1592" spans="1:4">
      <c r="A1592" t="s">
        <v>28</v>
      </c>
      <c r="B1592" s="71">
        <v>35893</v>
      </c>
      <c r="C1592" t="s">
        <v>50</v>
      </c>
      <c r="D1592">
        <v>1237.9000000000001</v>
      </c>
    </row>
    <row r="1593" spans="1:4">
      <c r="A1593" t="s">
        <v>28</v>
      </c>
      <c r="B1593" s="71">
        <v>35902</v>
      </c>
      <c r="C1593" t="s">
        <v>52</v>
      </c>
      <c r="D1593">
        <v>5570.5499999999993</v>
      </c>
    </row>
    <row r="1594" spans="1:4">
      <c r="A1594" t="s">
        <v>28</v>
      </c>
      <c r="B1594" s="71">
        <v>35261</v>
      </c>
      <c r="C1594" t="s">
        <v>45</v>
      </c>
      <c r="D1594">
        <v>393</v>
      </c>
    </row>
    <row r="1595" spans="1:4">
      <c r="A1595" t="s">
        <v>28</v>
      </c>
      <c r="B1595" s="71">
        <v>35297</v>
      </c>
      <c r="C1595" t="s">
        <v>49</v>
      </c>
      <c r="D1595">
        <v>754.55999718904502</v>
      </c>
    </row>
    <row r="1596" spans="1:4">
      <c r="A1596" t="s">
        <v>28</v>
      </c>
      <c r="B1596" s="71">
        <v>35324</v>
      </c>
      <c r="C1596" t="s">
        <v>49</v>
      </c>
      <c r="D1596">
        <v>262</v>
      </c>
    </row>
    <row r="1597" spans="1:4">
      <c r="A1597" t="s">
        <v>28</v>
      </c>
      <c r="B1597" s="71">
        <v>35331</v>
      </c>
      <c r="C1597" t="s">
        <v>51</v>
      </c>
      <c r="D1597">
        <v>524</v>
      </c>
    </row>
    <row r="1598" spans="1:4">
      <c r="A1598" t="s">
        <v>28</v>
      </c>
      <c r="B1598" s="71">
        <v>35411</v>
      </c>
      <c r="C1598" t="s">
        <v>50</v>
      </c>
      <c r="D1598">
        <v>471.59999921917915</v>
      </c>
    </row>
    <row r="1599" spans="1:4">
      <c r="A1599" t="s">
        <v>28</v>
      </c>
      <c r="B1599" s="71">
        <v>35418</v>
      </c>
      <c r="C1599" t="s">
        <v>51</v>
      </c>
      <c r="D1599">
        <v>1048</v>
      </c>
    </row>
    <row r="1600" spans="1:4">
      <c r="A1600" t="s">
        <v>28</v>
      </c>
      <c r="B1600" s="71">
        <v>35425</v>
      </c>
      <c r="C1600" t="s">
        <v>37</v>
      </c>
      <c r="D1600">
        <v>1650.599997267127</v>
      </c>
    </row>
    <row r="1601" spans="1:4">
      <c r="A1601" t="s">
        <v>28</v>
      </c>
      <c r="B1601" s="71">
        <v>35446</v>
      </c>
      <c r="C1601" t="s">
        <v>50</v>
      </c>
      <c r="D1601">
        <v>262</v>
      </c>
    </row>
    <row r="1602" spans="1:4">
      <c r="A1602" t="s">
        <v>28</v>
      </c>
      <c r="B1602" s="71">
        <v>35451</v>
      </c>
      <c r="C1602" t="s">
        <v>50</v>
      </c>
      <c r="D1602">
        <v>334.04999765753746</v>
      </c>
    </row>
    <row r="1603" spans="1:4">
      <c r="A1603" t="s">
        <v>28</v>
      </c>
      <c r="B1603" s="71">
        <v>35466</v>
      </c>
      <c r="C1603" t="s">
        <v>50</v>
      </c>
      <c r="D1603">
        <v>393</v>
      </c>
    </row>
    <row r="1604" spans="1:4">
      <c r="A1604" t="s">
        <v>28</v>
      </c>
      <c r="B1604" s="71">
        <v>35485</v>
      </c>
      <c r="C1604" t="s">
        <v>50</v>
      </c>
      <c r="D1604">
        <v>1310</v>
      </c>
    </row>
    <row r="1605" spans="1:4">
      <c r="A1605" t="s">
        <v>28</v>
      </c>
      <c r="B1605" s="71">
        <v>35508</v>
      </c>
      <c r="C1605" t="s">
        <v>45</v>
      </c>
      <c r="D1605">
        <v>733.6</v>
      </c>
    </row>
    <row r="1606" spans="1:4">
      <c r="A1606" t="s">
        <v>28</v>
      </c>
      <c r="B1606" s="71">
        <v>35530</v>
      </c>
      <c r="C1606" t="s">
        <v>51</v>
      </c>
      <c r="D1606">
        <v>196.8</v>
      </c>
    </row>
    <row r="1607" spans="1:4">
      <c r="A1607" t="s">
        <v>28</v>
      </c>
      <c r="B1607" s="71">
        <v>35531</v>
      </c>
      <c r="C1607" t="s">
        <v>42</v>
      </c>
      <c r="D1607">
        <v>328</v>
      </c>
    </row>
    <row r="1608" spans="1:4">
      <c r="A1608" t="s">
        <v>28</v>
      </c>
      <c r="B1608" s="71">
        <v>35549</v>
      </c>
      <c r="C1608" t="s">
        <v>52</v>
      </c>
      <c r="D1608">
        <v>164</v>
      </c>
    </row>
    <row r="1609" spans="1:4">
      <c r="A1609" t="s">
        <v>28</v>
      </c>
      <c r="B1609" s="71">
        <v>35585</v>
      </c>
      <c r="C1609" t="s">
        <v>49</v>
      </c>
      <c r="D1609">
        <v>590.4</v>
      </c>
    </row>
    <row r="1610" spans="1:4">
      <c r="A1610" t="s">
        <v>28</v>
      </c>
      <c r="B1610" s="71">
        <v>35600</v>
      </c>
      <c r="C1610" t="s">
        <v>52</v>
      </c>
      <c r="D1610">
        <v>820</v>
      </c>
    </row>
    <row r="1611" spans="1:4">
      <c r="A1611" t="s">
        <v>28</v>
      </c>
      <c r="B1611" s="71">
        <v>35653</v>
      </c>
      <c r="C1611" t="s">
        <v>49</v>
      </c>
      <c r="D1611">
        <v>393.6</v>
      </c>
    </row>
    <row r="1612" spans="1:4">
      <c r="A1612" t="s">
        <v>28</v>
      </c>
      <c r="B1612" s="71">
        <v>35671</v>
      </c>
      <c r="C1612" t="s">
        <v>30</v>
      </c>
      <c r="D1612">
        <v>778.99999938905239</v>
      </c>
    </row>
    <row r="1613" spans="1:4">
      <c r="A1613" t="s">
        <v>28</v>
      </c>
      <c r="B1613" s="71">
        <v>35692</v>
      </c>
      <c r="C1613" t="s">
        <v>30</v>
      </c>
      <c r="D1613">
        <v>328</v>
      </c>
    </row>
    <row r="1614" spans="1:4">
      <c r="A1614" t="s">
        <v>28</v>
      </c>
      <c r="B1614" s="71">
        <v>35724</v>
      </c>
      <c r="C1614" t="s">
        <v>30</v>
      </c>
      <c r="D1614">
        <v>3936</v>
      </c>
    </row>
    <row r="1615" spans="1:4">
      <c r="A1615" t="s">
        <v>28</v>
      </c>
      <c r="B1615" s="71">
        <v>35724</v>
      </c>
      <c r="C1615" t="s">
        <v>45</v>
      </c>
      <c r="D1615">
        <v>93.47999992668629</v>
      </c>
    </row>
    <row r="1616" spans="1:4">
      <c r="A1616" t="s">
        <v>28</v>
      </c>
      <c r="B1616" s="71">
        <v>35804</v>
      </c>
      <c r="C1616" t="s">
        <v>49</v>
      </c>
      <c r="D1616">
        <v>656</v>
      </c>
    </row>
    <row r="1617" spans="1:4">
      <c r="A1617" t="s">
        <v>28</v>
      </c>
      <c r="B1617" s="71">
        <v>35810</v>
      </c>
      <c r="C1617" t="s">
        <v>37</v>
      </c>
      <c r="D1617">
        <v>265.67999956011772</v>
      </c>
    </row>
    <row r="1618" spans="1:4">
      <c r="A1618" t="s">
        <v>28</v>
      </c>
      <c r="B1618" s="71">
        <v>35829</v>
      </c>
      <c r="C1618" t="s">
        <v>37</v>
      </c>
      <c r="D1618">
        <v>98.4</v>
      </c>
    </row>
    <row r="1619" spans="1:4">
      <c r="A1619" t="s">
        <v>28</v>
      </c>
      <c r="B1619" s="71">
        <v>35860</v>
      </c>
      <c r="C1619" t="s">
        <v>37</v>
      </c>
      <c r="D1619">
        <v>65.599999999999994</v>
      </c>
    </row>
    <row r="1620" spans="1:4">
      <c r="A1620" t="s">
        <v>28</v>
      </c>
      <c r="B1620" s="71">
        <v>35873</v>
      </c>
      <c r="C1620" t="s">
        <v>50</v>
      </c>
      <c r="D1620">
        <v>656</v>
      </c>
    </row>
    <row r="1621" spans="1:4">
      <c r="A1621" t="s">
        <v>28</v>
      </c>
      <c r="B1621" s="71">
        <v>35902</v>
      </c>
      <c r="C1621" t="s">
        <v>52</v>
      </c>
      <c r="D1621">
        <v>2066.3999965786934</v>
      </c>
    </row>
    <row r="1622" spans="1:4">
      <c r="A1622" t="s">
        <v>28</v>
      </c>
      <c r="B1622" s="71">
        <v>35915</v>
      </c>
      <c r="C1622" t="s">
        <v>42</v>
      </c>
      <c r="D1622">
        <v>262.39999902248383</v>
      </c>
    </row>
    <row r="1623" spans="1:4">
      <c r="A1623" t="s">
        <v>28</v>
      </c>
      <c r="B1623" s="71">
        <v>35916</v>
      </c>
      <c r="C1623" t="s">
        <v>49</v>
      </c>
      <c r="D1623">
        <v>737.99999877810478</v>
      </c>
    </row>
    <row r="1624" spans="1:4">
      <c r="A1624" t="s">
        <v>28</v>
      </c>
      <c r="B1624" s="71">
        <v>35300</v>
      </c>
      <c r="C1624" t="s">
        <v>42</v>
      </c>
      <c r="D1624">
        <v>53.099999912083149</v>
      </c>
    </row>
    <row r="1625" spans="1:4">
      <c r="A1625" t="s">
        <v>28</v>
      </c>
      <c r="B1625" s="71">
        <v>35324</v>
      </c>
      <c r="C1625" t="s">
        <v>49</v>
      </c>
      <c r="D1625">
        <v>29.5</v>
      </c>
    </row>
    <row r="1626" spans="1:4">
      <c r="A1626" t="s">
        <v>28</v>
      </c>
      <c r="B1626" s="71">
        <v>35354</v>
      </c>
      <c r="C1626" t="s">
        <v>48</v>
      </c>
      <c r="D1626">
        <v>88.5</v>
      </c>
    </row>
    <row r="1627" spans="1:4">
      <c r="A1627" t="s">
        <v>28</v>
      </c>
      <c r="B1627" s="71">
        <v>35377</v>
      </c>
      <c r="C1627" t="s">
        <v>52</v>
      </c>
      <c r="D1627">
        <v>141.6</v>
      </c>
    </row>
    <row r="1628" spans="1:4">
      <c r="A1628" t="s">
        <v>28</v>
      </c>
      <c r="B1628" s="71">
        <v>35381</v>
      </c>
      <c r="C1628" t="s">
        <v>45</v>
      </c>
      <c r="D1628">
        <v>100.29999929666519</v>
      </c>
    </row>
    <row r="1629" spans="1:4">
      <c r="A1629" t="s">
        <v>28</v>
      </c>
      <c r="B1629" s="71">
        <v>35391</v>
      </c>
      <c r="C1629" t="s">
        <v>42</v>
      </c>
      <c r="D1629">
        <v>165.2</v>
      </c>
    </row>
    <row r="1630" spans="1:4">
      <c r="A1630" t="s">
        <v>28</v>
      </c>
      <c r="B1630" s="71">
        <v>35394</v>
      </c>
      <c r="C1630" t="s">
        <v>45</v>
      </c>
      <c r="D1630">
        <v>141.6</v>
      </c>
    </row>
    <row r="1631" spans="1:4">
      <c r="A1631" t="s">
        <v>28</v>
      </c>
      <c r="B1631" s="71">
        <v>35397</v>
      </c>
      <c r="C1631" t="s">
        <v>52</v>
      </c>
      <c r="D1631">
        <v>106.2</v>
      </c>
    </row>
    <row r="1632" spans="1:4">
      <c r="A1632" t="s">
        <v>28</v>
      </c>
      <c r="B1632" s="71">
        <v>35405</v>
      </c>
      <c r="C1632" t="s">
        <v>45</v>
      </c>
      <c r="D1632">
        <v>59</v>
      </c>
    </row>
    <row r="1633" spans="1:4">
      <c r="A1633" t="s">
        <v>28</v>
      </c>
      <c r="B1633" s="71">
        <v>35438</v>
      </c>
      <c r="C1633" t="s">
        <v>50</v>
      </c>
      <c r="D1633">
        <v>35.4</v>
      </c>
    </row>
    <row r="1634" spans="1:4">
      <c r="A1634" t="s">
        <v>28</v>
      </c>
      <c r="B1634" s="71">
        <v>35461</v>
      </c>
      <c r="C1634" t="s">
        <v>45</v>
      </c>
      <c r="D1634">
        <v>236</v>
      </c>
    </row>
    <row r="1635" spans="1:4">
      <c r="A1635" t="s">
        <v>28</v>
      </c>
      <c r="B1635" s="71">
        <v>35472</v>
      </c>
      <c r="C1635" t="s">
        <v>45</v>
      </c>
      <c r="D1635">
        <v>472</v>
      </c>
    </row>
    <row r="1636" spans="1:4">
      <c r="A1636" t="s">
        <v>28</v>
      </c>
      <c r="B1636" s="71">
        <v>35474</v>
      </c>
      <c r="C1636" t="s">
        <v>45</v>
      </c>
      <c r="D1636">
        <v>88.5</v>
      </c>
    </row>
    <row r="1637" spans="1:4">
      <c r="A1637" t="s">
        <v>28</v>
      </c>
      <c r="B1637" s="71">
        <v>35480</v>
      </c>
      <c r="C1637" t="s">
        <v>50</v>
      </c>
      <c r="D1637">
        <v>28.319999894499777</v>
      </c>
    </row>
    <row r="1638" spans="1:4">
      <c r="A1638" t="s">
        <v>28</v>
      </c>
      <c r="B1638" s="71">
        <v>35515</v>
      </c>
      <c r="C1638" t="s">
        <v>51</v>
      </c>
      <c r="D1638">
        <v>106.19999999999999</v>
      </c>
    </row>
    <row r="1639" spans="1:4">
      <c r="A1639" t="s">
        <v>28</v>
      </c>
      <c r="B1639" s="71">
        <v>35529</v>
      </c>
      <c r="C1639" t="s">
        <v>48</v>
      </c>
      <c r="D1639">
        <v>149</v>
      </c>
    </row>
    <row r="1640" spans="1:4">
      <c r="A1640" t="s">
        <v>28</v>
      </c>
      <c r="B1640" s="71">
        <v>35551</v>
      </c>
      <c r="C1640" t="s">
        <v>49</v>
      </c>
      <c r="D1640">
        <v>111.75</v>
      </c>
    </row>
    <row r="1641" spans="1:4">
      <c r="A1641" t="s">
        <v>28</v>
      </c>
      <c r="B1641" s="71">
        <v>35562</v>
      </c>
      <c r="C1641" t="s">
        <v>50</v>
      </c>
      <c r="D1641">
        <v>59.599999777972698</v>
      </c>
    </row>
    <row r="1642" spans="1:4">
      <c r="A1642" t="s">
        <v>28</v>
      </c>
      <c r="B1642" s="71">
        <v>35570</v>
      </c>
      <c r="C1642" t="s">
        <v>49</v>
      </c>
      <c r="D1642">
        <v>169.85999986678362</v>
      </c>
    </row>
    <row r="1643" spans="1:4">
      <c r="A1643" t="s">
        <v>28</v>
      </c>
      <c r="B1643" s="71">
        <v>35618</v>
      </c>
      <c r="C1643" t="s">
        <v>49</v>
      </c>
      <c r="D1643">
        <v>372.5</v>
      </c>
    </row>
    <row r="1644" spans="1:4">
      <c r="A1644" t="s">
        <v>28</v>
      </c>
      <c r="B1644" s="71">
        <v>35627</v>
      </c>
      <c r="C1644" t="s">
        <v>42</v>
      </c>
      <c r="D1644">
        <v>29.8</v>
      </c>
    </row>
    <row r="1645" spans="1:4">
      <c r="A1645" t="s">
        <v>28</v>
      </c>
      <c r="B1645" s="71">
        <v>35671</v>
      </c>
      <c r="C1645" t="s">
        <v>30</v>
      </c>
      <c r="D1645">
        <v>223.5</v>
      </c>
    </row>
    <row r="1646" spans="1:4">
      <c r="A1646" t="s">
        <v>28</v>
      </c>
      <c r="B1646" s="71">
        <v>35675</v>
      </c>
      <c r="C1646" t="s">
        <v>30</v>
      </c>
      <c r="D1646">
        <v>40.229999933391809</v>
      </c>
    </row>
    <row r="1647" spans="1:4">
      <c r="A1647" t="s">
        <v>28</v>
      </c>
      <c r="B1647" s="71">
        <v>35696</v>
      </c>
      <c r="C1647" t="s">
        <v>52</v>
      </c>
      <c r="D1647">
        <v>223.5</v>
      </c>
    </row>
    <row r="1648" spans="1:4">
      <c r="A1648" t="s">
        <v>28</v>
      </c>
      <c r="B1648" s="71">
        <v>35709</v>
      </c>
      <c r="C1648" t="s">
        <v>45</v>
      </c>
      <c r="D1648">
        <v>379.94999733567238</v>
      </c>
    </row>
    <row r="1649" spans="1:4">
      <c r="A1649" t="s">
        <v>28</v>
      </c>
      <c r="B1649" s="71">
        <v>35727</v>
      </c>
      <c r="C1649" t="s">
        <v>49</v>
      </c>
      <c r="D1649">
        <v>111.75</v>
      </c>
    </row>
    <row r="1650" spans="1:4">
      <c r="A1650" t="s">
        <v>28</v>
      </c>
      <c r="B1650" s="71">
        <v>35730</v>
      </c>
      <c r="C1650" t="s">
        <v>50</v>
      </c>
      <c r="D1650">
        <v>223.5</v>
      </c>
    </row>
    <row r="1651" spans="1:4">
      <c r="A1651" t="s">
        <v>28</v>
      </c>
      <c r="B1651" s="71">
        <v>35781</v>
      </c>
      <c r="C1651" t="s">
        <v>51</v>
      </c>
      <c r="D1651">
        <v>17.879999933391812</v>
      </c>
    </row>
    <row r="1652" spans="1:4">
      <c r="A1652" t="s">
        <v>28</v>
      </c>
      <c r="B1652" s="71">
        <v>35787</v>
      </c>
      <c r="C1652" t="s">
        <v>49</v>
      </c>
      <c r="D1652">
        <v>22.35</v>
      </c>
    </row>
    <row r="1653" spans="1:4">
      <c r="A1653" t="s">
        <v>28</v>
      </c>
      <c r="B1653" s="71">
        <v>35788</v>
      </c>
      <c r="C1653" t="s">
        <v>37</v>
      </c>
      <c r="D1653">
        <v>35.759999866783623</v>
      </c>
    </row>
    <row r="1654" spans="1:4">
      <c r="A1654" t="s">
        <v>28</v>
      </c>
      <c r="B1654" s="71">
        <v>35790</v>
      </c>
      <c r="C1654" t="s">
        <v>49</v>
      </c>
      <c r="D1654">
        <v>46.934999922290444</v>
      </c>
    </row>
    <row r="1655" spans="1:4">
      <c r="A1655" t="s">
        <v>28</v>
      </c>
      <c r="B1655" s="71">
        <v>35824</v>
      </c>
      <c r="C1655" t="s">
        <v>49</v>
      </c>
      <c r="D1655">
        <v>195.5625</v>
      </c>
    </row>
    <row r="1656" spans="1:4">
      <c r="A1656" t="s">
        <v>28</v>
      </c>
      <c r="B1656" s="71">
        <v>35837</v>
      </c>
      <c r="C1656" t="s">
        <v>42</v>
      </c>
      <c r="D1656">
        <v>202.63999857902527</v>
      </c>
    </row>
    <row r="1657" spans="1:4">
      <c r="A1657" t="s">
        <v>28</v>
      </c>
      <c r="B1657" s="71">
        <v>35853</v>
      </c>
      <c r="C1657" t="s">
        <v>51</v>
      </c>
      <c r="D1657">
        <v>74.5</v>
      </c>
    </row>
    <row r="1658" spans="1:4">
      <c r="A1658" t="s">
        <v>28</v>
      </c>
      <c r="B1658" s="71">
        <v>35905</v>
      </c>
      <c r="C1658" t="s">
        <v>51</v>
      </c>
      <c r="D1658">
        <v>74.5</v>
      </c>
    </row>
    <row r="1659" spans="1:4">
      <c r="A1659" t="s">
        <v>28</v>
      </c>
      <c r="B1659" s="71">
        <v>35916</v>
      </c>
      <c r="C1659" t="s">
        <v>50</v>
      </c>
      <c r="D1659">
        <v>111.75</v>
      </c>
    </row>
    <row r="1660" spans="1:4">
      <c r="A1660" t="s">
        <v>28</v>
      </c>
      <c r="B1660" s="71">
        <v>35257</v>
      </c>
      <c r="C1660" t="s">
        <v>30</v>
      </c>
      <c r="D1660">
        <v>342.71999759674071</v>
      </c>
    </row>
    <row r="1661" spans="1:4">
      <c r="A1661" t="s">
        <v>28</v>
      </c>
      <c r="B1661" s="71">
        <v>35291</v>
      </c>
      <c r="C1661" t="s">
        <v>51</v>
      </c>
      <c r="D1661">
        <v>384</v>
      </c>
    </row>
    <row r="1662" spans="1:4">
      <c r="A1662" t="s">
        <v>28</v>
      </c>
      <c r="B1662" s="71">
        <v>35368</v>
      </c>
      <c r="C1662" t="s">
        <v>42</v>
      </c>
      <c r="D1662">
        <v>614.39999771118164</v>
      </c>
    </row>
    <row r="1663" spans="1:4">
      <c r="A1663" t="s">
        <v>28</v>
      </c>
      <c r="B1663" s="71">
        <v>35387</v>
      </c>
      <c r="C1663" t="s">
        <v>37</v>
      </c>
      <c r="D1663">
        <v>230.4</v>
      </c>
    </row>
    <row r="1664" spans="1:4">
      <c r="A1664" t="s">
        <v>28</v>
      </c>
      <c r="B1664" s="71">
        <v>35419</v>
      </c>
      <c r="C1664" t="s">
        <v>42</v>
      </c>
      <c r="D1664">
        <v>288</v>
      </c>
    </row>
    <row r="1665" spans="1:4">
      <c r="A1665" t="s">
        <v>28</v>
      </c>
      <c r="B1665" s="71">
        <v>35429</v>
      </c>
      <c r="C1665" t="s">
        <v>51</v>
      </c>
      <c r="D1665">
        <v>2073.5999965667725</v>
      </c>
    </row>
    <row r="1666" spans="1:4">
      <c r="A1666" t="s">
        <v>28</v>
      </c>
      <c r="B1666" s="71">
        <v>35454</v>
      </c>
      <c r="C1666" t="s">
        <v>37</v>
      </c>
      <c r="D1666">
        <v>144</v>
      </c>
    </row>
    <row r="1667" spans="1:4">
      <c r="A1667" t="s">
        <v>28</v>
      </c>
      <c r="B1667" s="71">
        <v>35480</v>
      </c>
      <c r="C1667" t="s">
        <v>42</v>
      </c>
      <c r="D1667">
        <v>2073.5999965667725</v>
      </c>
    </row>
    <row r="1668" spans="1:4">
      <c r="A1668" t="s">
        <v>28</v>
      </c>
      <c r="B1668" s="71">
        <v>35489</v>
      </c>
      <c r="C1668" t="s">
        <v>49</v>
      </c>
      <c r="D1668">
        <v>864</v>
      </c>
    </row>
    <row r="1669" spans="1:4">
      <c r="A1669" t="s">
        <v>28</v>
      </c>
      <c r="B1669" s="71">
        <v>35506</v>
      </c>
      <c r="C1669" t="s">
        <v>50</v>
      </c>
      <c r="D1669">
        <v>36.479999971389766</v>
      </c>
    </row>
    <row r="1670" spans="1:4">
      <c r="A1670" t="s">
        <v>28</v>
      </c>
      <c r="B1670" s="71">
        <v>35514</v>
      </c>
      <c r="C1670" t="s">
        <v>42</v>
      </c>
      <c r="D1670">
        <v>518.39999914169312</v>
      </c>
    </row>
    <row r="1671" spans="1:4">
      <c r="A1671" t="s">
        <v>28</v>
      </c>
      <c r="B1671" s="71">
        <v>35557</v>
      </c>
      <c r="C1671" t="s">
        <v>30</v>
      </c>
      <c r="D1671">
        <v>336</v>
      </c>
    </row>
    <row r="1672" spans="1:4">
      <c r="A1672" t="s">
        <v>28</v>
      </c>
      <c r="B1672" s="71">
        <v>35586</v>
      </c>
      <c r="C1672" t="s">
        <v>37</v>
      </c>
      <c r="D1672">
        <v>410.39999967813492</v>
      </c>
    </row>
    <row r="1673" spans="1:4">
      <c r="A1673" t="s">
        <v>28</v>
      </c>
      <c r="B1673" s="71">
        <v>35591</v>
      </c>
      <c r="C1673" t="s">
        <v>42</v>
      </c>
      <c r="D1673">
        <v>569.99999955296516</v>
      </c>
    </row>
    <row r="1674" spans="1:4">
      <c r="A1674" t="s">
        <v>28</v>
      </c>
      <c r="B1674" s="71">
        <v>35633</v>
      </c>
      <c r="C1674" t="s">
        <v>42</v>
      </c>
      <c r="D1674">
        <v>383.99999856948853</v>
      </c>
    </row>
    <row r="1675" spans="1:4">
      <c r="A1675" t="s">
        <v>28</v>
      </c>
      <c r="B1675" s="71">
        <v>35641</v>
      </c>
      <c r="C1675" t="s">
        <v>51</v>
      </c>
      <c r="D1675">
        <v>120</v>
      </c>
    </row>
    <row r="1676" spans="1:4">
      <c r="A1676" t="s">
        <v>28</v>
      </c>
      <c r="B1676" s="71">
        <v>35655</v>
      </c>
      <c r="C1676" t="s">
        <v>49</v>
      </c>
      <c r="D1676">
        <v>273.59999978542328</v>
      </c>
    </row>
    <row r="1677" spans="1:4">
      <c r="A1677" t="s">
        <v>28</v>
      </c>
      <c r="B1677" s="71">
        <v>35688</v>
      </c>
      <c r="C1677" t="s">
        <v>49</v>
      </c>
      <c r="D1677">
        <v>86.399999856948853</v>
      </c>
    </row>
    <row r="1678" spans="1:4">
      <c r="A1678" t="s">
        <v>28</v>
      </c>
      <c r="B1678" s="71">
        <v>35719</v>
      </c>
      <c r="C1678" t="s">
        <v>42</v>
      </c>
      <c r="D1678">
        <v>504</v>
      </c>
    </row>
    <row r="1679" spans="1:4">
      <c r="A1679" t="s">
        <v>28</v>
      </c>
      <c r="B1679" s="71">
        <v>35734</v>
      </c>
      <c r="C1679" t="s">
        <v>42</v>
      </c>
      <c r="D1679">
        <v>144</v>
      </c>
    </row>
    <row r="1680" spans="1:4">
      <c r="A1680" t="s">
        <v>28</v>
      </c>
      <c r="B1680" s="71">
        <v>35738</v>
      </c>
      <c r="C1680" t="s">
        <v>42</v>
      </c>
      <c r="D1680">
        <v>288</v>
      </c>
    </row>
    <row r="1681" spans="1:4">
      <c r="A1681" t="s">
        <v>28</v>
      </c>
      <c r="B1681" s="71">
        <v>35793</v>
      </c>
      <c r="C1681" t="s">
        <v>42</v>
      </c>
      <c r="D1681">
        <v>1080</v>
      </c>
    </row>
    <row r="1682" spans="1:4">
      <c r="A1682" t="s">
        <v>28</v>
      </c>
      <c r="B1682" s="71">
        <v>35831</v>
      </c>
      <c r="C1682" t="s">
        <v>30</v>
      </c>
      <c r="D1682">
        <v>227.99999982118607</v>
      </c>
    </row>
    <row r="1683" spans="1:4">
      <c r="A1683" t="s">
        <v>28</v>
      </c>
      <c r="B1683" s="71">
        <v>35849</v>
      </c>
      <c r="C1683" t="s">
        <v>49</v>
      </c>
      <c r="D1683">
        <v>611.99999570846558</v>
      </c>
    </row>
    <row r="1684" spans="1:4">
      <c r="A1684" t="s">
        <v>28</v>
      </c>
      <c r="B1684" s="71">
        <v>35860</v>
      </c>
      <c r="C1684" t="s">
        <v>42</v>
      </c>
      <c r="D1684">
        <v>479.99999821186066</v>
      </c>
    </row>
    <row r="1685" spans="1:4">
      <c r="A1685" t="s">
        <v>28</v>
      </c>
      <c r="B1685" s="71">
        <v>35867</v>
      </c>
      <c r="C1685" t="s">
        <v>45</v>
      </c>
      <c r="D1685">
        <v>96</v>
      </c>
    </row>
    <row r="1686" spans="1:4">
      <c r="A1686" t="s">
        <v>28</v>
      </c>
      <c r="B1686" s="71">
        <v>35886</v>
      </c>
      <c r="C1686" t="s">
        <v>51</v>
      </c>
      <c r="D1686">
        <v>1325.9999907016754</v>
      </c>
    </row>
    <row r="1687" spans="1:4">
      <c r="A1687" t="s">
        <v>28</v>
      </c>
      <c r="B1687" s="71">
        <v>35891</v>
      </c>
      <c r="C1687" t="s">
        <v>51</v>
      </c>
      <c r="D1687">
        <v>144</v>
      </c>
    </row>
    <row r="1688" spans="1:4">
      <c r="A1688" t="s">
        <v>28</v>
      </c>
      <c r="B1688" s="71">
        <v>35891</v>
      </c>
      <c r="C1688" t="s">
        <v>42</v>
      </c>
      <c r="D1688">
        <v>960</v>
      </c>
    </row>
    <row r="1689" spans="1:4">
      <c r="A1689" t="s">
        <v>28</v>
      </c>
      <c r="B1689" s="71">
        <v>35901</v>
      </c>
      <c r="C1689" t="s">
        <v>51</v>
      </c>
      <c r="D1689">
        <v>840</v>
      </c>
    </row>
    <row r="1690" spans="1:4">
      <c r="A1690" t="s">
        <v>28</v>
      </c>
      <c r="B1690" s="71">
        <v>35913</v>
      </c>
      <c r="C1690" t="s">
        <v>50</v>
      </c>
      <c r="D1690">
        <v>840</v>
      </c>
    </row>
    <row r="1691" spans="1:4">
      <c r="A1691" t="s">
        <v>28</v>
      </c>
      <c r="B1691" s="71">
        <v>35916</v>
      </c>
      <c r="C1691" t="s">
        <v>49</v>
      </c>
      <c r="D1691">
        <v>86.399999856948853</v>
      </c>
    </row>
    <row r="1692" spans="1:4">
      <c r="A1692" t="s">
        <v>28</v>
      </c>
      <c r="B1692" s="71">
        <v>35921</v>
      </c>
      <c r="C1692" t="s">
        <v>49</v>
      </c>
      <c r="D1692">
        <v>48</v>
      </c>
    </row>
    <row r="1693" spans="1:4">
      <c r="A1693" t="s">
        <v>106</v>
      </c>
      <c r="B1693" s="71">
        <v>35268</v>
      </c>
      <c r="C1693" t="s">
        <v>50</v>
      </c>
      <c r="D1693">
        <v>360</v>
      </c>
    </row>
    <row r="1694" spans="1:4">
      <c r="A1694" t="s">
        <v>106</v>
      </c>
      <c r="B1694" s="71">
        <v>35416</v>
      </c>
      <c r="C1694" t="s">
        <v>49</v>
      </c>
      <c r="D1694">
        <v>191.99999928474426</v>
      </c>
    </row>
    <row r="1695" spans="1:4">
      <c r="A1695" t="s">
        <v>106</v>
      </c>
      <c r="B1695" s="71">
        <v>35488</v>
      </c>
      <c r="C1695" t="s">
        <v>42</v>
      </c>
      <c r="D1695">
        <v>364.79999971389771</v>
      </c>
    </row>
    <row r="1696" spans="1:4">
      <c r="A1696" t="s">
        <v>106</v>
      </c>
      <c r="B1696" s="71">
        <v>35500</v>
      </c>
      <c r="C1696" t="s">
        <v>51</v>
      </c>
      <c r="D1696">
        <v>720</v>
      </c>
    </row>
    <row r="1697" spans="1:4">
      <c r="A1697" t="s">
        <v>106</v>
      </c>
      <c r="B1697" s="71">
        <v>35538</v>
      </c>
      <c r="C1697" t="s">
        <v>42</v>
      </c>
      <c r="D1697">
        <v>1274.9999910593033</v>
      </c>
    </row>
    <row r="1698" spans="1:4">
      <c r="A1698" t="s">
        <v>106</v>
      </c>
      <c r="B1698" s="71">
        <v>35573</v>
      </c>
      <c r="C1698" t="s">
        <v>49</v>
      </c>
      <c r="D1698">
        <v>300</v>
      </c>
    </row>
    <row r="1699" spans="1:4">
      <c r="A1699" t="s">
        <v>106</v>
      </c>
      <c r="B1699" s="71">
        <v>35618</v>
      </c>
      <c r="C1699" t="s">
        <v>49</v>
      </c>
      <c r="D1699">
        <v>300</v>
      </c>
    </row>
    <row r="1700" spans="1:4">
      <c r="A1700" t="s">
        <v>106</v>
      </c>
      <c r="B1700" s="71">
        <v>35633</v>
      </c>
      <c r="C1700" t="s">
        <v>30</v>
      </c>
      <c r="D1700">
        <v>1350</v>
      </c>
    </row>
    <row r="1701" spans="1:4">
      <c r="A1701" t="s">
        <v>106</v>
      </c>
      <c r="B1701" s="71">
        <v>35657</v>
      </c>
      <c r="C1701" t="s">
        <v>42</v>
      </c>
      <c r="D1701">
        <v>1050</v>
      </c>
    </row>
    <row r="1702" spans="1:4">
      <c r="A1702" t="s">
        <v>106</v>
      </c>
      <c r="B1702" s="71">
        <v>35709</v>
      </c>
      <c r="C1702" t="s">
        <v>50</v>
      </c>
      <c r="D1702">
        <v>2700</v>
      </c>
    </row>
    <row r="1703" spans="1:4">
      <c r="A1703" t="s">
        <v>106</v>
      </c>
      <c r="B1703" s="71">
        <v>35769</v>
      </c>
      <c r="C1703" t="s">
        <v>42</v>
      </c>
      <c r="D1703">
        <v>1050</v>
      </c>
    </row>
    <row r="1704" spans="1:4">
      <c r="A1704" t="s">
        <v>106</v>
      </c>
      <c r="B1704" s="71">
        <v>35786</v>
      </c>
      <c r="C1704" t="s">
        <v>37</v>
      </c>
      <c r="D1704">
        <v>76.499999463558197</v>
      </c>
    </row>
    <row r="1705" spans="1:4">
      <c r="A1705" t="s">
        <v>106</v>
      </c>
      <c r="B1705" s="71">
        <v>35810</v>
      </c>
      <c r="C1705" t="s">
        <v>37</v>
      </c>
      <c r="D1705">
        <v>539.99999910593033</v>
      </c>
    </row>
    <row r="1706" spans="1:4">
      <c r="A1706" t="s">
        <v>106</v>
      </c>
      <c r="B1706" s="71">
        <v>35824</v>
      </c>
      <c r="C1706" t="s">
        <v>51</v>
      </c>
      <c r="D1706">
        <v>150</v>
      </c>
    </row>
    <row r="1707" spans="1:4">
      <c r="A1707" t="s">
        <v>106</v>
      </c>
      <c r="B1707" s="71">
        <v>35852</v>
      </c>
      <c r="C1707" t="s">
        <v>42</v>
      </c>
      <c r="D1707">
        <v>569.99999955296516</v>
      </c>
    </row>
    <row r="1708" spans="1:4">
      <c r="A1708" t="s">
        <v>106</v>
      </c>
      <c r="B1708" s="71">
        <v>35852</v>
      </c>
      <c r="C1708" t="s">
        <v>49</v>
      </c>
      <c r="D1708">
        <v>360</v>
      </c>
    </row>
    <row r="1709" spans="1:4">
      <c r="A1709" t="s">
        <v>106</v>
      </c>
      <c r="B1709" s="71">
        <v>35865</v>
      </c>
      <c r="C1709" t="s">
        <v>50</v>
      </c>
      <c r="D1709">
        <v>240</v>
      </c>
    </row>
    <row r="1710" spans="1:4">
      <c r="A1710" t="s">
        <v>106</v>
      </c>
      <c r="B1710" s="71">
        <v>35872</v>
      </c>
      <c r="C1710" t="s">
        <v>52</v>
      </c>
      <c r="D1710">
        <v>180</v>
      </c>
    </row>
    <row r="1711" spans="1:4">
      <c r="A1711" t="s">
        <v>106</v>
      </c>
      <c r="B1711" s="71">
        <v>35873</v>
      </c>
      <c r="C1711" t="s">
        <v>50</v>
      </c>
      <c r="D1711">
        <v>1350</v>
      </c>
    </row>
    <row r="1712" spans="1:4">
      <c r="A1712" t="s">
        <v>106</v>
      </c>
      <c r="B1712" s="71">
        <v>35880</v>
      </c>
      <c r="C1712" t="s">
        <v>50</v>
      </c>
      <c r="D1712">
        <v>540</v>
      </c>
    </row>
    <row r="1713" spans="1:4">
      <c r="A1713" t="s">
        <v>106</v>
      </c>
      <c r="B1713" s="71">
        <v>35881</v>
      </c>
      <c r="C1713" t="s">
        <v>51</v>
      </c>
      <c r="D1713">
        <v>600</v>
      </c>
    </row>
    <row r="1714" spans="1:4">
      <c r="A1714" t="s">
        <v>106</v>
      </c>
      <c r="B1714" s="71">
        <v>35885</v>
      </c>
      <c r="C1714" t="s">
        <v>50</v>
      </c>
      <c r="D1714">
        <v>1800</v>
      </c>
    </row>
    <row r="1715" spans="1:4">
      <c r="A1715" t="s">
        <v>106</v>
      </c>
      <c r="B1715" s="71">
        <v>35885</v>
      </c>
      <c r="C1715" t="s">
        <v>45</v>
      </c>
      <c r="D1715">
        <v>1800</v>
      </c>
    </row>
    <row r="1716" spans="1:4">
      <c r="A1716" t="s">
        <v>106</v>
      </c>
      <c r="B1716" s="71">
        <v>35891</v>
      </c>
      <c r="C1716" t="s">
        <v>51</v>
      </c>
      <c r="D1716">
        <v>1800</v>
      </c>
    </row>
    <row r="1717" spans="1:4">
      <c r="A1717" t="s">
        <v>106</v>
      </c>
      <c r="B1717" s="71">
        <v>35894</v>
      </c>
      <c r="C1717" t="s">
        <v>51</v>
      </c>
      <c r="D1717">
        <v>600</v>
      </c>
    </row>
    <row r="1718" spans="1:4">
      <c r="A1718" t="s">
        <v>106</v>
      </c>
      <c r="B1718" s="71">
        <v>35899</v>
      </c>
      <c r="C1718" t="s">
        <v>49</v>
      </c>
      <c r="D1718">
        <v>120</v>
      </c>
    </row>
    <row r="1719" spans="1:4">
      <c r="A1719" t="s">
        <v>106</v>
      </c>
      <c r="B1719" s="71">
        <v>35913</v>
      </c>
      <c r="C1719" t="s">
        <v>50</v>
      </c>
      <c r="D1719">
        <v>1200</v>
      </c>
    </row>
    <row r="1720" spans="1:4">
      <c r="A1720" t="s">
        <v>106</v>
      </c>
      <c r="B1720" s="71">
        <v>35920</v>
      </c>
      <c r="C1720" t="s">
        <v>49</v>
      </c>
      <c r="D1720">
        <v>427.49999966472387</v>
      </c>
    </row>
    <row r="1721" spans="1:4">
      <c r="A1721" t="s">
        <v>106</v>
      </c>
      <c r="B1721" s="71">
        <v>35921</v>
      </c>
      <c r="C1721" t="s">
        <v>49</v>
      </c>
      <c r="D1721">
        <v>28.499999977648258</v>
      </c>
    </row>
    <row r="1722" spans="1:4">
      <c r="A1722" t="s">
        <v>106</v>
      </c>
      <c r="B1722" s="71">
        <v>35251</v>
      </c>
      <c r="C1722" t="s">
        <v>37</v>
      </c>
      <c r="D1722">
        <v>167.4</v>
      </c>
    </row>
    <row r="1723" spans="1:4">
      <c r="A1723" t="s">
        <v>106</v>
      </c>
      <c r="B1723" s="71">
        <v>35347</v>
      </c>
      <c r="C1723" t="s">
        <v>49</v>
      </c>
      <c r="D1723">
        <v>167.4</v>
      </c>
    </row>
    <row r="1724" spans="1:4">
      <c r="A1724" t="s">
        <v>106</v>
      </c>
      <c r="B1724" s="71">
        <v>35356</v>
      </c>
      <c r="C1724" t="s">
        <v>30</v>
      </c>
      <c r="D1724">
        <v>186</v>
      </c>
    </row>
    <row r="1725" spans="1:4">
      <c r="A1725" t="s">
        <v>106</v>
      </c>
      <c r="B1725" s="71">
        <v>35405</v>
      </c>
      <c r="C1725" t="s">
        <v>45</v>
      </c>
      <c r="D1725">
        <v>279</v>
      </c>
    </row>
    <row r="1726" spans="1:4">
      <c r="A1726" t="s">
        <v>106</v>
      </c>
      <c r="B1726" s="71">
        <v>35424</v>
      </c>
      <c r="C1726" t="s">
        <v>49</v>
      </c>
      <c r="D1726">
        <v>585.90000000000009</v>
      </c>
    </row>
    <row r="1727" spans="1:4">
      <c r="A1727" t="s">
        <v>106</v>
      </c>
      <c r="B1727" s="71">
        <v>35439</v>
      </c>
      <c r="C1727" t="s">
        <v>45</v>
      </c>
      <c r="D1727">
        <v>223.2</v>
      </c>
    </row>
    <row r="1728" spans="1:4">
      <c r="A1728" t="s">
        <v>106</v>
      </c>
      <c r="B1728" s="71">
        <v>35443</v>
      </c>
      <c r="C1728" t="s">
        <v>50</v>
      </c>
      <c r="D1728">
        <v>334.7999994456768</v>
      </c>
    </row>
    <row r="1729" spans="1:4">
      <c r="A1729" t="s">
        <v>106</v>
      </c>
      <c r="B1729" s="71">
        <v>35457</v>
      </c>
      <c r="C1729" t="s">
        <v>42</v>
      </c>
      <c r="D1729">
        <v>651</v>
      </c>
    </row>
    <row r="1730" spans="1:4">
      <c r="A1730" t="s">
        <v>106</v>
      </c>
      <c r="B1730" s="71">
        <v>35502</v>
      </c>
      <c r="C1730" t="s">
        <v>30</v>
      </c>
      <c r="D1730">
        <v>223.2</v>
      </c>
    </row>
    <row r="1731" spans="1:4">
      <c r="A1731" t="s">
        <v>106</v>
      </c>
      <c r="B1731" s="71">
        <v>35531</v>
      </c>
      <c r="C1731" t="s">
        <v>37</v>
      </c>
      <c r="D1731">
        <v>1627.5</v>
      </c>
    </row>
    <row r="1732" spans="1:4">
      <c r="A1732" t="s">
        <v>106</v>
      </c>
      <c r="B1732" s="71">
        <v>35583</v>
      </c>
      <c r="C1732" t="s">
        <v>37</v>
      </c>
      <c r="D1732">
        <v>557.99999792128801</v>
      </c>
    </row>
    <row r="1733" spans="1:4">
      <c r="A1733" t="s">
        <v>106</v>
      </c>
      <c r="B1733" s="71">
        <v>35598</v>
      </c>
      <c r="C1733" t="s">
        <v>50</v>
      </c>
      <c r="D1733">
        <v>217.38749847561121</v>
      </c>
    </row>
    <row r="1734" spans="1:4">
      <c r="A1734" t="s">
        <v>106</v>
      </c>
      <c r="B1734" s="71">
        <v>35607</v>
      </c>
      <c r="C1734" t="s">
        <v>42</v>
      </c>
      <c r="D1734">
        <v>331.312499740161</v>
      </c>
    </row>
    <row r="1735" spans="1:4">
      <c r="A1735" t="s">
        <v>106</v>
      </c>
      <c r="B1735" s="71">
        <v>35649</v>
      </c>
      <c r="C1735" t="s">
        <v>50</v>
      </c>
      <c r="D1735">
        <v>488.25</v>
      </c>
    </row>
    <row r="1736" spans="1:4">
      <c r="A1736" t="s">
        <v>106</v>
      </c>
      <c r="B1736" s="71">
        <v>35650</v>
      </c>
      <c r="C1736" t="s">
        <v>45</v>
      </c>
      <c r="D1736">
        <v>69.75</v>
      </c>
    </row>
    <row r="1737" spans="1:4">
      <c r="A1737" t="s">
        <v>106</v>
      </c>
      <c r="B1737" s="71">
        <v>35677</v>
      </c>
      <c r="C1737" t="s">
        <v>37</v>
      </c>
      <c r="D1737">
        <v>62.774999896064401</v>
      </c>
    </row>
    <row r="1738" spans="1:4">
      <c r="A1738" t="s">
        <v>106</v>
      </c>
      <c r="B1738" s="71">
        <v>35692</v>
      </c>
      <c r="C1738" t="s">
        <v>30</v>
      </c>
      <c r="D1738">
        <v>697.5</v>
      </c>
    </row>
    <row r="1739" spans="1:4">
      <c r="A1739" t="s">
        <v>106</v>
      </c>
      <c r="B1739" s="71">
        <v>35741</v>
      </c>
      <c r="C1739" t="s">
        <v>49</v>
      </c>
      <c r="D1739">
        <v>372</v>
      </c>
    </row>
    <row r="1740" spans="1:4">
      <c r="A1740" t="s">
        <v>106</v>
      </c>
      <c r="B1740" s="71">
        <v>35755</v>
      </c>
      <c r="C1740" t="s">
        <v>48</v>
      </c>
      <c r="D1740">
        <v>98.812499307096004</v>
      </c>
    </row>
    <row r="1741" spans="1:4">
      <c r="A1741" t="s">
        <v>106</v>
      </c>
      <c r="B1741" s="71">
        <v>35788</v>
      </c>
      <c r="C1741" t="s">
        <v>37</v>
      </c>
      <c r="D1741">
        <v>278.99999896064401</v>
      </c>
    </row>
    <row r="1742" spans="1:4">
      <c r="A1742" t="s">
        <v>106</v>
      </c>
      <c r="B1742" s="71">
        <v>35921</v>
      </c>
      <c r="C1742" t="s">
        <v>42</v>
      </c>
      <c r="D1742">
        <v>348.75</v>
      </c>
    </row>
    <row r="1743" spans="1:4">
      <c r="A1743" t="s">
        <v>106</v>
      </c>
      <c r="B1743" s="71">
        <v>35921</v>
      </c>
      <c r="C1743" t="s">
        <v>49</v>
      </c>
      <c r="D1743">
        <v>22.55250001559034</v>
      </c>
    </row>
    <row r="1744" spans="1:4">
      <c r="A1744" t="s">
        <v>106</v>
      </c>
      <c r="B1744" s="71">
        <v>35286</v>
      </c>
      <c r="C1744" t="s">
        <v>51</v>
      </c>
      <c r="D1744">
        <v>728</v>
      </c>
    </row>
    <row r="1745" spans="1:4">
      <c r="A1745" t="s">
        <v>106</v>
      </c>
      <c r="B1745" s="71">
        <v>35318</v>
      </c>
      <c r="C1745" t="s">
        <v>42</v>
      </c>
      <c r="D1745">
        <v>1019.2</v>
      </c>
    </row>
    <row r="1746" spans="1:4">
      <c r="A1746" t="s">
        <v>106</v>
      </c>
      <c r="B1746" s="71">
        <v>35331</v>
      </c>
      <c r="C1746" t="s">
        <v>51</v>
      </c>
      <c r="D1746">
        <v>145.6</v>
      </c>
    </row>
    <row r="1747" spans="1:4">
      <c r="A1747" t="s">
        <v>106</v>
      </c>
      <c r="B1747" s="71">
        <v>35340</v>
      </c>
      <c r="C1747" t="s">
        <v>52</v>
      </c>
      <c r="D1747">
        <v>509.6</v>
      </c>
    </row>
    <row r="1748" spans="1:4">
      <c r="A1748" t="s">
        <v>106</v>
      </c>
      <c r="B1748" s="71">
        <v>35391</v>
      </c>
      <c r="C1748" t="s">
        <v>42</v>
      </c>
      <c r="D1748">
        <v>1092</v>
      </c>
    </row>
    <row r="1749" spans="1:4">
      <c r="A1749" t="s">
        <v>106</v>
      </c>
      <c r="B1749" s="71">
        <v>35398</v>
      </c>
      <c r="C1749" t="s">
        <v>51</v>
      </c>
      <c r="D1749">
        <v>425.87999929487705</v>
      </c>
    </row>
    <row r="1750" spans="1:4">
      <c r="A1750" t="s">
        <v>106</v>
      </c>
      <c r="B1750" s="71">
        <v>35408</v>
      </c>
      <c r="C1750" t="s">
        <v>49</v>
      </c>
      <c r="D1750">
        <v>618.79999566078186</v>
      </c>
    </row>
    <row r="1751" spans="1:4">
      <c r="A1751" t="s">
        <v>106</v>
      </c>
      <c r="B1751" s="71">
        <v>35417</v>
      </c>
      <c r="C1751" t="s">
        <v>49</v>
      </c>
      <c r="D1751">
        <v>218.4</v>
      </c>
    </row>
    <row r="1752" spans="1:4">
      <c r="A1752" t="s">
        <v>106</v>
      </c>
      <c r="B1752" s="71">
        <v>35437</v>
      </c>
      <c r="C1752" t="s">
        <v>52</v>
      </c>
      <c r="D1752">
        <v>1375.9199977219105</v>
      </c>
    </row>
    <row r="1753" spans="1:4">
      <c r="A1753" t="s">
        <v>106</v>
      </c>
      <c r="B1753" s="71">
        <v>35473</v>
      </c>
      <c r="C1753" t="s">
        <v>50</v>
      </c>
      <c r="D1753">
        <v>436.8</v>
      </c>
    </row>
    <row r="1754" spans="1:4">
      <c r="A1754" t="s">
        <v>106</v>
      </c>
      <c r="B1754" s="71">
        <v>35481</v>
      </c>
      <c r="C1754" t="s">
        <v>50</v>
      </c>
      <c r="D1754">
        <v>546</v>
      </c>
    </row>
    <row r="1755" spans="1:4">
      <c r="A1755" t="s">
        <v>106</v>
      </c>
      <c r="B1755" s="71">
        <v>35487</v>
      </c>
      <c r="C1755" t="s">
        <v>52</v>
      </c>
      <c r="D1755">
        <v>1092</v>
      </c>
    </row>
    <row r="1756" spans="1:4">
      <c r="A1756" t="s">
        <v>106</v>
      </c>
      <c r="B1756" s="71">
        <v>35502</v>
      </c>
      <c r="C1756" t="s">
        <v>30</v>
      </c>
      <c r="D1756">
        <v>655.20000000000005</v>
      </c>
    </row>
    <row r="1757" spans="1:4">
      <c r="A1757" t="s">
        <v>106</v>
      </c>
      <c r="B1757" s="71">
        <v>35528</v>
      </c>
      <c r="C1757" t="s">
        <v>42</v>
      </c>
      <c r="D1757">
        <v>912</v>
      </c>
    </row>
    <row r="1758" spans="1:4">
      <c r="A1758" t="s">
        <v>106</v>
      </c>
      <c r="B1758" s="71">
        <v>35529</v>
      </c>
      <c r="C1758" t="s">
        <v>37</v>
      </c>
      <c r="D1758">
        <v>346.55999972820285</v>
      </c>
    </row>
    <row r="1759" spans="1:4">
      <c r="A1759" t="s">
        <v>106</v>
      </c>
      <c r="B1759" s="71">
        <v>35537</v>
      </c>
      <c r="C1759" t="s">
        <v>42</v>
      </c>
      <c r="D1759">
        <v>136.80000000000001</v>
      </c>
    </row>
    <row r="1760" spans="1:4">
      <c r="A1760" t="s">
        <v>106</v>
      </c>
      <c r="B1760" s="71">
        <v>35542</v>
      </c>
      <c r="C1760" t="s">
        <v>45</v>
      </c>
      <c r="D1760">
        <v>1596</v>
      </c>
    </row>
    <row r="1761" spans="1:4">
      <c r="A1761" t="s">
        <v>106</v>
      </c>
      <c r="B1761" s="71">
        <v>35571</v>
      </c>
      <c r="C1761" t="s">
        <v>42</v>
      </c>
      <c r="D1761">
        <v>319.2</v>
      </c>
    </row>
    <row r="1762" spans="1:4">
      <c r="A1762" t="s">
        <v>106</v>
      </c>
      <c r="B1762" s="71">
        <v>35649</v>
      </c>
      <c r="C1762" t="s">
        <v>42</v>
      </c>
      <c r="D1762">
        <v>456</v>
      </c>
    </row>
    <row r="1763" spans="1:4">
      <c r="A1763" t="s">
        <v>106</v>
      </c>
      <c r="B1763" s="71">
        <v>35667</v>
      </c>
      <c r="C1763" t="s">
        <v>37</v>
      </c>
      <c r="D1763">
        <v>513</v>
      </c>
    </row>
    <row r="1764" spans="1:4">
      <c r="A1764" t="s">
        <v>106</v>
      </c>
      <c r="B1764" s="71">
        <v>35670</v>
      </c>
      <c r="C1764" t="s">
        <v>30</v>
      </c>
      <c r="D1764">
        <v>912</v>
      </c>
    </row>
    <row r="1765" spans="1:4">
      <c r="A1765" t="s">
        <v>106</v>
      </c>
      <c r="B1765" s="71">
        <v>35704</v>
      </c>
      <c r="C1765" t="s">
        <v>42</v>
      </c>
      <c r="D1765">
        <v>2462.3999959230423</v>
      </c>
    </row>
    <row r="1766" spans="1:4">
      <c r="A1766" t="s">
        <v>106</v>
      </c>
      <c r="B1766" s="71">
        <v>35741</v>
      </c>
      <c r="C1766" t="s">
        <v>49</v>
      </c>
      <c r="D1766">
        <v>912</v>
      </c>
    </row>
    <row r="1767" spans="1:4">
      <c r="A1767" t="s">
        <v>106</v>
      </c>
      <c r="B1767" s="71">
        <v>35747</v>
      </c>
      <c r="C1767" t="s">
        <v>42</v>
      </c>
      <c r="D1767">
        <v>182.39999932050705</v>
      </c>
    </row>
    <row r="1768" spans="1:4">
      <c r="A1768" t="s">
        <v>106</v>
      </c>
      <c r="B1768" s="71">
        <v>35794</v>
      </c>
      <c r="C1768" t="s">
        <v>37</v>
      </c>
      <c r="D1768">
        <v>1094.4000000000001</v>
      </c>
    </row>
    <row r="1769" spans="1:4">
      <c r="A1769" t="s">
        <v>106</v>
      </c>
      <c r="B1769" s="71">
        <v>35832</v>
      </c>
      <c r="C1769" t="s">
        <v>42</v>
      </c>
      <c r="D1769">
        <v>136.80000000000001</v>
      </c>
    </row>
    <row r="1770" spans="1:4">
      <c r="A1770" t="s">
        <v>106</v>
      </c>
      <c r="B1770" s="71">
        <v>35858</v>
      </c>
      <c r="C1770" t="s">
        <v>45</v>
      </c>
      <c r="D1770">
        <v>1231.1999979615211</v>
      </c>
    </row>
    <row r="1771" spans="1:4">
      <c r="A1771" t="s">
        <v>106</v>
      </c>
      <c r="B1771" s="71">
        <v>35864</v>
      </c>
      <c r="C1771" t="s">
        <v>52</v>
      </c>
      <c r="D1771">
        <v>364.8</v>
      </c>
    </row>
    <row r="1772" spans="1:4">
      <c r="A1772" t="s">
        <v>106</v>
      </c>
      <c r="B1772" s="71">
        <v>35870</v>
      </c>
      <c r="C1772" t="s">
        <v>49</v>
      </c>
      <c r="D1772">
        <v>91.2</v>
      </c>
    </row>
    <row r="1773" spans="1:4">
      <c r="A1773" t="s">
        <v>106</v>
      </c>
      <c r="B1773" s="71">
        <v>35879</v>
      </c>
      <c r="C1773" t="s">
        <v>49</v>
      </c>
      <c r="D1773">
        <v>912</v>
      </c>
    </row>
    <row r="1774" spans="1:4">
      <c r="A1774" t="s">
        <v>106</v>
      </c>
      <c r="B1774" s="71">
        <v>35893</v>
      </c>
      <c r="C1774" t="s">
        <v>52</v>
      </c>
      <c r="D1774">
        <v>3032.3999976217747</v>
      </c>
    </row>
    <row r="1775" spans="1:4">
      <c r="A1775" t="s">
        <v>106</v>
      </c>
      <c r="B1775" s="71">
        <v>35906</v>
      </c>
      <c r="C1775" t="s">
        <v>49</v>
      </c>
      <c r="D1775">
        <v>912</v>
      </c>
    </row>
    <row r="1776" spans="1:4">
      <c r="A1776" t="s">
        <v>106</v>
      </c>
      <c r="B1776" s="71">
        <v>35919</v>
      </c>
      <c r="C1776" t="s">
        <v>50</v>
      </c>
      <c r="D1776">
        <v>310.07999782562257</v>
      </c>
    </row>
    <row r="1777" spans="1:4">
      <c r="A1777" t="s">
        <v>106</v>
      </c>
      <c r="B1777" s="71">
        <v>35251</v>
      </c>
      <c r="C1777" t="s">
        <v>37</v>
      </c>
      <c r="D1777">
        <v>1696</v>
      </c>
    </row>
    <row r="1778" spans="1:4">
      <c r="A1778" t="s">
        <v>106</v>
      </c>
      <c r="B1778" s="71">
        <v>35254</v>
      </c>
      <c r="C1778" t="s">
        <v>42</v>
      </c>
      <c r="D1778">
        <v>1261.3999911546707</v>
      </c>
    </row>
    <row r="1779" spans="1:4">
      <c r="A1779" t="s">
        <v>106</v>
      </c>
      <c r="B1779" s="71">
        <v>35304</v>
      </c>
      <c r="C1779" t="s">
        <v>37</v>
      </c>
      <c r="D1779">
        <v>76.319999873638153</v>
      </c>
    </row>
    <row r="1780" spans="1:4">
      <c r="A1780" t="s">
        <v>106</v>
      </c>
      <c r="B1780" s="71">
        <v>35360</v>
      </c>
      <c r="C1780" t="s">
        <v>52</v>
      </c>
      <c r="D1780">
        <v>1628.1599939346313</v>
      </c>
    </row>
    <row r="1781" spans="1:4">
      <c r="A1781" t="s">
        <v>106</v>
      </c>
      <c r="B1781" s="71">
        <v>35394</v>
      </c>
      <c r="C1781" t="s">
        <v>45</v>
      </c>
      <c r="D1781">
        <v>848</v>
      </c>
    </row>
    <row r="1782" spans="1:4">
      <c r="A1782" t="s">
        <v>106</v>
      </c>
      <c r="B1782" s="71">
        <v>35426</v>
      </c>
      <c r="C1782" t="s">
        <v>30</v>
      </c>
      <c r="D1782">
        <v>648.71999545097356</v>
      </c>
    </row>
    <row r="1783" spans="1:4">
      <c r="A1783" t="s">
        <v>106</v>
      </c>
      <c r="B1783" s="71">
        <v>35501</v>
      </c>
      <c r="C1783" t="s">
        <v>50</v>
      </c>
      <c r="D1783">
        <v>763.2</v>
      </c>
    </row>
    <row r="1784" spans="1:4">
      <c r="A1784" t="s">
        <v>106</v>
      </c>
      <c r="B1784" s="71">
        <v>35513</v>
      </c>
      <c r="C1784" t="s">
        <v>45</v>
      </c>
      <c r="D1784">
        <v>127.2</v>
      </c>
    </row>
    <row r="1785" spans="1:4">
      <c r="A1785" t="s">
        <v>106</v>
      </c>
      <c r="B1785" s="71">
        <v>35515</v>
      </c>
      <c r="C1785" t="s">
        <v>49</v>
      </c>
      <c r="D1785">
        <v>1060</v>
      </c>
    </row>
    <row r="1786" spans="1:4">
      <c r="A1786" t="s">
        <v>106</v>
      </c>
      <c r="B1786" s="71">
        <v>35564</v>
      </c>
      <c r="C1786" t="s">
        <v>49</v>
      </c>
      <c r="D1786">
        <v>318</v>
      </c>
    </row>
    <row r="1787" spans="1:4">
      <c r="A1787" t="s">
        <v>106</v>
      </c>
      <c r="B1787" s="71">
        <v>35577</v>
      </c>
      <c r="C1787" t="s">
        <v>30</v>
      </c>
      <c r="D1787">
        <v>2162.3999848365784</v>
      </c>
    </row>
    <row r="1788" spans="1:4">
      <c r="A1788" t="s">
        <v>106</v>
      </c>
      <c r="B1788" s="71">
        <v>35583</v>
      </c>
      <c r="C1788" t="s">
        <v>37</v>
      </c>
      <c r="D1788">
        <v>847.99999684095383</v>
      </c>
    </row>
    <row r="1789" spans="1:4">
      <c r="A1789" t="s">
        <v>106</v>
      </c>
      <c r="B1789" s="71">
        <v>35585</v>
      </c>
      <c r="C1789" t="s">
        <v>49</v>
      </c>
      <c r="D1789">
        <v>1060</v>
      </c>
    </row>
    <row r="1790" spans="1:4">
      <c r="A1790" t="s">
        <v>106</v>
      </c>
      <c r="B1790" s="71">
        <v>35587</v>
      </c>
      <c r="C1790" t="s">
        <v>51</v>
      </c>
      <c r="D1790">
        <v>2650</v>
      </c>
    </row>
    <row r="1791" spans="1:4">
      <c r="A1791" t="s">
        <v>106</v>
      </c>
      <c r="B1791" s="71">
        <v>35593</v>
      </c>
      <c r="C1791" t="s">
        <v>49</v>
      </c>
      <c r="D1791">
        <v>159</v>
      </c>
    </row>
    <row r="1792" spans="1:4">
      <c r="A1792" t="s">
        <v>106</v>
      </c>
      <c r="B1792" s="71">
        <v>35657</v>
      </c>
      <c r="C1792" t="s">
        <v>42</v>
      </c>
      <c r="D1792">
        <v>795</v>
      </c>
    </row>
    <row r="1793" spans="1:4">
      <c r="A1793" t="s">
        <v>106</v>
      </c>
      <c r="B1793" s="71">
        <v>35683</v>
      </c>
      <c r="C1793" t="s">
        <v>51</v>
      </c>
      <c r="D1793">
        <v>1006.9999992102385</v>
      </c>
    </row>
    <row r="1794" spans="1:4">
      <c r="A1794" t="s">
        <v>106</v>
      </c>
      <c r="B1794" s="71">
        <v>35684</v>
      </c>
      <c r="C1794" t="s">
        <v>49</v>
      </c>
      <c r="D1794">
        <v>1060</v>
      </c>
    </row>
    <row r="1795" spans="1:4">
      <c r="A1795" t="s">
        <v>106</v>
      </c>
      <c r="B1795" s="71">
        <v>35720</v>
      </c>
      <c r="C1795" t="s">
        <v>49</v>
      </c>
      <c r="D1795">
        <v>1484</v>
      </c>
    </row>
    <row r="1796" spans="1:4">
      <c r="A1796" t="s">
        <v>106</v>
      </c>
      <c r="B1796" s="71">
        <v>35727</v>
      </c>
      <c r="C1796" t="s">
        <v>42</v>
      </c>
      <c r="D1796">
        <v>371</v>
      </c>
    </row>
    <row r="1797" spans="1:4">
      <c r="A1797" t="s">
        <v>106</v>
      </c>
      <c r="B1797" s="71">
        <v>35740</v>
      </c>
      <c r="C1797" t="s">
        <v>52</v>
      </c>
      <c r="D1797">
        <v>1510.4999988153577</v>
      </c>
    </row>
    <row r="1798" spans="1:4">
      <c r="A1798" t="s">
        <v>106</v>
      </c>
      <c r="B1798" s="71">
        <v>35766</v>
      </c>
      <c r="C1798" t="s">
        <v>45</v>
      </c>
      <c r="D1798">
        <v>1484</v>
      </c>
    </row>
    <row r="1799" spans="1:4">
      <c r="A1799" t="s">
        <v>106</v>
      </c>
      <c r="B1799" s="71">
        <v>35779</v>
      </c>
      <c r="C1799" t="s">
        <v>49</v>
      </c>
      <c r="D1799">
        <v>6041.9999952614307</v>
      </c>
    </row>
    <row r="1800" spans="1:4">
      <c r="A1800" t="s">
        <v>106</v>
      </c>
      <c r="B1800" s="71">
        <v>35790</v>
      </c>
      <c r="C1800" t="s">
        <v>49</v>
      </c>
      <c r="D1800">
        <v>476.99999921023846</v>
      </c>
    </row>
    <row r="1801" spans="1:4">
      <c r="A1801" t="s">
        <v>106</v>
      </c>
      <c r="B1801" s="71">
        <v>35793</v>
      </c>
      <c r="C1801" t="s">
        <v>42</v>
      </c>
      <c r="D1801">
        <v>1192.5</v>
      </c>
    </row>
    <row r="1802" spans="1:4">
      <c r="A1802" t="s">
        <v>106</v>
      </c>
      <c r="B1802" s="71">
        <v>35803</v>
      </c>
      <c r="C1802" t="s">
        <v>49</v>
      </c>
      <c r="D1802">
        <v>318</v>
      </c>
    </row>
    <row r="1803" spans="1:4">
      <c r="A1803" t="s">
        <v>106</v>
      </c>
      <c r="B1803" s="71">
        <v>35816</v>
      </c>
      <c r="C1803" t="s">
        <v>42</v>
      </c>
      <c r="D1803">
        <v>159</v>
      </c>
    </row>
    <row r="1804" spans="1:4">
      <c r="A1804" t="s">
        <v>106</v>
      </c>
      <c r="B1804" s="71">
        <v>35824</v>
      </c>
      <c r="C1804" t="s">
        <v>45</v>
      </c>
      <c r="D1804">
        <v>159</v>
      </c>
    </row>
    <row r="1805" spans="1:4">
      <c r="A1805" t="s">
        <v>106</v>
      </c>
      <c r="B1805" s="71">
        <v>35830</v>
      </c>
      <c r="C1805" t="s">
        <v>30</v>
      </c>
      <c r="D1805">
        <v>106</v>
      </c>
    </row>
    <row r="1806" spans="1:4">
      <c r="A1806" t="s">
        <v>106</v>
      </c>
      <c r="B1806" s="71">
        <v>35867</v>
      </c>
      <c r="C1806" t="s">
        <v>45</v>
      </c>
      <c r="D1806">
        <v>2120</v>
      </c>
    </row>
    <row r="1807" spans="1:4">
      <c r="A1807" t="s">
        <v>106</v>
      </c>
      <c r="B1807" s="71">
        <v>35871</v>
      </c>
      <c r="C1807" t="s">
        <v>37</v>
      </c>
      <c r="D1807">
        <v>424</v>
      </c>
    </row>
    <row r="1808" spans="1:4">
      <c r="A1808" t="s">
        <v>106</v>
      </c>
      <c r="B1808" s="71">
        <v>35874</v>
      </c>
      <c r="C1808" t="s">
        <v>37</v>
      </c>
      <c r="D1808">
        <v>848</v>
      </c>
    </row>
    <row r="1809" spans="1:4">
      <c r="A1809" t="s">
        <v>106</v>
      </c>
      <c r="B1809" s="71">
        <v>35880</v>
      </c>
      <c r="C1809" t="s">
        <v>50</v>
      </c>
      <c r="D1809">
        <v>530</v>
      </c>
    </row>
    <row r="1810" spans="1:4">
      <c r="A1810" t="s">
        <v>106</v>
      </c>
      <c r="B1810" s="71">
        <v>35887</v>
      </c>
      <c r="C1810" t="s">
        <v>49</v>
      </c>
      <c r="D1810">
        <v>1060</v>
      </c>
    </row>
    <row r="1811" spans="1:4">
      <c r="A1811" t="s">
        <v>106</v>
      </c>
      <c r="B1811" s="71">
        <v>35888</v>
      </c>
      <c r="C1811" t="s">
        <v>37</v>
      </c>
      <c r="D1811">
        <v>755.24999940767884</v>
      </c>
    </row>
    <row r="1812" spans="1:4">
      <c r="A1812" t="s">
        <v>106</v>
      </c>
      <c r="B1812" s="71">
        <v>35899</v>
      </c>
      <c r="C1812" t="s">
        <v>45</v>
      </c>
      <c r="D1812">
        <v>1749</v>
      </c>
    </row>
    <row r="1813" spans="1:4">
      <c r="A1813" t="s">
        <v>106</v>
      </c>
      <c r="B1813" s="71">
        <v>35900</v>
      </c>
      <c r="C1813" t="s">
        <v>42</v>
      </c>
      <c r="D1813">
        <v>530</v>
      </c>
    </row>
    <row r="1814" spans="1:4">
      <c r="A1814" t="s">
        <v>106</v>
      </c>
      <c r="B1814" s="71">
        <v>35908</v>
      </c>
      <c r="C1814" t="s">
        <v>37</v>
      </c>
      <c r="D1814">
        <v>1272</v>
      </c>
    </row>
    <row r="1815" spans="1:4">
      <c r="A1815" t="s">
        <v>106</v>
      </c>
      <c r="B1815" s="71">
        <v>35913</v>
      </c>
      <c r="C1815" t="s">
        <v>52</v>
      </c>
      <c r="D1815">
        <v>1060</v>
      </c>
    </row>
    <row r="1816" spans="1:4">
      <c r="A1816" t="s">
        <v>106</v>
      </c>
      <c r="B1816" s="71">
        <v>35257</v>
      </c>
      <c r="C1816" t="s">
        <v>30</v>
      </c>
      <c r="D1816">
        <v>168</v>
      </c>
    </row>
    <row r="1817" spans="1:4">
      <c r="A1817" t="s">
        <v>106</v>
      </c>
      <c r="B1817" s="71">
        <v>35269</v>
      </c>
      <c r="C1817" t="s">
        <v>48</v>
      </c>
      <c r="D1817">
        <v>216</v>
      </c>
    </row>
    <row r="1818" spans="1:4">
      <c r="A1818" t="s">
        <v>106</v>
      </c>
      <c r="B1818" s="71">
        <v>35402</v>
      </c>
      <c r="C1818" t="s">
        <v>37</v>
      </c>
      <c r="D1818">
        <v>135.99999904632568</v>
      </c>
    </row>
    <row r="1819" spans="1:4">
      <c r="A1819" t="s">
        <v>106</v>
      </c>
      <c r="B1819" s="71">
        <v>35411</v>
      </c>
      <c r="C1819" t="s">
        <v>45</v>
      </c>
      <c r="D1819">
        <v>112</v>
      </c>
    </row>
    <row r="1820" spans="1:4">
      <c r="A1820" t="s">
        <v>106</v>
      </c>
      <c r="B1820" s="71">
        <v>35412</v>
      </c>
      <c r="C1820" t="s">
        <v>42</v>
      </c>
      <c r="D1820">
        <v>400</v>
      </c>
    </row>
    <row r="1821" spans="1:4">
      <c r="A1821" t="s">
        <v>106</v>
      </c>
      <c r="B1821" s="71">
        <v>35447</v>
      </c>
      <c r="C1821" t="s">
        <v>42</v>
      </c>
      <c r="D1821">
        <v>120</v>
      </c>
    </row>
    <row r="1822" spans="1:4">
      <c r="A1822" t="s">
        <v>106</v>
      </c>
      <c r="B1822" s="71">
        <v>35468</v>
      </c>
      <c r="C1822" t="s">
        <v>37</v>
      </c>
      <c r="D1822">
        <v>240</v>
      </c>
    </row>
    <row r="1823" spans="1:4">
      <c r="A1823" t="s">
        <v>106</v>
      </c>
      <c r="B1823" s="71">
        <v>35515</v>
      </c>
      <c r="C1823" t="s">
        <v>49</v>
      </c>
      <c r="D1823">
        <v>128</v>
      </c>
    </row>
    <row r="1824" spans="1:4">
      <c r="A1824" t="s">
        <v>106</v>
      </c>
      <c r="B1824" s="71">
        <v>35759</v>
      </c>
      <c r="C1824" t="s">
        <v>45</v>
      </c>
      <c r="D1824">
        <v>50</v>
      </c>
    </row>
    <row r="1825" spans="1:4">
      <c r="A1825" t="s">
        <v>106</v>
      </c>
      <c r="B1825" s="71">
        <v>35781</v>
      </c>
      <c r="C1825" t="s">
        <v>51</v>
      </c>
      <c r="D1825">
        <v>350</v>
      </c>
    </row>
    <row r="1826" spans="1:4">
      <c r="A1826" t="s">
        <v>106</v>
      </c>
      <c r="B1826" s="71">
        <v>35795</v>
      </c>
      <c r="C1826" t="s">
        <v>45</v>
      </c>
      <c r="D1826">
        <v>112.5</v>
      </c>
    </row>
    <row r="1827" spans="1:4">
      <c r="A1827" t="s">
        <v>106</v>
      </c>
      <c r="B1827" s="71">
        <v>35817</v>
      </c>
      <c r="C1827" t="s">
        <v>51</v>
      </c>
      <c r="D1827">
        <v>200</v>
      </c>
    </row>
    <row r="1828" spans="1:4">
      <c r="A1828" t="s">
        <v>106</v>
      </c>
      <c r="B1828" s="71">
        <v>35888</v>
      </c>
      <c r="C1828" t="s">
        <v>50</v>
      </c>
      <c r="D1828">
        <v>200</v>
      </c>
    </row>
    <row r="1829" spans="1:4">
      <c r="A1829" t="s">
        <v>107</v>
      </c>
      <c r="B1829" s="71">
        <v>35282</v>
      </c>
      <c r="C1829" t="s">
        <v>45</v>
      </c>
      <c r="D1829">
        <v>565.43999955654147</v>
      </c>
    </row>
    <row r="1830" spans="1:4">
      <c r="A1830" t="s">
        <v>107</v>
      </c>
      <c r="B1830" s="71">
        <v>35285</v>
      </c>
      <c r="C1830" t="s">
        <v>50</v>
      </c>
      <c r="D1830">
        <v>372</v>
      </c>
    </row>
    <row r="1831" spans="1:4">
      <c r="A1831" t="s">
        <v>107</v>
      </c>
      <c r="B1831" s="71">
        <v>35388</v>
      </c>
      <c r="C1831" t="s">
        <v>49</v>
      </c>
      <c r="D1831">
        <v>595.19999778270721</v>
      </c>
    </row>
    <row r="1832" spans="1:4">
      <c r="A1832" t="s">
        <v>107</v>
      </c>
      <c r="B1832" s="71">
        <v>35419</v>
      </c>
      <c r="C1832" t="s">
        <v>42</v>
      </c>
      <c r="D1832">
        <v>396.8</v>
      </c>
    </row>
    <row r="1833" spans="1:4">
      <c r="A1833" t="s">
        <v>107</v>
      </c>
      <c r="B1833" s="71">
        <v>35479</v>
      </c>
      <c r="C1833" t="s">
        <v>45</v>
      </c>
      <c r="D1833">
        <v>347.2</v>
      </c>
    </row>
    <row r="1834" spans="1:4">
      <c r="A1834" t="s">
        <v>107</v>
      </c>
      <c r="B1834" s="71">
        <v>35480</v>
      </c>
      <c r="C1834" t="s">
        <v>50</v>
      </c>
      <c r="D1834">
        <v>396.79999852180481</v>
      </c>
    </row>
    <row r="1835" spans="1:4">
      <c r="A1835" t="s">
        <v>107</v>
      </c>
      <c r="B1835" s="71">
        <v>35507</v>
      </c>
      <c r="C1835" t="s">
        <v>51</v>
      </c>
      <c r="D1835">
        <v>471.1999996304512</v>
      </c>
    </row>
    <row r="1836" spans="1:4">
      <c r="A1836" t="s">
        <v>107</v>
      </c>
      <c r="B1836" s="71">
        <v>35548</v>
      </c>
      <c r="C1836" t="s">
        <v>37</v>
      </c>
      <c r="D1836">
        <v>471.1999996304512</v>
      </c>
    </row>
    <row r="1837" spans="1:4">
      <c r="A1837" t="s">
        <v>107</v>
      </c>
      <c r="B1837" s="71">
        <v>35551</v>
      </c>
      <c r="C1837" t="s">
        <v>49</v>
      </c>
      <c r="D1837">
        <v>62</v>
      </c>
    </row>
    <row r="1838" spans="1:4">
      <c r="A1838" t="s">
        <v>107</v>
      </c>
      <c r="B1838" s="71">
        <v>35594</v>
      </c>
      <c r="C1838" t="s">
        <v>45</v>
      </c>
      <c r="D1838">
        <v>155</v>
      </c>
    </row>
    <row r="1839" spans="1:4">
      <c r="A1839" t="s">
        <v>107</v>
      </c>
      <c r="B1839" s="71">
        <v>35635</v>
      </c>
      <c r="C1839" t="s">
        <v>52</v>
      </c>
      <c r="D1839">
        <v>310</v>
      </c>
    </row>
    <row r="1840" spans="1:4">
      <c r="A1840" t="s">
        <v>107</v>
      </c>
      <c r="B1840" s="71">
        <v>35639</v>
      </c>
      <c r="C1840" t="s">
        <v>49</v>
      </c>
      <c r="D1840">
        <v>2170</v>
      </c>
    </row>
    <row r="1841" spans="1:4">
      <c r="A1841" t="s">
        <v>107</v>
      </c>
      <c r="B1841" s="71">
        <v>35669</v>
      </c>
      <c r="C1841" t="s">
        <v>48</v>
      </c>
      <c r="D1841">
        <v>418.5</v>
      </c>
    </row>
    <row r="1842" spans="1:4">
      <c r="A1842" t="s">
        <v>107</v>
      </c>
      <c r="B1842" s="71">
        <v>35683</v>
      </c>
      <c r="C1842" t="s">
        <v>49</v>
      </c>
      <c r="D1842">
        <v>632.39999556541443</v>
      </c>
    </row>
    <row r="1843" spans="1:4">
      <c r="A1843" t="s">
        <v>107</v>
      </c>
      <c r="B1843" s="71">
        <v>35695</v>
      </c>
      <c r="C1843" t="s">
        <v>51</v>
      </c>
      <c r="D1843">
        <v>62</v>
      </c>
    </row>
    <row r="1844" spans="1:4">
      <c r="A1844" t="s">
        <v>107</v>
      </c>
      <c r="B1844" s="71">
        <v>35702</v>
      </c>
      <c r="C1844" t="s">
        <v>42</v>
      </c>
      <c r="D1844">
        <v>620</v>
      </c>
    </row>
    <row r="1845" spans="1:4">
      <c r="A1845" t="s">
        <v>107</v>
      </c>
      <c r="B1845" s="71">
        <v>35704</v>
      </c>
      <c r="C1845" t="s">
        <v>42</v>
      </c>
      <c r="D1845">
        <v>502.19999916851521</v>
      </c>
    </row>
    <row r="1846" spans="1:4">
      <c r="A1846" t="s">
        <v>107</v>
      </c>
      <c r="B1846" s="71">
        <v>35725</v>
      </c>
      <c r="C1846" t="s">
        <v>49</v>
      </c>
      <c r="D1846">
        <v>558</v>
      </c>
    </row>
    <row r="1847" spans="1:4">
      <c r="A1847" t="s">
        <v>107</v>
      </c>
      <c r="B1847" s="71">
        <v>35726</v>
      </c>
      <c r="C1847" t="s">
        <v>45</v>
      </c>
      <c r="D1847">
        <v>651</v>
      </c>
    </row>
    <row r="1848" spans="1:4">
      <c r="A1848" t="s">
        <v>107</v>
      </c>
      <c r="B1848" s="71">
        <v>35733</v>
      </c>
      <c r="C1848" t="s">
        <v>50</v>
      </c>
      <c r="D1848">
        <v>496</v>
      </c>
    </row>
    <row r="1849" spans="1:4">
      <c r="A1849" t="s">
        <v>107</v>
      </c>
      <c r="B1849" s="71">
        <v>35776</v>
      </c>
      <c r="C1849" t="s">
        <v>52</v>
      </c>
      <c r="D1849">
        <v>186</v>
      </c>
    </row>
    <row r="1850" spans="1:4">
      <c r="A1850" t="s">
        <v>107</v>
      </c>
      <c r="B1850" s="71">
        <v>35782</v>
      </c>
      <c r="C1850" t="s">
        <v>49</v>
      </c>
      <c r="D1850">
        <v>310</v>
      </c>
    </row>
    <row r="1851" spans="1:4">
      <c r="A1851" t="s">
        <v>107</v>
      </c>
      <c r="B1851" s="71">
        <v>35794</v>
      </c>
      <c r="C1851" t="s">
        <v>37</v>
      </c>
      <c r="D1851">
        <v>1116</v>
      </c>
    </row>
    <row r="1852" spans="1:4">
      <c r="A1852" t="s">
        <v>107</v>
      </c>
      <c r="B1852" s="71">
        <v>35807</v>
      </c>
      <c r="C1852" t="s">
        <v>49</v>
      </c>
      <c r="D1852">
        <v>465</v>
      </c>
    </row>
    <row r="1853" spans="1:4">
      <c r="A1853" t="s">
        <v>107</v>
      </c>
      <c r="B1853" s="71">
        <v>35815</v>
      </c>
      <c r="C1853" t="s">
        <v>30</v>
      </c>
      <c r="D1853">
        <v>496</v>
      </c>
    </row>
    <row r="1854" spans="1:4">
      <c r="A1854" t="s">
        <v>107</v>
      </c>
      <c r="B1854" s="71">
        <v>35822</v>
      </c>
      <c r="C1854" t="s">
        <v>45</v>
      </c>
      <c r="D1854">
        <v>2634.9999815225601</v>
      </c>
    </row>
    <row r="1855" spans="1:4">
      <c r="A1855" t="s">
        <v>107</v>
      </c>
      <c r="B1855" s="71">
        <v>35832</v>
      </c>
      <c r="C1855" t="s">
        <v>30</v>
      </c>
      <c r="D1855">
        <v>310</v>
      </c>
    </row>
    <row r="1856" spans="1:4">
      <c r="A1856" t="s">
        <v>107</v>
      </c>
      <c r="B1856" s="71">
        <v>35839</v>
      </c>
      <c r="C1856" t="s">
        <v>49</v>
      </c>
      <c r="D1856">
        <v>2170</v>
      </c>
    </row>
    <row r="1857" spans="1:4">
      <c r="A1857" t="s">
        <v>107</v>
      </c>
      <c r="B1857" s="71">
        <v>35858</v>
      </c>
      <c r="C1857" t="s">
        <v>45</v>
      </c>
      <c r="D1857">
        <v>557.99999907612801</v>
      </c>
    </row>
    <row r="1858" spans="1:4">
      <c r="A1858" t="s">
        <v>107</v>
      </c>
      <c r="B1858" s="71">
        <v>35866</v>
      </c>
      <c r="C1858" t="s">
        <v>49</v>
      </c>
      <c r="D1858">
        <v>775</v>
      </c>
    </row>
    <row r="1859" spans="1:4">
      <c r="A1859" t="s">
        <v>107</v>
      </c>
      <c r="B1859" s="71">
        <v>35867</v>
      </c>
      <c r="C1859" t="s">
        <v>51</v>
      </c>
      <c r="D1859">
        <v>930</v>
      </c>
    </row>
    <row r="1860" spans="1:4">
      <c r="A1860" t="s">
        <v>107</v>
      </c>
      <c r="B1860" s="71">
        <v>35899</v>
      </c>
      <c r="C1860" t="s">
        <v>51</v>
      </c>
      <c r="D1860">
        <v>632.39999556541443</v>
      </c>
    </row>
    <row r="1861" spans="1:4">
      <c r="A1861" t="s">
        <v>107</v>
      </c>
      <c r="B1861" s="71">
        <v>35921</v>
      </c>
      <c r="C1861" t="s">
        <v>49</v>
      </c>
      <c r="D1861">
        <v>31</v>
      </c>
    </row>
    <row r="1862" spans="1:4">
      <c r="A1862" t="s">
        <v>107</v>
      </c>
      <c r="B1862" s="71">
        <v>35285</v>
      </c>
      <c r="C1862" t="s">
        <v>50</v>
      </c>
      <c r="D1862">
        <v>48</v>
      </c>
    </row>
    <row r="1863" spans="1:4">
      <c r="A1863" t="s">
        <v>107</v>
      </c>
      <c r="B1863" s="71">
        <v>35304</v>
      </c>
      <c r="C1863" t="s">
        <v>37</v>
      </c>
      <c r="D1863">
        <v>86.399999856948853</v>
      </c>
    </row>
    <row r="1864" spans="1:4">
      <c r="A1864" t="s">
        <v>107</v>
      </c>
      <c r="B1864" s="71">
        <v>35347</v>
      </c>
      <c r="C1864" t="s">
        <v>49</v>
      </c>
      <c r="D1864">
        <v>57.6</v>
      </c>
    </row>
    <row r="1865" spans="1:4">
      <c r="A1865" t="s">
        <v>107</v>
      </c>
      <c r="B1865" s="71">
        <v>35415</v>
      </c>
      <c r="C1865" t="s">
        <v>50</v>
      </c>
      <c r="D1865">
        <v>96</v>
      </c>
    </row>
    <row r="1866" spans="1:4">
      <c r="A1866" t="s">
        <v>107</v>
      </c>
      <c r="B1866" s="71">
        <v>35422</v>
      </c>
      <c r="C1866" t="s">
        <v>45</v>
      </c>
      <c r="D1866">
        <v>86.4</v>
      </c>
    </row>
    <row r="1867" spans="1:4">
      <c r="A1867" t="s">
        <v>107</v>
      </c>
      <c r="B1867" s="71">
        <v>35424</v>
      </c>
      <c r="C1867" t="s">
        <v>49</v>
      </c>
      <c r="D1867">
        <v>48</v>
      </c>
    </row>
    <row r="1868" spans="1:4">
      <c r="A1868" t="s">
        <v>107</v>
      </c>
      <c r="B1868" s="71">
        <v>35451</v>
      </c>
      <c r="C1868" t="s">
        <v>45</v>
      </c>
      <c r="D1868">
        <v>8.6399999856948853</v>
      </c>
    </row>
    <row r="1869" spans="1:4">
      <c r="A1869" t="s">
        <v>107</v>
      </c>
      <c r="B1869" s="71">
        <v>35492</v>
      </c>
      <c r="C1869" t="s">
        <v>51</v>
      </c>
      <c r="D1869">
        <v>4.8</v>
      </c>
    </row>
    <row r="1870" spans="1:4">
      <c r="A1870" t="s">
        <v>107</v>
      </c>
      <c r="B1870" s="71">
        <v>35536</v>
      </c>
      <c r="C1870" t="s">
        <v>49</v>
      </c>
      <c r="D1870">
        <v>60</v>
      </c>
    </row>
    <row r="1871" spans="1:4">
      <c r="A1871" t="s">
        <v>107</v>
      </c>
      <c r="B1871" s="71">
        <v>35555</v>
      </c>
      <c r="C1871" t="s">
        <v>42</v>
      </c>
      <c r="D1871">
        <v>60</v>
      </c>
    </row>
    <row r="1872" spans="1:4">
      <c r="A1872" t="s">
        <v>107</v>
      </c>
      <c r="B1872" s="71">
        <v>35566</v>
      </c>
      <c r="C1872" t="s">
        <v>37</v>
      </c>
      <c r="D1872">
        <v>48</v>
      </c>
    </row>
    <row r="1873" spans="1:4">
      <c r="A1873" t="s">
        <v>107</v>
      </c>
      <c r="B1873" s="71">
        <v>35627</v>
      </c>
      <c r="C1873" t="s">
        <v>52</v>
      </c>
      <c r="D1873">
        <v>360</v>
      </c>
    </row>
    <row r="1874" spans="1:4">
      <c r="A1874" t="s">
        <v>107</v>
      </c>
      <c r="B1874" s="71">
        <v>35640</v>
      </c>
      <c r="C1874" t="s">
        <v>42</v>
      </c>
      <c r="D1874">
        <v>43.199999928474426</v>
      </c>
    </row>
    <row r="1875" spans="1:4">
      <c r="A1875" t="s">
        <v>107</v>
      </c>
      <c r="B1875" s="71">
        <v>35657</v>
      </c>
      <c r="C1875" t="s">
        <v>52</v>
      </c>
      <c r="D1875">
        <v>66.299999535083771</v>
      </c>
    </row>
    <row r="1876" spans="1:4">
      <c r="A1876" t="s">
        <v>107</v>
      </c>
      <c r="B1876" s="71">
        <v>35745</v>
      </c>
      <c r="C1876" t="s">
        <v>51</v>
      </c>
      <c r="D1876">
        <v>24</v>
      </c>
    </row>
    <row r="1877" spans="1:4">
      <c r="A1877" t="s">
        <v>107</v>
      </c>
      <c r="B1877" s="71">
        <v>35753</v>
      </c>
      <c r="C1877" t="s">
        <v>49</v>
      </c>
      <c r="D1877">
        <v>36</v>
      </c>
    </row>
    <row r="1878" spans="1:4">
      <c r="A1878" t="s">
        <v>107</v>
      </c>
      <c r="B1878" s="71">
        <v>35790</v>
      </c>
      <c r="C1878" t="s">
        <v>48</v>
      </c>
      <c r="D1878">
        <v>101.99999928474426</v>
      </c>
    </row>
    <row r="1879" spans="1:4">
      <c r="A1879" t="s">
        <v>107</v>
      </c>
      <c r="B1879" s="71">
        <v>35796</v>
      </c>
      <c r="C1879" t="s">
        <v>51</v>
      </c>
      <c r="D1879">
        <v>42</v>
      </c>
    </row>
    <row r="1880" spans="1:4">
      <c r="A1880" t="s">
        <v>107</v>
      </c>
      <c r="B1880" s="71">
        <v>35808</v>
      </c>
      <c r="C1880" t="s">
        <v>48</v>
      </c>
      <c r="D1880">
        <v>60</v>
      </c>
    </row>
    <row r="1881" spans="1:4">
      <c r="A1881" t="s">
        <v>107</v>
      </c>
      <c r="B1881" s="71">
        <v>35809</v>
      </c>
      <c r="C1881" t="s">
        <v>51</v>
      </c>
      <c r="D1881">
        <v>14.39999994635582</v>
      </c>
    </row>
    <row r="1882" spans="1:4">
      <c r="A1882" t="s">
        <v>107</v>
      </c>
      <c r="B1882" s="71">
        <v>35811</v>
      </c>
      <c r="C1882" t="s">
        <v>48</v>
      </c>
      <c r="D1882">
        <v>36</v>
      </c>
    </row>
    <row r="1883" spans="1:4">
      <c r="A1883" t="s">
        <v>107</v>
      </c>
      <c r="B1883" s="71">
        <v>35822</v>
      </c>
      <c r="C1883" t="s">
        <v>45</v>
      </c>
      <c r="D1883">
        <v>331.49999767541885</v>
      </c>
    </row>
    <row r="1884" spans="1:4">
      <c r="A1884" t="s">
        <v>107</v>
      </c>
      <c r="B1884" s="71">
        <v>35844</v>
      </c>
      <c r="C1884" t="s">
        <v>49</v>
      </c>
      <c r="D1884">
        <v>159.59999987483025</v>
      </c>
    </row>
    <row r="1885" spans="1:4">
      <c r="A1885" t="s">
        <v>107</v>
      </c>
      <c r="B1885" s="71">
        <v>35846</v>
      </c>
      <c r="C1885" t="s">
        <v>42</v>
      </c>
      <c r="D1885">
        <v>30</v>
      </c>
    </row>
    <row r="1886" spans="1:4">
      <c r="A1886" t="s">
        <v>107</v>
      </c>
      <c r="B1886" s="71">
        <v>35850</v>
      </c>
      <c r="C1886" t="s">
        <v>45</v>
      </c>
      <c r="D1886">
        <v>240</v>
      </c>
    </row>
    <row r="1887" spans="1:4">
      <c r="A1887" t="s">
        <v>107</v>
      </c>
      <c r="B1887" s="71">
        <v>35858</v>
      </c>
      <c r="C1887" t="s">
        <v>42</v>
      </c>
      <c r="D1887">
        <v>60</v>
      </c>
    </row>
    <row r="1888" spans="1:4">
      <c r="A1888" t="s">
        <v>107</v>
      </c>
      <c r="B1888" s="71">
        <v>35860</v>
      </c>
      <c r="C1888" t="s">
        <v>42</v>
      </c>
      <c r="D1888">
        <v>214.19999849796295</v>
      </c>
    </row>
    <row r="1889" spans="1:4">
      <c r="A1889" t="s">
        <v>107</v>
      </c>
      <c r="B1889" s="71">
        <v>35864</v>
      </c>
      <c r="C1889" t="s">
        <v>45</v>
      </c>
      <c r="D1889">
        <v>90</v>
      </c>
    </row>
    <row r="1890" spans="1:4">
      <c r="A1890" t="s">
        <v>107</v>
      </c>
      <c r="B1890" s="71">
        <v>35865</v>
      </c>
      <c r="C1890" t="s">
        <v>50</v>
      </c>
      <c r="D1890">
        <v>120</v>
      </c>
    </row>
    <row r="1891" spans="1:4">
      <c r="A1891" t="s">
        <v>107</v>
      </c>
      <c r="B1891" s="71">
        <v>35865</v>
      </c>
      <c r="C1891" t="s">
        <v>42</v>
      </c>
      <c r="D1891">
        <v>90</v>
      </c>
    </row>
    <row r="1892" spans="1:4">
      <c r="A1892" t="s">
        <v>107</v>
      </c>
      <c r="B1892" s="71">
        <v>35866</v>
      </c>
      <c r="C1892" t="s">
        <v>42</v>
      </c>
      <c r="D1892">
        <v>120</v>
      </c>
    </row>
    <row r="1893" spans="1:4">
      <c r="A1893" t="s">
        <v>107</v>
      </c>
      <c r="B1893" s="71">
        <v>35873</v>
      </c>
      <c r="C1893" t="s">
        <v>50</v>
      </c>
      <c r="D1893">
        <v>462</v>
      </c>
    </row>
    <row r="1894" spans="1:4">
      <c r="A1894" t="s">
        <v>107</v>
      </c>
      <c r="B1894" s="71">
        <v>35881</v>
      </c>
      <c r="C1894" t="s">
        <v>51</v>
      </c>
      <c r="D1894">
        <v>428.3999969959259</v>
      </c>
    </row>
    <row r="1895" spans="1:4">
      <c r="A1895" t="s">
        <v>107</v>
      </c>
      <c r="B1895" s="71">
        <v>35891</v>
      </c>
      <c r="C1895" t="s">
        <v>42</v>
      </c>
      <c r="D1895">
        <v>336</v>
      </c>
    </row>
    <row r="1896" spans="1:4">
      <c r="A1896" t="s">
        <v>107</v>
      </c>
      <c r="B1896" s="71">
        <v>35900</v>
      </c>
      <c r="C1896" t="s">
        <v>37</v>
      </c>
      <c r="D1896">
        <v>107.99999982118607</v>
      </c>
    </row>
    <row r="1897" spans="1:4">
      <c r="A1897" t="s">
        <v>107</v>
      </c>
      <c r="B1897" s="71">
        <v>35902</v>
      </c>
      <c r="C1897" t="s">
        <v>37</v>
      </c>
      <c r="D1897">
        <v>480</v>
      </c>
    </row>
    <row r="1898" spans="1:4">
      <c r="A1898" t="s">
        <v>107</v>
      </c>
      <c r="B1898" s="71">
        <v>35905</v>
      </c>
      <c r="C1898" t="s">
        <v>50</v>
      </c>
      <c r="D1898">
        <v>42</v>
      </c>
    </row>
    <row r="1899" spans="1:4">
      <c r="A1899" t="s">
        <v>107</v>
      </c>
      <c r="B1899" s="71">
        <v>35914</v>
      </c>
      <c r="C1899" t="s">
        <v>51</v>
      </c>
      <c r="D1899">
        <v>180</v>
      </c>
    </row>
    <row r="1900" spans="1:4">
      <c r="A1900" t="s">
        <v>107</v>
      </c>
      <c r="B1900" s="71">
        <v>35920</v>
      </c>
      <c r="C1900" t="s">
        <v>49</v>
      </c>
      <c r="D1900">
        <v>56.999999955296516</v>
      </c>
    </row>
    <row r="1901" spans="1:4">
      <c r="A1901" t="s">
        <v>107</v>
      </c>
      <c r="B1901" s="71">
        <v>35921</v>
      </c>
      <c r="C1901" t="s">
        <v>49</v>
      </c>
      <c r="D1901">
        <v>24</v>
      </c>
    </row>
    <row r="1902" spans="1:4">
      <c r="A1902" t="s">
        <v>107</v>
      </c>
      <c r="B1902" s="71">
        <v>35306</v>
      </c>
      <c r="C1902" t="s">
        <v>49</v>
      </c>
      <c r="D1902">
        <v>600</v>
      </c>
    </row>
    <row r="1903" spans="1:4">
      <c r="A1903" t="s">
        <v>107</v>
      </c>
      <c r="B1903" s="71">
        <v>35321</v>
      </c>
      <c r="C1903" t="s">
        <v>50</v>
      </c>
      <c r="D1903">
        <v>1124.9999981373549</v>
      </c>
    </row>
    <row r="1904" spans="1:4">
      <c r="A1904" t="s">
        <v>107</v>
      </c>
      <c r="B1904" s="71">
        <v>35355</v>
      </c>
      <c r="C1904" t="s">
        <v>45</v>
      </c>
      <c r="D1904">
        <v>1599.9999940395355</v>
      </c>
    </row>
    <row r="1905" spans="1:4">
      <c r="A1905" t="s">
        <v>107</v>
      </c>
      <c r="B1905" s="71">
        <v>35367</v>
      </c>
      <c r="C1905" t="s">
        <v>49</v>
      </c>
      <c r="D1905">
        <v>949.99999925494194</v>
      </c>
    </row>
    <row r="1906" spans="1:4">
      <c r="A1906" t="s">
        <v>107</v>
      </c>
      <c r="B1906" s="71">
        <v>35412</v>
      </c>
      <c r="C1906" t="s">
        <v>42</v>
      </c>
      <c r="D1906">
        <v>450</v>
      </c>
    </row>
    <row r="1907" spans="1:4">
      <c r="A1907" t="s">
        <v>107</v>
      </c>
      <c r="B1907" s="71">
        <v>35500</v>
      </c>
      <c r="C1907" t="s">
        <v>42</v>
      </c>
      <c r="D1907">
        <v>1500</v>
      </c>
    </row>
    <row r="1908" spans="1:4">
      <c r="A1908" t="s">
        <v>107</v>
      </c>
      <c r="B1908" s="71">
        <v>35544</v>
      </c>
      <c r="C1908" t="s">
        <v>51</v>
      </c>
      <c r="D1908">
        <v>1406.2499976716936</v>
      </c>
    </row>
    <row r="1909" spans="1:4">
      <c r="A1909" t="s">
        <v>107</v>
      </c>
      <c r="B1909" s="71">
        <v>35593</v>
      </c>
      <c r="C1909" t="s">
        <v>48</v>
      </c>
      <c r="D1909">
        <v>956.24999329447746</v>
      </c>
    </row>
    <row r="1910" spans="1:4">
      <c r="A1910" t="s">
        <v>107</v>
      </c>
      <c r="B1910" s="71">
        <v>35614</v>
      </c>
      <c r="C1910" t="s">
        <v>51</v>
      </c>
      <c r="D1910">
        <v>1999.9999925494194</v>
      </c>
    </row>
    <row r="1911" spans="1:4">
      <c r="A1911" t="s">
        <v>107</v>
      </c>
      <c r="B1911" s="71">
        <v>35657</v>
      </c>
      <c r="C1911" t="s">
        <v>42</v>
      </c>
      <c r="D1911">
        <v>3125</v>
      </c>
    </row>
    <row r="1912" spans="1:4">
      <c r="A1912" t="s">
        <v>107</v>
      </c>
      <c r="B1912" s="71">
        <v>35662</v>
      </c>
      <c r="C1912" t="s">
        <v>52</v>
      </c>
      <c r="D1912">
        <v>500</v>
      </c>
    </row>
    <row r="1913" spans="1:4">
      <c r="A1913" t="s">
        <v>107</v>
      </c>
      <c r="B1913" s="71">
        <v>35667</v>
      </c>
      <c r="C1913" t="s">
        <v>45</v>
      </c>
      <c r="D1913">
        <v>224.99999962747097</v>
      </c>
    </row>
    <row r="1914" spans="1:4">
      <c r="A1914" t="s">
        <v>107</v>
      </c>
      <c r="B1914" s="71">
        <v>35668</v>
      </c>
      <c r="C1914" t="s">
        <v>42</v>
      </c>
      <c r="D1914">
        <v>1250</v>
      </c>
    </row>
    <row r="1915" spans="1:4">
      <c r="A1915" t="s">
        <v>107</v>
      </c>
      <c r="B1915" s="71">
        <v>35730</v>
      </c>
      <c r="C1915" t="s">
        <v>50</v>
      </c>
      <c r="D1915">
        <v>562.5</v>
      </c>
    </row>
    <row r="1916" spans="1:4">
      <c r="A1916" t="s">
        <v>107</v>
      </c>
      <c r="B1916" s="71">
        <v>35752</v>
      </c>
      <c r="C1916" t="s">
        <v>48</v>
      </c>
      <c r="D1916">
        <v>1500</v>
      </c>
    </row>
    <row r="1917" spans="1:4">
      <c r="A1917" t="s">
        <v>107</v>
      </c>
      <c r="B1917" s="71">
        <v>35761</v>
      </c>
      <c r="C1917" t="s">
        <v>50</v>
      </c>
      <c r="D1917">
        <v>1049.9999960884452</v>
      </c>
    </row>
    <row r="1918" spans="1:4">
      <c r="A1918" t="s">
        <v>107</v>
      </c>
      <c r="B1918" s="71">
        <v>35786</v>
      </c>
      <c r="C1918" t="s">
        <v>49</v>
      </c>
      <c r="D1918">
        <v>1875</v>
      </c>
    </row>
    <row r="1919" spans="1:4">
      <c r="A1919" t="s">
        <v>107</v>
      </c>
      <c r="B1919" s="71">
        <v>35814</v>
      </c>
      <c r="C1919" t="s">
        <v>45</v>
      </c>
      <c r="D1919">
        <v>1171.875</v>
      </c>
    </row>
    <row r="1920" spans="1:4">
      <c r="A1920" t="s">
        <v>107</v>
      </c>
      <c r="B1920" s="71">
        <v>35822</v>
      </c>
      <c r="C1920" t="s">
        <v>48</v>
      </c>
      <c r="D1920">
        <v>625</v>
      </c>
    </row>
    <row r="1921" spans="1:4">
      <c r="A1921" t="s">
        <v>107</v>
      </c>
      <c r="B1921" s="71">
        <v>35825</v>
      </c>
      <c r="C1921" t="s">
        <v>42</v>
      </c>
      <c r="D1921">
        <v>1250</v>
      </c>
    </row>
    <row r="1922" spans="1:4">
      <c r="A1922" t="s">
        <v>107</v>
      </c>
      <c r="B1922" s="71">
        <v>35835</v>
      </c>
      <c r="C1922" t="s">
        <v>49</v>
      </c>
      <c r="D1922">
        <v>1562.5</v>
      </c>
    </row>
    <row r="1923" spans="1:4">
      <c r="A1923" t="s">
        <v>107</v>
      </c>
      <c r="B1923" s="71">
        <v>35863</v>
      </c>
      <c r="C1923" t="s">
        <v>42</v>
      </c>
      <c r="D1923">
        <v>187.5</v>
      </c>
    </row>
    <row r="1924" spans="1:4">
      <c r="A1924" t="s">
        <v>107</v>
      </c>
      <c r="B1924" s="71">
        <v>35874</v>
      </c>
      <c r="C1924" t="s">
        <v>45</v>
      </c>
      <c r="D1924">
        <v>375</v>
      </c>
    </row>
    <row r="1925" spans="1:4">
      <c r="A1925" t="s">
        <v>107</v>
      </c>
      <c r="B1925" s="71">
        <v>35884</v>
      </c>
      <c r="C1925" t="s">
        <v>51</v>
      </c>
      <c r="D1925">
        <v>449.99999925494194</v>
      </c>
    </row>
    <row r="1926" spans="1:4">
      <c r="A1926" t="s">
        <v>107</v>
      </c>
      <c r="B1926" s="71">
        <v>35898</v>
      </c>
      <c r="C1926" t="s">
        <v>42</v>
      </c>
      <c r="D1926">
        <v>625</v>
      </c>
    </row>
    <row r="1927" spans="1:4">
      <c r="A1927" t="s">
        <v>107</v>
      </c>
      <c r="B1927" s="71">
        <v>35900</v>
      </c>
      <c r="C1927" t="s">
        <v>42</v>
      </c>
      <c r="D1927">
        <v>500</v>
      </c>
    </row>
    <row r="1928" spans="1:4">
      <c r="A1928" t="s">
        <v>107</v>
      </c>
      <c r="B1928" s="71">
        <v>35912</v>
      </c>
      <c r="C1928" t="s">
        <v>51</v>
      </c>
      <c r="D1928">
        <v>1749.999993480742</v>
      </c>
    </row>
    <row r="1929" spans="1:4">
      <c r="A1929" t="s">
        <v>107</v>
      </c>
      <c r="B1929" s="71">
        <v>35269</v>
      </c>
      <c r="C1929" t="s">
        <v>48</v>
      </c>
      <c r="D1929">
        <v>931.5</v>
      </c>
    </row>
    <row r="1930" spans="1:4">
      <c r="A1930" t="s">
        <v>107</v>
      </c>
      <c r="B1930" s="71">
        <v>35292</v>
      </c>
      <c r="C1930" t="s">
        <v>42</v>
      </c>
      <c r="D1930">
        <v>124.2</v>
      </c>
    </row>
    <row r="1931" spans="1:4">
      <c r="A1931" t="s">
        <v>107</v>
      </c>
      <c r="B1931" s="71">
        <v>35324</v>
      </c>
      <c r="C1931" t="s">
        <v>49</v>
      </c>
      <c r="D1931">
        <v>207</v>
      </c>
    </row>
    <row r="1932" spans="1:4">
      <c r="A1932" t="s">
        <v>107</v>
      </c>
      <c r="B1932" s="71">
        <v>35349</v>
      </c>
      <c r="C1932" t="s">
        <v>51</v>
      </c>
      <c r="D1932">
        <v>579.59999784082174</v>
      </c>
    </row>
    <row r="1933" spans="1:4">
      <c r="A1933" t="s">
        <v>107</v>
      </c>
      <c r="B1933" s="71">
        <v>35353</v>
      </c>
      <c r="C1933" t="s">
        <v>42</v>
      </c>
      <c r="D1933">
        <v>157.31999987661837</v>
      </c>
    </row>
    <row r="1934" spans="1:4">
      <c r="A1934" t="s">
        <v>107</v>
      </c>
      <c r="B1934" s="71">
        <v>35363</v>
      </c>
      <c r="C1934" t="s">
        <v>42</v>
      </c>
      <c r="D1934">
        <v>310.5</v>
      </c>
    </row>
    <row r="1935" spans="1:4">
      <c r="A1935" t="s">
        <v>107</v>
      </c>
      <c r="B1935" s="71">
        <v>35411</v>
      </c>
      <c r="C1935" t="s">
        <v>50</v>
      </c>
      <c r="D1935">
        <v>335.33999944478273</v>
      </c>
    </row>
    <row r="1936" spans="1:4">
      <c r="A1936" t="s">
        <v>107</v>
      </c>
      <c r="B1936" s="71">
        <v>35431</v>
      </c>
      <c r="C1936" t="s">
        <v>49</v>
      </c>
      <c r="D1936">
        <v>372.6</v>
      </c>
    </row>
    <row r="1937" spans="1:4">
      <c r="A1937" t="s">
        <v>107</v>
      </c>
      <c r="B1937" s="71">
        <v>35489</v>
      </c>
      <c r="C1937" t="s">
        <v>49</v>
      </c>
      <c r="D1937">
        <v>434.70000000000005</v>
      </c>
    </row>
    <row r="1938" spans="1:4">
      <c r="A1938" t="s">
        <v>107</v>
      </c>
      <c r="B1938" s="71">
        <v>35496</v>
      </c>
      <c r="C1938" t="s">
        <v>45</v>
      </c>
      <c r="D1938">
        <v>165.6</v>
      </c>
    </row>
    <row r="1939" spans="1:4">
      <c r="A1939" t="s">
        <v>107</v>
      </c>
      <c r="B1939" s="71">
        <v>35550</v>
      </c>
      <c r="C1939" t="s">
        <v>42</v>
      </c>
      <c r="D1939">
        <v>414.23999845683574</v>
      </c>
    </row>
    <row r="1940" spans="1:4">
      <c r="A1940" t="s">
        <v>107</v>
      </c>
      <c r="B1940" s="71">
        <v>35551</v>
      </c>
      <c r="C1940" t="s">
        <v>49</v>
      </c>
      <c r="D1940">
        <v>258.89999999999998</v>
      </c>
    </row>
    <row r="1941" spans="1:4">
      <c r="A1941" t="s">
        <v>107</v>
      </c>
      <c r="B1941" s="71">
        <v>35559</v>
      </c>
      <c r="C1941" t="s">
        <v>52</v>
      </c>
      <c r="D1941">
        <v>388.35</v>
      </c>
    </row>
    <row r="1942" spans="1:4">
      <c r="A1942" t="s">
        <v>107</v>
      </c>
      <c r="B1942" s="71">
        <v>35562</v>
      </c>
      <c r="C1942" t="s">
        <v>50</v>
      </c>
      <c r="D1942">
        <v>258.89999999999998</v>
      </c>
    </row>
    <row r="1943" spans="1:4">
      <c r="A1943" t="s">
        <v>107</v>
      </c>
      <c r="B1943" s="71">
        <v>35587</v>
      </c>
      <c r="C1943" t="s">
        <v>50</v>
      </c>
      <c r="D1943">
        <v>517.79999999999995</v>
      </c>
    </row>
    <row r="1944" spans="1:4">
      <c r="A1944" t="s">
        <v>107</v>
      </c>
      <c r="B1944" s="71">
        <v>35671</v>
      </c>
      <c r="C1944" t="s">
        <v>30</v>
      </c>
      <c r="D1944">
        <v>776.7</v>
      </c>
    </row>
    <row r="1945" spans="1:4">
      <c r="A1945" t="s">
        <v>107</v>
      </c>
      <c r="B1945" s="71">
        <v>35674</v>
      </c>
      <c r="C1945" t="s">
        <v>42</v>
      </c>
      <c r="D1945">
        <v>38.835000000000001</v>
      </c>
    </row>
    <row r="1946" spans="1:4">
      <c r="A1946" t="s">
        <v>107</v>
      </c>
      <c r="B1946" s="71">
        <v>35730</v>
      </c>
      <c r="C1946" t="s">
        <v>50</v>
      </c>
      <c r="D1946">
        <v>58.252499999999998</v>
      </c>
    </row>
    <row r="1947" spans="1:4">
      <c r="A1947" t="s">
        <v>107</v>
      </c>
      <c r="B1947" s="71">
        <v>35738</v>
      </c>
      <c r="C1947" t="s">
        <v>42</v>
      </c>
      <c r="D1947">
        <v>388.35</v>
      </c>
    </row>
    <row r="1948" spans="1:4">
      <c r="A1948" t="s">
        <v>107</v>
      </c>
      <c r="B1948" s="71">
        <v>35741</v>
      </c>
      <c r="C1948" t="s">
        <v>51</v>
      </c>
      <c r="D1948">
        <v>388.35</v>
      </c>
    </row>
    <row r="1949" spans="1:4">
      <c r="A1949" t="s">
        <v>107</v>
      </c>
      <c r="B1949" s="71">
        <v>35758</v>
      </c>
      <c r="C1949" t="s">
        <v>45</v>
      </c>
      <c r="D1949">
        <v>776.7</v>
      </c>
    </row>
    <row r="1950" spans="1:4">
      <c r="A1950" t="s">
        <v>107</v>
      </c>
      <c r="B1950" s="71">
        <v>35783</v>
      </c>
      <c r="C1950" t="s">
        <v>50</v>
      </c>
      <c r="D1950">
        <v>310.67999884262684</v>
      </c>
    </row>
    <row r="1951" spans="1:4">
      <c r="A1951" t="s">
        <v>107</v>
      </c>
      <c r="B1951" s="71">
        <v>35793</v>
      </c>
      <c r="C1951" t="s">
        <v>42</v>
      </c>
      <c r="D1951">
        <v>485.4375</v>
      </c>
    </row>
    <row r="1952" spans="1:4">
      <c r="A1952" t="s">
        <v>107</v>
      </c>
      <c r="B1952" s="71">
        <v>35810</v>
      </c>
      <c r="C1952" t="s">
        <v>49</v>
      </c>
      <c r="D1952">
        <v>491.90999961420891</v>
      </c>
    </row>
    <row r="1953" spans="1:4">
      <c r="A1953" t="s">
        <v>107</v>
      </c>
      <c r="B1953" s="71">
        <v>35829</v>
      </c>
      <c r="C1953" t="s">
        <v>30</v>
      </c>
      <c r="D1953">
        <v>776.69999999999993</v>
      </c>
    </row>
    <row r="1954" spans="1:4">
      <c r="A1954" t="s">
        <v>107</v>
      </c>
      <c r="B1954" s="71">
        <v>35843</v>
      </c>
      <c r="C1954" t="s">
        <v>52</v>
      </c>
      <c r="D1954">
        <v>368.93249971065671</v>
      </c>
    </row>
    <row r="1955" spans="1:4">
      <c r="A1955" t="s">
        <v>107</v>
      </c>
      <c r="B1955" s="71">
        <v>35844</v>
      </c>
      <c r="C1955" t="s">
        <v>48</v>
      </c>
      <c r="D1955">
        <v>906.15</v>
      </c>
    </row>
    <row r="1956" spans="1:4">
      <c r="A1956" t="s">
        <v>107</v>
      </c>
      <c r="B1956" s="71">
        <v>35845</v>
      </c>
      <c r="C1956" t="s">
        <v>45</v>
      </c>
      <c r="D1956">
        <v>932.04</v>
      </c>
    </row>
    <row r="1957" spans="1:4">
      <c r="A1957" t="s">
        <v>107</v>
      </c>
      <c r="B1957" s="71">
        <v>35856</v>
      </c>
      <c r="C1957" t="s">
        <v>42</v>
      </c>
      <c r="D1957">
        <v>25.89</v>
      </c>
    </row>
    <row r="1958" spans="1:4">
      <c r="A1958" t="s">
        <v>107</v>
      </c>
      <c r="B1958" s="71">
        <v>35872</v>
      </c>
      <c r="C1958" t="s">
        <v>50</v>
      </c>
      <c r="D1958">
        <v>776.7</v>
      </c>
    </row>
    <row r="1959" spans="1:4">
      <c r="A1959" t="s">
        <v>107</v>
      </c>
      <c r="B1959" s="71">
        <v>35895</v>
      </c>
      <c r="C1959" t="s">
        <v>51</v>
      </c>
      <c r="D1959">
        <v>388.35</v>
      </c>
    </row>
    <row r="1960" spans="1:4">
      <c r="A1960" t="s">
        <v>107</v>
      </c>
      <c r="B1960" s="71">
        <v>35916</v>
      </c>
      <c r="C1960" t="s">
        <v>50</v>
      </c>
      <c r="D1960">
        <v>77.67</v>
      </c>
    </row>
    <row r="1961" spans="1:4">
      <c r="A1961" t="s">
        <v>107</v>
      </c>
      <c r="B1961" s="71">
        <v>35258</v>
      </c>
      <c r="C1961" t="s">
        <v>48</v>
      </c>
      <c r="D1961">
        <v>380</v>
      </c>
    </row>
    <row r="1962" spans="1:4">
      <c r="A1962" t="s">
        <v>107</v>
      </c>
      <c r="B1962" s="71">
        <v>35278</v>
      </c>
      <c r="C1962" t="s">
        <v>49</v>
      </c>
      <c r="D1962">
        <v>456</v>
      </c>
    </row>
    <row r="1963" spans="1:4">
      <c r="A1963" t="s">
        <v>107</v>
      </c>
      <c r="B1963" s="71">
        <v>35313</v>
      </c>
      <c r="C1963" t="s">
        <v>37</v>
      </c>
      <c r="D1963">
        <v>456</v>
      </c>
    </row>
    <row r="1964" spans="1:4">
      <c r="A1964" t="s">
        <v>107</v>
      </c>
      <c r="B1964" s="71">
        <v>35332</v>
      </c>
      <c r="C1964" t="s">
        <v>51</v>
      </c>
      <c r="D1964">
        <v>182.4</v>
      </c>
    </row>
    <row r="1965" spans="1:4">
      <c r="A1965" t="s">
        <v>107</v>
      </c>
      <c r="B1965" s="71">
        <v>35362</v>
      </c>
      <c r="C1965" t="s">
        <v>42</v>
      </c>
      <c r="D1965">
        <v>304</v>
      </c>
    </row>
    <row r="1966" spans="1:4">
      <c r="A1966" t="s">
        <v>107</v>
      </c>
      <c r="B1966" s="71">
        <v>35368</v>
      </c>
      <c r="C1966" t="s">
        <v>42</v>
      </c>
      <c r="D1966">
        <v>486.3999981880188</v>
      </c>
    </row>
    <row r="1967" spans="1:4">
      <c r="A1967" t="s">
        <v>107</v>
      </c>
      <c r="B1967" s="71">
        <v>35389</v>
      </c>
      <c r="C1967" t="s">
        <v>30</v>
      </c>
      <c r="D1967">
        <v>288.79999977350235</v>
      </c>
    </row>
    <row r="1968" spans="1:4">
      <c r="A1968" t="s">
        <v>107</v>
      </c>
      <c r="B1968" s="71">
        <v>35402</v>
      </c>
      <c r="C1968" t="s">
        <v>49</v>
      </c>
      <c r="D1968">
        <v>72.959999728202817</v>
      </c>
    </row>
    <row r="1969" spans="1:4">
      <c r="A1969" t="s">
        <v>107</v>
      </c>
      <c r="B1969" s="71">
        <v>35437</v>
      </c>
      <c r="C1969" t="s">
        <v>52</v>
      </c>
      <c r="D1969">
        <v>68.399999886751175</v>
      </c>
    </row>
    <row r="1970" spans="1:4">
      <c r="A1970" t="s">
        <v>107</v>
      </c>
      <c r="B1970" s="71">
        <v>35552</v>
      </c>
      <c r="C1970" t="s">
        <v>49</v>
      </c>
      <c r="D1970">
        <v>570</v>
      </c>
    </row>
    <row r="1971" spans="1:4">
      <c r="A1971" t="s">
        <v>107</v>
      </c>
      <c r="B1971" s="71">
        <v>35555</v>
      </c>
      <c r="C1971" t="s">
        <v>52</v>
      </c>
      <c r="D1971">
        <v>512.99999915063381</v>
      </c>
    </row>
    <row r="1972" spans="1:4">
      <c r="A1972" t="s">
        <v>107</v>
      </c>
      <c r="B1972" s="71">
        <v>35573</v>
      </c>
      <c r="C1972" t="s">
        <v>45</v>
      </c>
      <c r="D1972">
        <v>1140</v>
      </c>
    </row>
    <row r="1973" spans="1:4">
      <c r="A1973" t="s">
        <v>107</v>
      </c>
      <c r="B1973" s="71">
        <v>35591</v>
      </c>
      <c r="C1973" t="s">
        <v>51</v>
      </c>
      <c r="D1973">
        <v>475</v>
      </c>
    </row>
    <row r="1974" spans="1:4">
      <c r="A1974" t="s">
        <v>107</v>
      </c>
      <c r="B1974" s="71">
        <v>35636</v>
      </c>
      <c r="C1974" t="s">
        <v>50</v>
      </c>
      <c r="D1974">
        <v>299.25</v>
      </c>
    </row>
    <row r="1975" spans="1:4">
      <c r="A1975" t="s">
        <v>107</v>
      </c>
      <c r="B1975" s="71">
        <v>35639</v>
      </c>
      <c r="C1975" t="s">
        <v>49</v>
      </c>
      <c r="D1975">
        <v>1045</v>
      </c>
    </row>
    <row r="1976" spans="1:4">
      <c r="A1976" t="s">
        <v>107</v>
      </c>
      <c r="B1976" s="71">
        <v>35668</v>
      </c>
      <c r="C1976" t="s">
        <v>42</v>
      </c>
      <c r="D1976">
        <v>285</v>
      </c>
    </row>
    <row r="1977" spans="1:4">
      <c r="A1977" t="s">
        <v>107</v>
      </c>
      <c r="B1977" s="71">
        <v>35688</v>
      </c>
      <c r="C1977" t="s">
        <v>51</v>
      </c>
      <c r="D1977">
        <v>570</v>
      </c>
    </row>
    <row r="1978" spans="1:4">
      <c r="A1978" t="s">
        <v>107</v>
      </c>
      <c r="B1978" s="71">
        <v>35703</v>
      </c>
      <c r="C1978" t="s">
        <v>48</v>
      </c>
      <c r="D1978">
        <v>85.5</v>
      </c>
    </row>
    <row r="1979" spans="1:4">
      <c r="A1979" t="s">
        <v>107</v>
      </c>
      <c r="B1979" s="71">
        <v>35720</v>
      </c>
      <c r="C1979" t="s">
        <v>37</v>
      </c>
      <c r="D1979">
        <v>95</v>
      </c>
    </row>
    <row r="1980" spans="1:4">
      <c r="A1980" t="s">
        <v>107</v>
      </c>
      <c r="B1980" s="71">
        <v>35730</v>
      </c>
      <c r="C1980" t="s">
        <v>49</v>
      </c>
      <c r="D1980">
        <v>760</v>
      </c>
    </row>
    <row r="1981" spans="1:4">
      <c r="A1981" t="s">
        <v>107</v>
      </c>
      <c r="B1981" s="71">
        <v>35746</v>
      </c>
      <c r="C1981" t="s">
        <v>45</v>
      </c>
      <c r="D1981">
        <v>114</v>
      </c>
    </row>
    <row r="1982" spans="1:4">
      <c r="A1982" t="s">
        <v>107</v>
      </c>
      <c r="B1982" s="71">
        <v>35761</v>
      </c>
      <c r="C1982" t="s">
        <v>50</v>
      </c>
      <c r="D1982">
        <v>303.99999886751175</v>
      </c>
    </row>
    <row r="1983" spans="1:4">
      <c r="A1983" t="s">
        <v>107</v>
      </c>
      <c r="B1983" s="71">
        <v>35782</v>
      </c>
      <c r="C1983" t="s">
        <v>42</v>
      </c>
      <c r="D1983">
        <v>570</v>
      </c>
    </row>
    <row r="1984" spans="1:4">
      <c r="A1984" t="s">
        <v>107</v>
      </c>
      <c r="B1984" s="71">
        <v>35814</v>
      </c>
      <c r="C1984" t="s">
        <v>45</v>
      </c>
      <c r="D1984">
        <v>712.5</v>
      </c>
    </row>
    <row r="1985" spans="1:4">
      <c r="A1985" t="s">
        <v>107</v>
      </c>
      <c r="B1985" s="71">
        <v>35844</v>
      </c>
      <c r="C1985" t="s">
        <v>48</v>
      </c>
      <c r="D1985">
        <v>380</v>
      </c>
    </row>
    <row r="1986" spans="1:4">
      <c r="A1986" t="s">
        <v>107</v>
      </c>
      <c r="B1986" s="71">
        <v>35858</v>
      </c>
      <c r="C1986" t="s">
        <v>45</v>
      </c>
      <c r="D1986">
        <v>403.74999716877937</v>
      </c>
    </row>
    <row r="1987" spans="1:4">
      <c r="A1987" t="s">
        <v>107</v>
      </c>
      <c r="B1987" s="71">
        <v>35863</v>
      </c>
      <c r="C1987" t="s">
        <v>45</v>
      </c>
      <c r="D1987">
        <v>455.99999830126762</v>
      </c>
    </row>
    <row r="1988" spans="1:4">
      <c r="A1988" t="s">
        <v>107</v>
      </c>
      <c r="B1988" s="71">
        <v>35884</v>
      </c>
      <c r="C1988" t="s">
        <v>49</v>
      </c>
      <c r="D1988">
        <v>760</v>
      </c>
    </row>
    <row r="1989" spans="1:4">
      <c r="A1989" t="s">
        <v>107</v>
      </c>
      <c r="B1989" s="71">
        <v>35893</v>
      </c>
      <c r="C1989" t="s">
        <v>51</v>
      </c>
      <c r="D1989">
        <v>256.5</v>
      </c>
    </row>
    <row r="1990" spans="1:4">
      <c r="A1990" t="s">
        <v>107</v>
      </c>
      <c r="B1990" s="71">
        <v>35895</v>
      </c>
      <c r="C1990" t="s">
        <v>48</v>
      </c>
      <c r="D1990">
        <v>304</v>
      </c>
    </row>
    <row r="1991" spans="1:4">
      <c r="A1991" t="s">
        <v>107</v>
      </c>
      <c r="B1991" s="71">
        <v>35902</v>
      </c>
      <c r="C1991" t="s">
        <v>51</v>
      </c>
      <c r="D1991">
        <v>665</v>
      </c>
    </row>
    <row r="1992" spans="1:4">
      <c r="A1992" t="s">
        <v>107</v>
      </c>
      <c r="B1992" s="71">
        <v>35264</v>
      </c>
      <c r="C1992" t="s">
        <v>42</v>
      </c>
      <c r="D1992">
        <v>20.8</v>
      </c>
    </row>
    <row r="1993" spans="1:4">
      <c r="A1993" t="s">
        <v>107</v>
      </c>
      <c r="B1993" s="71">
        <v>35362</v>
      </c>
      <c r="C1993" t="s">
        <v>42</v>
      </c>
      <c r="D1993">
        <v>582.4</v>
      </c>
    </row>
    <row r="1994" spans="1:4">
      <c r="A1994" t="s">
        <v>107</v>
      </c>
      <c r="B1994" s="71">
        <v>35438</v>
      </c>
      <c r="C1994" t="s">
        <v>50</v>
      </c>
      <c r="D1994">
        <v>208</v>
      </c>
    </row>
    <row r="1995" spans="1:4">
      <c r="A1995" t="s">
        <v>107</v>
      </c>
      <c r="B1995" s="71">
        <v>35551</v>
      </c>
      <c r="C1995" t="s">
        <v>52</v>
      </c>
      <c r="D1995">
        <v>421.19999930262566</v>
      </c>
    </row>
    <row r="1996" spans="1:4">
      <c r="A1996" t="s">
        <v>107</v>
      </c>
      <c r="B1996" s="71">
        <v>35817</v>
      </c>
      <c r="C1996" t="s">
        <v>42</v>
      </c>
      <c r="D1996">
        <v>1247.9999953508377</v>
      </c>
    </row>
    <row r="1997" spans="1:4">
      <c r="A1997" t="s">
        <v>107</v>
      </c>
      <c r="B1997" s="71">
        <v>35874</v>
      </c>
      <c r="C1997" t="s">
        <v>42</v>
      </c>
      <c r="D1997">
        <v>208</v>
      </c>
    </row>
    <row r="1998" spans="1:4">
      <c r="A1998" t="s">
        <v>107</v>
      </c>
      <c r="B1998" s="71">
        <v>35275</v>
      </c>
      <c r="C1998" t="s">
        <v>42</v>
      </c>
      <c r="D1998">
        <v>735</v>
      </c>
    </row>
    <row r="1999" spans="1:4">
      <c r="A1999" t="s">
        <v>107</v>
      </c>
      <c r="B1999" s="71">
        <v>35282</v>
      </c>
      <c r="C1999" t="s">
        <v>45</v>
      </c>
      <c r="D1999">
        <v>837.89999934285879</v>
      </c>
    </row>
    <row r="2000" spans="1:4">
      <c r="A2000" t="s">
        <v>107</v>
      </c>
      <c r="B2000" s="71">
        <v>35297</v>
      </c>
      <c r="C2000" t="s">
        <v>49</v>
      </c>
      <c r="D2000">
        <v>470.39999824762344</v>
      </c>
    </row>
    <row r="2001" spans="1:4">
      <c r="A2001" t="s">
        <v>107</v>
      </c>
      <c r="B2001" s="71">
        <v>35317</v>
      </c>
      <c r="C2001" t="s">
        <v>50</v>
      </c>
      <c r="D2001">
        <v>147</v>
      </c>
    </row>
    <row r="2002" spans="1:4">
      <c r="A2002" t="s">
        <v>107</v>
      </c>
      <c r="B2002" s="71">
        <v>35319</v>
      </c>
      <c r="C2002" t="s">
        <v>52</v>
      </c>
      <c r="D2002">
        <v>529.19999912381172</v>
      </c>
    </row>
    <row r="2003" spans="1:4">
      <c r="A2003" t="s">
        <v>107</v>
      </c>
      <c r="B2003" s="71">
        <v>35375</v>
      </c>
      <c r="C2003" t="s">
        <v>42</v>
      </c>
      <c r="D2003">
        <v>58.8</v>
      </c>
    </row>
    <row r="2004" spans="1:4">
      <c r="A2004" t="s">
        <v>107</v>
      </c>
      <c r="B2004" s="71">
        <v>35437</v>
      </c>
      <c r="C2004" t="s">
        <v>52</v>
      </c>
      <c r="D2004">
        <v>26.459999956190586</v>
      </c>
    </row>
    <row r="2005" spans="1:4">
      <c r="A2005" t="s">
        <v>107</v>
      </c>
      <c r="B2005" s="71">
        <v>35460</v>
      </c>
      <c r="C2005" t="s">
        <v>42</v>
      </c>
      <c r="D2005">
        <v>551.25</v>
      </c>
    </row>
    <row r="2006" spans="1:4">
      <c r="A2006" t="s">
        <v>107</v>
      </c>
      <c r="B2006" s="71">
        <v>35478</v>
      </c>
      <c r="C2006" t="s">
        <v>42</v>
      </c>
      <c r="D2006">
        <v>294</v>
      </c>
    </row>
    <row r="2007" spans="1:4">
      <c r="A2007" t="s">
        <v>107</v>
      </c>
      <c r="B2007" s="71">
        <v>35494</v>
      </c>
      <c r="C2007" t="s">
        <v>49</v>
      </c>
      <c r="D2007">
        <v>294</v>
      </c>
    </row>
    <row r="2008" spans="1:4">
      <c r="A2008" t="s">
        <v>107</v>
      </c>
      <c r="B2008" s="71">
        <v>35502</v>
      </c>
      <c r="C2008" t="s">
        <v>30</v>
      </c>
      <c r="D2008">
        <v>308.7</v>
      </c>
    </row>
    <row r="2009" spans="1:4">
      <c r="A2009" t="s">
        <v>107</v>
      </c>
      <c r="B2009" s="71">
        <v>35510</v>
      </c>
      <c r="C2009" t="s">
        <v>49</v>
      </c>
      <c r="D2009">
        <v>147</v>
      </c>
    </row>
    <row r="2010" spans="1:4">
      <c r="A2010" t="s">
        <v>107</v>
      </c>
      <c r="B2010" s="71">
        <v>35513</v>
      </c>
      <c r="C2010" t="s">
        <v>45</v>
      </c>
      <c r="D2010">
        <v>147</v>
      </c>
    </row>
    <row r="2011" spans="1:4">
      <c r="A2011" t="s">
        <v>107</v>
      </c>
      <c r="B2011" s="71">
        <v>35527</v>
      </c>
      <c r="C2011" t="s">
        <v>50</v>
      </c>
      <c r="D2011">
        <v>92</v>
      </c>
    </row>
    <row r="2012" spans="1:4">
      <c r="A2012" t="s">
        <v>107</v>
      </c>
      <c r="B2012" s="71">
        <v>35550</v>
      </c>
      <c r="C2012" t="s">
        <v>42</v>
      </c>
      <c r="D2012">
        <v>367.99999862909317</v>
      </c>
    </row>
    <row r="2013" spans="1:4">
      <c r="A2013" t="s">
        <v>107</v>
      </c>
      <c r="B2013" s="71">
        <v>35552</v>
      </c>
      <c r="C2013" t="s">
        <v>49</v>
      </c>
      <c r="D2013">
        <v>248.39999958872795</v>
      </c>
    </row>
    <row r="2014" spans="1:4">
      <c r="A2014" t="s">
        <v>107</v>
      </c>
      <c r="B2014" s="71">
        <v>35562</v>
      </c>
      <c r="C2014" t="s">
        <v>50</v>
      </c>
      <c r="D2014">
        <v>147.19999945163727</v>
      </c>
    </row>
    <row r="2015" spans="1:4">
      <c r="A2015" t="s">
        <v>107</v>
      </c>
      <c r="B2015" s="71">
        <v>35563</v>
      </c>
      <c r="C2015" t="s">
        <v>42</v>
      </c>
      <c r="D2015">
        <v>165.59999972581863</v>
      </c>
    </row>
    <row r="2016" spans="1:4">
      <c r="A2016" t="s">
        <v>107</v>
      </c>
      <c r="B2016" s="71">
        <v>35599</v>
      </c>
      <c r="C2016" t="s">
        <v>45</v>
      </c>
      <c r="D2016">
        <v>920</v>
      </c>
    </row>
    <row r="2017" spans="1:4">
      <c r="A2017" t="s">
        <v>107</v>
      </c>
      <c r="B2017" s="71">
        <v>35600</v>
      </c>
      <c r="C2017" t="s">
        <v>42</v>
      </c>
      <c r="D2017">
        <v>36.799999999999997</v>
      </c>
    </row>
    <row r="2018" spans="1:4">
      <c r="A2018" t="s">
        <v>107</v>
      </c>
      <c r="B2018" s="71">
        <v>35633</v>
      </c>
      <c r="C2018" t="s">
        <v>30</v>
      </c>
      <c r="D2018">
        <v>772.8</v>
      </c>
    </row>
    <row r="2019" spans="1:4">
      <c r="A2019" t="s">
        <v>107</v>
      </c>
      <c r="B2019" s="71">
        <v>35664</v>
      </c>
      <c r="C2019" t="s">
        <v>42</v>
      </c>
      <c r="D2019">
        <v>1104</v>
      </c>
    </row>
    <row r="2020" spans="1:4">
      <c r="A2020" t="s">
        <v>107</v>
      </c>
      <c r="B2020" s="71">
        <v>35678</v>
      </c>
      <c r="C2020" t="s">
        <v>42</v>
      </c>
      <c r="D2020">
        <v>1223.5999990403652</v>
      </c>
    </row>
    <row r="2021" spans="1:4">
      <c r="A2021" t="s">
        <v>107</v>
      </c>
      <c r="B2021" s="71">
        <v>35678</v>
      </c>
      <c r="C2021" t="s">
        <v>52</v>
      </c>
      <c r="D2021">
        <v>419.51999967098237</v>
      </c>
    </row>
    <row r="2022" spans="1:4">
      <c r="A2022" t="s">
        <v>107</v>
      </c>
      <c r="B2022" s="71">
        <v>35683</v>
      </c>
      <c r="C2022" t="s">
        <v>51</v>
      </c>
      <c r="D2022">
        <v>524.39999958872795</v>
      </c>
    </row>
    <row r="2023" spans="1:4">
      <c r="A2023" t="s">
        <v>107</v>
      </c>
      <c r="B2023" s="71">
        <v>35699</v>
      </c>
      <c r="C2023" t="s">
        <v>45</v>
      </c>
      <c r="D2023">
        <v>368</v>
      </c>
    </row>
    <row r="2024" spans="1:4">
      <c r="A2024" t="s">
        <v>107</v>
      </c>
      <c r="B2024" s="71">
        <v>35738</v>
      </c>
      <c r="C2024" t="s">
        <v>42</v>
      </c>
      <c r="D2024">
        <v>110.4</v>
      </c>
    </row>
    <row r="2025" spans="1:4">
      <c r="A2025" t="s">
        <v>107</v>
      </c>
      <c r="B2025" s="71">
        <v>35751</v>
      </c>
      <c r="C2025" t="s">
        <v>37</v>
      </c>
      <c r="D2025">
        <v>735.99999725818634</v>
      </c>
    </row>
    <row r="2026" spans="1:4">
      <c r="A2026" t="s">
        <v>107</v>
      </c>
      <c r="B2026" s="71">
        <v>35754</v>
      </c>
      <c r="C2026" t="s">
        <v>45</v>
      </c>
      <c r="D2026">
        <v>736</v>
      </c>
    </row>
    <row r="2027" spans="1:4">
      <c r="A2027" t="s">
        <v>107</v>
      </c>
      <c r="B2027" s="71">
        <v>35759</v>
      </c>
      <c r="C2027" t="s">
        <v>37</v>
      </c>
      <c r="D2027">
        <v>55.2</v>
      </c>
    </row>
    <row r="2028" spans="1:4">
      <c r="A2028" t="s">
        <v>107</v>
      </c>
      <c r="B2028" s="71">
        <v>35795</v>
      </c>
      <c r="C2028" t="s">
        <v>42</v>
      </c>
      <c r="D2028">
        <v>18.399999999999999</v>
      </c>
    </row>
    <row r="2029" spans="1:4">
      <c r="A2029" t="s">
        <v>107</v>
      </c>
      <c r="B2029" s="71">
        <v>35797</v>
      </c>
      <c r="C2029" t="s">
        <v>50</v>
      </c>
      <c r="D2029">
        <v>552</v>
      </c>
    </row>
    <row r="2030" spans="1:4">
      <c r="A2030" t="s">
        <v>107</v>
      </c>
      <c r="B2030" s="71">
        <v>35801</v>
      </c>
      <c r="C2030" t="s">
        <v>45</v>
      </c>
      <c r="D2030">
        <v>938.39999341964722</v>
      </c>
    </row>
    <row r="2031" spans="1:4">
      <c r="A2031" t="s">
        <v>107</v>
      </c>
      <c r="B2031" s="71">
        <v>35811</v>
      </c>
      <c r="C2031" t="s">
        <v>48</v>
      </c>
      <c r="D2031">
        <v>460</v>
      </c>
    </row>
    <row r="2032" spans="1:4">
      <c r="A2032" t="s">
        <v>107</v>
      </c>
      <c r="B2032" s="71">
        <v>35836</v>
      </c>
      <c r="C2032" t="s">
        <v>45</v>
      </c>
      <c r="D2032">
        <v>220.8</v>
      </c>
    </row>
    <row r="2033" spans="1:4">
      <c r="A2033" t="s">
        <v>107</v>
      </c>
      <c r="B2033" s="71">
        <v>35844</v>
      </c>
      <c r="C2033" t="s">
        <v>45</v>
      </c>
      <c r="D2033">
        <v>1674.4</v>
      </c>
    </row>
    <row r="2034" spans="1:4">
      <c r="A2034" t="s">
        <v>107</v>
      </c>
      <c r="B2034" s="71">
        <v>35856</v>
      </c>
      <c r="C2034" t="s">
        <v>51</v>
      </c>
      <c r="D2034">
        <v>368</v>
      </c>
    </row>
    <row r="2035" spans="1:4">
      <c r="A2035" t="s">
        <v>107</v>
      </c>
      <c r="B2035" s="71">
        <v>35880</v>
      </c>
      <c r="C2035" t="s">
        <v>48</v>
      </c>
      <c r="D2035">
        <v>184</v>
      </c>
    </row>
    <row r="2036" spans="1:4">
      <c r="A2036" t="s">
        <v>107</v>
      </c>
      <c r="B2036" s="71">
        <v>35891</v>
      </c>
      <c r="C2036" t="s">
        <v>45</v>
      </c>
      <c r="D2036">
        <v>184</v>
      </c>
    </row>
    <row r="2037" spans="1:4">
      <c r="A2037" t="s">
        <v>107</v>
      </c>
      <c r="B2037" s="71">
        <v>35906</v>
      </c>
      <c r="C2037" t="s">
        <v>49</v>
      </c>
      <c r="D2037">
        <v>73.599999725818634</v>
      </c>
    </row>
    <row r="2038" spans="1:4">
      <c r="A2038" t="s">
        <v>107</v>
      </c>
      <c r="B2038" s="71">
        <v>35915</v>
      </c>
      <c r="C2038" t="s">
        <v>45</v>
      </c>
      <c r="D2038">
        <v>662.39999890327454</v>
      </c>
    </row>
    <row r="2039" spans="1:4">
      <c r="A2039" t="s">
        <v>107</v>
      </c>
      <c r="B2039" s="71">
        <v>35254</v>
      </c>
      <c r="C2039" t="s">
        <v>42</v>
      </c>
      <c r="D2039">
        <v>77</v>
      </c>
    </row>
    <row r="2040" spans="1:4">
      <c r="A2040" t="s">
        <v>107</v>
      </c>
      <c r="B2040" s="71">
        <v>35265</v>
      </c>
      <c r="C2040" t="s">
        <v>42</v>
      </c>
      <c r="D2040">
        <v>92.4</v>
      </c>
    </row>
    <row r="2041" spans="1:4">
      <c r="A2041" t="s">
        <v>107</v>
      </c>
      <c r="B2041" s="71">
        <v>35270</v>
      </c>
      <c r="C2041" t="s">
        <v>37</v>
      </c>
      <c r="D2041">
        <v>163.62499885261059</v>
      </c>
    </row>
    <row r="2042" spans="1:4">
      <c r="A2042" t="s">
        <v>107</v>
      </c>
      <c r="B2042" s="71">
        <v>35335</v>
      </c>
      <c r="C2042" t="s">
        <v>49</v>
      </c>
      <c r="D2042">
        <v>77</v>
      </c>
    </row>
    <row r="2043" spans="1:4">
      <c r="A2043" t="s">
        <v>107</v>
      </c>
      <c r="B2043" s="71">
        <v>35339</v>
      </c>
      <c r="C2043" t="s">
        <v>50</v>
      </c>
      <c r="D2043">
        <v>154</v>
      </c>
    </row>
    <row r="2044" spans="1:4">
      <c r="A2044" t="s">
        <v>107</v>
      </c>
      <c r="B2044" s="71">
        <v>35367</v>
      </c>
      <c r="C2044" t="s">
        <v>49</v>
      </c>
      <c r="D2044">
        <v>87.779999931156638</v>
      </c>
    </row>
    <row r="2045" spans="1:4">
      <c r="A2045" t="s">
        <v>107</v>
      </c>
      <c r="B2045" s="71">
        <v>35380</v>
      </c>
      <c r="C2045" t="s">
        <v>49</v>
      </c>
      <c r="D2045">
        <v>100.1</v>
      </c>
    </row>
    <row r="2046" spans="1:4">
      <c r="A2046" t="s">
        <v>107</v>
      </c>
      <c r="B2046" s="71">
        <v>35410</v>
      </c>
      <c r="C2046" t="s">
        <v>51</v>
      </c>
      <c r="D2046">
        <v>55.439999908208847</v>
      </c>
    </row>
    <row r="2047" spans="1:4">
      <c r="A2047" t="s">
        <v>107</v>
      </c>
      <c r="B2047" s="71">
        <v>35440</v>
      </c>
      <c r="C2047" t="s">
        <v>48</v>
      </c>
      <c r="D2047">
        <v>153.99999942630529</v>
      </c>
    </row>
    <row r="2048" spans="1:4">
      <c r="A2048" t="s">
        <v>107</v>
      </c>
      <c r="B2048" s="71">
        <v>35473</v>
      </c>
      <c r="C2048" t="s">
        <v>45</v>
      </c>
      <c r="D2048">
        <v>231</v>
      </c>
    </row>
    <row r="2049" spans="1:4">
      <c r="A2049" t="s">
        <v>107</v>
      </c>
      <c r="B2049" s="71">
        <v>35523</v>
      </c>
      <c r="C2049" t="s">
        <v>45</v>
      </c>
      <c r="D2049">
        <v>154</v>
      </c>
    </row>
    <row r="2050" spans="1:4">
      <c r="A2050" t="s">
        <v>107</v>
      </c>
      <c r="B2050" s="71">
        <v>35544</v>
      </c>
      <c r="C2050" t="s">
        <v>51</v>
      </c>
      <c r="D2050">
        <v>694.79999884963036</v>
      </c>
    </row>
    <row r="2051" spans="1:4">
      <c r="A2051" t="s">
        <v>107</v>
      </c>
      <c r="B2051" s="71">
        <v>35549</v>
      </c>
      <c r="C2051" t="s">
        <v>50</v>
      </c>
      <c r="D2051">
        <v>96.5</v>
      </c>
    </row>
    <row r="2052" spans="1:4">
      <c r="A2052" t="s">
        <v>107</v>
      </c>
      <c r="B2052" s="71">
        <v>35551</v>
      </c>
      <c r="C2052" t="s">
        <v>52</v>
      </c>
      <c r="D2052">
        <v>52.109999913722277</v>
      </c>
    </row>
    <row r="2053" spans="1:4">
      <c r="A2053" t="s">
        <v>107</v>
      </c>
      <c r="B2053" s="71">
        <v>35576</v>
      </c>
      <c r="C2053" t="s">
        <v>45</v>
      </c>
      <c r="D2053">
        <v>135.1</v>
      </c>
    </row>
    <row r="2054" spans="1:4">
      <c r="A2054" t="s">
        <v>107</v>
      </c>
      <c r="B2054" s="71">
        <v>35586</v>
      </c>
      <c r="C2054" t="s">
        <v>37</v>
      </c>
      <c r="D2054">
        <v>110.00999991372227</v>
      </c>
    </row>
    <row r="2055" spans="1:4">
      <c r="A2055" t="s">
        <v>107</v>
      </c>
      <c r="B2055" s="71">
        <v>35607</v>
      </c>
      <c r="C2055" t="s">
        <v>42</v>
      </c>
      <c r="D2055">
        <v>82.507499935291705</v>
      </c>
    </row>
    <row r="2056" spans="1:4">
      <c r="A2056" t="s">
        <v>107</v>
      </c>
      <c r="B2056" s="71">
        <v>35676</v>
      </c>
      <c r="C2056" t="s">
        <v>49</v>
      </c>
      <c r="D2056">
        <v>154.39999942481518</v>
      </c>
    </row>
    <row r="2057" spans="1:4">
      <c r="A2057" t="s">
        <v>107</v>
      </c>
      <c r="B2057" s="71">
        <v>35677</v>
      </c>
      <c r="C2057" t="s">
        <v>51</v>
      </c>
      <c r="D2057">
        <v>231.6</v>
      </c>
    </row>
    <row r="2058" spans="1:4">
      <c r="A2058" t="s">
        <v>107</v>
      </c>
      <c r="B2058" s="71">
        <v>35696</v>
      </c>
      <c r="C2058" t="s">
        <v>52</v>
      </c>
      <c r="D2058">
        <v>1158</v>
      </c>
    </row>
    <row r="2059" spans="1:4">
      <c r="A2059" t="s">
        <v>107</v>
      </c>
      <c r="B2059" s="71">
        <v>35702</v>
      </c>
      <c r="C2059" t="s">
        <v>42</v>
      </c>
      <c r="D2059">
        <v>38.6</v>
      </c>
    </row>
    <row r="2060" spans="1:4">
      <c r="A2060" t="s">
        <v>107</v>
      </c>
      <c r="B2060" s="71">
        <v>35724</v>
      </c>
      <c r="C2060" t="s">
        <v>30</v>
      </c>
      <c r="D2060">
        <v>405.3</v>
      </c>
    </row>
    <row r="2061" spans="1:4">
      <c r="A2061" t="s">
        <v>107</v>
      </c>
      <c r="B2061" s="71">
        <v>35734</v>
      </c>
      <c r="C2061" t="s">
        <v>42</v>
      </c>
      <c r="D2061">
        <v>115.8</v>
      </c>
    </row>
    <row r="2062" spans="1:4">
      <c r="A2062" t="s">
        <v>107</v>
      </c>
      <c r="B2062" s="71">
        <v>35745</v>
      </c>
      <c r="C2062" t="s">
        <v>51</v>
      </c>
      <c r="D2062">
        <v>115.8</v>
      </c>
    </row>
    <row r="2063" spans="1:4">
      <c r="A2063" t="s">
        <v>107</v>
      </c>
      <c r="B2063" s="71">
        <v>35753</v>
      </c>
      <c r="C2063" t="s">
        <v>37</v>
      </c>
      <c r="D2063">
        <v>337.75</v>
      </c>
    </row>
    <row r="2064" spans="1:4">
      <c r="A2064" t="s">
        <v>107</v>
      </c>
      <c r="B2064" s="71">
        <v>35772</v>
      </c>
      <c r="C2064" t="s">
        <v>45</v>
      </c>
      <c r="D2064">
        <v>275.02499978430569</v>
      </c>
    </row>
    <row r="2065" spans="1:4">
      <c r="A2065" t="s">
        <v>107</v>
      </c>
      <c r="B2065" s="71">
        <v>35780</v>
      </c>
      <c r="C2065" t="s">
        <v>45</v>
      </c>
      <c r="D2065">
        <v>96.5</v>
      </c>
    </row>
    <row r="2066" spans="1:4">
      <c r="A2066" t="s">
        <v>107</v>
      </c>
      <c r="B2066" s="71">
        <v>35787</v>
      </c>
      <c r="C2066" t="s">
        <v>37</v>
      </c>
      <c r="D2066">
        <v>183.34999985620379</v>
      </c>
    </row>
    <row r="2067" spans="1:4">
      <c r="A2067" t="s">
        <v>107</v>
      </c>
      <c r="B2067" s="71">
        <v>35788</v>
      </c>
      <c r="C2067" t="s">
        <v>45</v>
      </c>
      <c r="D2067">
        <v>135.1</v>
      </c>
    </row>
    <row r="2068" spans="1:4">
      <c r="A2068" t="s">
        <v>107</v>
      </c>
      <c r="B2068" s="71">
        <v>35800</v>
      </c>
      <c r="C2068" t="s">
        <v>45</v>
      </c>
      <c r="D2068">
        <v>193</v>
      </c>
    </row>
    <row r="2069" spans="1:4">
      <c r="A2069" t="s">
        <v>107</v>
      </c>
      <c r="B2069" s="71">
        <v>35802</v>
      </c>
      <c r="C2069" t="s">
        <v>52</v>
      </c>
      <c r="D2069">
        <v>193</v>
      </c>
    </row>
    <row r="2070" spans="1:4">
      <c r="A2070" t="s">
        <v>107</v>
      </c>
      <c r="B2070" s="71">
        <v>35804</v>
      </c>
      <c r="C2070" t="s">
        <v>50</v>
      </c>
      <c r="D2070">
        <v>115.8</v>
      </c>
    </row>
    <row r="2071" spans="1:4">
      <c r="A2071" t="s">
        <v>107</v>
      </c>
      <c r="B2071" s="71">
        <v>35842</v>
      </c>
      <c r="C2071" t="s">
        <v>52</v>
      </c>
      <c r="D2071">
        <v>135.1</v>
      </c>
    </row>
    <row r="2072" spans="1:4">
      <c r="A2072" t="s">
        <v>107</v>
      </c>
      <c r="B2072" s="71">
        <v>35849</v>
      </c>
      <c r="C2072" t="s">
        <v>42</v>
      </c>
      <c r="D2072">
        <v>289.5</v>
      </c>
    </row>
    <row r="2073" spans="1:4">
      <c r="A2073" t="s">
        <v>107</v>
      </c>
      <c r="B2073" s="71">
        <v>35852</v>
      </c>
      <c r="C2073" t="s">
        <v>49</v>
      </c>
      <c r="D2073">
        <v>48.25</v>
      </c>
    </row>
    <row r="2074" spans="1:4">
      <c r="A2074" t="s">
        <v>107</v>
      </c>
      <c r="B2074" s="71">
        <v>35870</v>
      </c>
      <c r="C2074" t="s">
        <v>48</v>
      </c>
      <c r="D2074">
        <v>55.004999956861134</v>
      </c>
    </row>
    <row r="2075" spans="1:4">
      <c r="A2075" t="s">
        <v>107</v>
      </c>
      <c r="B2075" s="71">
        <v>35873</v>
      </c>
      <c r="C2075" t="s">
        <v>45</v>
      </c>
      <c r="D2075">
        <v>231.6</v>
      </c>
    </row>
    <row r="2076" spans="1:4">
      <c r="A2076" t="s">
        <v>107</v>
      </c>
      <c r="B2076" s="71">
        <v>35878</v>
      </c>
      <c r="C2076" t="s">
        <v>37</v>
      </c>
      <c r="D2076">
        <v>57.9</v>
      </c>
    </row>
    <row r="2077" spans="1:4">
      <c r="A2077" t="s">
        <v>107</v>
      </c>
      <c r="B2077" s="71">
        <v>35885</v>
      </c>
      <c r="C2077" t="s">
        <v>51</v>
      </c>
      <c r="D2077">
        <v>38.6</v>
      </c>
    </row>
    <row r="2078" spans="1:4">
      <c r="A2078" t="s">
        <v>107</v>
      </c>
      <c r="B2078" s="71">
        <v>35886</v>
      </c>
      <c r="C2078" t="s">
        <v>52</v>
      </c>
      <c r="D2078">
        <v>253.3125</v>
      </c>
    </row>
    <row r="2079" spans="1:4">
      <c r="A2079" t="s">
        <v>107</v>
      </c>
      <c r="B2079" s="71">
        <v>35888</v>
      </c>
      <c r="C2079" t="s">
        <v>37</v>
      </c>
      <c r="D2079">
        <v>183.34999985620379</v>
      </c>
    </row>
    <row r="2080" spans="1:4">
      <c r="A2080" t="s">
        <v>107</v>
      </c>
      <c r="B2080" s="71">
        <v>35895</v>
      </c>
      <c r="C2080" t="s">
        <v>51</v>
      </c>
      <c r="D2080">
        <v>243.17999959737062</v>
      </c>
    </row>
    <row r="2081" spans="1:4">
      <c r="A2081" t="s">
        <v>107</v>
      </c>
      <c r="B2081" s="71">
        <v>35915</v>
      </c>
      <c r="C2081" t="s">
        <v>45</v>
      </c>
      <c r="D2081">
        <v>260.54999956861138</v>
      </c>
    </row>
    <row r="2082" spans="1:4">
      <c r="A2082" t="s">
        <v>107</v>
      </c>
      <c r="B2082" s="71">
        <v>35916</v>
      </c>
      <c r="C2082" t="s">
        <v>49</v>
      </c>
      <c r="D2082">
        <v>115.8</v>
      </c>
    </row>
    <row r="2083" spans="1:4">
      <c r="A2083" t="s">
        <v>107</v>
      </c>
      <c r="B2083" s="71">
        <v>35919</v>
      </c>
      <c r="C2083" t="s">
        <v>49</v>
      </c>
      <c r="D2083">
        <v>86.85</v>
      </c>
    </row>
    <row r="2084" spans="1:4">
      <c r="A2084" t="s">
        <v>107</v>
      </c>
      <c r="B2084" s="71">
        <v>35920</v>
      </c>
      <c r="C2084" t="s">
        <v>42</v>
      </c>
      <c r="D2084">
        <v>386</v>
      </c>
    </row>
    <row r="2085" spans="1:4">
      <c r="A2085" t="s">
        <v>107</v>
      </c>
      <c r="B2085" s="71">
        <v>35921</v>
      </c>
      <c r="C2085" t="s">
        <v>49</v>
      </c>
      <c r="D2085">
        <v>28.95</v>
      </c>
    </row>
    <row r="2086" spans="1:4">
      <c r="A2086" t="s">
        <v>107</v>
      </c>
      <c r="B2086" s="71">
        <v>35418</v>
      </c>
      <c r="C2086" t="s">
        <v>51</v>
      </c>
      <c r="D2086">
        <v>91.199999660253525</v>
      </c>
    </row>
    <row r="2087" spans="1:4">
      <c r="A2087" t="s">
        <v>107</v>
      </c>
      <c r="B2087" s="71">
        <v>35494</v>
      </c>
      <c r="C2087" t="s">
        <v>49</v>
      </c>
      <c r="D2087">
        <v>205.19999966025352</v>
      </c>
    </row>
    <row r="2088" spans="1:4">
      <c r="A2088" t="s">
        <v>107</v>
      </c>
      <c r="B2088" s="71">
        <v>35530</v>
      </c>
      <c r="C2088" t="s">
        <v>51</v>
      </c>
      <c r="D2088">
        <v>199.5</v>
      </c>
    </row>
    <row r="2089" spans="1:4">
      <c r="A2089" t="s">
        <v>107</v>
      </c>
      <c r="B2089" s="71">
        <v>35577</v>
      </c>
      <c r="C2089" t="s">
        <v>30</v>
      </c>
      <c r="D2089">
        <v>807.49999433755875</v>
      </c>
    </row>
    <row r="2090" spans="1:4">
      <c r="A2090" t="s">
        <v>107</v>
      </c>
      <c r="B2090" s="71">
        <v>35662</v>
      </c>
      <c r="C2090" t="s">
        <v>45</v>
      </c>
      <c r="D2090">
        <v>190</v>
      </c>
    </row>
    <row r="2091" spans="1:4">
      <c r="A2091" t="s">
        <v>107</v>
      </c>
      <c r="B2091" s="71">
        <v>35725</v>
      </c>
      <c r="C2091" t="s">
        <v>49</v>
      </c>
      <c r="D2091">
        <v>1045</v>
      </c>
    </row>
    <row r="2092" spans="1:4">
      <c r="A2092" t="s">
        <v>107</v>
      </c>
      <c r="B2092" s="71">
        <v>35747</v>
      </c>
      <c r="C2092" t="s">
        <v>42</v>
      </c>
      <c r="D2092">
        <v>303.99999886751175</v>
      </c>
    </row>
    <row r="2093" spans="1:4">
      <c r="A2093" t="s">
        <v>107</v>
      </c>
      <c r="B2093" s="71">
        <v>35755</v>
      </c>
      <c r="C2093" t="s">
        <v>48</v>
      </c>
      <c r="D2093">
        <v>322.9999977350235</v>
      </c>
    </row>
    <row r="2094" spans="1:4">
      <c r="A2094" t="s">
        <v>107</v>
      </c>
      <c r="B2094" s="71">
        <v>35759</v>
      </c>
      <c r="C2094" t="s">
        <v>45</v>
      </c>
      <c r="D2094">
        <v>38</v>
      </c>
    </row>
    <row r="2095" spans="1:4">
      <c r="A2095" t="s">
        <v>107</v>
      </c>
      <c r="B2095" s="71">
        <v>35779</v>
      </c>
      <c r="C2095" t="s">
        <v>49</v>
      </c>
      <c r="D2095">
        <v>243.67499980889261</v>
      </c>
    </row>
    <row r="2096" spans="1:4">
      <c r="A2096" t="s">
        <v>107</v>
      </c>
      <c r="B2096" s="71">
        <v>35817</v>
      </c>
      <c r="C2096" t="s">
        <v>42</v>
      </c>
      <c r="D2096">
        <v>273.59999898076057</v>
      </c>
    </row>
    <row r="2097" spans="1:4">
      <c r="A2097" t="s">
        <v>107</v>
      </c>
      <c r="B2097" s="71">
        <v>35845</v>
      </c>
      <c r="C2097" t="s">
        <v>52</v>
      </c>
      <c r="D2097">
        <v>142.5</v>
      </c>
    </row>
    <row r="2098" spans="1:4">
      <c r="A2098" t="s">
        <v>107</v>
      </c>
      <c r="B2098" s="71">
        <v>35871</v>
      </c>
      <c r="C2098" t="s">
        <v>30</v>
      </c>
      <c r="D2098">
        <v>285</v>
      </c>
    </row>
    <row r="2099" spans="1:4">
      <c r="A2099" t="s">
        <v>107</v>
      </c>
      <c r="B2099" s="71">
        <v>35894</v>
      </c>
      <c r="C2099" t="s">
        <v>51</v>
      </c>
      <c r="D2099">
        <v>190</v>
      </c>
    </row>
    <row r="2100" spans="1:4">
      <c r="A2100" t="s">
        <v>107</v>
      </c>
      <c r="B2100" s="71">
        <v>35299</v>
      </c>
      <c r="C2100" t="s">
        <v>50</v>
      </c>
      <c r="D2100">
        <v>122.39999914169312</v>
      </c>
    </row>
    <row r="2101" spans="1:4">
      <c r="A2101" t="s">
        <v>107</v>
      </c>
      <c r="B2101" s="71">
        <v>35346</v>
      </c>
      <c r="C2101" t="s">
        <v>48</v>
      </c>
      <c r="D2101">
        <v>288</v>
      </c>
    </row>
    <row r="2102" spans="1:4">
      <c r="A2102" t="s">
        <v>107</v>
      </c>
      <c r="B2102" s="71">
        <v>35422</v>
      </c>
      <c r="C2102" t="s">
        <v>37</v>
      </c>
      <c r="D2102">
        <v>432</v>
      </c>
    </row>
    <row r="2103" spans="1:4">
      <c r="A2103" t="s">
        <v>107</v>
      </c>
      <c r="B2103" s="71">
        <v>35425</v>
      </c>
      <c r="C2103" t="s">
        <v>37</v>
      </c>
      <c r="D2103">
        <v>241.91999959945679</v>
      </c>
    </row>
    <row r="2104" spans="1:4">
      <c r="A2104" t="s">
        <v>107</v>
      </c>
      <c r="B2104" s="71">
        <v>35446</v>
      </c>
      <c r="C2104" t="s">
        <v>42</v>
      </c>
      <c r="D2104">
        <v>14.399999999999999</v>
      </c>
    </row>
    <row r="2105" spans="1:4">
      <c r="A2105" t="s">
        <v>107</v>
      </c>
      <c r="B2105" s="71">
        <v>35458</v>
      </c>
      <c r="C2105" t="s">
        <v>52</v>
      </c>
      <c r="D2105">
        <v>192</v>
      </c>
    </row>
    <row r="2106" spans="1:4">
      <c r="A2106" t="s">
        <v>107</v>
      </c>
      <c r="B2106" s="71">
        <v>35466</v>
      </c>
      <c r="C2106" t="s">
        <v>45</v>
      </c>
      <c r="D2106">
        <v>48</v>
      </c>
    </row>
    <row r="2107" spans="1:4">
      <c r="A2107" t="s">
        <v>107</v>
      </c>
      <c r="B2107" s="71">
        <v>35482</v>
      </c>
      <c r="C2107" t="s">
        <v>42</v>
      </c>
      <c r="D2107">
        <v>76.799999713897705</v>
      </c>
    </row>
    <row r="2108" spans="1:4">
      <c r="A2108" t="s">
        <v>107</v>
      </c>
      <c r="B2108" s="71">
        <v>35488</v>
      </c>
      <c r="C2108" t="s">
        <v>42</v>
      </c>
      <c r="D2108">
        <v>182.39999985694885</v>
      </c>
    </row>
    <row r="2109" spans="1:4">
      <c r="A2109" t="s">
        <v>107</v>
      </c>
      <c r="B2109" s="71">
        <v>35495</v>
      </c>
      <c r="C2109" t="s">
        <v>42</v>
      </c>
      <c r="D2109">
        <v>48</v>
      </c>
    </row>
    <row r="2110" spans="1:4">
      <c r="A2110" t="s">
        <v>107</v>
      </c>
      <c r="B2110" s="71">
        <v>35541</v>
      </c>
      <c r="C2110" t="s">
        <v>52</v>
      </c>
      <c r="D2110">
        <v>91.799999356269836</v>
      </c>
    </row>
    <row r="2111" spans="1:4">
      <c r="A2111" t="s">
        <v>107</v>
      </c>
      <c r="B2111" s="71">
        <v>35667</v>
      </c>
      <c r="C2111" t="s">
        <v>37</v>
      </c>
      <c r="D2111">
        <v>18</v>
      </c>
    </row>
    <row r="2112" spans="1:4">
      <c r="A2112" t="s">
        <v>107</v>
      </c>
      <c r="B2112" s="71">
        <v>35667</v>
      </c>
      <c r="C2112" t="s">
        <v>45</v>
      </c>
      <c r="D2112">
        <v>226.79999962449074</v>
      </c>
    </row>
    <row r="2113" spans="1:4">
      <c r="A2113" t="s">
        <v>107</v>
      </c>
      <c r="B2113" s="71">
        <v>35677</v>
      </c>
      <c r="C2113" t="s">
        <v>51</v>
      </c>
      <c r="D2113">
        <v>540</v>
      </c>
    </row>
    <row r="2114" spans="1:4">
      <c r="A2114" t="s">
        <v>107</v>
      </c>
      <c r="B2114" s="71">
        <v>35689</v>
      </c>
      <c r="C2114" t="s">
        <v>42</v>
      </c>
      <c r="D2114">
        <v>720</v>
      </c>
    </row>
    <row r="2115" spans="1:4">
      <c r="A2115" t="s">
        <v>107</v>
      </c>
      <c r="B2115" s="71">
        <v>35711</v>
      </c>
      <c r="C2115" t="s">
        <v>50</v>
      </c>
      <c r="D2115">
        <v>216</v>
      </c>
    </row>
    <row r="2116" spans="1:4">
      <c r="A2116" t="s">
        <v>107</v>
      </c>
      <c r="B2116" s="71">
        <v>35725</v>
      </c>
      <c r="C2116" t="s">
        <v>49</v>
      </c>
      <c r="D2116">
        <v>288</v>
      </c>
    </row>
    <row r="2117" spans="1:4">
      <c r="A2117" t="s">
        <v>107</v>
      </c>
      <c r="B2117" s="71">
        <v>35751</v>
      </c>
      <c r="C2117" t="s">
        <v>49</v>
      </c>
      <c r="D2117">
        <v>319.19999974966049</v>
      </c>
    </row>
    <row r="2118" spans="1:4">
      <c r="A2118" t="s">
        <v>107</v>
      </c>
      <c r="B2118" s="71">
        <v>35800</v>
      </c>
      <c r="C2118" t="s">
        <v>49</v>
      </c>
      <c r="D2118">
        <v>420</v>
      </c>
    </row>
    <row r="2119" spans="1:4">
      <c r="A2119" t="s">
        <v>107</v>
      </c>
      <c r="B2119" s="71">
        <v>35835</v>
      </c>
      <c r="C2119" t="s">
        <v>52</v>
      </c>
      <c r="D2119">
        <v>252</v>
      </c>
    </row>
    <row r="2120" spans="1:4">
      <c r="A2120" t="s">
        <v>107</v>
      </c>
      <c r="B2120" s="71">
        <v>35865</v>
      </c>
      <c r="C2120" t="s">
        <v>42</v>
      </c>
      <c r="D2120">
        <v>180</v>
      </c>
    </row>
    <row r="2121" spans="1:4">
      <c r="A2121" t="s">
        <v>107</v>
      </c>
      <c r="B2121" s="71">
        <v>35877</v>
      </c>
      <c r="C2121" t="s">
        <v>49</v>
      </c>
      <c r="D2121">
        <v>108</v>
      </c>
    </row>
    <row r="2122" spans="1:4">
      <c r="A2122" t="s">
        <v>107</v>
      </c>
      <c r="B2122" s="71">
        <v>35888</v>
      </c>
      <c r="C2122" t="s">
        <v>50</v>
      </c>
      <c r="D2122">
        <v>180</v>
      </c>
    </row>
    <row r="2123" spans="1:4">
      <c r="A2123" t="s">
        <v>107</v>
      </c>
      <c r="B2123" s="71">
        <v>35891</v>
      </c>
      <c r="C2123" t="s">
        <v>51</v>
      </c>
      <c r="D2123">
        <v>300</v>
      </c>
    </row>
    <row r="2124" spans="1:4">
      <c r="A2124" t="s">
        <v>107</v>
      </c>
      <c r="B2124" s="71">
        <v>35898</v>
      </c>
      <c r="C2124" t="s">
        <v>37</v>
      </c>
      <c r="D2124">
        <v>36</v>
      </c>
    </row>
    <row r="2125" spans="1:4">
      <c r="A2125" t="s">
        <v>107</v>
      </c>
      <c r="B2125" s="71">
        <v>35921</v>
      </c>
      <c r="C2125" t="s">
        <v>50</v>
      </c>
      <c r="D2125">
        <v>305.99999785423279</v>
      </c>
    </row>
    <row r="2126" spans="1:4">
      <c r="A2126" t="s">
        <v>107</v>
      </c>
      <c r="B2126" s="71">
        <v>35921</v>
      </c>
      <c r="C2126" t="s">
        <v>49</v>
      </c>
      <c r="D2126">
        <v>35.280000016093254</v>
      </c>
    </row>
    <row r="2127" spans="1:4">
      <c r="A2127" t="s">
        <v>107</v>
      </c>
      <c r="B2127" s="71">
        <v>35333</v>
      </c>
      <c r="C2127" t="s">
        <v>49</v>
      </c>
      <c r="D2127">
        <v>286.19999952614307</v>
      </c>
    </row>
    <row r="2128" spans="1:4">
      <c r="A2128" t="s">
        <v>107</v>
      </c>
      <c r="B2128" s="71">
        <v>35349</v>
      </c>
      <c r="C2128" t="s">
        <v>51</v>
      </c>
      <c r="D2128">
        <v>254.39999905228615</v>
      </c>
    </row>
    <row r="2129" spans="1:4">
      <c r="A2129" t="s">
        <v>107</v>
      </c>
      <c r="B2129" s="71">
        <v>35404</v>
      </c>
      <c r="C2129" t="s">
        <v>42</v>
      </c>
      <c r="D2129">
        <v>678.39999747276306</v>
      </c>
    </row>
    <row r="2130" spans="1:4">
      <c r="A2130" t="s">
        <v>107</v>
      </c>
      <c r="B2130" s="71">
        <v>35404</v>
      </c>
      <c r="C2130" t="s">
        <v>49</v>
      </c>
      <c r="D2130">
        <v>159</v>
      </c>
    </row>
    <row r="2131" spans="1:4">
      <c r="A2131" t="s">
        <v>107</v>
      </c>
      <c r="B2131" s="71">
        <v>35564</v>
      </c>
      <c r="C2131" t="s">
        <v>49</v>
      </c>
      <c r="D2131">
        <v>265</v>
      </c>
    </row>
    <row r="2132" spans="1:4">
      <c r="A2132" t="s">
        <v>107</v>
      </c>
      <c r="B2132" s="71">
        <v>35620</v>
      </c>
      <c r="C2132" t="s">
        <v>45</v>
      </c>
      <c r="D2132">
        <v>397.5</v>
      </c>
    </row>
    <row r="2133" spans="1:4">
      <c r="A2133" t="s">
        <v>107</v>
      </c>
      <c r="B2133" s="71">
        <v>35661</v>
      </c>
      <c r="C2133" t="s">
        <v>42</v>
      </c>
      <c r="D2133">
        <v>79.5</v>
      </c>
    </row>
    <row r="2134" spans="1:4">
      <c r="A2134" t="s">
        <v>107</v>
      </c>
      <c r="B2134" s="71">
        <v>35682</v>
      </c>
      <c r="C2134" t="s">
        <v>52</v>
      </c>
      <c r="D2134">
        <v>519.39999806508422</v>
      </c>
    </row>
    <row r="2135" spans="1:4">
      <c r="A2135" t="s">
        <v>107</v>
      </c>
      <c r="B2135" s="71">
        <v>35692</v>
      </c>
      <c r="C2135" t="s">
        <v>30</v>
      </c>
      <c r="D2135">
        <v>397.5</v>
      </c>
    </row>
    <row r="2136" spans="1:4">
      <c r="A2136" t="s">
        <v>107</v>
      </c>
      <c r="B2136" s="71">
        <v>35711</v>
      </c>
      <c r="C2136" t="s">
        <v>45</v>
      </c>
      <c r="D2136">
        <v>298.125</v>
      </c>
    </row>
    <row r="2137" spans="1:4">
      <c r="A2137" t="s">
        <v>107</v>
      </c>
      <c r="B2137" s="71">
        <v>35725</v>
      </c>
      <c r="C2137" t="s">
        <v>30</v>
      </c>
      <c r="D2137">
        <v>119.25</v>
      </c>
    </row>
    <row r="2138" spans="1:4">
      <c r="A2138" t="s">
        <v>107</v>
      </c>
      <c r="B2138" s="71">
        <v>35814</v>
      </c>
      <c r="C2138" t="s">
        <v>45</v>
      </c>
      <c r="D2138">
        <v>357.74999940767884</v>
      </c>
    </row>
    <row r="2139" spans="1:4">
      <c r="A2139" t="s">
        <v>107</v>
      </c>
      <c r="B2139" s="71">
        <v>35816</v>
      </c>
      <c r="C2139" t="s">
        <v>50</v>
      </c>
      <c r="D2139">
        <v>715.49999881535769</v>
      </c>
    </row>
    <row r="2140" spans="1:4">
      <c r="A2140" t="s">
        <v>107</v>
      </c>
      <c r="B2140" s="71">
        <v>35828</v>
      </c>
      <c r="C2140" t="s">
        <v>42</v>
      </c>
      <c r="D2140">
        <v>135.14999905228615</v>
      </c>
    </row>
    <row r="2141" spans="1:4">
      <c r="A2141" t="s">
        <v>107</v>
      </c>
      <c r="B2141" s="71">
        <v>35850</v>
      </c>
      <c r="C2141" t="s">
        <v>45</v>
      </c>
      <c r="D2141">
        <v>198.75</v>
      </c>
    </row>
    <row r="2142" spans="1:4">
      <c r="A2142" t="s">
        <v>107</v>
      </c>
      <c r="B2142" s="71">
        <v>35852</v>
      </c>
      <c r="C2142" t="s">
        <v>42</v>
      </c>
      <c r="D2142">
        <v>198.75</v>
      </c>
    </row>
    <row r="2143" spans="1:4">
      <c r="A2143" t="s">
        <v>107</v>
      </c>
      <c r="B2143" s="71">
        <v>35860</v>
      </c>
      <c r="C2143" t="s">
        <v>42</v>
      </c>
      <c r="D2143">
        <v>317.99999881535769</v>
      </c>
    </row>
    <row r="2144" spans="1:4">
      <c r="A2144" t="s">
        <v>107</v>
      </c>
      <c r="B2144" s="71">
        <v>35894</v>
      </c>
      <c r="C2144" t="s">
        <v>45</v>
      </c>
      <c r="D2144">
        <v>503.49999960511923</v>
      </c>
    </row>
    <row r="2145" spans="1:4">
      <c r="A2145" t="s">
        <v>107</v>
      </c>
      <c r="B2145" s="71">
        <v>35289</v>
      </c>
      <c r="C2145" t="s">
        <v>50</v>
      </c>
      <c r="D2145">
        <v>300</v>
      </c>
    </row>
    <row r="2146" spans="1:4">
      <c r="A2146" t="s">
        <v>107</v>
      </c>
      <c r="B2146" s="71">
        <v>35451</v>
      </c>
      <c r="C2146" t="s">
        <v>45</v>
      </c>
      <c r="D2146">
        <v>215.99999964237213</v>
      </c>
    </row>
    <row r="2147" spans="1:4">
      <c r="A2147" t="s">
        <v>107</v>
      </c>
      <c r="B2147" s="71">
        <v>35516</v>
      </c>
      <c r="C2147" t="s">
        <v>50</v>
      </c>
      <c r="D2147">
        <v>191.99999928474426</v>
      </c>
    </row>
    <row r="2148" spans="1:4">
      <c r="A2148" t="s">
        <v>107</v>
      </c>
      <c r="B2148" s="71">
        <v>35562</v>
      </c>
      <c r="C2148" t="s">
        <v>50</v>
      </c>
      <c r="D2148">
        <v>341.9999997317791</v>
      </c>
    </row>
    <row r="2149" spans="1:4">
      <c r="A2149" t="s">
        <v>107</v>
      </c>
      <c r="B2149" s="71">
        <v>35564</v>
      </c>
      <c r="C2149" t="s">
        <v>49</v>
      </c>
      <c r="D2149">
        <v>135</v>
      </c>
    </row>
    <row r="2150" spans="1:4">
      <c r="A2150" t="s">
        <v>107</v>
      </c>
      <c r="B2150" s="71">
        <v>35585</v>
      </c>
      <c r="C2150" t="s">
        <v>49</v>
      </c>
      <c r="D2150">
        <v>45</v>
      </c>
    </row>
    <row r="2151" spans="1:4">
      <c r="A2151" t="s">
        <v>107</v>
      </c>
      <c r="B2151" s="71">
        <v>35627</v>
      </c>
      <c r="C2151" t="s">
        <v>42</v>
      </c>
      <c r="D2151">
        <v>450</v>
      </c>
    </row>
    <row r="2152" spans="1:4">
      <c r="A2152" t="s">
        <v>107</v>
      </c>
      <c r="B2152" s="71">
        <v>35653</v>
      </c>
      <c r="C2152" t="s">
        <v>50</v>
      </c>
      <c r="D2152">
        <v>446.24999687075615</v>
      </c>
    </row>
    <row r="2153" spans="1:4">
      <c r="A2153" t="s">
        <v>107</v>
      </c>
      <c r="B2153" s="71">
        <v>35689</v>
      </c>
      <c r="C2153" t="s">
        <v>42</v>
      </c>
      <c r="D2153">
        <v>750</v>
      </c>
    </row>
    <row r="2154" spans="1:4">
      <c r="A2154" t="s">
        <v>107</v>
      </c>
      <c r="B2154" s="71">
        <v>35709</v>
      </c>
      <c r="C2154" t="s">
        <v>45</v>
      </c>
      <c r="D2154">
        <v>191.24999865889549</v>
      </c>
    </row>
    <row r="2155" spans="1:4">
      <c r="A2155" t="s">
        <v>107</v>
      </c>
      <c r="B2155" s="71">
        <v>35717</v>
      </c>
      <c r="C2155" t="s">
        <v>37</v>
      </c>
      <c r="D2155">
        <v>525</v>
      </c>
    </row>
    <row r="2156" spans="1:4">
      <c r="A2156" t="s">
        <v>107</v>
      </c>
      <c r="B2156" s="71">
        <v>35758</v>
      </c>
      <c r="C2156" t="s">
        <v>45</v>
      </c>
      <c r="D2156">
        <v>225</v>
      </c>
    </row>
    <row r="2157" spans="1:4">
      <c r="A2157" t="s">
        <v>107</v>
      </c>
      <c r="B2157" s="71">
        <v>35837</v>
      </c>
      <c r="C2157" t="s">
        <v>42</v>
      </c>
      <c r="D2157">
        <v>150</v>
      </c>
    </row>
    <row r="2158" spans="1:4">
      <c r="A2158" t="s">
        <v>107</v>
      </c>
      <c r="B2158" s="71">
        <v>35921</v>
      </c>
      <c r="C2158" t="s">
        <v>49</v>
      </c>
      <c r="D2158">
        <v>29.700000006705523</v>
      </c>
    </row>
  </sheetData>
  <phoneticPr fontId="12" type="noConversion"/>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158"/>
  <sheetViews>
    <sheetView topLeftCell="A4" workbookViewId="0">
      <selection activeCell="T6" sqref="T6"/>
    </sheetView>
  </sheetViews>
  <sheetFormatPr defaultRowHeight="14.4"/>
  <cols>
    <col min="1" max="1" width="9.77734375" bestFit="1" customWidth="1"/>
    <col min="2" max="2" width="11" style="17" bestFit="1" customWidth="1"/>
    <col min="3" max="3" width="9" style="17"/>
    <col min="4" max="4" width="10.44140625" style="17" bestFit="1" customWidth="1"/>
    <col min="5" max="5" width="9.21875" style="17" bestFit="1" customWidth="1"/>
    <col min="6" max="6" width="7.5546875" style="17" bestFit="1" customWidth="1"/>
    <col min="7" max="7" width="13.88671875" customWidth="1"/>
    <col min="8" max="8" width="9.88671875" customWidth="1"/>
  </cols>
  <sheetData>
    <row r="1" spans="1:18">
      <c r="A1" s="18" t="s">
        <v>16</v>
      </c>
      <c r="B1" s="18" t="s">
        <v>17</v>
      </c>
      <c r="C1" s="18" t="s">
        <v>18</v>
      </c>
      <c r="D1" s="18" t="s">
        <v>19</v>
      </c>
      <c r="E1" s="18" t="s">
        <v>20</v>
      </c>
      <c r="F1" s="18" t="s">
        <v>21</v>
      </c>
      <c r="G1" s="18" t="s">
        <v>22</v>
      </c>
      <c r="H1" s="18" t="s">
        <v>23</v>
      </c>
      <c r="I1" s="18" t="s">
        <v>24</v>
      </c>
      <c r="J1" s="18" t="s">
        <v>25</v>
      </c>
      <c r="L1" s="18" t="s">
        <v>21</v>
      </c>
      <c r="M1" s="18" t="s">
        <v>22</v>
      </c>
      <c r="N1" s="18" t="s">
        <v>22</v>
      </c>
      <c r="P1" s="76" t="s">
        <v>1</v>
      </c>
      <c r="Q1" s="76" t="s">
        <v>113</v>
      </c>
    </row>
    <row r="2" spans="1:18">
      <c r="A2" s="19">
        <v>35250</v>
      </c>
      <c r="B2" s="18" t="s">
        <v>26</v>
      </c>
      <c r="C2" s="18" t="s">
        <v>27</v>
      </c>
      <c r="D2" s="18" t="s">
        <v>28</v>
      </c>
      <c r="E2" s="18" t="s">
        <v>29</v>
      </c>
      <c r="F2" s="18" t="s">
        <v>30</v>
      </c>
      <c r="G2" s="18" t="s">
        <v>31</v>
      </c>
      <c r="H2" s="18">
        <v>9.8000000000000007</v>
      </c>
      <c r="I2" s="20">
        <v>10</v>
      </c>
      <c r="J2" s="21">
        <v>98</v>
      </c>
      <c r="L2" s="18" t="s">
        <v>52</v>
      </c>
      <c r="M2" s="18" t="str">
        <f>_xlfn.XLOOKUP(L2,$F:$F,$G:$G)</f>
        <v>销售A区代表</v>
      </c>
      <c r="N2" s="18" t="s">
        <v>31</v>
      </c>
      <c r="P2" s="76"/>
      <c r="Q2" s="76"/>
    </row>
    <row r="3" spans="1:18">
      <c r="A3" s="19">
        <v>35250</v>
      </c>
      <c r="B3" s="18" t="s">
        <v>26</v>
      </c>
      <c r="C3" s="18" t="s">
        <v>32</v>
      </c>
      <c r="D3" s="18" t="s">
        <v>28</v>
      </c>
      <c r="E3" s="18" t="s">
        <v>33</v>
      </c>
      <c r="F3" s="18" t="s">
        <v>30</v>
      </c>
      <c r="G3" s="18" t="s">
        <v>31</v>
      </c>
      <c r="H3" s="18">
        <v>34.799999999999997</v>
      </c>
      <c r="I3" s="20">
        <v>5</v>
      </c>
      <c r="J3" s="21">
        <v>174</v>
      </c>
      <c r="L3" s="18" t="s">
        <v>45</v>
      </c>
      <c r="M3" s="18" t="str">
        <f t="shared" ref="M3:M10" si="0">_xlfn.XLOOKUP(L3,$F:$F,$G:$G)</f>
        <v>销售B区代表</v>
      </c>
      <c r="N3" s="18" t="s">
        <v>38</v>
      </c>
      <c r="R3" t="str" cm="1">
        <f t="array" ref="R3">INDEX(P4:P5,P6)&amp;"统计图"</f>
        <v>数量统计图</v>
      </c>
    </row>
    <row r="4" spans="1:18">
      <c r="A4" s="19">
        <v>35250</v>
      </c>
      <c r="B4" s="18" t="s">
        <v>26</v>
      </c>
      <c r="C4" s="18" t="s">
        <v>34</v>
      </c>
      <c r="D4" s="18" t="s">
        <v>28</v>
      </c>
      <c r="E4" s="18" t="s">
        <v>35</v>
      </c>
      <c r="F4" s="18" t="s">
        <v>30</v>
      </c>
      <c r="G4" s="18" t="s">
        <v>31</v>
      </c>
      <c r="H4" s="18">
        <v>14</v>
      </c>
      <c r="I4" s="20">
        <v>12</v>
      </c>
      <c r="J4" s="21">
        <v>168</v>
      </c>
      <c r="L4" s="18" t="s">
        <v>50</v>
      </c>
      <c r="M4" s="18" t="str">
        <f t="shared" si="0"/>
        <v>销售A区代表</v>
      </c>
      <c r="N4" s="18" t="s">
        <v>43</v>
      </c>
      <c r="P4" t="s">
        <v>114</v>
      </c>
    </row>
    <row r="5" spans="1:18">
      <c r="A5" s="19">
        <v>35251</v>
      </c>
      <c r="B5" s="18" t="s">
        <v>26</v>
      </c>
      <c r="C5" s="18" t="s">
        <v>36</v>
      </c>
      <c r="D5" s="18" t="s">
        <v>28</v>
      </c>
      <c r="E5" s="18" t="s">
        <v>29</v>
      </c>
      <c r="F5" s="18" t="s">
        <v>37</v>
      </c>
      <c r="G5" s="18" t="s">
        <v>38</v>
      </c>
      <c r="H5" s="18">
        <v>18.600000000000001</v>
      </c>
      <c r="I5" s="20">
        <v>9</v>
      </c>
      <c r="J5" s="21">
        <v>167.4</v>
      </c>
      <c r="L5" s="18" t="s">
        <v>37</v>
      </c>
      <c r="M5" s="18" t="str">
        <f t="shared" si="0"/>
        <v>销售B区代表</v>
      </c>
      <c r="N5">
        <v>3</v>
      </c>
      <c r="P5" t="s">
        <v>115</v>
      </c>
    </row>
    <row r="6" spans="1:18">
      <c r="A6" s="19">
        <v>35251</v>
      </c>
      <c r="B6" s="18" t="s">
        <v>39</v>
      </c>
      <c r="C6" s="18" t="s">
        <v>40</v>
      </c>
      <c r="D6" s="18" t="s">
        <v>28</v>
      </c>
      <c r="E6" s="18" t="s">
        <v>33</v>
      </c>
      <c r="F6" s="18" t="s">
        <v>37</v>
      </c>
      <c r="G6" s="18" t="s">
        <v>38</v>
      </c>
      <c r="H6" s="18">
        <v>42.4</v>
      </c>
      <c r="I6" s="20">
        <v>40</v>
      </c>
      <c r="J6" s="21">
        <v>1696</v>
      </c>
      <c r="L6" s="18" t="s">
        <v>51</v>
      </c>
      <c r="M6" s="18" t="str">
        <f t="shared" si="0"/>
        <v>销售C区代表</v>
      </c>
      <c r="P6">
        <v>1</v>
      </c>
    </row>
    <row r="7" spans="1:18">
      <c r="A7" s="19">
        <v>35254</v>
      </c>
      <c r="B7" s="18" t="s">
        <v>39</v>
      </c>
      <c r="C7" s="18" t="s">
        <v>41</v>
      </c>
      <c r="D7" s="18" t="s">
        <v>28</v>
      </c>
      <c r="E7" s="18" t="s">
        <v>35</v>
      </c>
      <c r="F7" s="18" t="s">
        <v>42</v>
      </c>
      <c r="G7" s="18" t="s">
        <v>43</v>
      </c>
      <c r="H7" s="18">
        <v>16.8</v>
      </c>
      <c r="I7" s="20">
        <v>15</v>
      </c>
      <c r="J7" s="21">
        <v>252</v>
      </c>
      <c r="L7" s="18" t="s">
        <v>48</v>
      </c>
      <c r="M7" s="18" t="str">
        <f t="shared" si="0"/>
        <v>销售A区代表</v>
      </c>
    </row>
    <row r="8" spans="1:18">
      <c r="A8" s="19">
        <v>35254</v>
      </c>
      <c r="B8" s="18" t="s">
        <v>39</v>
      </c>
      <c r="C8" s="18" t="s">
        <v>44</v>
      </c>
      <c r="D8" s="18" t="s">
        <v>28</v>
      </c>
      <c r="E8" s="18" t="s">
        <v>29</v>
      </c>
      <c r="F8" s="18" t="s">
        <v>45</v>
      </c>
      <c r="G8" s="18" t="s">
        <v>38</v>
      </c>
      <c r="H8" s="18">
        <v>16.8</v>
      </c>
      <c r="I8" s="20">
        <v>20</v>
      </c>
      <c r="J8" s="21">
        <v>336</v>
      </c>
      <c r="L8" s="18" t="s">
        <v>49</v>
      </c>
      <c r="M8" s="18" t="str">
        <f t="shared" si="0"/>
        <v>销售B区代表</v>
      </c>
    </row>
    <row r="9" spans="1:18">
      <c r="A9" s="19">
        <v>35254</v>
      </c>
      <c r="B9" s="18" t="s">
        <v>39</v>
      </c>
      <c r="C9" s="18" t="s">
        <v>46</v>
      </c>
      <c r="D9" s="18" t="s">
        <v>28</v>
      </c>
      <c r="E9" s="18" t="s">
        <v>33</v>
      </c>
      <c r="F9" s="18" t="s">
        <v>45</v>
      </c>
      <c r="G9" s="18" t="s">
        <v>38</v>
      </c>
      <c r="H9" s="18">
        <v>16.8</v>
      </c>
      <c r="I9" s="20">
        <v>6</v>
      </c>
      <c r="J9" s="21">
        <v>100.80000000000001</v>
      </c>
      <c r="L9" s="18" t="s">
        <v>116</v>
      </c>
      <c r="M9" s="18" t="str">
        <f t="shared" si="0"/>
        <v>销售A区代表</v>
      </c>
    </row>
    <row r="10" spans="1:18">
      <c r="A10" s="19">
        <v>35254</v>
      </c>
      <c r="B10" s="18" t="s">
        <v>39</v>
      </c>
      <c r="C10" s="18" t="s">
        <v>47</v>
      </c>
      <c r="D10" s="18" t="s">
        <v>28</v>
      </c>
      <c r="E10" s="18" t="s">
        <v>35</v>
      </c>
      <c r="F10" s="18" t="s">
        <v>42</v>
      </c>
      <c r="G10" s="18" t="s">
        <v>43</v>
      </c>
      <c r="H10" s="18">
        <v>7.7</v>
      </c>
      <c r="I10" s="20">
        <v>10</v>
      </c>
      <c r="J10" s="21">
        <v>77</v>
      </c>
      <c r="L10" s="18" t="s">
        <v>42</v>
      </c>
      <c r="M10" s="18" t="str">
        <f t="shared" si="0"/>
        <v>销售C区代表</v>
      </c>
    </row>
    <row r="11" spans="1:18">
      <c r="A11" s="19">
        <v>35254</v>
      </c>
      <c r="B11" s="18" t="s">
        <v>26</v>
      </c>
      <c r="C11" s="18" t="s">
        <v>27</v>
      </c>
      <c r="D11" s="18" t="s">
        <v>28</v>
      </c>
      <c r="E11" s="18" t="s">
        <v>29</v>
      </c>
      <c r="F11" s="18" t="s">
        <v>45</v>
      </c>
      <c r="G11" s="18" t="s">
        <v>38</v>
      </c>
      <c r="H11" s="18">
        <v>15.6</v>
      </c>
      <c r="I11" s="20">
        <v>15</v>
      </c>
      <c r="J11" s="21">
        <v>234</v>
      </c>
    </row>
    <row r="12" spans="1:18">
      <c r="A12" s="19">
        <v>35254</v>
      </c>
      <c r="B12" s="18" t="s">
        <v>26</v>
      </c>
      <c r="C12" s="18" t="s">
        <v>32</v>
      </c>
      <c r="D12" s="18" t="s">
        <v>28</v>
      </c>
      <c r="E12" s="18" t="s">
        <v>33</v>
      </c>
      <c r="F12" s="18" t="s">
        <v>42</v>
      </c>
      <c r="G12" s="18" t="s">
        <v>43</v>
      </c>
      <c r="H12" s="18">
        <v>42.4</v>
      </c>
      <c r="I12" s="20">
        <v>35</v>
      </c>
      <c r="J12" s="21">
        <v>1484</v>
      </c>
      <c r="M12">
        <f>IF(P6=1,DCOUNT(A:J,I1,P1:Q2),DSUM(A:J,J1,P1:Q2))</f>
        <v>2157</v>
      </c>
    </row>
    <row r="13" spans="1:18">
      <c r="A13" s="19">
        <v>35255</v>
      </c>
      <c r="B13" s="18" t="s">
        <v>26</v>
      </c>
      <c r="C13" s="18" t="s">
        <v>34</v>
      </c>
      <c r="D13" s="18" t="s">
        <v>28</v>
      </c>
      <c r="E13" s="18" t="s">
        <v>35</v>
      </c>
      <c r="F13" s="18" t="s">
        <v>42</v>
      </c>
      <c r="G13" s="18" t="s">
        <v>43</v>
      </c>
      <c r="H13" s="18">
        <v>64.8</v>
      </c>
      <c r="I13" s="20">
        <v>40</v>
      </c>
      <c r="J13" s="21">
        <v>2592</v>
      </c>
      <c r="L13" s="18" t="s">
        <v>52</v>
      </c>
      <c r="M13">
        <f t="dataTable" ref="M13:M21" dt2D="0" dtr="0" r1="P2"/>
        <v>176</v>
      </c>
      <c r="O13" s="18" t="s">
        <v>52</v>
      </c>
      <c r="P13" t="str" cm="1">
        <f t="array" ref="P13">IF(INDEX($N$2:$N$4,$N$5)=_xlfn.XLOOKUP(O13,$L$2:$L$10,$M$2:$M$10),M13,"")</f>
        <v/>
      </c>
    </row>
    <row r="14" spans="1:18">
      <c r="A14" s="19">
        <v>35255</v>
      </c>
      <c r="B14" s="18" t="s">
        <v>26</v>
      </c>
      <c r="C14" s="18" t="s">
        <v>36</v>
      </c>
      <c r="D14" s="18" t="s">
        <v>28</v>
      </c>
      <c r="E14" s="18" t="s">
        <v>29</v>
      </c>
      <c r="F14" s="18" t="s">
        <v>42</v>
      </c>
      <c r="G14" s="18" t="s">
        <v>43</v>
      </c>
      <c r="H14" s="18">
        <v>27.2</v>
      </c>
      <c r="I14" s="20">
        <v>40</v>
      </c>
      <c r="J14" s="21">
        <v>1088</v>
      </c>
      <c r="L14" s="18" t="s">
        <v>45</v>
      </c>
      <c r="M14">
        <v>321</v>
      </c>
      <c r="O14" s="18" t="s">
        <v>45</v>
      </c>
      <c r="P14" t="str" cm="1">
        <f t="array" ref="P14">IF(INDEX($N$2:$N$4,$N$5)=_xlfn.XLOOKUP(O14,$L$2:$L$10,$M$2:$M$10),M14,"")</f>
        <v/>
      </c>
    </row>
    <row r="15" spans="1:18">
      <c r="A15" s="19">
        <v>35255</v>
      </c>
      <c r="B15" s="18" t="s">
        <v>39</v>
      </c>
      <c r="C15" s="18" t="s">
        <v>40</v>
      </c>
      <c r="D15" s="18" t="s">
        <v>28</v>
      </c>
      <c r="E15" s="18" t="s">
        <v>33</v>
      </c>
      <c r="F15" s="18" t="s">
        <v>42</v>
      </c>
      <c r="G15" s="18" t="s">
        <v>43</v>
      </c>
      <c r="H15" s="18">
        <v>2</v>
      </c>
      <c r="I15" s="20">
        <v>25</v>
      </c>
      <c r="J15" s="21">
        <v>50</v>
      </c>
      <c r="L15" s="18" t="s">
        <v>50</v>
      </c>
      <c r="M15">
        <v>260</v>
      </c>
      <c r="O15" s="18" t="s">
        <v>50</v>
      </c>
      <c r="P15" t="str" cm="1">
        <f t="array" ref="P15">IF(INDEX($N$2:$N$4,$N$5)=_xlfn.XLOOKUP(O15,$L$2:$L$10,$M$2:$M$10),M15,"")</f>
        <v/>
      </c>
    </row>
    <row r="16" spans="1:18">
      <c r="A16" s="19">
        <v>35256</v>
      </c>
      <c r="B16" s="18" t="s">
        <v>39</v>
      </c>
      <c r="C16" s="18" t="s">
        <v>41</v>
      </c>
      <c r="D16" s="18" t="s">
        <v>28</v>
      </c>
      <c r="E16" s="18" t="s">
        <v>35</v>
      </c>
      <c r="F16" s="18" t="s">
        <v>45</v>
      </c>
      <c r="G16" s="18" t="s">
        <v>38</v>
      </c>
      <c r="H16" s="18">
        <v>16</v>
      </c>
      <c r="I16" s="20">
        <v>40</v>
      </c>
      <c r="J16" s="21">
        <v>640</v>
      </c>
      <c r="L16" s="18" t="s">
        <v>37</v>
      </c>
      <c r="M16">
        <v>168</v>
      </c>
      <c r="O16" s="18" t="s">
        <v>37</v>
      </c>
      <c r="P16" t="str" cm="1">
        <f t="array" ref="P16">IF(INDEX($N$2:$N$4,$N$5)=_xlfn.XLOOKUP(O16,$L$2:$L$10,$M$2:$M$10),M16,"")</f>
        <v/>
      </c>
    </row>
    <row r="17" spans="1:16">
      <c r="A17" s="19">
        <v>35256</v>
      </c>
      <c r="B17" s="18" t="s">
        <v>39</v>
      </c>
      <c r="C17" s="18" t="s">
        <v>44</v>
      </c>
      <c r="D17" s="18" t="s">
        <v>28</v>
      </c>
      <c r="E17" s="18" t="s">
        <v>29</v>
      </c>
      <c r="F17" s="18" t="s">
        <v>45</v>
      </c>
      <c r="G17" s="18" t="s">
        <v>38</v>
      </c>
      <c r="H17" s="18">
        <v>10</v>
      </c>
      <c r="I17" s="20">
        <v>20</v>
      </c>
      <c r="J17" s="21">
        <v>200</v>
      </c>
      <c r="L17" s="18" t="s">
        <v>51</v>
      </c>
      <c r="M17">
        <v>241</v>
      </c>
      <c r="O17" s="18" t="s">
        <v>51</v>
      </c>
      <c r="P17" cm="1">
        <f t="array" ref="P17">IF(INDEX($N$2:$N$4,$N$5)=_xlfn.XLOOKUP(O17,$L$2:$L$10,$M$2:$M$10),M17,"")</f>
        <v>241</v>
      </c>
    </row>
    <row r="18" spans="1:16">
      <c r="A18" s="19">
        <v>35256</v>
      </c>
      <c r="B18" s="18" t="s">
        <v>39</v>
      </c>
      <c r="C18" s="18" t="s">
        <v>46</v>
      </c>
      <c r="D18" s="18" t="s">
        <v>28</v>
      </c>
      <c r="E18" s="18" t="s">
        <v>33</v>
      </c>
      <c r="F18" s="18" t="s">
        <v>45</v>
      </c>
      <c r="G18" s="18" t="s">
        <v>38</v>
      </c>
      <c r="H18" s="18">
        <v>14.4</v>
      </c>
      <c r="I18" s="20">
        <v>42</v>
      </c>
      <c r="J18" s="21">
        <v>604.80000000000007</v>
      </c>
      <c r="L18" s="18" t="s">
        <v>48</v>
      </c>
      <c r="M18">
        <v>108</v>
      </c>
      <c r="O18" s="18" t="s">
        <v>48</v>
      </c>
      <c r="P18" t="str" cm="1">
        <f t="array" ref="P18">IF(INDEX($N$2:$N$4,$N$5)=_xlfn.XLOOKUP(O18,$L$2:$L$10,$M$2:$M$10),M18,"")</f>
        <v/>
      </c>
    </row>
    <row r="19" spans="1:16">
      <c r="A19" s="19">
        <v>35257</v>
      </c>
      <c r="B19" s="18" t="s">
        <v>39</v>
      </c>
      <c r="C19" s="18" t="s">
        <v>47</v>
      </c>
      <c r="D19" s="18" t="s">
        <v>28</v>
      </c>
      <c r="E19" s="18" t="s">
        <v>35</v>
      </c>
      <c r="F19" s="18" t="s">
        <v>30</v>
      </c>
      <c r="G19" s="18" t="s">
        <v>31</v>
      </c>
      <c r="H19" s="18">
        <v>8</v>
      </c>
      <c r="I19" s="20">
        <v>21</v>
      </c>
      <c r="J19" s="21">
        <v>168</v>
      </c>
      <c r="L19" s="18" t="s">
        <v>49</v>
      </c>
      <c r="M19">
        <v>349</v>
      </c>
      <c r="O19" s="18" t="s">
        <v>49</v>
      </c>
      <c r="P19" t="str" cm="1">
        <f t="array" ref="P19">IF(INDEX($N$2:$N$4,$N$5)=_xlfn.XLOOKUP(O19,$L$2:$L$10,$M$2:$M$10),M19,"")</f>
        <v/>
      </c>
    </row>
    <row r="20" spans="1:16">
      <c r="A20" s="19">
        <v>35257</v>
      </c>
      <c r="B20" s="18" t="s">
        <v>26</v>
      </c>
      <c r="C20" s="18" t="s">
        <v>27</v>
      </c>
      <c r="D20" s="18" t="s">
        <v>28</v>
      </c>
      <c r="E20" s="18" t="s">
        <v>29</v>
      </c>
      <c r="F20" s="18" t="s">
        <v>30</v>
      </c>
      <c r="G20" s="18" t="s">
        <v>31</v>
      </c>
      <c r="H20" s="18">
        <v>3.6</v>
      </c>
      <c r="I20" s="20">
        <v>15</v>
      </c>
      <c r="J20" s="21">
        <v>54</v>
      </c>
      <c r="L20" s="18" t="s">
        <v>116</v>
      </c>
      <c r="M20">
        <v>117</v>
      </c>
      <c r="O20" s="18" t="s">
        <v>116</v>
      </c>
      <c r="P20" t="str" cm="1">
        <f t="array" ref="P20">IF(INDEX($N$2:$N$4,$N$5)=_xlfn.XLOOKUP(O20,$L$2:$L$10,$M$2:$M$10),M20,"")</f>
        <v/>
      </c>
    </row>
    <row r="21" spans="1:16">
      <c r="A21" s="19">
        <v>35257</v>
      </c>
      <c r="B21" s="18" t="s">
        <v>26</v>
      </c>
      <c r="C21" s="18" t="s">
        <v>32</v>
      </c>
      <c r="D21" s="18" t="s">
        <v>28</v>
      </c>
      <c r="E21" s="18" t="s">
        <v>29</v>
      </c>
      <c r="F21" s="18" t="s">
        <v>30</v>
      </c>
      <c r="G21" s="18" t="s">
        <v>31</v>
      </c>
      <c r="H21" s="18">
        <v>19.2</v>
      </c>
      <c r="I21" s="20">
        <v>21</v>
      </c>
      <c r="J21" s="21">
        <v>403.2</v>
      </c>
      <c r="L21" s="18" t="s">
        <v>42</v>
      </c>
      <c r="M21">
        <v>417</v>
      </c>
      <c r="O21" s="18" t="s">
        <v>42</v>
      </c>
      <c r="P21" cm="1">
        <f t="array" ref="P21">IF(INDEX($N$2:$N$4,$N$5)=_xlfn.XLOOKUP(O21,$L$2:$L$10,$M$2:$M$10),M21,"")</f>
        <v>417</v>
      </c>
    </row>
    <row r="22" spans="1:16">
      <c r="A22" s="19">
        <v>35258</v>
      </c>
      <c r="B22" s="18" t="s">
        <v>26</v>
      </c>
      <c r="C22" s="18" t="s">
        <v>34</v>
      </c>
      <c r="D22" s="18" t="s">
        <v>28</v>
      </c>
      <c r="E22" s="18" t="s">
        <v>33</v>
      </c>
      <c r="F22" s="18" t="s">
        <v>48</v>
      </c>
      <c r="G22" s="18" t="s">
        <v>31</v>
      </c>
      <c r="H22" s="18">
        <v>13.9</v>
      </c>
      <c r="I22" s="20">
        <v>35</v>
      </c>
      <c r="J22" s="21">
        <v>486.5</v>
      </c>
    </row>
    <row r="23" spans="1:16">
      <c r="A23" s="19">
        <v>35258</v>
      </c>
      <c r="B23" s="18" t="s">
        <v>26</v>
      </c>
      <c r="C23" s="18" t="s">
        <v>36</v>
      </c>
      <c r="D23" s="18" t="s">
        <v>28</v>
      </c>
      <c r="E23" s="18" t="s">
        <v>35</v>
      </c>
      <c r="F23" s="18" t="s">
        <v>48</v>
      </c>
      <c r="G23" s="18" t="s">
        <v>31</v>
      </c>
      <c r="H23" s="18">
        <v>44</v>
      </c>
      <c r="I23" s="20">
        <v>30</v>
      </c>
      <c r="J23" s="21">
        <v>1320</v>
      </c>
    </row>
    <row r="24" spans="1:16">
      <c r="A24" s="19">
        <v>35258</v>
      </c>
      <c r="B24" s="18" t="s">
        <v>39</v>
      </c>
      <c r="C24" s="18" t="s">
        <v>40</v>
      </c>
      <c r="D24" s="18" t="s">
        <v>28</v>
      </c>
      <c r="E24" s="18" t="s">
        <v>29</v>
      </c>
      <c r="F24" s="18" t="s">
        <v>48</v>
      </c>
      <c r="G24" s="18" t="s">
        <v>31</v>
      </c>
      <c r="H24" s="18">
        <v>15.2</v>
      </c>
      <c r="I24" s="20">
        <v>20</v>
      </c>
      <c r="J24" s="21">
        <v>304</v>
      </c>
    </row>
    <row r="25" spans="1:16">
      <c r="A25" s="19">
        <v>35258</v>
      </c>
      <c r="B25" s="18" t="s">
        <v>39</v>
      </c>
      <c r="C25" s="18" t="s">
        <v>41</v>
      </c>
      <c r="D25" s="18" t="s">
        <v>28</v>
      </c>
      <c r="E25" s="18" t="s">
        <v>33</v>
      </c>
      <c r="F25" s="18" t="s">
        <v>48</v>
      </c>
      <c r="G25" s="18" t="s">
        <v>31</v>
      </c>
      <c r="H25" s="18">
        <v>15.2</v>
      </c>
      <c r="I25" s="20">
        <v>25</v>
      </c>
      <c r="J25" s="21">
        <v>380</v>
      </c>
    </row>
    <row r="26" spans="1:16">
      <c r="A26" s="19">
        <v>35261</v>
      </c>
      <c r="B26" s="18" t="s">
        <v>39</v>
      </c>
      <c r="C26" s="18" t="s">
        <v>44</v>
      </c>
      <c r="D26" s="18" t="s">
        <v>28</v>
      </c>
      <c r="E26" s="18" t="s">
        <v>35</v>
      </c>
      <c r="F26" s="18" t="s">
        <v>45</v>
      </c>
      <c r="G26" s="18" t="s">
        <v>38</v>
      </c>
      <c r="H26" s="18">
        <v>10.4</v>
      </c>
      <c r="I26" s="20">
        <v>12</v>
      </c>
      <c r="J26" s="21">
        <v>124.80000000000001</v>
      </c>
    </row>
    <row r="27" spans="1:16">
      <c r="A27" s="19">
        <v>35261</v>
      </c>
      <c r="B27" s="18" t="s">
        <v>39</v>
      </c>
      <c r="C27" s="18" t="s">
        <v>46</v>
      </c>
      <c r="D27" s="18" t="s">
        <v>28</v>
      </c>
      <c r="E27" s="18" t="s">
        <v>29</v>
      </c>
      <c r="F27" s="18" t="s">
        <v>45</v>
      </c>
      <c r="G27" s="18" t="s">
        <v>38</v>
      </c>
      <c r="H27" s="18">
        <v>26.2</v>
      </c>
      <c r="I27" s="20">
        <v>15</v>
      </c>
      <c r="J27" s="21">
        <v>393</v>
      </c>
    </row>
    <row r="28" spans="1:16">
      <c r="A28" s="19">
        <v>35262</v>
      </c>
      <c r="B28" s="18" t="s">
        <v>39</v>
      </c>
      <c r="C28" s="18" t="s">
        <v>47</v>
      </c>
      <c r="D28" s="18" t="s">
        <v>28</v>
      </c>
      <c r="E28" s="18" t="s">
        <v>33</v>
      </c>
      <c r="F28" s="18" t="s">
        <v>42</v>
      </c>
      <c r="G28" s="18" t="s">
        <v>43</v>
      </c>
      <c r="H28" s="18">
        <v>10.4</v>
      </c>
      <c r="I28" s="20">
        <v>15</v>
      </c>
      <c r="J28" s="21">
        <v>156</v>
      </c>
    </row>
    <row r="29" spans="1:16">
      <c r="A29" s="19">
        <v>35262</v>
      </c>
      <c r="B29" s="18" t="s">
        <v>26</v>
      </c>
      <c r="C29" s="18" t="s">
        <v>27</v>
      </c>
      <c r="D29" s="18" t="s">
        <v>28</v>
      </c>
      <c r="E29" s="18" t="s">
        <v>35</v>
      </c>
      <c r="F29" s="18" t="s">
        <v>42</v>
      </c>
      <c r="G29" s="18" t="s">
        <v>43</v>
      </c>
      <c r="H29" s="18">
        <v>35.1</v>
      </c>
      <c r="I29" s="20">
        <v>25</v>
      </c>
      <c r="J29" s="21">
        <v>877.5</v>
      </c>
    </row>
    <row r="30" spans="1:16">
      <c r="A30" s="19">
        <v>35262</v>
      </c>
      <c r="B30" s="18" t="s">
        <v>26</v>
      </c>
      <c r="C30" s="18" t="s">
        <v>32</v>
      </c>
      <c r="D30" s="18" t="s">
        <v>28</v>
      </c>
      <c r="E30" s="18" t="s">
        <v>29</v>
      </c>
      <c r="F30" s="18" t="s">
        <v>42</v>
      </c>
      <c r="G30" s="18" t="s">
        <v>43</v>
      </c>
      <c r="H30" s="18">
        <v>14.4</v>
      </c>
      <c r="I30" s="20">
        <v>6</v>
      </c>
      <c r="J30" s="21">
        <v>86.4</v>
      </c>
    </row>
    <row r="31" spans="1:16">
      <c r="A31" s="19">
        <v>35263</v>
      </c>
      <c r="B31" s="18" t="s">
        <v>26</v>
      </c>
      <c r="C31" s="18" t="s">
        <v>34</v>
      </c>
      <c r="D31" s="18" t="s">
        <v>28</v>
      </c>
      <c r="E31" s="18" t="s">
        <v>33</v>
      </c>
      <c r="F31" s="18" t="s">
        <v>49</v>
      </c>
      <c r="G31" s="18" t="s">
        <v>38</v>
      </c>
      <c r="H31" s="18">
        <v>25.6</v>
      </c>
      <c r="I31" s="20">
        <v>6</v>
      </c>
      <c r="J31" s="21">
        <v>153.60000000000002</v>
      </c>
    </row>
    <row r="32" spans="1:16">
      <c r="A32" s="19">
        <v>35263</v>
      </c>
      <c r="B32" s="18" t="s">
        <v>26</v>
      </c>
      <c r="C32" s="18" t="s">
        <v>36</v>
      </c>
      <c r="D32" s="18" t="s">
        <v>28</v>
      </c>
      <c r="E32" s="18" t="s">
        <v>35</v>
      </c>
      <c r="F32" s="18" t="s">
        <v>49</v>
      </c>
      <c r="G32" s="18" t="s">
        <v>38</v>
      </c>
      <c r="H32" s="18">
        <v>17</v>
      </c>
      <c r="I32" s="20">
        <v>65</v>
      </c>
      <c r="J32" s="21">
        <v>1105</v>
      </c>
    </row>
    <row r="33" spans="1:10">
      <c r="A33" s="19">
        <v>35263</v>
      </c>
      <c r="B33" s="18" t="s">
        <v>39</v>
      </c>
      <c r="C33" s="18" t="s">
        <v>40</v>
      </c>
      <c r="D33" s="18" t="s">
        <v>28</v>
      </c>
      <c r="E33" s="18" t="s">
        <v>29</v>
      </c>
      <c r="F33" s="18" t="s">
        <v>49</v>
      </c>
      <c r="G33" s="18" t="s">
        <v>38</v>
      </c>
      <c r="H33" s="18">
        <v>15.2</v>
      </c>
      <c r="I33" s="20">
        <v>50</v>
      </c>
      <c r="J33" s="21">
        <v>760</v>
      </c>
    </row>
    <row r="34" spans="1:10">
      <c r="A34" s="19">
        <v>35264</v>
      </c>
      <c r="B34" s="18" t="s">
        <v>39</v>
      </c>
      <c r="C34" s="18" t="s">
        <v>41</v>
      </c>
      <c r="D34" s="18" t="s">
        <v>28</v>
      </c>
      <c r="E34" s="18" t="s">
        <v>33</v>
      </c>
      <c r="F34" s="18" t="s">
        <v>42</v>
      </c>
      <c r="G34" s="18" t="s">
        <v>43</v>
      </c>
      <c r="H34" s="18">
        <v>20.8</v>
      </c>
      <c r="I34" s="20">
        <v>1</v>
      </c>
      <c r="J34" s="21">
        <v>20.8</v>
      </c>
    </row>
    <row r="35" spans="1:10">
      <c r="A35" s="19">
        <v>35264</v>
      </c>
      <c r="B35" s="18" t="s">
        <v>39</v>
      </c>
      <c r="C35" s="18" t="s">
        <v>44</v>
      </c>
      <c r="D35" s="18" t="s">
        <v>28</v>
      </c>
      <c r="E35" s="18" t="s">
        <v>35</v>
      </c>
      <c r="F35" s="18" t="s">
        <v>42</v>
      </c>
      <c r="G35" s="18" t="s">
        <v>43</v>
      </c>
      <c r="H35" s="18">
        <v>8</v>
      </c>
      <c r="I35" s="20">
        <v>10</v>
      </c>
      <c r="J35" s="21">
        <v>80</v>
      </c>
    </row>
    <row r="36" spans="1:10">
      <c r="A36" s="19">
        <v>35265</v>
      </c>
      <c r="B36" s="18" t="s">
        <v>39</v>
      </c>
      <c r="C36" s="18" t="s">
        <v>46</v>
      </c>
      <c r="D36" s="18" t="s">
        <v>28</v>
      </c>
      <c r="E36" s="18" t="s">
        <v>29</v>
      </c>
      <c r="F36" s="18" t="s">
        <v>42</v>
      </c>
      <c r="G36" s="18" t="s">
        <v>43</v>
      </c>
      <c r="H36" s="18">
        <v>8</v>
      </c>
      <c r="I36" s="20">
        <v>20</v>
      </c>
      <c r="J36" s="21">
        <v>160</v>
      </c>
    </row>
    <row r="37" spans="1:10">
      <c r="A37" s="19">
        <v>35265</v>
      </c>
      <c r="B37" s="18" t="s">
        <v>39</v>
      </c>
      <c r="C37" s="18" t="s">
        <v>47</v>
      </c>
      <c r="D37" s="18" t="s">
        <v>28</v>
      </c>
      <c r="E37" s="18" t="s">
        <v>33</v>
      </c>
      <c r="F37" s="18" t="s">
        <v>42</v>
      </c>
      <c r="G37" s="18" t="s">
        <v>43</v>
      </c>
      <c r="H37" s="18">
        <v>14.4</v>
      </c>
      <c r="I37" s="20">
        <v>20</v>
      </c>
      <c r="J37" s="21">
        <v>288</v>
      </c>
    </row>
    <row r="38" spans="1:10">
      <c r="A38" s="19">
        <v>35265</v>
      </c>
      <c r="B38" s="18" t="s">
        <v>26</v>
      </c>
      <c r="C38" s="18" t="s">
        <v>27</v>
      </c>
      <c r="D38" s="18" t="s">
        <v>28</v>
      </c>
      <c r="E38" s="18" t="s">
        <v>35</v>
      </c>
      <c r="F38" s="18" t="s">
        <v>42</v>
      </c>
      <c r="G38" s="18" t="s">
        <v>43</v>
      </c>
      <c r="H38" s="18">
        <v>39.4</v>
      </c>
      <c r="I38" s="20">
        <v>15</v>
      </c>
      <c r="J38" s="21">
        <v>591</v>
      </c>
    </row>
    <row r="39" spans="1:10">
      <c r="A39" s="19">
        <v>35265</v>
      </c>
      <c r="B39" s="18" t="s">
        <v>26</v>
      </c>
      <c r="C39" s="18" t="s">
        <v>32</v>
      </c>
      <c r="D39" s="18" t="s">
        <v>28</v>
      </c>
      <c r="E39" s="18" t="s">
        <v>29</v>
      </c>
      <c r="F39" s="18" t="s">
        <v>42</v>
      </c>
      <c r="G39" s="18" t="s">
        <v>43</v>
      </c>
      <c r="H39" s="18">
        <v>12</v>
      </c>
      <c r="I39" s="20">
        <v>21</v>
      </c>
      <c r="J39" s="21">
        <v>252</v>
      </c>
    </row>
    <row r="40" spans="1:10">
      <c r="A40" s="19">
        <v>35265</v>
      </c>
      <c r="B40" s="18" t="s">
        <v>26</v>
      </c>
      <c r="C40" s="18" t="s">
        <v>34</v>
      </c>
      <c r="D40" s="18" t="s">
        <v>28</v>
      </c>
      <c r="E40" s="18" t="s">
        <v>29</v>
      </c>
      <c r="F40" s="18" t="s">
        <v>42</v>
      </c>
      <c r="G40" s="18" t="s">
        <v>43</v>
      </c>
      <c r="H40" s="18">
        <v>7.7</v>
      </c>
      <c r="I40" s="20">
        <v>16</v>
      </c>
      <c r="J40" s="21">
        <v>123.2</v>
      </c>
    </row>
    <row r="41" spans="1:10">
      <c r="A41" s="19">
        <v>35265</v>
      </c>
      <c r="B41" s="18" t="s">
        <v>26</v>
      </c>
      <c r="C41" s="18" t="s">
        <v>36</v>
      </c>
      <c r="D41" s="18" t="s">
        <v>28</v>
      </c>
      <c r="E41" s="18" t="s">
        <v>33</v>
      </c>
      <c r="F41" s="18" t="s">
        <v>42</v>
      </c>
      <c r="G41" s="18" t="s">
        <v>43</v>
      </c>
      <c r="H41" s="18">
        <v>15.6</v>
      </c>
      <c r="I41" s="20">
        <v>50</v>
      </c>
      <c r="J41" s="21">
        <v>780</v>
      </c>
    </row>
    <row r="42" spans="1:10">
      <c r="A42" s="19">
        <v>35268</v>
      </c>
      <c r="B42" s="18" t="s">
        <v>39</v>
      </c>
      <c r="C42" s="18" t="s">
        <v>40</v>
      </c>
      <c r="D42" s="18" t="s">
        <v>28</v>
      </c>
      <c r="E42" s="18" t="s">
        <v>35</v>
      </c>
      <c r="F42" s="18" t="s">
        <v>50</v>
      </c>
      <c r="G42" s="18" t="s">
        <v>31</v>
      </c>
      <c r="H42" s="18">
        <v>30.4</v>
      </c>
      <c r="I42" s="20">
        <v>2</v>
      </c>
      <c r="J42" s="21">
        <v>60.8</v>
      </c>
    </row>
    <row r="43" spans="1:10">
      <c r="A43" s="19">
        <v>35268</v>
      </c>
      <c r="B43" s="18" t="s">
        <v>39</v>
      </c>
      <c r="C43" s="18" t="s">
        <v>41</v>
      </c>
      <c r="D43" s="18" t="s">
        <v>28</v>
      </c>
      <c r="E43" s="18" t="s">
        <v>29</v>
      </c>
      <c r="F43" s="18" t="s">
        <v>50</v>
      </c>
      <c r="G43" s="18" t="s">
        <v>31</v>
      </c>
      <c r="H43" s="18">
        <v>24</v>
      </c>
      <c r="I43" s="20">
        <v>15</v>
      </c>
      <c r="J43" s="21">
        <v>360</v>
      </c>
    </row>
    <row r="44" spans="1:10">
      <c r="A44" s="19">
        <v>35268</v>
      </c>
      <c r="B44" s="18" t="s">
        <v>39</v>
      </c>
      <c r="C44" s="18" t="s">
        <v>44</v>
      </c>
      <c r="D44" s="18" t="s">
        <v>28</v>
      </c>
      <c r="E44" s="18" t="s">
        <v>33</v>
      </c>
      <c r="F44" s="18" t="s">
        <v>50</v>
      </c>
      <c r="G44" s="18" t="s">
        <v>31</v>
      </c>
      <c r="H44" s="18">
        <v>17</v>
      </c>
      <c r="I44" s="20">
        <v>12</v>
      </c>
      <c r="J44" s="21">
        <v>204</v>
      </c>
    </row>
    <row r="45" spans="1:10">
      <c r="A45" s="19">
        <v>35269</v>
      </c>
      <c r="B45" s="18" t="s">
        <v>39</v>
      </c>
      <c r="C45" s="18" t="s">
        <v>46</v>
      </c>
      <c r="D45" s="18" t="s">
        <v>28</v>
      </c>
      <c r="E45" s="18" t="s">
        <v>35</v>
      </c>
      <c r="F45" s="18" t="s">
        <v>48</v>
      </c>
      <c r="G45" s="18" t="s">
        <v>31</v>
      </c>
      <c r="H45" s="18">
        <v>13.9</v>
      </c>
      <c r="I45" s="20">
        <v>60</v>
      </c>
      <c r="J45" s="21">
        <v>834</v>
      </c>
    </row>
    <row r="46" spans="1:10">
      <c r="A46" s="19">
        <v>35269</v>
      </c>
      <c r="B46" s="18" t="s">
        <v>39</v>
      </c>
      <c r="C46" s="18" t="s">
        <v>47</v>
      </c>
      <c r="D46" s="18" t="s">
        <v>28</v>
      </c>
      <c r="E46" s="18" t="s">
        <v>29</v>
      </c>
      <c r="F46" s="18" t="s">
        <v>48</v>
      </c>
      <c r="G46" s="18" t="s">
        <v>31</v>
      </c>
      <c r="H46" s="18">
        <v>20.7</v>
      </c>
      <c r="I46" s="20">
        <v>60</v>
      </c>
      <c r="J46" s="21">
        <v>1242</v>
      </c>
    </row>
    <row r="47" spans="1:10">
      <c r="A47" s="19">
        <v>35269</v>
      </c>
      <c r="B47" s="18" t="s">
        <v>26</v>
      </c>
      <c r="C47" s="18" t="s">
        <v>27</v>
      </c>
      <c r="D47" s="18" t="s">
        <v>28</v>
      </c>
      <c r="E47" s="18" t="s">
        <v>33</v>
      </c>
      <c r="F47" s="18" t="s">
        <v>48</v>
      </c>
      <c r="G47" s="18" t="s">
        <v>31</v>
      </c>
      <c r="H47" s="18">
        <v>8</v>
      </c>
      <c r="I47" s="20">
        <v>36</v>
      </c>
      <c r="J47" s="21">
        <v>288</v>
      </c>
    </row>
    <row r="48" spans="1:10">
      <c r="A48" s="19">
        <v>35269</v>
      </c>
      <c r="B48" s="18" t="s">
        <v>26</v>
      </c>
      <c r="C48" s="18" t="s">
        <v>32</v>
      </c>
      <c r="D48" s="18" t="s">
        <v>28</v>
      </c>
      <c r="E48" s="18" t="s">
        <v>35</v>
      </c>
      <c r="F48" s="18" t="s">
        <v>48</v>
      </c>
      <c r="G48" s="18" t="s">
        <v>31</v>
      </c>
      <c r="H48" s="18">
        <v>3.6</v>
      </c>
      <c r="I48" s="20">
        <v>28</v>
      </c>
      <c r="J48" s="21">
        <v>100.8</v>
      </c>
    </row>
    <row r="49" spans="1:10">
      <c r="A49" s="19">
        <v>35270</v>
      </c>
      <c r="B49" s="18" t="s">
        <v>26</v>
      </c>
      <c r="C49" s="18" t="s">
        <v>34</v>
      </c>
      <c r="D49" s="18" t="s">
        <v>28</v>
      </c>
      <c r="E49" s="18" t="s">
        <v>29</v>
      </c>
      <c r="F49" s="18" t="s">
        <v>37</v>
      </c>
      <c r="G49" s="18" t="s">
        <v>38</v>
      </c>
      <c r="H49" s="18">
        <v>15.2</v>
      </c>
      <c r="I49" s="20">
        <v>35</v>
      </c>
      <c r="J49" s="21">
        <v>532</v>
      </c>
    </row>
    <row r="50" spans="1:10">
      <c r="A50" s="19">
        <v>35270</v>
      </c>
      <c r="B50" s="18" t="s">
        <v>26</v>
      </c>
      <c r="C50" s="18" t="s">
        <v>36</v>
      </c>
      <c r="D50" s="18" t="s">
        <v>28</v>
      </c>
      <c r="E50" s="18" t="s">
        <v>33</v>
      </c>
      <c r="F50" s="18" t="s">
        <v>37</v>
      </c>
      <c r="G50" s="18" t="s">
        <v>38</v>
      </c>
      <c r="H50" s="18">
        <v>7.7</v>
      </c>
      <c r="I50" s="20">
        <v>25</v>
      </c>
      <c r="J50" s="21">
        <v>192.5</v>
      </c>
    </row>
    <row r="51" spans="1:10">
      <c r="A51" s="19">
        <v>35271</v>
      </c>
      <c r="B51" s="18" t="s">
        <v>39</v>
      </c>
      <c r="C51" s="18" t="s">
        <v>40</v>
      </c>
      <c r="D51" s="18" t="s">
        <v>28</v>
      </c>
      <c r="E51" s="18" t="s">
        <v>35</v>
      </c>
      <c r="F51" s="18" t="s">
        <v>51</v>
      </c>
      <c r="G51" s="18" t="s">
        <v>43</v>
      </c>
      <c r="H51" s="18">
        <v>12</v>
      </c>
      <c r="I51" s="20">
        <v>20</v>
      </c>
      <c r="J51" s="21">
        <v>240</v>
      </c>
    </row>
    <row r="52" spans="1:10">
      <c r="A52" s="19">
        <v>35271</v>
      </c>
      <c r="B52" s="18" t="s">
        <v>39</v>
      </c>
      <c r="C52" s="18" t="s">
        <v>41</v>
      </c>
      <c r="D52" s="18" t="s">
        <v>28</v>
      </c>
      <c r="E52" s="18" t="s">
        <v>29</v>
      </c>
      <c r="F52" s="18" t="s">
        <v>51</v>
      </c>
      <c r="G52" s="18" t="s">
        <v>43</v>
      </c>
      <c r="H52" s="18">
        <v>31.2</v>
      </c>
      <c r="I52" s="20">
        <v>30</v>
      </c>
      <c r="J52" s="21">
        <v>936</v>
      </c>
    </row>
    <row r="53" spans="1:10">
      <c r="A53" s="19">
        <v>35272</v>
      </c>
      <c r="B53" s="18" t="s">
        <v>39</v>
      </c>
      <c r="C53" s="18" t="s">
        <v>44</v>
      </c>
      <c r="D53" s="18" t="s">
        <v>28</v>
      </c>
      <c r="E53" s="18" t="s">
        <v>33</v>
      </c>
      <c r="F53" s="18" t="s">
        <v>45</v>
      </c>
      <c r="G53" s="18" t="s">
        <v>38</v>
      </c>
      <c r="H53" s="18">
        <v>30.4</v>
      </c>
      <c r="I53" s="20">
        <v>12</v>
      </c>
      <c r="J53" s="21">
        <v>364.79999999999995</v>
      </c>
    </row>
    <row r="54" spans="1:10">
      <c r="A54" s="19">
        <v>35275</v>
      </c>
      <c r="B54" s="18" t="s">
        <v>39</v>
      </c>
      <c r="C54" s="18" t="s">
        <v>46</v>
      </c>
      <c r="D54" s="18" t="s">
        <v>28</v>
      </c>
      <c r="E54" s="18" t="s">
        <v>35</v>
      </c>
      <c r="F54" s="18" t="s">
        <v>42</v>
      </c>
      <c r="G54" s="18" t="s">
        <v>43</v>
      </c>
      <c r="H54" s="18">
        <v>44</v>
      </c>
      <c r="I54" s="20">
        <v>70</v>
      </c>
      <c r="J54" s="21">
        <v>3080</v>
      </c>
    </row>
    <row r="55" spans="1:10">
      <c r="A55" s="19">
        <v>35275</v>
      </c>
      <c r="B55" s="18" t="s">
        <v>39</v>
      </c>
      <c r="C55" s="18" t="s">
        <v>47</v>
      </c>
      <c r="D55" s="18" t="s">
        <v>28</v>
      </c>
      <c r="E55" s="18" t="s">
        <v>29</v>
      </c>
      <c r="F55" s="18" t="s">
        <v>42</v>
      </c>
      <c r="G55" s="18" t="s">
        <v>43</v>
      </c>
      <c r="H55" s="18">
        <v>14.4</v>
      </c>
      <c r="I55" s="20">
        <v>15</v>
      </c>
      <c r="J55" s="21">
        <v>216</v>
      </c>
    </row>
    <row r="56" spans="1:10">
      <c r="A56" s="19">
        <v>35275</v>
      </c>
      <c r="B56" s="18" t="s">
        <v>26</v>
      </c>
      <c r="C56" s="18" t="s">
        <v>27</v>
      </c>
      <c r="D56" s="18" t="s">
        <v>28</v>
      </c>
      <c r="E56" s="18" t="s">
        <v>33</v>
      </c>
      <c r="F56" s="18" t="s">
        <v>42</v>
      </c>
      <c r="G56" s="18" t="s">
        <v>43</v>
      </c>
      <c r="H56" s="18">
        <v>14.7</v>
      </c>
      <c r="I56" s="20">
        <v>50</v>
      </c>
      <c r="J56" s="21">
        <v>735</v>
      </c>
    </row>
    <row r="57" spans="1:10">
      <c r="A57" s="19">
        <v>35276</v>
      </c>
      <c r="B57" s="18" t="s">
        <v>26</v>
      </c>
      <c r="C57" s="18" t="s">
        <v>32</v>
      </c>
      <c r="D57" s="18" t="s">
        <v>28</v>
      </c>
      <c r="E57" s="18" t="s">
        <v>35</v>
      </c>
      <c r="F57" s="18" t="s">
        <v>50</v>
      </c>
      <c r="G57" s="18" t="s">
        <v>31</v>
      </c>
      <c r="H57" s="18">
        <v>27.8</v>
      </c>
      <c r="I57" s="20">
        <v>4</v>
      </c>
      <c r="J57" s="21">
        <v>111.2</v>
      </c>
    </row>
    <row r="58" spans="1:10">
      <c r="A58" s="19">
        <v>35276</v>
      </c>
      <c r="B58" s="18" t="s">
        <v>26</v>
      </c>
      <c r="C58" s="18" t="s">
        <v>34</v>
      </c>
      <c r="D58" s="18" t="s">
        <v>28</v>
      </c>
      <c r="E58" s="18" t="s">
        <v>29</v>
      </c>
      <c r="F58" s="18" t="s">
        <v>50</v>
      </c>
      <c r="G58" s="18" t="s">
        <v>31</v>
      </c>
      <c r="H58" s="18">
        <v>99</v>
      </c>
      <c r="I58" s="20">
        <v>10</v>
      </c>
      <c r="J58" s="21">
        <v>990</v>
      </c>
    </row>
    <row r="59" spans="1:10">
      <c r="A59" s="19">
        <v>35277</v>
      </c>
      <c r="B59" s="18" t="s">
        <v>26</v>
      </c>
      <c r="C59" s="18" t="s">
        <v>36</v>
      </c>
      <c r="D59" s="18" t="s">
        <v>28</v>
      </c>
      <c r="E59" s="18" t="s">
        <v>29</v>
      </c>
      <c r="F59" s="18" t="s">
        <v>30</v>
      </c>
      <c r="G59" s="18" t="s">
        <v>31</v>
      </c>
      <c r="H59" s="18">
        <v>2</v>
      </c>
      <c r="I59" s="20">
        <v>60</v>
      </c>
      <c r="J59" s="21">
        <v>120</v>
      </c>
    </row>
    <row r="60" spans="1:10">
      <c r="A60" s="19">
        <v>35277</v>
      </c>
      <c r="B60" s="18" t="s">
        <v>39</v>
      </c>
      <c r="C60" s="18" t="s">
        <v>40</v>
      </c>
      <c r="D60" s="18" t="s">
        <v>28</v>
      </c>
      <c r="E60" s="18" t="s">
        <v>33</v>
      </c>
      <c r="F60" s="18" t="s">
        <v>30</v>
      </c>
      <c r="G60" s="18" t="s">
        <v>31</v>
      </c>
      <c r="H60" s="18">
        <v>27.8</v>
      </c>
      <c r="I60" s="20">
        <v>20</v>
      </c>
      <c r="J60" s="21">
        <v>556</v>
      </c>
    </row>
    <row r="61" spans="1:10">
      <c r="A61" s="19">
        <v>35278</v>
      </c>
      <c r="B61" s="18" t="s">
        <v>39</v>
      </c>
      <c r="C61" s="18" t="s">
        <v>41</v>
      </c>
      <c r="D61" s="18" t="s">
        <v>28</v>
      </c>
      <c r="E61" s="18" t="s">
        <v>35</v>
      </c>
      <c r="F61" s="18" t="s">
        <v>37</v>
      </c>
      <c r="G61" s="18" t="s">
        <v>38</v>
      </c>
      <c r="H61" s="18">
        <v>2</v>
      </c>
      <c r="I61" s="20">
        <v>24</v>
      </c>
      <c r="J61" s="21">
        <v>48</v>
      </c>
    </row>
    <row r="62" spans="1:10">
      <c r="A62" s="19">
        <v>35278</v>
      </c>
      <c r="B62" s="18" t="s">
        <v>39</v>
      </c>
      <c r="C62" s="18" t="s">
        <v>44</v>
      </c>
      <c r="D62" s="18" t="s">
        <v>28</v>
      </c>
      <c r="E62" s="18" t="s">
        <v>29</v>
      </c>
      <c r="F62" s="18" t="s">
        <v>49</v>
      </c>
      <c r="G62" s="18" t="s">
        <v>38</v>
      </c>
      <c r="H62" s="18">
        <v>36.799999999999997</v>
      </c>
      <c r="I62" s="20">
        <v>25</v>
      </c>
      <c r="J62" s="21">
        <v>919.99999999999989</v>
      </c>
    </row>
    <row r="63" spans="1:10">
      <c r="A63" s="19">
        <v>35278</v>
      </c>
      <c r="B63" s="18" t="s">
        <v>39</v>
      </c>
      <c r="C63" s="18" t="s">
        <v>46</v>
      </c>
      <c r="D63" s="18" t="s">
        <v>28</v>
      </c>
      <c r="E63" s="18" t="s">
        <v>33</v>
      </c>
      <c r="F63" s="18" t="s">
        <v>49</v>
      </c>
      <c r="G63" s="18" t="s">
        <v>38</v>
      </c>
      <c r="H63" s="18">
        <v>15.2</v>
      </c>
      <c r="I63" s="20">
        <v>30</v>
      </c>
      <c r="J63" s="21">
        <v>456</v>
      </c>
    </row>
    <row r="64" spans="1:10">
      <c r="A64" s="19">
        <v>35279</v>
      </c>
      <c r="B64" s="18" t="s">
        <v>39</v>
      </c>
      <c r="C64" s="18" t="s">
        <v>47</v>
      </c>
      <c r="D64" s="18" t="s">
        <v>28</v>
      </c>
      <c r="E64" s="18" t="s">
        <v>35</v>
      </c>
      <c r="F64" s="18" t="s">
        <v>37</v>
      </c>
      <c r="G64" s="18" t="s">
        <v>38</v>
      </c>
      <c r="H64" s="18">
        <v>64.8</v>
      </c>
      <c r="I64" s="20">
        <v>6</v>
      </c>
      <c r="J64" s="21">
        <v>388.79999999999995</v>
      </c>
    </row>
    <row r="65" spans="1:10">
      <c r="A65" s="19">
        <v>35279</v>
      </c>
      <c r="B65" s="18" t="s">
        <v>26</v>
      </c>
      <c r="C65" s="18" t="s">
        <v>27</v>
      </c>
      <c r="D65" s="18" t="s">
        <v>28</v>
      </c>
      <c r="E65" s="18" t="s">
        <v>29</v>
      </c>
      <c r="F65" s="18" t="s">
        <v>37</v>
      </c>
      <c r="G65" s="18" t="s">
        <v>38</v>
      </c>
      <c r="H65" s="18">
        <v>27.8</v>
      </c>
      <c r="I65" s="20">
        <v>24</v>
      </c>
      <c r="J65" s="21">
        <v>667.2</v>
      </c>
    </row>
    <row r="66" spans="1:10">
      <c r="A66" s="19">
        <v>35279</v>
      </c>
      <c r="B66" s="18" t="s">
        <v>26</v>
      </c>
      <c r="C66" s="18" t="s">
        <v>32</v>
      </c>
      <c r="D66" s="18" t="s">
        <v>28</v>
      </c>
      <c r="E66" s="18" t="s">
        <v>33</v>
      </c>
      <c r="F66" s="18" t="s">
        <v>37</v>
      </c>
      <c r="G66" s="18" t="s">
        <v>38</v>
      </c>
      <c r="H66" s="18">
        <v>10</v>
      </c>
      <c r="I66" s="20">
        <v>40</v>
      </c>
      <c r="J66" s="21">
        <v>400</v>
      </c>
    </row>
    <row r="67" spans="1:10">
      <c r="A67" s="19">
        <v>35282</v>
      </c>
      <c r="B67" s="18" t="s">
        <v>26</v>
      </c>
      <c r="C67" s="18" t="s">
        <v>34</v>
      </c>
      <c r="D67" s="18" t="s">
        <v>28</v>
      </c>
      <c r="E67" s="18" t="s">
        <v>35</v>
      </c>
      <c r="F67" s="18" t="s">
        <v>45</v>
      </c>
      <c r="G67" s="18" t="s">
        <v>38</v>
      </c>
      <c r="H67" s="18">
        <v>2</v>
      </c>
      <c r="I67" s="20">
        <v>20</v>
      </c>
      <c r="J67" s="21">
        <v>40</v>
      </c>
    </row>
    <row r="68" spans="1:10">
      <c r="A68" s="19">
        <v>35282</v>
      </c>
      <c r="B68" s="18" t="s">
        <v>26</v>
      </c>
      <c r="C68" s="18" t="s">
        <v>36</v>
      </c>
      <c r="D68" s="18" t="s">
        <v>28</v>
      </c>
      <c r="E68" s="18" t="s">
        <v>29</v>
      </c>
      <c r="F68" s="18" t="s">
        <v>45</v>
      </c>
      <c r="G68" s="18" t="s">
        <v>38</v>
      </c>
      <c r="H68" s="18">
        <v>14.4</v>
      </c>
      <c r="I68" s="20">
        <v>33</v>
      </c>
      <c r="J68" s="21">
        <v>475.2</v>
      </c>
    </row>
    <row r="69" spans="1:10">
      <c r="A69" s="19">
        <v>35282</v>
      </c>
      <c r="B69" s="18" t="s">
        <v>39</v>
      </c>
      <c r="C69" s="18" t="s">
        <v>40</v>
      </c>
      <c r="D69" s="18" t="s">
        <v>28</v>
      </c>
      <c r="E69" s="18" t="s">
        <v>33</v>
      </c>
      <c r="F69" s="18" t="s">
        <v>45</v>
      </c>
      <c r="G69" s="18" t="s">
        <v>38</v>
      </c>
      <c r="H69" s="18">
        <v>10</v>
      </c>
      <c r="I69" s="20">
        <v>15</v>
      </c>
      <c r="J69" s="21">
        <v>150</v>
      </c>
    </row>
    <row r="70" spans="1:10">
      <c r="A70" s="19">
        <v>35282</v>
      </c>
      <c r="B70" s="18" t="s">
        <v>39</v>
      </c>
      <c r="C70" s="18" t="s">
        <v>41</v>
      </c>
      <c r="D70" s="18" t="s">
        <v>28</v>
      </c>
      <c r="E70" s="18" t="s">
        <v>35</v>
      </c>
      <c r="F70" s="18" t="s">
        <v>45</v>
      </c>
      <c r="G70" s="18" t="s">
        <v>38</v>
      </c>
      <c r="H70" s="18">
        <v>14.7</v>
      </c>
      <c r="I70" s="20">
        <v>60</v>
      </c>
      <c r="J70" s="21">
        <v>882</v>
      </c>
    </row>
    <row r="71" spans="1:10">
      <c r="A71" s="19">
        <v>35282</v>
      </c>
      <c r="B71" s="18" t="s">
        <v>39</v>
      </c>
      <c r="C71" s="18" t="s">
        <v>44</v>
      </c>
      <c r="D71" s="18" t="s">
        <v>28</v>
      </c>
      <c r="E71" s="18" t="s">
        <v>29</v>
      </c>
      <c r="F71" s="18" t="s">
        <v>45</v>
      </c>
      <c r="G71" s="18" t="s">
        <v>38</v>
      </c>
      <c r="H71" s="18">
        <v>24.8</v>
      </c>
      <c r="I71" s="20">
        <v>24</v>
      </c>
      <c r="J71" s="21">
        <v>595.20000000000005</v>
      </c>
    </row>
    <row r="72" spans="1:10">
      <c r="A72" s="19">
        <v>35283</v>
      </c>
      <c r="B72" s="18" t="s">
        <v>39</v>
      </c>
      <c r="C72" s="18" t="s">
        <v>46</v>
      </c>
      <c r="D72" s="18" t="s">
        <v>28</v>
      </c>
      <c r="E72" s="18" t="s">
        <v>33</v>
      </c>
      <c r="F72" s="18" t="s">
        <v>37</v>
      </c>
      <c r="G72" s="18" t="s">
        <v>38</v>
      </c>
      <c r="H72" s="18">
        <v>27.8</v>
      </c>
      <c r="I72" s="20">
        <v>7</v>
      </c>
      <c r="J72" s="21">
        <v>194.6</v>
      </c>
    </row>
    <row r="73" spans="1:10">
      <c r="A73" s="19">
        <v>35283</v>
      </c>
      <c r="B73" s="18" t="s">
        <v>39</v>
      </c>
      <c r="C73" s="18" t="s">
        <v>47</v>
      </c>
      <c r="D73" s="18" t="s">
        <v>28</v>
      </c>
      <c r="E73" s="18" t="s">
        <v>35</v>
      </c>
      <c r="F73" s="18" t="s">
        <v>37</v>
      </c>
      <c r="G73" s="18" t="s">
        <v>38</v>
      </c>
      <c r="H73" s="18">
        <v>17.2</v>
      </c>
      <c r="I73" s="20">
        <v>20</v>
      </c>
      <c r="J73" s="21">
        <v>344</v>
      </c>
    </row>
    <row r="74" spans="1:10">
      <c r="A74" s="19">
        <v>35284</v>
      </c>
      <c r="B74" s="18" t="s">
        <v>26</v>
      </c>
      <c r="C74" s="18" t="s">
        <v>27</v>
      </c>
      <c r="D74" s="18" t="s">
        <v>28</v>
      </c>
      <c r="E74" s="18" t="s">
        <v>29</v>
      </c>
      <c r="F74" s="18" t="s">
        <v>49</v>
      </c>
      <c r="G74" s="18" t="s">
        <v>38</v>
      </c>
      <c r="H74" s="18">
        <v>44</v>
      </c>
      <c r="I74" s="20">
        <v>6</v>
      </c>
      <c r="J74" s="21">
        <v>264</v>
      </c>
    </row>
    <row r="75" spans="1:10">
      <c r="A75" s="19">
        <v>35284</v>
      </c>
      <c r="B75" s="18" t="s">
        <v>26</v>
      </c>
      <c r="C75" s="18" t="s">
        <v>32</v>
      </c>
      <c r="D75" s="18" t="s">
        <v>28</v>
      </c>
      <c r="E75" s="18" t="s">
        <v>33</v>
      </c>
      <c r="F75" s="18" t="s">
        <v>49</v>
      </c>
      <c r="G75" s="18" t="s">
        <v>38</v>
      </c>
      <c r="H75" s="18">
        <v>3.6</v>
      </c>
      <c r="I75" s="20">
        <v>12</v>
      </c>
      <c r="J75" s="21">
        <v>43.2</v>
      </c>
    </row>
    <row r="76" spans="1:10">
      <c r="A76" s="19">
        <v>35285</v>
      </c>
      <c r="B76" s="18" t="s">
        <v>26</v>
      </c>
      <c r="C76" s="18" t="s">
        <v>34</v>
      </c>
      <c r="D76" s="18" t="s">
        <v>28</v>
      </c>
      <c r="E76" s="18" t="s">
        <v>35</v>
      </c>
      <c r="F76" s="18" t="s">
        <v>50</v>
      </c>
      <c r="G76" s="18" t="s">
        <v>31</v>
      </c>
      <c r="H76" s="18">
        <v>4.8</v>
      </c>
      <c r="I76" s="20">
        <v>10</v>
      </c>
      <c r="J76" s="21">
        <v>48</v>
      </c>
    </row>
    <row r="77" spans="1:10">
      <c r="A77" s="19">
        <v>35285</v>
      </c>
      <c r="B77" s="18" t="s">
        <v>26</v>
      </c>
      <c r="C77" s="18" t="s">
        <v>36</v>
      </c>
      <c r="D77" s="18" t="s">
        <v>28</v>
      </c>
      <c r="E77" s="18" t="s">
        <v>29</v>
      </c>
      <c r="F77" s="18" t="s">
        <v>50</v>
      </c>
      <c r="G77" s="18" t="s">
        <v>31</v>
      </c>
      <c r="H77" s="18">
        <v>24.8</v>
      </c>
      <c r="I77" s="20">
        <v>15</v>
      </c>
      <c r="J77" s="21">
        <v>372</v>
      </c>
    </row>
    <row r="78" spans="1:10">
      <c r="A78" s="19">
        <v>35286</v>
      </c>
      <c r="B78" s="18" t="s">
        <v>39</v>
      </c>
      <c r="C78" s="18" t="s">
        <v>40</v>
      </c>
      <c r="D78" s="18" t="s">
        <v>28</v>
      </c>
      <c r="E78" s="18" t="s">
        <v>29</v>
      </c>
      <c r="F78" s="18" t="s">
        <v>51</v>
      </c>
      <c r="G78" s="18" t="s">
        <v>43</v>
      </c>
      <c r="H78" s="18">
        <v>36.4</v>
      </c>
      <c r="I78" s="20">
        <v>20</v>
      </c>
      <c r="J78" s="21">
        <v>728</v>
      </c>
    </row>
    <row r="79" spans="1:10">
      <c r="A79" s="19">
        <v>35286</v>
      </c>
      <c r="B79" s="18" t="s">
        <v>39</v>
      </c>
      <c r="C79" s="18" t="s">
        <v>41</v>
      </c>
      <c r="D79" s="18" t="s">
        <v>28</v>
      </c>
      <c r="E79" s="18" t="s">
        <v>33</v>
      </c>
      <c r="F79" s="18" t="s">
        <v>51</v>
      </c>
      <c r="G79" s="18" t="s">
        <v>43</v>
      </c>
      <c r="H79" s="18">
        <v>39.4</v>
      </c>
      <c r="I79" s="20">
        <v>12</v>
      </c>
      <c r="J79" s="21">
        <v>472.79999999999995</v>
      </c>
    </row>
    <row r="80" spans="1:10">
      <c r="A80" s="19">
        <v>35289</v>
      </c>
      <c r="B80" s="18" t="s">
        <v>39</v>
      </c>
      <c r="C80" s="18" t="s">
        <v>44</v>
      </c>
      <c r="D80" s="18" t="s">
        <v>28</v>
      </c>
      <c r="E80" s="18" t="s">
        <v>35</v>
      </c>
      <c r="F80" s="18" t="s">
        <v>50</v>
      </c>
      <c r="G80" s="18" t="s">
        <v>31</v>
      </c>
      <c r="H80" s="18">
        <v>44</v>
      </c>
      <c r="I80" s="20">
        <v>15</v>
      </c>
      <c r="J80" s="21">
        <v>660</v>
      </c>
    </row>
    <row r="81" spans="1:10">
      <c r="A81" s="19">
        <v>35289</v>
      </c>
      <c r="B81" s="18" t="s">
        <v>39</v>
      </c>
      <c r="C81" s="18" t="s">
        <v>46</v>
      </c>
      <c r="D81" s="18" t="s">
        <v>28</v>
      </c>
      <c r="E81" s="18" t="s">
        <v>29</v>
      </c>
      <c r="F81" s="18" t="s">
        <v>50</v>
      </c>
      <c r="G81" s="18" t="s">
        <v>31</v>
      </c>
      <c r="H81" s="18">
        <v>12</v>
      </c>
      <c r="I81" s="20">
        <v>25</v>
      </c>
      <c r="J81" s="21">
        <v>300</v>
      </c>
    </row>
    <row r="82" spans="1:10">
      <c r="A82" s="19">
        <v>35289</v>
      </c>
      <c r="B82" s="18" t="s">
        <v>39</v>
      </c>
      <c r="C82" s="18" t="s">
        <v>47</v>
      </c>
      <c r="D82" s="18" t="s">
        <v>28</v>
      </c>
      <c r="E82" s="18" t="s">
        <v>33</v>
      </c>
      <c r="F82" s="18" t="s">
        <v>50</v>
      </c>
      <c r="G82" s="18" t="s">
        <v>31</v>
      </c>
      <c r="H82" s="18">
        <v>15.5</v>
      </c>
      <c r="I82" s="20">
        <v>16</v>
      </c>
      <c r="J82" s="21">
        <v>248</v>
      </c>
    </row>
    <row r="83" spans="1:10">
      <c r="A83" s="19">
        <v>35289</v>
      </c>
      <c r="B83" s="18" t="s">
        <v>26</v>
      </c>
      <c r="C83" s="18" t="s">
        <v>27</v>
      </c>
      <c r="D83" s="18" t="s">
        <v>28</v>
      </c>
      <c r="E83" s="18" t="s">
        <v>35</v>
      </c>
      <c r="F83" s="18" t="s">
        <v>50</v>
      </c>
      <c r="G83" s="18" t="s">
        <v>31</v>
      </c>
      <c r="H83" s="18">
        <v>35.1</v>
      </c>
      <c r="I83" s="20">
        <v>8</v>
      </c>
      <c r="J83" s="21">
        <v>280.8</v>
      </c>
    </row>
    <row r="84" spans="1:10">
      <c r="A84" s="19">
        <v>35290</v>
      </c>
      <c r="B84" s="18" t="s">
        <v>26</v>
      </c>
      <c r="C84" s="18" t="s">
        <v>32</v>
      </c>
      <c r="D84" s="18" t="s">
        <v>28</v>
      </c>
      <c r="E84" s="18" t="s">
        <v>29</v>
      </c>
      <c r="F84" s="18" t="s">
        <v>50</v>
      </c>
      <c r="G84" s="18" t="s">
        <v>31</v>
      </c>
      <c r="H84" s="18">
        <v>31.2</v>
      </c>
      <c r="I84" s="20">
        <v>15</v>
      </c>
      <c r="J84" s="21">
        <v>468</v>
      </c>
    </row>
    <row r="85" spans="1:10">
      <c r="A85" s="19">
        <v>35291</v>
      </c>
      <c r="B85" s="18" t="s">
        <v>26</v>
      </c>
      <c r="C85" s="18" t="s">
        <v>34</v>
      </c>
      <c r="D85" s="18" t="s">
        <v>28</v>
      </c>
      <c r="E85" s="18" t="s">
        <v>33</v>
      </c>
      <c r="F85" s="18" t="s">
        <v>42</v>
      </c>
      <c r="G85" s="18" t="s">
        <v>43</v>
      </c>
      <c r="H85" s="18">
        <v>14.4</v>
      </c>
      <c r="I85" s="20">
        <v>4</v>
      </c>
      <c r="J85" s="21">
        <v>57.6</v>
      </c>
    </row>
    <row r="86" spans="1:10">
      <c r="A86" s="19">
        <v>35291</v>
      </c>
      <c r="B86" s="18" t="s">
        <v>26</v>
      </c>
      <c r="C86" s="18" t="s">
        <v>36</v>
      </c>
      <c r="D86" s="18" t="s">
        <v>28</v>
      </c>
      <c r="E86" s="18" t="s">
        <v>35</v>
      </c>
      <c r="F86" s="18" t="s">
        <v>51</v>
      </c>
      <c r="G86" s="18" t="s">
        <v>43</v>
      </c>
      <c r="H86" s="18">
        <v>6.2</v>
      </c>
      <c r="I86" s="20">
        <v>30</v>
      </c>
      <c r="J86" s="21">
        <v>186</v>
      </c>
    </row>
    <row r="87" spans="1:10">
      <c r="A87" s="19">
        <v>35291</v>
      </c>
      <c r="B87" s="18" t="s">
        <v>39</v>
      </c>
      <c r="C87" s="18" t="s">
        <v>40</v>
      </c>
      <c r="D87" s="18" t="s">
        <v>28</v>
      </c>
      <c r="E87" s="18" t="s">
        <v>29</v>
      </c>
      <c r="F87" s="18" t="s">
        <v>51</v>
      </c>
      <c r="G87" s="18" t="s">
        <v>43</v>
      </c>
      <c r="H87" s="18">
        <v>3.6</v>
      </c>
      <c r="I87" s="20">
        <v>12</v>
      </c>
      <c r="J87" s="21">
        <v>43.2</v>
      </c>
    </row>
    <row r="88" spans="1:10">
      <c r="A88" s="19">
        <v>35291</v>
      </c>
      <c r="B88" s="18" t="s">
        <v>39</v>
      </c>
      <c r="C88" s="18" t="s">
        <v>41</v>
      </c>
      <c r="D88" s="18" t="s">
        <v>28</v>
      </c>
      <c r="E88" s="18" t="s">
        <v>33</v>
      </c>
      <c r="F88" s="18" t="s">
        <v>42</v>
      </c>
      <c r="G88" s="18" t="s">
        <v>43</v>
      </c>
      <c r="H88" s="18">
        <v>3.6</v>
      </c>
      <c r="I88" s="20">
        <v>6</v>
      </c>
      <c r="J88" s="21">
        <v>21.6</v>
      </c>
    </row>
    <row r="89" spans="1:10">
      <c r="A89" s="19">
        <v>35291</v>
      </c>
      <c r="B89" s="18" t="s">
        <v>39</v>
      </c>
      <c r="C89" s="18" t="s">
        <v>44</v>
      </c>
      <c r="D89" s="18" t="s">
        <v>28</v>
      </c>
      <c r="E89" s="18" t="s">
        <v>35</v>
      </c>
      <c r="F89" s="18" t="s">
        <v>42</v>
      </c>
      <c r="G89" s="18" t="s">
        <v>43</v>
      </c>
      <c r="H89" s="18">
        <v>7.3</v>
      </c>
      <c r="I89" s="20">
        <v>1</v>
      </c>
      <c r="J89" s="21">
        <v>7.3</v>
      </c>
    </row>
    <row r="90" spans="1:10">
      <c r="A90" s="19">
        <v>35291</v>
      </c>
      <c r="B90" s="18" t="s">
        <v>39</v>
      </c>
      <c r="C90" s="18" t="s">
        <v>46</v>
      </c>
      <c r="D90" s="18" t="s">
        <v>28</v>
      </c>
      <c r="E90" s="18" t="s">
        <v>29</v>
      </c>
      <c r="F90" s="18" t="s">
        <v>51</v>
      </c>
      <c r="G90" s="18" t="s">
        <v>43</v>
      </c>
      <c r="H90" s="18">
        <v>19.2</v>
      </c>
      <c r="I90" s="20">
        <v>20</v>
      </c>
      <c r="J90" s="21">
        <v>384</v>
      </c>
    </row>
    <row r="91" spans="1:10">
      <c r="A91" s="19">
        <v>35292</v>
      </c>
      <c r="B91" s="18" t="s">
        <v>39</v>
      </c>
      <c r="C91" s="18" t="s">
        <v>47</v>
      </c>
      <c r="D91" s="18" t="s">
        <v>28</v>
      </c>
      <c r="E91" s="18" t="s">
        <v>33</v>
      </c>
      <c r="F91" s="18" t="s">
        <v>42</v>
      </c>
      <c r="G91" s="18" t="s">
        <v>43</v>
      </c>
      <c r="H91" s="18">
        <v>20.7</v>
      </c>
      <c r="I91" s="20">
        <v>6</v>
      </c>
      <c r="J91" s="21">
        <v>124.19999999999999</v>
      </c>
    </row>
    <row r="92" spans="1:10">
      <c r="A92" s="19">
        <v>35292</v>
      </c>
      <c r="B92" s="18" t="s">
        <v>26</v>
      </c>
      <c r="C92" s="18" t="s">
        <v>27</v>
      </c>
      <c r="D92" s="18" t="s">
        <v>28</v>
      </c>
      <c r="E92" s="18" t="s">
        <v>35</v>
      </c>
      <c r="F92" s="18" t="s">
        <v>42</v>
      </c>
      <c r="G92" s="18" t="s">
        <v>43</v>
      </c>
      <c r="H92" s="18">
        <v>15.6</v>
      </c>
      <c r="I92" s="20">
        <v>2</v>
      </c>
      <c r="J92" s="21">
        <v>31.2</v>
      </c>
    </row>
    <row r="93" spans="1:10">
      <c r="A93" s="19">
        <v>35293</v>
      </c>
      <c r="B93" s="18" t="s">
        <v>26</v>
      </c>
      <c r="C93" s="18" t="s">
        <v>32</v>
      </c>
      <c r="D93" s="18" t="s">
        <v>28</v>
      </c>
      <c r="E93" s="18" t="s">
        <v>29</v>
      </c>
      <c r="F93" s="18" t="s">
        <v>45</v>
      </c>
      <c r="G93" s="18" t="s">
        <v>38</v>
      </c>
      <c r="H93" s="18">
        <v>27.2</v>
      </c>
      <c r="I93" s="20">
        <v>35</v>
      </c>
      <c r="J93" s="21">
        <v>952</v>
      </c>
    </row>
    <row r="94" spans="1:10">
      <c r="A94" s="19">
        <v>35293</v>
      </c>
      <c r="B94" s="18" t="s">
        <v>26</v>
      </c>
      <c r="C94" s="18" t="s">
        <v>34</v>
      </c>
      <c r="D94" s="18" t="s">
        <v>28</v>
      </c>
      <c r="E94" s="18" t="s">
        <v>33</v>
      </c>
      <c r="F94" s="18" t="s">
        <v>45</v>
      </c>
      <c r="G94" s="18" t="s">
        <v>38</v>
      </c>
      <c r="H94" s="18">
        <v>27.8</v>
      </c>
      <c r="I94" s="20">
        <v>3</v>
      </c>
      <c r="J94" s="21">
        <v>83.4</v>
      </c>
    </row>
    <row r="95" spans="1:10">
      <c r="A95" s="19">
        <v>35293</v>
      </c>
      <c r="B95" s="18" t="s">
        <v>26</v>
      </c>
      <c r="C95" s="18" t="s">
        <v>36</v>
      </c>
      <c r="D95" s="18" t="s">
        <v>28</v>
      </c>
      <c r="E95" s="18" t="s">
        <v>35</v>
      </c>
      <c r="F95" s="18" t="s">
        <v>45</v>
      </c>
      <c r="G95" s="18" t="s">
        <v>38</v>
      </c>
      <c r="H95" s="18">
        <v>7.3</v>
      </c>
      <c r="I95" s="20">
        <v>18</v>
      </c>
      <c r="J95" s="21">
        <v>131.4</v>
      </c>
    </row>
    <row r="96" spans="1:10">
      <c r="A96" s="19">
        <v>35293</v>
      </c>
      <c r="B96" s="18" t="s">
        <v>39</v>
      </c>
      <c r="C96" s="18" t="s">
        <v>40</v>
      </c>
      <c r="D96" s="18" t="s">
        <v>28</v>
      </c>
      <c r="E96" s="18" t="s">
        <v>29</v>
      </c>
      <c r="F96" s="18" t="s">
        <v>45</v>
      </c>
      <c r="G96" s="18" t="s">
        <v>38</v>
      </c>
      <c r="H96" s="18">
        <v>12.4</v>
      </c>
      <c r="I96" s="20">
        <v>20</v>
      </c>
      <c r="J96" s="21">
        <v>248</v>
      </c>
    </row>
    <row r="97" spans="1:10">
      <c r="A97" s="19">
        <v>35296</v>
      </c>
      <c r="B97" s="18" t="s">
        <v>39</v>
      </c>
      <c r="C97" s="18" t="s">
        <v>41</v>
      </c>
      <c r="D97" s="18" t="s">
        <v>28</v>
      </c>
      <c r="E97" s="18" t="s">
        <v>29</v>
      </c>
      <c r="F97" s="18" t="s">
        <v>42</v>
      </c>
      <c r="G97" s="18" t="s">
        <v>43</v>
      </c>
      <c r="H97" s="18">
        <v>15.5</v>
      </c>
      <c r="I97" s="20">
        <v>21</v>
      </c>
      <c r="J97" s="21">
        <v>325.5</v>
      </c>
    </row>
    <row r="98" spans="1:10">
      <c r="A98" s="19">
        <v>35296</v>
      </c>
      <c r="B98" s="18" t="s">
        <v>39</v>
      </c>
      <c r="C98" s="18" t="s">
        <v>44</v>
      </c>
      <c r="D98" s="18" t="s">
        <v>28</v>
      </c>
      <c r="E98" s="18" t="s">
        <v>33</v>
      </c>
      <c r="F98" s="18" t="s">
        <v>42</v>
      </c>
      <c r="G98" s="18" t="s">
        <v>43</v>
      </c>
      <c r="H98" s="18">
        <v>27.2</v>
      </c>
      <c r="I98" s="20">
        <v>20</v>
      </c>
      <c r="J98" s="21">
        <v>544</v>
      </c>
    </row>
    <row r="99" spans="1:10">
      <c r="A99" s="19">
        <v>35296</v>
      </c>
      <c r="B99" s="18" t="s">
        <v>39</v>
      </c>
      <c r="C99" s="18" t="s">
        <v>46</v>
      </c>
      <c r="D99" s="18" t="s">
        <v>28</v>
      </c>
      <c r="E99" s="18" t="s">
        <v>35</v>
      </c>
      <c r="F99" s="18" t="s">
        <v>42</v>
      </c>
      <c r="G99" s="18" t="s">
        <v>43</v>
      </c>
      <c r="H99" s="18">
        <v>11.2</v>
      </c>
      <c r="I99" s="20">
        <v>5</v>
      </c>
      <c r="J99" s="21">
        <v>56</v>
      </c>
    </row>
    <row r="100" spans="1:10">
      <c r="A100" s="19">
        <v>35296</v>
      </c>
      <c r="B100" s="18" t="s">
        <v>39</v>
      </c>
      <c r="C100" s="18" t="s">
        <v>47</v>
      </c>
      <c r="D100" s="18" t="s">
        <v>28</v>
      </c>
      <c r="E100" s="18" t="s">
        <v>29</v>
      </c>
      <c r="F100" s="18" t="s">
        <v>42</v>
      </c>
      <c r="G100" s="18" t="s">
        <v>43</v>
      </c>
      <c r="H100" s="18">
        <v>35.1</v>
      </c>
      <c r="I100" s="20">
        <v>15</v>
      </c>
      <c r="J100" s="21">
        <v>526.5</v>
      </c>
    </row>
    <row r="101" spans="1:10">
      <c r="A101" s="19">
        <v>35297</v>
      </c>
      <c r="B101" s="18" t="s">
        <v>26</v>
      </c>
      <c r="C101" s="18" t="s">
        <v>27</v>
      </c>
      <c r="D101" s="18" t="s">
        <v>28</v>
      </c>
      <c r="E101" s="18" t="s">
        <v>33</v>
      </c>
      <c r="F101" s="18" t="s">
        <v>49</v>
      </c>
      <c r="G101" s="18" t="s">
        <v>38</v>
      </c>
      <c r="H101" s="18">
        <v>14.4</v>
      </c>
      <c r="I101" s="20">
        <v>45</v>
      </c>
      <c r="J101" s="21">
        <v>648</v>
      </c>
    </row>
    <row r="102" spans="1:10">
      <c r="A102" s="19">
        <v>35297</v>
      </c>
      <c r="B102" s="18" t="s">
        <v>26</v>
      </c>
      <c r="C102" s="18" t="s">
        <v>32</v>
      </c>
      <c r="D102" s="18" t="s">
        <v>28</v>
      </c>
      <c r="E102" s="18" t="s">
        <v>35</v>
      </c>
      <c r="F102" s="18" t="s">
        <v>49</v>
      </c>
      <c r="G102" s="18" t="s">
        <v>38</v>
      </c>
      <c r="H102" s="18">
        <v>14.7</v>
      </c>
      <c r="I102" s="20">
        <v>40</v>
      </c>
      <c r="J102" s="21">
        <v>588</v>
      </c>
    </row>
    <row r="103" spans="1:10">
      <c r="A103" s="19">
        <v>35297</v>
      </c>
      <c r="B103" s="18" t="s">
        <v>26</v>
      </c>
      <c r="C103" s="18" t="s">
        <v>34</v>
      </c>
      <c r="D103" s="18" t="s">
        <v>28</v>
      </c>
      <c r="E103" s="18" t="s">
        <v>29</v>
      </c>
      <c r="F103" s="18" t="s">
        <v>49</v>
      </c>
      <c r="G103" s="18" t="s">
        <v>38</v>
      </c>
      <c r="H103" s="18">
        <v>26.2</v>
      </c>
      <c r="I103" s="20">
        <v>36</v>
      </c>
      <c r="J103" s="21">
        <v>943.19999999999993</v>
      </c>
    </row>
    <row r="104" spans="1:10">
      <c r="A104" s="19">
        <v>35298</v>
      </c>
      <c r="B104" s="18" t="s">
        <v>26</v>
      </c>
      <c r="C104" s="18" t="s">
        <v>36</v>
      </c>
      <c r="D104" s="18" t="s">
        <v>28</v>
      </c>
      <c r="E104" s="18" t="s">
        <v>33</v>
      </c>
      <c r="F104" s="18" t="s">
        <v>50</v>
      </c>
      <c r="G104" s="18" t="s">
        <v>31</v>
      </c>
      <c r="H104" s="18">
        <v>14.4</v>
      </c>
      <c r="I104" s="20">
        <v>100</v>
      </c>
      <c r="J104" s="21">
        <v>1440</v>
      </c>
    </row>
    <row r="105" spans="1:10">
      <c r="A105" s="19">
        <v>35298</v>
      </c>
      <c r="B105" s="18" t="s">
        <v>39</v>
      </c>
      <c r="C105" s="18" t="s">
        <v>40</v>
      </c>
      <c r="D105" s="18" t="s">
        <v>28</v>
      </c>
      <c r="E105" s="18" t="s">
        <v>35</v>
      </c>
      <c r="F105" s="18" t="s">
        <v>50</v>
      </c>
      <c r="G105" s="18" t="s">
        <v>31</v>
      </c>
      <c r="H105" s="18">
        <v>39.4</v>
      </c>
      <c r="I105" s="20">
        <v>40</v>
      </c>
      <c r="J105" s="21">
        <v>1576</v>
      </c>
    </row>
    <row r="106" spans="1:10">
      <c r="A106" s="19">
        <v>35299</v>
      </c>
      <c r="B106" s="18" t="s">
        <v>39</v>
      </c>
      <c r="C106" s="18" t="s">
        <v>41</v>
      </c>
      <c r="D106" s="18" t="s">
        <v>28</v>
      </c>
      <c r="E106" s="18" t="s">
        <v>29</v>
      </c>
      <c r="F106" s="18" t="s">
        <v>50</v>
      </c>
      <c r="G106" s="18" t="s">
        <v>31</v>
      </c>
      <c r="H106" s="18">
        <v>13.9</v>
      </c>
      <c r="I106" s="20">
        <v>40</v>
      </c>
      <c r="J106" s="21">
        <v>556</v>
      </c>
    </row>
    <row r="107" spans="1:10">
      <c r="A107" s="19">
        <v>35299</v>
      </c>
      <c r="B107" s="18" t="s">
        <v>39</v>
      </c>
      <c r="C107" s="18" t="s">
        <v>44</v>
      </c>
      <c r="D107" s="18" t="s">
        <v>28</v>
      </c>
      <c r="E107" s="18" t="s">
        <v>33</v>
      </c>
      <c r="F107" s="18" t="s">
        <v>50</v>
      </c>
      <c r="G107" s="18" t="s">
        <v>31</v>
      </c>
      <c r="H107" s="18">
        <v>9.6</v>
      </c>
      <c r="I107" s="20">
        <v>15</v>
      </c>
      <c r="J107" s="21">
        <v>144</v>
      </c>
    </row>
    <row r="108" spans="1:10">
      <c r="A108" s="19">
        <v>35299</v>
      </c>
      <c r="B108" s="18" t="s">
        <v>39</v>
      </c>
      <c r="C108" s="18" t="s">
        <v>46</v>
      </c>
      <c r="D108" s="18" t="s">
        <v>28</v>
      </c>
      <c r="E108" s="18" t="s">
        <v>35</v>
      </c>
      <c r="F108" s="18" t="s">
        <v>50</v>
      </c>
      <c r="G108" s="18" t="s">
        <v>31</v>
      </c>
      <c r="H108" s="18">
        <v>11.2</v>
      </c>
      <c r="I108" s="20">
        <v>20</v>
      </c>
      <c r="J108" s="21">
        <v>224</v>
      </c>
    </row>
    <row r="109" spans="1:10">
      <c r="A109" s="19">
        <v>35300</v>
      </c>
      <c r="B109" s="18" t="s">
        <v>39</v>
      </c>
      <c r="C109" s="18" t="s">
        <v>47</v>
      </c>
      <c r="D109" s="18" t="s">
        <v>28</v>
      </c>
      <c r="E109" s="18" t="s">
        <v>29</v>
      </c>
      <c r="F109" s="18" t="s">
        <v>42</v>
      </c>
      <c r="G109" s="18" t="s">
        <v>43</v>
      </c>
      <c r="H109" s="18">
        <v>5.9</v>
      </c>
      <c r="I109" s="20">
        <v>10</v>
      </c>
      <c r="J109" s="21">
        <v>59</v>
      </c>
    </row>
    <row r="110" spans="1:10">
      <c r="A110" s="19">
        <v>35300</v>
      </c>
      <c r="B110" s="18" t="s">
        <v>26</v>
      </c>
      <c r="C110" s="18" t="s">
        <v>27</v>
      </c>
      <c r="D110" s="18" t="s">
        <v>28</v>
      </c>
      <c r="E110" s="18" t="s">
        <v>33</v>
      </c>
      <c r="F110" s="18" t="s">
        <v>42</v>
      </c>
      <c r="G110" s="18" t="s">
        <v>43</v>
      </c>
      <c r="H110" s="18">
        <v>10</v>
      </c>
      <c r="I110" s="20">
        <v>3</v>
      </c>
      <c r="J110" s="21">
        <v>30</v>
      </c>
    </row>
    <row r="111" spans="1:10">
      <c r="A111" s="19">
        <v>35303</v>
      </c>
      <c r="B111" s="18" t="s">
        <v>26</v>
      </c>
      <c r="C111" s="18" t="s">
        <v>32</v>
      </c>
      <c r="D111" s="18" t="s">
        <v>28</v>
      </c>
      <c r="E111" s="18" t="s">
        <v>35</v>
      </c>
      <c r="F111" s="18" t="s">
        <v>52</v>
      </c>
      <c r="G111" s="18" t="s">
        <v>31</v>
      </c>
      <c r="H111" s="18">
        <v>8</v>
      </c>
      <c r="I111" s="20">
        <v>30</v>
      </c>
      <c r="J111" s="21">
        <v>240</v>
      </c>
    </row>
    <row r="112" spans="1:10">
      <c r="A112" s="19">
        <v>35303</v>
      </c>
      <c r="B112" s="18" t="s">
        <v>26</v>
      </c>
      <c r="C112" s="18" t="s">
        <v>34</v>
      </c>
      <c r="D112" s="18" t="s">
        <v>28</v>
      </c>
      <c r="E112" s="18" t="s">
        <v>29</v>
      </c>
      <c r="F112" s="18" t="s">
        <v>52</v>
      </c>
      <c r="G112" s="18" t="s">
        <v>31</v>
      </c>
      <c r="H112" s="18">
        <v>26.6</v>
      </c>
      <c r="I112" s="20">
        <v>9</v>
      </c>
      <c r="J112" s="21">
        <v>239.4</v>
      </c>
    </row>
    <row r="113" spans="1:10">
      <c r="A113" s="19">
        <v>35304</v>
      </c>
      <c r="B113" s="18" t="s">
        <v>26</v>
      </c>
      <c r="C113" s="18" t="s">
        <v>36</v>
      </c>
      <c r="D113" s="18" t="s">
        <v>28</v>
      </c>
      <c r="E113" s="18" t="s">
        <v>33</v>
      </c>
      <c r="F113" s="18" t="s">
        <v>37</v>
      </c>
      <c r="G113" s="18" t="s">
        <v>38</v>
      </c>
      <c r="H113" s="18">
        <v>15.5</v>
      </c>
      <c r="I113" s="20">
        <v>24</v>
      </c>
      <c r="J113" s="21">
        <v>372</v>
      </c>
    </row>
    <row r="114" spans="1:10">
      <c r="A114" s="19">
        <v>35304</v>
      </c>
      <c r="B114" s="18" t="s">
        <v>39</v>
      </c>
      <c r="C114" s="18" t="s">
        <v>40</v>
      </c>
      <c r="D114" s="18" t="s">
        <v>28</v>
      </c>
      <c r="E114" s="18" t="s">
        <v>35</v>
      </c>
      <c r="F114" s="18" t="s">
        <v>50</v>
      </c>
      <c r="G114" s="18" t="s">
        <v>31</v>
      </c>
      <c r="H114" s="18">
        <v>10.4</v>
      </c>
      <c r="I114" s="20">
        <v>10</v>
      </c>
      <c r="J114" s="21">
        <v>104</v>
      </c>
    </row>
    <row r="115" spans="1:10">
      <c r="A115" s="19">
        <v>35304</v>
      </c>
      <c r="B115" s="18" t="s">
        <v>39</v>
      </c>
      <c r="C115" s="18" t="s">
        <v>41</v>
      </c>
      <c r="D115" s="18" t="s">
        <v>28</v>
      </c>
      <c r="E115" s="18" t="s">
        <v>29</v>
      </c>
      <c r="F115" s="18" t="s">
        <v>37</v>
      </c>
      <c r="G115" s="18" t="s">
        <v>38</v>
      </c>
      <c r="H115" s="18">
        <v>4.8</v>
      </c>
      <c r="I115" s="20">
        <v>20</v>
      </c>
      <c r="J115" s="21">
        <v>96</v>
      </c>
    </row>
    <row r="116" spans="1:10">
      <c r="A116" s="19">
        <v>35304</v>
      </c>
      <c r="B116" s="18" t="s">
        <v>39</v>
      </c>
      <c r="C116" s="18" t="s">
        <v>44</v>
      </c>
      <c r="D116" s="18" t="s">
        <v>28</v>
      </c>
      <c r="E116" s="18" t="s">
        <v>29</v>
      </c>
      <c r="F116" s="18" t="s">
        <v>50</v>
      </c>
      <c r="G116" s="18" t="s">
        <v>31</v>
      </c>
      <c r="H116" s="18">
        <v>17</v>
      </c>
      <c r="I116" s="20">
        <v>20</v>
      </c>
      <c r="J116" s="21">
        <v>340</v>
      </c>
    </row>
    <row r="117" spans="1:10">
      <c r="A117" s="19">
        <v>35304</v>
      </c>
      <c r="B117" s="18" t="s">
        <v>39</v>
      </c>
      <c r="C117" s="18" t="s">
        <v>46</v>
      </c>
      <c r="D117" s="18" t="s">
        <v>28</v>
      </c>
      <c r="E117" s="18" t="s">
        <v>33</v>
      </c>
      <c r="F117" s="18" t="s">
        <v>50</v>
      </c>
      <c r="G117" s="18" t="s">
        <v>31</v>
      </c>
      <c r="H117" s="18">
        <v>16</v>
      </c>
      <c r="I117" s="20">
        <v>15</v>
      </c>
      <c r="J117" s="21">
        <v>240</v>
      </c>
    </row>
    <row r="118" spans="1:10">
      <c r="A118" s="19">
        <v>35304</v>
      </c>
      <c r="B118" s="18" t="s">
        <v>39</v>
      </c>
      <c r="C118" s="18" t="s">
        <v>47</v>
      </c>
      <c r="D118" s="18" t="s">
        <v>28</v>
      </c>
      <c r="E118" s="18" t="s">
        <v>35</v>
      </c>
      <c r="F118" s="18" t="s">
        <v>50</v>
      </c>
      <c r="G118" s="18" t="s">
        <v>31</v>
      </c>
      <c r="H118" s="18">
        <v>99</v>
      </c>
      <c r="I118" s="20">
        <v>15</v>
      </c>
      <c r="J118" s="21">
        <v>1485</v>
      </c>
    </row>
    <row r="119" spans="1:10">
      <c r="A119" s="19">
        <v>35304</v>
      </c>
      <c r="B119" s="18" t="s">
        <v>26</v>
      </c>
      <c r="C119" s="18" t="s">
        <v>27</v>
      </c>
      <c r="D119" s="18" t="s">
        <v>28</v>
      </c>
      <c r="E119" s="18" t="s">
        <v>29</v>
      </c>
      <c r="F119" s="18" t="s">
        <v>37</v>
      </c>
      <c r="G119" s="18" t="s">
        <v>38</v>
      </c>
      <c r="H119" s="18">
        <v>42.4</v>
      </c>
      <c r="I119" s="20">
        <v>2</v>
      </c>
      <c r="J119" s="21">
        <v>84.8</v>
      </c>
    </row>
    <row r="120" spans="1:10">
      <c r="A120" s="19">
        <v>35305</v>
      </c>
      <c r="B120" s="18" t="s">
        <v>26</v>
      </c>
      <c r="C120" s="18" t="s">
        <v>32</v>
      </c>
      <c r="D120" s="18" t="s">
        <v>28</v>
      </c>
      <c r="E120" s="18" t="s">
        <v>33</v>
      </c>
      <c r="F120" s="18" t="s">
        <v>49</v>
      </c>
      <c r="G120" s="18" t="s">
        <v>38</v>
      </c>
      <c r="H120" s="18">
        <v>64.8</v>
      </c>
      <c r="I120" s="20">
        <v>20</v>
      </c>
      <c r="J120" s="21">
        <v>1296</v>
      </c>
    </row>
    <row r="121" spans="1:10">
      <c r="A121" s="19">
        <v>35306</v>
      </c>
      <c r="B121" s="18" t="s">
        <v>26</v>
      </c>
      <c r="C121" s="18" t="s">
        <v>34</v>
      </c>
      <c r="D121" s="18" t="s">
        <v>28</v>
      </c>
      <c r="E121" s="18" t="s">
        <v>35</v>
      </c>
      <c r="F121" s="18" t="s">
        <v>49</v>
      </c>
      <c r="G121" s="18" t="s">
        <v>38</v>
      </c>
      <c r="H121" s="18">
        <v>50</v>
      </c>
      <c r="I121" s="20">
        <v>12</v>
      </c>
      <c r="J121" s="21">
        <v>600</v>
      </c>
    </row>
    <row r="122" spans="1:10">
      <c r="A122" s="19">
        <v>35306</v>
      </c>
      <c r="B122" s="18" t="s">
        <v>26</v>
      </c>
      <c r="C122" s="18" t="s">
        <v>36</v>
      </c>
      <c r="D122" s="18" t="s">
        <v>28</v>
      </c>
      <c r="E122" s="18" t="s">
        <v>29</v>
      </c>
      <c r="F122" s="18" t="s">
        <v>49</v>
      </c>
      <c r="G122" s="18" t="s">
        <v>38</v>
      </c>
      <c r="H122" s="18">
        <v>6.2</v>
      </c>
      <c r="I122" s="20">
        <v>6</v>
      </c>
      <c r="J122" s="21">
        <v>37.200000000000003</v>
      </c>
    </row>
    <row r="123" spans="1:10">
      <c r="A123" s="19">
        <v>35306</v>
      </c>
      <c r="B123" s="18" t="s">
        <v>39</v>
      </c>
      <c r="C123" s="18" t="s">
        <v>40</v>
      </c>
      <c r="D123" s="18" t="s">
        <v>28</v>
      </c>
      <c r="E123" s="18" t="s">
        <v>33</v>
      </c>
      <c r="F123" s="18" t="s">
        <v>49</v>
      </c>
      <c r="G123" s="18" t="s">
        <v>38</v>
      </c>
      <c r="H123" s="18">
        <v>3.6</v>
      </c>
      <c r="I123" s="20">
        <v>10</v>
      </c>
      <c r="J123" s="21">
        <v>36</v>
      </c>
    </row>
    <row r="124" spans="1:10">
      <c r="A124" s="19">
        <v>35306</v>
      </c>
      <c r="B124" s="18" t="s">
        <v>39</v>
      </c>
      <c r="C124" s="18" t="s">
        <v>41</v>
      </c>
      <c r="D124" s="18" t="s">
        <v>28</v>
      </c>
      <c r="E124" s="18" t="s">
        <v>35</v>
      </c>
      <c r="F124" s="18" t="s">
        <v>49</v>
      </c>
      <c r="G124" s="18" t="s">
        <v>38</v>
      </c>
      <c r="H124" s="18">
        <v>35.1</v>
      </c>
      <c r="I124" s="20">
        <v>5</v>
      </c>
      <c r="J124" s="21">
        <v>175.5</v>
      </c>
    </row>
    <row r="125" spans="1:10">
      <c r="A125" s="19">
        <v>35307</v>
      </c>
      <c r="B125" s="18" t="s">
        <v>39</v>
      </c>
      <c r="C125" s="18" t="s">
        <v>44</v>
      </c>
      <c r="D125" s="18" t="s">
        <v>28</v>
      </c>
      <c r="E125" s="18" t="s">
        <v>29</v>
      </c>
      <c r="F125" s="18" t="s">
        <v>42</v>
      </c>
      <c r="G125" s="18" t="s">
        <v>43</v>
      </c>
      <c r="H125" s="18">
        <v>27.2</v>
      </c>
      <c r="I125" s="20">
        <v>21</v>
      </c>
      <c r="J125" s="21">
        <v>571.19999999999993</v>
      </c>
    </row>
    <row r="126" spans="1:10">
      <c r="A126" s="19">
        <v>35307</v>
      </c>
      <c r="B126" s="18" t="s">
        <v>39</v>
      </c>
      <c r="C126" s="18" t="s">
        <v>46</v>
      </c>
      <c r="D126" s="18" t="s">
        <v>28</v>
      </c>
      <c r="E126" s="18" t="s">
        <v>33</v>
      </c>
      <c r="F126" s="18" t="s">
        <v>42</v>
      </c>
      <c r="G126" s="18" t="s">
        <v>43</v>
      </c>
      <c r="H126" s="18">
        <v>36.799999999999997</v>
      </c>
      <c r="I126" s="20">
        <v>15</v>
      </c>
      <c r="J126" s="21">
        <v>552</v>
      </c>
    </row>
    <row r="127" spans="1:10">
      <c r="A127" s="19">
        <v>35307</v>
      </c>
      <c r="B127" s="18" t="s">
        <v>39</v>
      </c>
      <c r="C127" s="18" t="s">
        <v>47</v>
      </c>
      <c r="D127" s="18" t="s">
        <v>28</v>
      </c>
      <c r="E127" s="18" t="s">
        <v>35</v>
      </c>
      <c r="F127" s="18" t="s">
        <v>42</v>
      </c>
      <c r="G127" s="18" t="s">
        <v>43</v>
      </c>
      <c r="H127" s="18">
        <v>6.2</v>
      </c>
      <c r="I127" s="20">
        <v>6</v>
      </c>
      <c r="J127" s="21">
        <v>37.200000000000003</v>
      </c>
    </row>
    <row r="128" spans="1:10">
      <c r="A128" s="19">
        <v>35307</v>
      </c>
      <c r="B128" s="18" t="s">
        <v>26</v>
      </c>
      <c r="C128" s="18" t="s">
        <v>27</v>
      </c>
      <c r="D128" s="18" t="s">
        <v>28</v>
      </c>
      <c r="E128" s="18" t="s">
        <v>29</v>
      </c>
      <c r="F128" s="18" t="s">
        <v>42</v>
      </c>
      <c r="G128" s="18" t="s">
        <v>43</v>
      </c>
      <c r="H128" s="18">
        <v>14.4</v>
      </c>
      <c r="I128" s="20">
        <v>18</v>
      </c>
      <c r="J128" s="21">
        <v>259.2</v>
      </c>
    </row>
    <row r="129" spans="1:10">
      <c r="A129" s="19">
        <v>35307</v>
      </c>
      <c r="B129" s="18" t="s">
        <v>26</v>
      </c>
      <c r="C129" s="18" t="s">
        <v>32</v>
      </c>
      <c r="D129" s="18" t="s">
        <v>28</v>
      </c>
      <c r="E129" s="18" t="s">
        <v>33</v>
      </c>
      <c r="F129" s="18" t="s">
        <v>42</v>
      </c>
      <c r="G129" s="18" t="s">
        <v>43</v>
      </c>
      <c r="H129" s="18">
        <v>31.2</v>
      </c>
      <c r="I129" s="20">
        <v>15</v>
      </c>
      <c r="J129" s="21">
        <v>468</v>
      </c>
    </row>
    <row r="130" spans="1:10">
      <c r="A130" s="19">
        <v>35310</v>
      </c>
      <c r="B130" s="18" t="s">
        <v>26</v>
      </c>
      <c r="C130" s="18" t="s">
        <v>34</v>
      </c>
      <c r="D130" s="18" t="s">
        <v>28</v>
      </c>
      <c r="E130" s="18" t="s">
        <v>35</v>
      </c>
      <c r="F130" s="18" t="s">
        <v>51</v>
      </c>
      <c r="G130" s="18" t="s">
        <v>43</v>
      </c>
      <c r="H130" s="18">
        <v>30.4</v>
      </c>
      <c r="I130" s="20">
        <v>4</v>
      </c>
      <c r="J130" s="21">
        <v>121.6</v>
      </c>
    </row>
    <row r="131" spans="1:10">
      <c r="A131" s="19">
        <v>35311</v>
      </c>
      <c r="B131" s="18" t="s">
        <v>26</v>
      </c>
      <c r="C131" s="18" t="s">
        <v>36</v>
      </c>
      <c r="D131" s="18" t="s">
        <v>28</v>
      </c>
      <c r="E131" s="18" t="s">
        <v>29</v>
      </c>
      <c r="F131" s="18" t="s">
        <v>37</v>
      </c>
      <c r="G131" s="18" t="s">
        <v>38</v>
      </c>
      <c r="H131" s="18">
        <v>13.9</v>
      </c>
      <c r="I131" s="20">
        <v>30</v>
      </c>
      <c r="J131" s="21">
        <v>417</v>
      </c>
    </row>
    <row r="132" spans="1:10">
      <c r="A132" s="19">
        <v>35311</v>
      </c>
      <c r="B132" s="18" t="s">
        <v>39</v>
      </c>
      <c r="C132" s="18" t="s">
        <v>40</v>
      </c>
      <c r="D132" s="18" t="s">
        <v>28</v>
      </c>
      <c r="E132" s="18" t="s">
        <v>33</v>
      </c>
      <c r="F132" s="18" t="s">
        <v>37</v>
      </c>
      <c r="G132" s="18" t="s">
        <v>38</v>
      </c>
      <c r="H132" s="18">
        <v>16.8</v>
      </c>
      <c r="I132" s="20">
        <v>12</v>
      </c>
      <c r="J132" s="21">
        <v>201.60000000000002</v>
      </c>
    </row>
    <row r="133" spans="1:10">
      <c r="A133" s="19">
        <v>35311</v>
      </c>
      <c r="B133" s="18" t="s">
        <v>39</v>
      </c>
      <c r="C133" s="18" t="s">
        <v>41</v>
      </c>
      <c r="D133" s="18" t="s">
        <v>28</v>
      </c>
      <c r="E133" s="18" t="s">
        <v>35</v>
      </c>
      <c r="F133" s="18" t="s">
        <v>37</v>
      </c>
      <c r="G133" s="18" t="s">
        <v>38</v>
      </c>
      <c r="H133" s="18">
        <v>28.8</v>
      </c>
      <c r="I133" s="20">
        <v>15</v>
      </c>
      <c r="J133" s="21">
        <v>432</v>
      </c>
    </row>
    <row r="134" spans="1:10">
      <c r="A134" s="19">
        <v>35312</v>
      </c>
      <c r="B134" s="18" t="s">
        <v>39</v>
      </c>
      <c r="C134" s="18" t="s">
        <v>44</v>
      </c>
      <c r="D134" s="18" t="s">
        <v>28</v>
      </c>
      <c r="E134" s="18" t="s">
        <v>29</v>
      </c>
      <c r="F134" s="18" t="s">
        <v>30</v>
      </c>
      <c r="G134" s="18" t="s">
        <v>31</v>
      </c>
      <c r="H134" s="18">
        <v>27.8</v>
      </c>
      <c r="I134" s="20">
        <v>20</v>
      </c>
      <c r="J134" s="21">
        <v>556</v>
      </c>
    </row>
    <row r="135" spans="1:10">
      <c r="A135" s="19">
        <v>35312</v>
      </c>
      <c r="B135" s="18" t="s">
        <v>39</v>
      </c>
      <c r="C135" s="18" t="s">
        <v>46</v>
      </c>
      <c r="D135" s="18" t="s">
        <v>28</v>
      </c>
      <c r="E135" s="18" t="s">
        <v>29</v>
      </c>
      <c r="F135" s="18" t="s">
        <v>30</v>
      </c>
      <c r="G135" s="18" t="s">
        <v>31</v>
      </c>
      <c r="H135" s="18">
        <v>14.4</v>
      </c>
      <c r="I135" s="20">
        <v>60</v>
      </c>
      <c r="J135" s="21">
        <v>864</v>
      </c>
    </row>
    <row r="136" spans="1:10">
      <c r="A136" s="19">
        <v>35313</v>
      </c>
      <c r="B136" s="18" t="s">
        <v>39</v>
      </c>
      <c r="C136" s="18" t="s">
        <v>47</v>
      </c>
      <c r="D136" s="18" t="s">
        <v>28</v>
      </c>
      <c r="E136" s="18" t="s">
        <v>33</v>
      </c>
      <c r="F136" s="18" t="s">
        <v>37</v>
      </c>
      <c r="G136" s="18" t="s">
        <v>38</v>
      </c>
      <c r="H136" s="18">
        <v>44</v>
      </c>
      <c r="I136" s="20">
        <v>30</v>
      </c>
      <c r="J136" s="21">
        <v>1320</v>
      </c>
    </row>
    <row r="137" spans="1:10">
      <c r="A137" s="19">
        <v>35313</v>
      </c>
      <c r="B137" s="18" t="s">
        <v>26</v>
      </c>
      <c r="C137" s="18" t="s">
        <v>27</v>
      </c>
      <c r="D137" s="18" t="s">
        <v>28</v>
      </c>
      <c r="E137" s="18" t="s">
        <v>35</v>
      </c>
      <c r="F137" s="18" t="s">
        <v>37</v>
      </c>
      <c r="G137" s="18" t="s">
        <v>38</v>
      </c>
      <c r="H137" s="18">
        <v>15.2</v>
      </c>
      <c r="I137" s="20">
        <v>40</v>
      </c>
      <c r="J137" s="21">
        <v>608</v>
      </c>
    </row>
    <row r="138" spans="1:10">
      <c r="A138" s="19">
        <v>35313</v>
      </c>
      <c r="B138" s="18" t="s">
        <v>26</v>
      </c>
      <c r="C138" s="18" t="s">
        <v>32</v>
      </c>
      <c r="D138" s="18" t="s">
        <v>28</v>
      </c>
      <c r="E138" s="18" t="s">
        <v>29</v>
      </c>
      <c r="F138" s="18" t="s">
        <v>37</v>
      </c>
      <c r="G138" s="18" t="s">
        <v>38</v>
      </c>
      <c r="H138" s="18">
        <v>39.4</v>
      </c>
      <c r="I138" s="20">
        <v>15</v>
      </c>
      <c r="J138" s="21">
        <v>591</v>
      </c>
    </row>
    <row r="139" spans="1:10">
      <c r="A139" s="19">
        <v>35313</v>
      </c>
      <c r="B139" s="18" t="s">
        <v>26</v>
      </c>
      <c r="C139" s="18" t="s">
        <v>34</v>
      </c>
      <c r="D139" s="18" t="s">
        <v>28</v>
      </c>
      <c r="E139" s="18" t="s">
        <v>33</v>
      </c>
      <c r="F139" s="18" t="s">
        <v>37</v>
      </c>
      <c r="G139" s="18" t="s">
        <v>38</v>
      </c>
      <c r="H139" s="18">
        <v>15.2</v>
      </c>
      <c r="I139" s="20">
        <v>40</v>
      </c>
      <c r="J139" s="21">
        <v>608</v>
      </c>
    </row>
    <row r="140" spans="1:10">
      <c r="A140" s="19">
        <v>35314</v>
      </c>
      <c r="B140" s="18" t="s">
        <v>26</v>
      </c>
      <c r="C140" s="18" t="s">
        <v>36</v>
      </c>
      <c r="D140" s="18" t="s">
        <v>28</v>
      </c>
      <c r="E140" s="18" t="s">
        <v>35</v>
      </c>
      <c r="F140" s="18" t="s">
        <v>42</v>
      </c>
      <c r="G140" s="18" t="s">
        <v>43</v>
      </c>
      <c r="H140" s="18">
        <v>12</v>
      </c>
      <c r="I140" s="20">
        <v>20</v>
      </c>
      <c r="J140" s="21">
        <v>240</v>
      </c>
    </row>
    <row r="141" spans="1:10">
      <c r="A141" s="19">
        <v>35314</v>
      </c>
      <c r="B141" s="18" t="s">
        <v>39</v>
      </c>
      <c r="C141" s="18" t="s">
        <v>40</v>
      </c>
      <c r="D141" s="18" t="s">
        <v>28</v>
      </c>
      <c r="E141" s="18" t="s">
        <v>29</v>
      </c>
      <c r="F141" s="18" t="s">
        <v>42</v>
      </c>
      <c r="G141" s="18" t="s">
        <v>43</v>
      </c>
      <c r="H141" s="18">
        <v>7.3</v>
      </c>
      <c r="I141" s="20">
        <v>15</v>
      </c>
      <c r="J141" s="21">
        <v>109.5</v>
      </c>
    </row>
    <row r="142" spans="1:10">
      <c r="A142" s="19">
        <v>35317</v>
      </c>
      <c r="B142" s="18" t="s">
        <v>39</v>
      </c>
      <c r="C142" s="18" t="s">
        <v>41</v>
      </c>
      <c r="D142" s="18" t="s">
        <v>28</v>
      </c>
      <c r="E142" s="18" t="s">
        <v>33</v>
      </c>
      <c r="F142" s="18" t="s">
        <v>50</v>
      </c>
      <c r="G142" s="18" t="s">
        <v>31</v>
      </c>
      <c r="H142" s="18">
        <v>30.4</v>
      </c>
      <c r="I142" s="20">
        <v>20</v>
      </c>
      <c r="J142" s="21">
        <v>608</v>
      </c>
    </row>
    <row r="143" spans="1:10">
      <c r="A143" s="19">
        <v>35317</v>
      </c>
      <c r="B143" s="18" t="s">
        <v>39</v>
      </c>
      <c r="C143" s="18" t="s">
        <v>44</v>
      </c>
      <c r="D143" s="18" t="s">
        <v>28</v>
      </c>
      <c r="E143" s="18" t="s">
        <v>35</v>
      </c>
      <c r="F143" s="18" t="s">
        <v>51</v>
      </c>
      <c r="G143" s="18" t="s">
        <v>43</v>
      </c>
      <c r="H143" s="18">
        <v>10</v>
      </c>
      <c r="I143" s="20">
        <v>20</v>
      </c>
      <c r="J143" s="21">
        <v>200</v>
      </c>
    </row>
    <row r="144" spans="1:10">
      <c r="A144" s="19">
        <v>35317</v>
      </c>
      <c r="B144" s="18" t="s">
        <v>39</v>
      </c>
      <c r="C144" s="18" t="s">
        <v>46</v>
      </c>
      <c r="D144" s="18" t="s">
        <v>28</v>
      </c>
      <c r="E144" s="18" t="s">
        <v>29</v>
      </c>
      <c r="F144" s="18" t="s">
        <v>51</v>
      </c>
      <c r="G144" s="18" t="s">
        <v>43</v>
      </c>
      <c r="H144" s="18">
        <v>13.6</v>
      </c>
      <c r="I144" s="20">
        <v>30</v>
      </c>
      <c r="J144" s="21">
        <v>408</v>
      </c>
    </row>
    <row r="145" spans="1:10">
      <c r="A145" s="19">
        <v>35317</v>
      </c>
      <c r="B145" s="18" t="s">
        <v>39</v>
      </c>
      <c r="C145" s="18" t="s">
        <v>47</v>
      </c>
      <c r="D145" s="18" t="s">
        <v>28</v>
      </c>
      <c r="E145" s="18" t="s">
        <v>33</v>
      </c>
      <c r="F145" s="18" t="s">
        <v>50</v>
      </c>
      <c r="G145" s="18" t="s">
        <v>31</v>
      </c>
      <c r="H145" s="18">
        <v>14.7</v>
      </c>
      <c r="I145" s="20">
        <v>10</v>
      </c>
      <c r="J145" s="21">
        <v>147</v>
      </c>
    </row>
    <row r="146" spans="1:10">
      <c r="A146" s="19">
        <v>35318</v>
      </c>
      <c r="B146" s="18" t="s">
        <v>26</v>
      </c>
      <c r="C146" s="18" t="s">
        <v>27</v>
      </c>
      <c r="D146" s="18" t="s">
        <v>28</v>
      </c>
      <c r="E146" s="18" t="s">
        <v>35</v>
      </c>
      <c r="F146" s="18" t="s">
        <v>42</v>
      </c>
      <c r="G146" s="18" t="s">
        <v>43</v>
      </c>
      <c r="H146" s="18">
        <v>36.4</v>
      </c>
      <c r="I146" s="20">
        <v>28</v>
      </c>
      <c r="J146" s="21">
        <v>1019.1999999999999</v>
      </c>
    </row>
    <row r="147" spans="1:10">
      <c r="A147" s="19">
        <v>35318</v>
      </c>
      <c r="B147" s="18" t="s">
        <v>26</v>
      </c>
      <c r="C147" s="18" t="s">
        <v>32</v>
      </c>
      <c r="D147" s="18" t="s">
        <v>28</v>
      </c>
      <c r="E147" s="18" t="s">
        <v>29</v>
      </c>
      <c r="F147" s="18" t="s">
        <v>42</v>
      </c>
      <c r="G147" s="18" t="s">
        <v>43</v>
      </c>
      <c r="H147" s="18">
        <v>36.799999999999997</v>
      </c>
      <c r="I147" s="20">
        <v>12</v>
      </c>
      <c r="J147" s="21">
        <v>441.59999999999997</v>
      </c>
    </row>
    <row r="148" spans="1:10">
      <c r="A148" s="19">
        <v>35318</v>
      </c>
      <c r="B148" s="18" t="s">
        <v>26</v>
      </c>
      <c r="C148" s="18" t="s">
        <v>34</v>
      </c>
      <c r="D148" s="18" t="s">
        <v>28</v>
      </c>
      <c r="E148" s="18" t="s">
        <v>33</v>
      </c>
      <c r="F148" s="18" t="s">
        <v>42</v>
      </c>
      <c r="G148" s="18" t="s">
        <v>43</v>
      </c>
      <c r="H148" s="18">
        <v>31.2</v>
      </c>
      <c r="I148" s="20">
        <v>40</v>
      </c>
      <c r="J148" s="21">
        <v>1248</v>
      </c>
    </row>
    <row r="149" spans="1:10">
      <c r="A149" s="19">
        <v>35319</v>
      </c>
      <c r="B149" s="18" t="s">
        <v>26</v>
      </c>
      <c r="C149" s="18" t="s">
        <v>36</v>
      </c>
      <c r="D149" s="18" t="s">
        <v>28</v>
      </c>
      <c r="E149" s="18" t="s">
        <v>35</v>
      </c>
      <c r="F149" s="18" t="s">
        <v>52</v>
      </c>
      <c r="G149" s="18" t="s">
        <v>31</v>
      </c>
      <c r="H149" s="18">
        <v>16.8</v>
      </c>
      <c r="I149" s="20">
        <v>30</v>
      </c>
      <c r="J149" s="21">
        <v>504</v>
      </c>
    </row>
    <row r="150" spans="1:10">
      <c r="A150" s="19">
        <v>35319</v>
      </c>
      <c r="B150" s="18" t="s">
        <v>39</v>
      </c>
      <c r="C150" s="18" t="s">
        <v>40</v>
      </c>
      <c r="D150" s="18" t="s">
        <v>28</v>
      </c>
      <c r="E150" s="18" t="s">
        <v>29</v>
      </c>
      <c r="F150" s="18" t="s">
        <v>52</v>
      </c>
      <c r="G150" s="18" t="s">
        <v>31</v>
      </c>
      <c r="H150" s="18">
        <v>10</v>
      </c>
      <c r="I150" s="20">
        <v>15</v>
      </c>
      <c r="J150" s="21">
        <v>150</v>
      </c>
    </row>
    <row r="151" spans="1:10">
      <c r="A151" s="19">
        <v>35319</v>
      </c>
      <c r="B151" s="18" t="s">
        <v>39</v>
      </c>
      <c r="C151" s="18" t="s">
        <v>41</v>
      </c>
      <c r="D151" s="18" t="s">
        <v>28</v>
      </c>
      <c r="E151" s="18" t="s">
        <v>33</v>
      </c>
      <c r="F151" s="18" t="s">
        <v>52</v>
      </c>
      <c r="G151" s="18" t="s">
        <v>31</v>
      </c>
      <c r="H151" s="18">
        <v>14.7</v>
      </c>
      <c r="I151" s="20">
        <v>40</v>
      </c>
      <c r="J151" s="21">
        <v>588</v>
      </c>
    </row>
    <row r="152" spans="1:10">
      <c r="A152" s="19">
        <v>35320</v>
      </c>
      <c r="B152" s="18" t="s">
        <v>39</v>
      </c>
      <c r="C152" s="18" t="s">
        <v>44</v>
      </c>
      <c r="D152" s="18" t="s">
        <v>28</v>
      </c>
      <c r="E152" s="18" t="s">
        <v>35</v>
      </c>
      <c r="F152" s="18" t="s">
        <v>49</v>
      </c>
      <c r="G152" s="18" t="s">
        <v>38</v>
      </c>
      <c r="H152" s="18">
        <v>44</v>
      </c>
      <c r="I152" s="20">
        <v>10</v>
      </c>
      <c r="J152" s="21">
        <v>440</v>
      </c>
    </row>
    <row r="153" spans="1:10">
      <c r="A153" s="19">
        <v>35320</v>
      </c>
      <c r="B153" s="18" t="s">
        <v>39</v>
      </c>
      <c r="C153" s="18" t="s">
        <v>46</v>
      </c>
      <c r="D153" s="18" t="s">
        <v>28</v>
      </c>
      <c r="E153" s="18" t="s">
        <v>29</v>
      </c>
      <c r="F153" s="18" t="s">
        <v>49</v>
      </c>
      <c r="G153" s="18" t="s">
        <v>38</v>
      </c>
      <c r="H153" s="18">
        <v>16</v>
      </c>
      <c r="I153" s="20">
        <v>30</v>
      </c>
      <c r="J153" s="21">
        <v>480</v>
      </c>
    </row>
    <row r="154" spans="1:10">
      <c r="A154" s="19">
        <v>35320</v>
      </c>
      <c r="B154" s="18" t="s">
        <v>39</v>
      </c>
      <c r="C154" s="18" t="s">
        <v>47</v>
      </c>
      <c r="D154" s="18" t="s">
        <v>28</v>
      </c>
      <c r="E154" s="18" t="s">
        <v>29</v>
      </c>
      <c r="F154" s="18" t="s">
        <v>49</v>
      </c>
      <c r="G154" s="18" t="s">
        <v>38</v>
      </c>
      <c r="H154" s="18">
        <v>17.2</v>
      </c>
      <c r="I154" s="20">
        <v>2</v>
      </c>
      <c r="J154" s="21">
        <v>34.4</v>
      </c>
    </row>
    <row r="155" spans="1:10">
      <c r="A155" s="19">
        <v>35321</v>
      </c>
      <c r="B155" s="18" t="s">
        <v>26</v>
      </c>
      <c r="C155" s="18" t="s">
        <v>27</v>
      </c>
      <c r="D155" s="18" t="s">
        <v>28</v>
      </c>
      <c r="E155" s="18" t="s">
        <v>33</v>
      </c>
      <c r="F155" s="18" t="s">
        <v>50</v>
      </c>
      <c r="G155" s="18" t="s">
        <v>31</v>
      </c>
      <c r="H155" s="18">
        <v>50</v>
      </c>
      <c r="I155" s="20">
        <v>25</v>
      </c>
      <c r="J155" s="21">
        <v>1250</v>
      </c>
    </row>
    <row r="156" spans="1:10">
      <c r="A156" s="19">
        <v>35321</v>
      </c>
      <c r="B156" s="18" t="s">
        <v>26</v>
      </c>
      <c r="C156" s="18" t="s">
        <v>32</v>
      </c>
      <c r="D156" s="18" t="s">
        <v>28</v>
      </c>
      <c r="E156" s="18" t="s">
        <v>35</v>
      </c>
      <c r="F156" s="18" t="s">
        <v>50</v>
      </c>
      <c r="G156" s="18" t="s">
        <v>31</v>
      </c>
      <c r="H156" s="18">
        <v>99</v>
      </c>
      <c r="I156" s="20">
        <v>25</v>
      </c>
      <c r="J156" s="21">
        <v>2475</v>
      </c>
    </row>
    <row r="157" spans="1:10">
      <c r="A157" s="19">
        <v>35321</v>
      </c>
      <c r="B157" s="18" t="s">
        <v>26</v>
      </c>
      <c r="C157" s="18" t="s">
        <v>34</v>
      </c>
      <c r="D157" s="18" t="s">
        <v>28</v>
      </c>
      <c r="E157" s="18" t="s">
        <v>29</v>
      </c>
      <c r="F157" s="18" t="s">
        <v>50</v>
      </c>
      <c r="G157" s="18" t="s">
        <v>31</v>
      </c>
      <c r="H157" s="18">
        <v>14.4</v>
      </c>
      <c r="I157" s="20">
        <v>30</v>
      </c>
      <c r="J157" s="21">
        <v>432</v>
      </c>
    </row>
    <row r="158" spans="1:10">
      <c r="A158" s="19">
        <v>35324</v>
      </c>
      <c r="B158" s="18" t="s">
        <v>26</v>
      </c>
      <c r="C158" s="18" t="s">
        <v>36</v>
      </c>
      <c r="D158" s="18" t="s">
        <v>28</v>
      </c>
      <c r="E158" s="18" t="s">
        <v>33</v>
      </c>
      <c r="F158" s="18" t="s">
        <v>49</v>
      </c>
      <c r="G158" s="18" t="s">
        <v>38</v>
      </c>
      <c r="H158" s="18">
        <v>20.7</v>
      </c>
      <c r="I158" s="20">
        <v>10</v>
      </c>
      <c r="J158" s="21">
        <v>207</v>
      </c>
    </row>
    <row r="159" spans="1:10">
      <c r="A159" s="19">
        <v>35324</v>
      </c>
      <c r="B159" s="18" t="s">
        <v>39</v>
      </c>
      <c r="C159" s="18" t="s">
        <v>40</v>
      </c>
      <c r="D159" s="18" t="s">
        <v>28</v>
      </c>
      <c r="E159" s="18" t="s">
        <v>35</v>
      </c>
      <c r="F159" s="18" t="s">
        <v>49</v>
      </c>
      <c r="G159" s="18" t="s">
        <v>38</v>
      </c>
      <c r="H159" s="18">
        <v>5.9</v>
      </c>
      <c r="I159" s="20">
        <v>5</v>
      </c>
      <c r="J159" s="21">
        <v>29.5</v>
      </c>
    </row>
    <row r="160" spans="1:10">
      <c r="A160" s="19">
        <v>35324</v>
      </c>
      <c r="B160" s="18" t="s">
        <v>39</v>
      </c>
      <c r="C160" s="18" t="s">
        <v>41</v>
      </c>
      <c r="D160" s="18" t="s">
        <v>28</v>
      </c>
      <c r="E160" s="18" t="s">
        <v>29</v>
      </c>
      <c r="F160" s="18" t="s">
        <v>49</v>
      </c>
      <c r="G160" s="18" t="s">
        <v>38</v>
      </c>
      <c r="H160" s="18">
        <v>26.2</v>
      </c>
      <c r="I160" s="20">
        <v>10</v>
      </c>
      <c r="J160" s="21">
        <v>262</v>
      </c>
    </row>
    <row r="161" spans="1:10">
      <c r="A161" s="19">
        <v>35325</v>
      </c>
      <c r="B161" s="18" t="s">
        <v>39</v>
      </c>
      <c r="C161" s="18" t="s">
        <v>44</v>
      </c>
      <c r="D161" s="18" t="s">
        <v>28</v>
      </c>
      <c r="E161" s="18" t="s">
        <v>33</v>
      </c>
      <c r="F161" s="18" t="s">
        <v>51</v>
      </c>
      <c r="G161" s="18" t="s">
        <v>43</v>
      </c>
      <c r="H161" s="18">
        <v>10</v>
      </c>
      <c r="I161" s="20">
        <v>3</v>
      </c>
      <c r="J161" s="21">
        <v>30</v>
      </c>
    </row>
    <row r="162" spans="1:10">
      <c r="A162" s="19">
        <v>35325</v>
      </c>
      <c r="B162" s="18" t="s">
        <v>39</v>
      </c>
      <c r="C162" s="18" t="s">
        <v>46</v>
      </c>
      <c r="D162" s="18" t="s">
        <v>28</v>
      </c>
      <c r="E162" s="18" t="s">
        <v>35</v>
      </c>
      <c r="F162" s="18" t="s">
        <v>51</v>
      </c>
      <c r="G162" s="18" t="s">
        <v>43</v>
      </c>
      <c r="H162" s="18">
        <v>39.4</v>
      </c>
      <c r="I162" s="20">
        <v>10</v>
      </c>
      <c r="J162" s="21">
        <v>394</v>
      </c>
    </row>
    <row r="163" spans="1:10">
      <c r="A163" s="19">
        <v>35326</v>
      </c>
      <c r="B163" s="18" t="s">
        <v>39</v>
      </c>
      <c r="C163" s="18" t="s">
        <v>47</v>
      </c>
      <c r="D163" s="18" t="s">
        <v>28</v>
      </c>
      <c r="E163" s="18" t="s">
        <v>29</v>
      </c>
      <c r="F163" s="18" t="s">
        <v>52</v>
      </c>
      <c r="G163" s="18" t="s">
        <v>31</v>
      </c>
      <c r="H163" s="18">
        <v>28.8</v>
      </c>
      <c r="I163" s="20">
        <v>1</v>
      </c>
      <c r="J163" s="21">
        <v>28.8</v>
      </c>
    </row>
    <row r="164" spans="1:10">
      <c r="A164" s="19">
        <v>35326</v>
      </c>
      <c r="B164" s="18" t="s">
        <v>26</v>
      </c>
      <c r="C164" s="18" t="s">
        <v>27</v>
      </c>
      <c r="D164" s="18" t="s">
        <v>28</v>
      </c>
      <c r="E164" s="18" t="s">
        <v>33</v>
      </c>
      <c r="F164" s="18" t="s">
        <v>52</v>
      </c>
      <c r="G164" s="18" t="s">
        <v>31</v>
      </c>
      <c r="H164" s="18">
        <v>12</v>
      </c>
      <c r="I164" s="20">
        <v>5</v>
      </c>
      <c r="J164" s="21">
        <v>60</v>
      </c>
    </row>
    <row r="165" spans="1:10">
      <c r="A165" s="19">
        <v>35327</v>
      </c>
      <c r="B165" s="18" t="s">
        <v>26</v>
      </c>
      <c r="C165" s="18" t="s">
        <v>32</v>
      </c>
      <c r="D165" s="18" t="s">
        <v>28</v>
      </c>
      <c r="E165" s="18" t="s">
        <v>35</v>
      </c>
      <c r="F165" s="18" t="s">
        <v>45</v>
      </c>
      <c r="G165" s="18" t="s">
        <v>38</v>
      </c>
      <c r="H165" s="18">
        <v>11.2</v>
      </c>
      <c r="I165" s="20">
        <v>2</v>
      </c>
      <c r="J165" s="21">
        <v>22.4</v>
      </c>
    </row>
    <row r="166" spans="1:10">
      <c r="A166" s="19">
        <v>35327</v>
      </c>
      <c r="B166" s="18" t="s">
        <v>26</v>
      </c>
      <c r="C166" s="18" t="s">
        <v>34</v>
      </c>
      <c r="D166" s="18" t="s">
        <v>28</v>
      </c>
      <c r="E166" s="18" t="s">
        <v>29</v>
      </c>
      <c r="F166" s="18" t="s">
        <v>45</v>
      </c>
      <c r="G166" s="18" t="s">
        <v>38</v>
      </c>
      <c r="H166" s="18">
        <v>20</v>
      </c>
      <c r="I166" s="20">
        <v>30</v>
      </c>
      <c r="J166" s="21">
        <v>600</v>
      </c>
    </row>
    <row r="167" spans="1:10">
      <c r="A167" s="19">
        <v>35327</v>
      </c>
      <c r="B167" s="18" t="s">
        <v>26</v>
      </c>
      <c r="C167" s="18" t="s">
        <v>36</v>
      </c>
      <c r="D167" s="18" t="s">
        <v>28</v>
      </c>
      <c r="E167" s="18" t="s">
        <v>33</v>
      </c>
      <c r="F167" s="18" t="s">
        <v>45</v>
      </c>
      <c r="G167" s="18" t="s">
        <v>38</v>
      </c>
      <c r="H167" s="18">
        <v>36.799999999999997</v>
      </c>
      <c r="I167" s="20">
        <v>20</v>
      </c>
      <c r="J167" s="21">
        <v>736</v>
      </c>
    </row>
    <row r="168" spans="1:10">
      <c r="A168" s="19">
        <v>35327</v>
      </c>
      <c r="B168" s="18" t="s">
        <v>39</v>
      </c>
      <c r="C168" s="18" t="s">
        <v>40</v>
      </c>
      <c r="D168" s="18" t="s">
        <v>28</v>
      </c>
      <c r="E168" s="18" t="s">
        <v>35</v>
      </c>
      <c r="F168" s="18" t="s">
        <v>45</v>
      </c>
      <c r="G168" s="18" t="s">
        <v>38</v>
      </c>
      <c r="H168" s="18">
        <v>17.600000000000001</v>
      </c>
      <c r="I168" s="20">
        <v>20</v>
      </c>
      <c r="J168" s="21">
        <v>352</v>
      </c>
    </row>
    <row r="169" spans="1:10">
      <c r="A169" s="19">
        <v>35327</v>
      </c>
      <c r="B169" s="18" t="s">
        <v>39</v>
      </c>
      <c r="C169" s="18" t="s">
        <v>41</v>
      </c>
      <c r="D169" s="18" t="s">
        <v>28</v>
      </c>
      <c r="E169" s="18" t="s">
        <v>29</v>
      </c>
      <c r="F169" s="18" t="s">
        <v>45</v>
      </c>
      <c r="G169" s="18" t="s">
        <v>38</v>
      </c>
      <c r="H169" s="18">
        <v>17.2</v>
      </c>
      <c r="I169" s="20">
        <v>3</v>
      </c>
      <c r="J169" s="21">
        <v>51.599999999999994</v>
      </c>
    </row>
    <row r="170" spans="1:10">
      <c r="A170" s="19">
        <v>35328</v>
      </c>
      <c r="B170" s="18" t="s">
        <v>39</v>
      </c>
      <c r="C170" s="18" t="s">
        <v>44</v>
      </c>
      <c r="D170" s="18" t="s">
        <v>28</v>
      </c>
      <c r="E170" s="18" t="s">
        <v>33</v>
      </c>
      <c r="F170" s="18" t="s">
        <v>50</v>
      </c>
      <c r="G170" s="18" t="s">
        <v>31</v>
      </c>
      <c r="H170" s="18">
        <v>13.9</v>
      </c>
      <c r="I170" s="20">
        <v>10</v>
      </c>
      <c r="J170" s="21">
        <v>139</v>
      </c>
    </row>
    <row r="171" spans="1:10">
      <c r="A171" s="19">
        <v>35328</v>
      </c>
      <c r="B171" s="18" t="s">
        <v>39</v>
      </c>
      <c r="C171" s="18" t="s">
        <v>46</v>
      </c>
      <c r="D171" s="18" t="s">
        <v>28</v>
      </c>
      <c r="E171" s="18" t="s">
        <v>35</v>
      </c>
      <c r="F171" s="18" t="s">
        <v>49</v>
      </c>
      <c r="G171" s="18" t="s">
        <v>38</v>
      </c>
      <c r="H171" s="18">
        <v>11.2</v>
      </c>
      <c r="I171" s="20">
        <v>6</v>
      </c>
      <c r="J171" s="21">
        <v>67.199999999999989</v>
      </c>
    </row>
    <row r="172" spans="1:10">
      <c r="A172" s="19">
        <v>35328</v>
      </c>
      <c r="B172" s="18" t="s">
        <v>39</v>
      </c>
      <c r="C172" s="18" t="s">
        <v>47</v>
      </c>
      <c r="D172" s="18" t="s">
        <v>28</v>
      </c>
      <c r="E172" s="18" t="s">
        <v>29</v>
      </c>
      <c r="F172" s="18" t="s">
        <v>49</v>
      </c>
      <c r="G172" s="18" t="s">
        <v>38</v>
      </c>
      <c r="H172" s="18">
        <v>28.8</v>
      </c>
      <c r="I172" s="20">
        <v>7</v>
      </c>
      <c r="J172" s="21">
        <v>201.6</v>
      </c>
    </row>
    <row r="173" spans="1:10">
      <c r="A173" s="19">
        <v>35328</v>
      </c>
      <c r="B173" s="18" t="s">
        <v>26</v>
      </c>
      <c r="C173" s="18" t="s">
        <v>27</v>
      </c>
      <c r="D173" s="18" t="s">
        <v>28</v>
      </c>
      <c r="E173" s="18" t="s">
        <v>29</v>
      </c>
      <c r="F173" s="18" t="s">
        <v>50</v>
      </c>
      <c r="G173" s="18" t="s">
        <v>31</v>
      </c>
      <c r="H173" s="18">
        <v>39.4</v>
      </c>
      <c r="I173" s="20">
        <v>5</v>
      </c>
      <c r="J173" s="21">
        <v>197</v>
      </c>
    </row>
    <row r="174" spans="1:10">
      <c r="A174" s="19">
        <v>35331</v>
      </c>
      <c r="B174" s="18" t="s">
        <v>26</v>
      </c>
      <c r="C174" s="18" t="s">
        <v>32</v>
      </c>
      <c r="D174" s="18" t="s">
        <v>28</v>
      </c>
      <c r="E174" s="18" t="s">
        <v>33</v>
      </c>
      <c r="F174" s="18" t="s">
        <v>51</v>
      </c>
      <c r="G174" s="18" t="s">
        <v>43</v>
      </c>
      <c r="H174" s="18">
        <v>36.4</v>
      </c>
      <c r="I174" s="20">
        <v>4</v>
      </c>
      <c r="J174" s="21">
        <v>145.6</v>
      </c>
    </row>
    <row r="175" spans="1:10">
      <c r="A175" s="19">
        <v>35331</v>
      </c>
      <c r="B175" s="18" t="s">
        <v>26</v>
      </c>
      <c r="C175" s="18" t="s">
        <v>34</v>
      </c>
      <c r="D175" s="18" t="s">
        <v>28</v>
      </c>
      <c r="E175" s="18" t="s">
        <v>35</v>
      </c>
      <c r="F175" s="18" t="s">
        <v>51</v>
      </c>
      <c r="G175" s="18" t="s">
        <v>43</v>
      </c>
      <c r="H175" s="18">
        <v>36.799999999999997</v>
      </c>
      <c r="I175" s="20">
        <v>24</v>
      </c>
      <c r="J175" s="21">
        <v>883.19999999999993</v>
      </c>
    </row>
    <row r="176" spans="1:10">
      <c r="A176" s="19">
        <v>35331</v>
      </c>
      <c r="B176" s="18" t="s">
        <v>26</v>
      </c>
      <c r="C176" s="18" t="s">
        <v>36</v>
      </c>
      <c r="D176" s="18" t="s">
        <v>28</v>
      </c>
      <c r="E176" s="18" t="s">
        <v>29</v>
      </c>
      <c r="F176" s="18" t="s">
        <v>51</v>
      </c>
      <c r="G176" s="18" t="s">
        <v>43</v>
      </c>
      <c r="H176" s="18">
        <v>6.2</v>
      </c>
      <c r="I176" s="20">
        <v>10</v>
      </c>
      <c r="J176" s="21">
        <v>62</v>
      </c>
    </row>
    <row r="177" spans="1:10">
      <c r="A177" s="19">
        <v>35331</v>
      </c>
      <c r="B177" s="18" t="s">
        <v>39</v>
      </c>
      <c r="C177" s="18" t="s">
        <v>40</v>
      </c>
      <c r="D177" s="18" t="s">
        <v>28</v>
      </c>
      <c r="E177" s="18" t="s">
        <v>33</v>
      </c>
      <c r="F177" s="18" t="s">
        <v>51</v>
      </c>
      <c r="G177" s="18" t="s">
        <v>43</v>
      </c>
      <c r="H177" s="18">
        <v>26.2</v>
      </c>
      <c r="I177" s="20">
        <v>20</v>
      </c>
      <c r="J177" s="21">
        <v>524</v>
      </c>
    </row>
    <row r="178" spans="1:10">
      <c r="A178" s="19">
        <v>35332</v>
      </c>
      <c r="B178" s="18" t="s">
        <v>39</v>
      </c>
      <c r="C178" s="18" t="s">
        <v>41</v>
      </c>
      <c r="D178" s="18" t="s">
        <v>28</v>
      </c>
      <c r="E178" s="18" t="s">
        <v>35</v>
      </c>
      <c r="F178" s="18" t="s">
        <v>51</v>
      </c>
      <c r="G178" s="18" t="s">
        <v>43</v>
      </c>
      <c r="H178" s="18">
        <v>15.2</v>
      </c>
      <c r="I178" s="20">
        <v>12</v>
      </c>
      <c r="J178" s="21">
        <v>182.39999999999998</v>
      </c>
    </row>
    <row r="179" spans="1:10">
      <c r="A179" s="19">
        <v>35333</v>
      </c>
      <c r="B179" s="18" t="s">
        <v>39</v>
      </c>
      <c r="C179" s="18" t="s">
        <v>44</v>
      </c>
      <c r="D179" s="18" t="s">
        <v>28</v>
      </c>
      <c r="E179" s="18" t="s">
        <v>29</v>
      </c>
      <c r="F179" s="18" t="s">
        <v>49</v>
      </c>
      <c r="G179" s="18" t="s">
        <v>38</v>
      </c>
      <c r="H179" s="18">
        <v>25.6</v>
      </c>
      <c r="I179" s="20">
        <v>40</v>
      </c>
      <c r="J179" s="21">
        <v>1024</v>
      </c>
    </row>
    <row r="180" spans="1:10">
      <c r="A180" s="19">
        <v>35333</v>
      </c>
      <c r="B180" s="18" t="s">
        <v>39</v>
      </c>
      <c r="C180" s="18" t="s">
        <v>46</v>
      </c>
      <c r="D180" s="18" t="s">
        <v>28</v>
      </c>
      <c r="E180" s="18" t="s">
        <v>33</v>
      </c>
      <c r="F180" s="18" t="s">
        <v>49</v>
      </c>
      <c r="G180" s="18" t="s">
        <v>38</v>
      </c>
      <c r="H180" s="18">
        <v>10.6</v>
      </c>
      <c r="I180" s="20">
        <v>30</v>
      </c>
      <c r="J180" s="21">
        <v>318</v>
      </c>
    </row>
    <row r="181" spans="1:10">
      <c r="A181" s="19">
        <v>35333</v>
      </c>
      <c r="B181" s="18" t="s">
        <v>39</v>
      </c>
      <c r="C181" s="18" t="s">
        <v>47</v>
      </c>
      <c r="D181" s="18" t="s">
        <v>28</v>
      </c>
      <c r="E181" s="18" t="s">
        <v>35</v>
      </c>
      <c r="F181" s="18" t="s">
        <v>49</v>
      </c>
      <c r="G181" s="18" t="s">
        <v>38</v>
      </c>
      <c r="H181" s="18">
        <v>39.4</v>
      </c>
      <c r="I181" s="20">
        <v>25</v>
      </c>
      <c r="J181" s="21">
        <v>985</v>
      </c>
    </row>
    <row r="182" spans="1:10">
      <c r="A182" s="19">
        <v>35334</v>
      </c>
      <c r="B182" s="18" t="s">
        <v>26</v>
      </c>
      <c r="C182" s="18" t="s">
        <v>27</v>
      </c>
      <c r="D182" s="18" t="s">
        <v>28</v>
      </c>
      <c r="E182" s="18" t="s">
        <v>29</v>
      </c>
      <c r="F182" s="18" t="s">
        <v>42</v>
      </c>
      <c r="G182" s="18" t="s">
        <v>43</v>
      </c>
      <c r="H182" s="18">
        <v>11.2</v>
      </c>
      <c r="I182" s="20">
        <v>14</v>
      </c>
      <c r="J182" s="21">
        <v>156.79999999999998</v>
      </c>
    </row>
    <row r="183" spans="1:10">
      <c r="A183" s="19">
        <v>35334</v>
      </c>
      <c r="B183" s="18" t="s">
        <v>26</v>
      </c>
      <c r="C183" s="18" t="s">
        <v>32</v>
      </c>
      <c r="D183" s="18" t="s">
        <v>28</v>
      </c>
      <c r="E183" s="18" t="s">
        <v>33</v>
      </c>
      <c r="F183" s="18" t="s">
        <v>42</v>
      </c>
      <c r="G183" s="18" t="s">
        <v>43</v>
      </c>
      <c r="H183" s="18">
        <v>12</v>
      </c>
      <c r="I183" s="20">
        <v>30</v>
      </c>
      <c r="J183" s="21">
        <v>360</v>
      </c>
    </row>
    <row r="184" spans="1:10">
      <c r="A184" s="19">
        <v>35335</v>
      </c>
      <c r="B184" s="18" t="s">
        <v>26</v>
      </c>
      <c r="C184" s="18" t="s">
        <v>34</v>
      </c>
      <c r="D184" s="18" t="s">
        <v>28</v>
      </c>
      <c r="E184" s="18" t="s">
        <v>35</v>
      </c>
      <c r="F184" s="18" t="s">
        <v>49</v>
      </c>
      <c r="G184" s="18" t="s">
        <v>38</v>
      </c>
      <c r="H184" s="18">
        <v>39.4</v>
      </c>
      <c r="I184" s="20">
        <v>70</v>
      </c>
      <c r="J184" s="21">
        <v>2758</v>
      </c>
    </row>
    <row r="185" spans="1:10">
      <c r="A185" s="19">
        <v>35335</v>
      </c>
      <c r="B185" s="18" t="s">
        <v>26</v>
      </c>
      <c r="C185" s="18" t="s">
        <v>36</v>
      </c>
      <c r="D185" s="18" t="s">
        <v>28</v>
      </c>
      <c r="E185" s="18" t="s">
        <v>29</v>
      </c>
      <c r="F185" s="18" t="s">
        <v>49</v>
      </c>
      <c r="G185" s="18" t="s">
        <v>38</v>
      </c>
      <c r="H185" s="18">
        <v>7.7</v>
      </c>
      <c r="I185" s="20">
        <v>10</v>
      </c>
      <c r="J185" s="21">
        <v>77</v>
      </c>
    </row>
    <row r="186" spans="1:10">
      <c r="A186" s="19">
        <v>35338</v>
      </c>
      <c r="B186" s="18" t="s">
        <v>39</v>
      </c>
      <c r="C186" s="18" t="s">
        <v>40</v>
      </c>
      <c r="D186" s="18" t="s">
        <v>28</v>
      </c>
      <c r="E186" s="18" t="s">
        <v>33</v>
      </c>
      <c r="F186" s="18" t="s">
        <v>37</v>
      </c>
      <c r="G186" s="18" t="s">
        <v>38</v>
      </c>
      <c r="H186" s="18">
        <v>14.4</v>
      </c>
      <c r="I186" s="20">
        <v>20</v>
      </c>
      <c r="J186" s="21">
        <v>288</v>
      </c>
    </row>
    <row r="187" spans="1:10">
      <c r="A187" s="19">
        <v>35339</v>
      </c>
      <c r="B187" s="18" t="s">
        <v>39</v>
      </c>
      <c r="C187" s="18" t="s">
        <v>41</v>
      </c>
      <c r="D187" s="18" t="s">
        <v>28</v>
      </c>
      <c r="E187" s="18" t="s">
        <v>35</v>
      </c>
      <c r="F187" s="18" t="s">
        <v>50</v>
      </c>
      <c r="G187" s="18" t="s">
        <v>31</v>
      </c>
      <c r="H187" s="18">
        <v>14.4</v>
      </c>
      <c r="I187" s="20">
        <v>6</v>
      </c>
      <c r="J187" s="21">
        <v>86.4</v>
      </c>
    </row>
    <row r="188" spans="1:10">
      <c r="A188" s="19">
        <v>35339</v>
      </c>
      <c r="B188" s="18" t="s">
        <v>39</v>
      </c>
      <c r="C188" s="18" t="s">
        <v>44</v>
      </c>
      <c r="D188" s="18" t="s">
        <v>28</v>
      </c>
      <c r="E188" s="18" t="s">
        <v>29</v>
      </c>
      <c r="F188" s="18" t="s">
        <v>50</v>
      </c>
      <c r="G188" s="18" t="s">
        <v>31</v>
      </c>
      <c r="H188" s="18">
        <v>7.7</v>
      </c>
      <c r="I188" s="20">
        <v>20</v>
      </c>
      <c r="J188" s="21">
        <v>154</v>
      </c>
    </row>
    <row r="189" spans="1:10">
      <c r="A189" s="19">
        <v>35340</v>
      </c>
      <c r="B189" s="18" t="s">
        <v>39</v>
      </c>
      <c r="C189" s="18" t="s">
        <v>46</v>
      </c>
      <c r="D189" s="18" t="s">
        <v>28</v>
      </c>
      <c r="E189" s="18" t="s">
        <v>33</v>
      </c>
      <c r="F189" s="18" t="s">
        <v>52</v>
      </c>
      <c r="G189" s="18" t="s">
        <v>31</v>
      </c>
      <c r="H189" s="18">
        <v>36.4</v>
      </c>
      <c r="I189" s="20">
        <v>14</v>
      </c>
      <c r="J189" s="21">
        <v>509.59999999999997</v>
      </c>
    </row>
    <row r="190" spans="1:10">
      <c r="A190" s="19">
        <v>35340</v>
      </c>
      <c r="B190" s="18" t="s">
        <v>39</v>
      </c>
      <c r="C190" s="18" t="s">
        <v>47</v>
      </c>
      <c r="D190" s="18" t="s">
        <v>28</v>
      </c>
      <c r="E190" s="18" t="s">
        <v>35</v>
      </c>
      <c r="F190" s="18" t="s">
        <v>52</v>
      </c>
      <c r="G190" s="18" t="s">
        <v>31</v>
      </c>
      <c r="H190" s="18">
        <v>14.4</v>
      </c>
      <c r="I190" s="20">
        <v>30</v>
      </c>
      <c r="J190" s="21">
        <v>432</v>
      </c>
    </row>
    <row r="191" spans="1:10">
      <c r="A191" s="19">
        <v>35340</v>
      </c>
      <c r="B191" s="18" t="s">
        <v>26</v>
      </c>
      <c r="C191" s="18" t="s">
        <v>27</v>
      </c>
      <c r="D191" s="18" t="s">
        <v>28</v>
      </c>
      <c r="E191" s="18" t="s">
        <v>29</v>
      </c>
      <c r="F191" s="18" t="s">
        <v>52</v>
      </c>
      <c r="G191" s="18" t="s">
        <v>31</v>
      </c>
      <c r="H191" s="18">
        <v>31.2</v>
      </c>
      <c r="I191" s="20">
        <v>8</v>
      </c>
      <c r="J191" s="21">
        <v>249.6</v>
      </c>
    </row>
    <row r="192" spans="1:10">
      <c r="A192" s="19">
        <v>35341</v>
      </c>
      <c r="B192" s="18" t="s">
        <v>26</v>
      </c>
      <c r="C192" s="18" t="s">
        <v>32</v>
      </c>
      <c r="D192" s="18" t="s">
        <v>28</v>
      </c>
      <c r="E192" s="18" t="s">
        <v>29</v>
      </c>
      <c r="F192" s="18" t="s">
        <v>45</v>
      </c>
      <c r="G192" s="18" t="s">
        <v>38</v>
      </c>
      <c r="H192" s="18">
        <v>14.4</v>
      </c>
      <c r="I192" s="20">
        <v>10</v>
      </c>
      <c r="J192" s="21">
        <v>144</v>
      </c>
    </row>
    <row r="193" spans="1:10">
      <c r="A193" s="19">
        <v>35341</v>
      </c>
      <c r="B193" s="18" t="s">
        <v>26</v>
      </c>
      <c r="C193" s="18" t="s">
        <v>34</v>
      </c>
      <c r="D193" s="18" t="s">
        <v>28</v>
      </c>
      <c r="E193" s="18" t="s">
        <v>33</v>
      </c>
      <c r="F193" s="18" t="s">
        <v>30</v>
      </c>
      <c r="G193" s="18" t="s">
        <v>31</v>
      </c>
      <c r="H193" s="18">
        <v>17.2</v>
      </c>
      <c r="I193" s="20">
        <v>30</v>
      </c>
      <c r="J193" s="21">
        <v>516</v>
      </c>
    </row>
    <row r="194" spans="1:10">
      <c r="A194" s="19">
        <v>35342</v>
      </c>
      <c r="B194" s="18" t="s">
        <v>26</v>
      </c>
      <c r="C194" s="18" t="s">
        <v>36</v>
      </c>
      <c r="D194" s="18" t="s">
        <v>28</v>
      </c>
      <c r="E194" s="18" t="s">
        <v>35</v>
      </c>
      <c r="F194" s="18" t="s">
        <v>52</v>
      </c>
      <c r="G194" s="18" t="s">
        <v>31</v>
      </c>
      <c r="H194" s="18">
        <v>5.6</v>
      </c>
      <c r="I194" s="20">
        <v>20</v>
      </c>
      <c r="J194" s="21">
        <v>112</v>
      </c>
    </row>
    <row r="195" spans="1:10">
      <c r="A195" s="19">
        <v>35345</v>
      </c>
      <c r="B195" s="18" t="s">
        <v>39</v>
      </c>
      <c r="C195" s="18" t="s">
        <v>40</v>
      </c>
      <c r="D195" s="18" t="s">
        <v>28</v>
      </c>
      <c r="E195" s="18" t="s">
        <v>29</v>
      </c>
      <c r="F195" s="18" t="s">
        <v>42</v>
      </c>
      <c r="G195" s="18" t="s">
        <v>43</v>
      </c>
      <c r="H195" s="18">
        <v>11.2</v>
      </c>
      <c r="I195" s="20">
        <v>4</v>
      </c>
      <c r="J195" s="21">
        <v>44.8</v>
      </c>
    </row>
    <row r="196" spans="1:10">
      <c r="A196" s="19">
        <v>35345</v>
      </c>
      <c r="B196" s="18" t="s">
        <v>39</v>
      </c>
      <c r="C196" s="18" t="s">
        <v>41</v>
      </c>
      <c r="D196" s="18" t="s">
        <v>28</v>
      </c>
      <c r="E196" s="18" t="s">
        <v>33</v>
      </c>
      <c r="F196" s="18" t="s">
        <v>42</v>
      </c>
      <c r="G196" s="18" t="s">
        <v>43</v>
      </c>
      <c r="H196" s="18">
        <v>12.4</v>
      </c>
      <c r="I196" s="20">
        <v>5</v>
      </c>
      <c r="J196" s="21">
        <v>62</v>
      </c>
    </row>
    <row r="197" spans="1:10">
      <c r="A197" s="19">
        <v>35345</v>
      </c>
      <c r="B197" s="18" t="s">
        <v>39</v>
      </c>
      <c r="C197" s="18" t="s">
        <v>44</v>
      </c>
      <c r="D197" s="18" t="s">
        <v>28</v>
      </c>
      <c r="E197" s="18" t="s">
        <v>35</v>
      </c>
      <c r="F197" s="18" t="s">
        <v>42</v>
      </c>
      <c r="G197" s="18" t="s">
        <v>43</v>
      </c>
      <c r="H197" s="18">
        <v>14.4</v>
      </c>
      <c r="I197" s="20">
        <v>4</v>
      </c>
      <c r="J197" s="21">
        <v>57.6</v>
      </c>
    </row>
    <row r="198" spans="1:10">
      <c r="A198" s="19">
        <v>35346</v>
      </c>
      <c r="B198" s="18" t="s">
        <v>39</v>
      </c>
      <c r="C198" s="18" t="s">
        <v>46</v>
      </c>
      <c r="D198" s="18" t="s">
        <v>28</v>
      </c>
      <c r="E198" s="18" t="s">
        <v>29</v>
      </c>
      <c r="F198" s="18" t="s">
        <v>48</v>
      </c>
      <c r="G198" s="18" t="s">
        <v>31</v>
      </c>
      <c r="H198" s="18">
        <v>13.9</v>
      </c>
      <c r="I198" s="20">
        <v>21</v>
      </c>
      <c r="J198" s="21">
        <v>291.90000000000003</v>
      </c>
    </row>
    <row r="199" spans="1:10">
      <c r="A199" s="19">
        <v>35346</v>
      </c>
      <c r="B199" s="18" t="s">
        <v>39</v>
      </c>
      <c r="C199" s="18" t="s">
        <v>47</v>
      </c>
      <c r="D199" s="18" t="s">
        <v>28</v>
      </c>
      <c r="E199" s="18" t="s">
        <v>33</v>
      </c>
      <c r="F199" s="18" t="s">
        <v>48</v>
      </c>
      <c r="G199" s="18" t="s">
        <v>31</v>
      </c>
      <c r="H199" s="18">
        <v>44</v>
      </c>
      <c r="I199" s="20">
        <v>40</v>
      </c>
      <c r="J199" s="21">
        <v>1760</v>
      </c>
    </row>
    <row r="200" spans="1:10">
      <c r="A200" s="19">
        <v>35346</v>
      </c>
      <c r="B200" s="18" t="s">
        <v>26</v>
      </c>
      <c r="C200" s="18" t="s">
        <v>27</v>
      </c>
      <c r="D200" s="18" t="s">
        <v>28</v>
      </c>
      <c r="E200" s="18" t="s">
        <v>35</v>
      </c>
      <c r="F200" s="18" t="s">
        <v>48</v>
      </c>
      <c r="G200" s="18" t="s">
        <v>31</v>
      </c>
      <c r="H200" s="18">
        <v>9.6</v>
      </c>
      <c r="I200" s="20">
        <v>30</v>
      </c>
      <c r="J200" s="21">
        <v>288</v>
      </c>
    </row>
    <row r="201" spans="1:10">
      <c r="A201" s="19">
        <v>35346</v>
      </c>
      <c r="B201" s="18" t="s">
        <v>26</v>
      </c>
      <c r="C201" s="18" t="s">
        <v>32</v>
      </c>
      <c r="D201" s="18" t="s">
        <v>28</v>
      </c>
      <c r="E201" s="18" t="s">
        <v>29</v>
      </c>
      <c r="F201" s="18" t="s">
        <v>48</v>
      </c>
      <c r="G201" s="18" t="s">
        <v>31</v>
      </c>
      <c r="H201" s="18">
        <v>14.4</v>
      </c>
      <c r="I201" s="20">
        <v>70</v>
      </c>
      <c r="J201" s="21">
        <v>1008</v>
      </c>
    </row>
    <row r="202" spans="1:10">
      <c r="A202" s="19">
        <v>35346</v>
      </c>
      <c r="B202" s="18" t="s">
        <v>26</v>
      </c>
      <c r="C202" s="18" t="s">
        <v>34</v>
      </c>
      <c r="D202" s="18" t="s">
        <v>28</v>
      </c>
      <c r="E202" s="18" t="s">
        <v>33</v>
      </c>
      <c r="F202" s="18" t="s">
        <v>48</v>
      </c>
      <c r="G202" s="18" t="s">
        <v>31</v>
      </c>
      <c r="H202" s="18">
        <v>35.1</v>
      </c>
      <c r="I202" s="20">
        <v>80</v>
      </c>
      <c r="J202" s="21">
        <v>2808</v>
      </c>
    </row>
    <row r="203" spans="1:10">
      <c r="A203" s="19">
        <v>35347</v>
      </c>
      <c r="B203" s="18" t="s">
        <v>26</v>
      </c>
      <c r="C203" s="18" t="s">
        <v>36</v>
      </c>
      <c r="D203" s="18" t="s">
        <v>28</v>
      </c>
      <c r="E203" s="18" t="s">
        <v>35</v>
      </c>
      <c r="F203" s="18" t="s">
        <v>49</v>
      </c>
      <c r="G203" s="18" t="s">
        <v>38</v>
      </c>
      <c r="H203" s="18">
        <v>20</v>
      </c>
      <c r="I203" s="20">
        <v>6</v>
      </c>
      <c r="J203" s="21">
        <v>120</v>
      </c>
    </row>
    <row r="204" spans="1:10">
      <c r="A204" s="19">
        <v>35347</v>
      </c>
      <c r="B204" s="18" t="s">
        <v>39</v>
      </c>
      <c r="C204" s="18" t="s">
        <v>40</v>
      </c>
      <c r="D204" s="18" t="s">
        <v>28</v>
      </c>
      <c r="E204" s="18" t="s">
        <v>29</v>
      </c>
      <c r="F204" s="18" t="s">
        <v>49</v>
      </c>
      <c r="G204" s="18" t="s">
        <v>38</v>
      </c>
      <c r="H204" s="18">
        <v>4.8</v>
      </c>
      <c r="I204" s="20">
        <v>12</v>
      </c>
      <c r="J204" s="21">
        <v>57.599999999999994</v>
      </c>
    </row>
    <row r="205" spans="1:10">
      <c r="A205" s="19">
        <v>35347</v>
      </c>
      <c r="B205" s="18" t="s">
        <v>39</v>
      </c>
      <c r="C205" s="18" t="s">
        <v>41</v>
      </c>
      <c r="D205" s="18" t="s">
        <v>28</v>
      </c>
      <c r="E205" s="18" t="s">
        <v>33</v>
      </c>
      <c r="F205" s="18" t="s">
        <v>49</v>
      </c>
      <c r="G205" s="18" t="s">
        <v>38</v>
      </c>
      <c r="H205" s="18">
        <v>18.600000000000001</v>
      </c>
      <c r="I205" s="20">
        <v>9</v>
      </c>
      <c r="J205" s="21">
        <v>167.4</v>
      </c>
    </row>
    <row r="206" spans="1:10">
      <c r="A206" s="19">
        <v>35347</v>
      </c>
      <c r="B206" s="18" t="s">
        <v>39</v>
      </c>
      <c r="C206" s="18" t="s">
        <v>44</v>
      </c>
      <c r="D206" s="18" t="s">
        <v>28</v>
      </c>
      <c r="E206" s="18" t="s">
        <v>35</v>
      </c>
      <c r="F206" s="18" t="s">
        <v>49</v>
      </c>
      <c r="G206" s="18" t="s">
        <v>38</v>
      </c>
      <c r="H206" s="18">
        <v>27.8</v>
      </c>
      <c r="I206" s="20">
        <v>40</v>
      </c>
      <c r="J206" s="21">
        <v>1112</v>
      </c>
    </row>
    <row r="207" spans="1:10">
      <c r="A207" s="19">
        <v>35347</v>
      </c>
      <c r="B207" s="18" t="s">
        <v>39</v>
      </c>
      <c r="C207" s="18" t="s">
        <v>46</v>
      </c>
      <c r="D207" s="18" t="s">
        <v>28</v>
      </c>
      <c r="E207" s="18" t="s">
        <v>29</v>
      </c>
      <c r="F207" s="18" t="s">
        <v>49</v>
      </c>
      <c r="G207" s="18" t="s">
        <v>38</v>
      </c>
      <c r="H207" s="18">
        <v>10</v>
      </c>
      <c r="I207" s="20">
        <v>4</v>
      </c>
      <c r="J207" s="21">
        <v>40</v>
      </c>
    </row>
    <row r="208" spans="1:10">
      <c r="A208" s="19">
        <v>35348</v>
      </c>
      <c r="B208" s="18" t="s">
        <v>39</v>
      </c>
      <c r="C208" s="18" t="s">
        <v>47</v>
      </c>
      <c r="D208" s="18" t="s">
        <v>28</v>
      </c>
      <c r="E208" s="18" t="s">
        <v>33</v>
      </c>
      <c r="F208" s="18" t="s">
        <v>42</v>
      </c>
      <c r="G208" s="18" t="s">
        <v>43</v>
      </c>
      <c r="H208" s="18">
        <v>6.2</v>
      </c>
      <c r="I208" s="20">
        <v>50</v>
      </c>
      <c r="J208" s="21">
        <v>310</v>
      </c>
    </row>
    <row r="209" spans="1:10">
      <c r="A209" s="19">
        <v>35348</v>
      </c>
      <c r="B209" s="18" t="s">
        <v>26</v>
      </c>
      <c r="C209" s="18" t="s">
        <v>27</v>
      </c>
      <c r="D209" s="18" t="s">
        <v>28</v>
      </c>
      <c r="E209" s="18" t="s">
        <v>35</v>
      </c>
      <c r="F209" s="18" t="s">
        <v>42</v>
      </c>
      <c r="G209" s="18" t="s">
        <v>43</v>
      </c>
      <c r="H209" s="18">
        <v>15.6</v>
      </c>
      <c r="I209" s="20">
        <v>16</v>
      </c>
      <c r="J209" s="21">
        <v>249.6</v>
      </c>
    </row>
    <row r="210" spans="1:10">
      <c r="A210" s="19">
        <v>35348</v>
      </c>
      <c r="B210" s="18" t="s">
        <v>26</v>
      </c>
      <c r="C210" s="18" t="s">
        <v>32</v>
      </c>
      <c r="D210" s="18" t="s">
        <v>28</v>
      </c>
      <c r="E210" s="18" t="s">
        <v>29</v>
      </c>
      <c r="F210" s="18" t="s">
        <v>42</v>
      </c>
      <c r="G210" s="18" t="s">
        <v>43</v>
      </c>
      <c r="H210" s="18">
        <v>17.600000000000001</v>
      </c>
      <c r="I210" s="20">
        <v>24</v>
      </c>
      <c r="J210" s="21">
        <v>422.40000000000003</v>
      </c>
    </row>
    <row r="211" spans="1:10">
      <c r="A211" s="19">
        <v>35349</v>
      </c>
      <c r="B211" s="18" t="s">
        <v>26</v>
      </c>
      <c r="C211" s="18" t="s">
        <v>34</v>
      </c>
      <c r="D211" s="18" t="s">
        <v>28</v>
      </c>
      <c r="E211" s="18" t="s">
        <v>29</v>
      </c>
      <c r="F211" s="18" t="s">
        <v>51</v>
      </c>
      <c r="G211" s="18" t="s">
        <v>43</v>
      </c>
      <c r="H211" s="18">
        <v>16.8</v>
      </c>
      <c r="I211" s="20">
        <v>50</v>
      </c>
      <c r="J211" s="21">
        <v>840</v>
      </c>
    </row>
    <row r="212" spans="1:10">
      <c r="A212" s="19">
        <v>35349</v>
      </c>
      <c r="B212" s="18" t="s">
        <v>26</v>
      </c>
      <c r="C212" s="18" t="s">
        <v>36</v>
      </c>
      <c r="D212" s="18" t="s">
        <v>28</v>
      </c>
      <c r="E212" s="18" t="s">
        <v>33</v>
      </c>
      <c r="F212" s="18" t="s">
        <v>51</v>
      </c>
      <c r="G212" s="18" t="s">
        <v>43</v>
      </c>
      <c r="H212" s="18">
        <v>10.6</v>
      </c>
      <c r="I212" s="20">
        <v>30</v>
      </c>
      <c r="J212" s="21">
        <v>318</v>
      </c>
    </row>
    <row r="213" spans="1:10">
      <c r="A213" s="19">
        <v>35349</v>
      </c>
      <c r="B213" s="18" t="s">
        <v>39</v>
      </c>
      <c r="C213" s="18" t="s">
        <v>40</v>
      </c>
      <c r="D213" s="18" t="s">
        <v>28</v>
      </c>
      <c r="E213" s="18" t="s">
        <v>35</v>
      </c>
      <c r="F213" s="18" t="s">
        <v>51</v>
      </c>
      <c r="G213" s="18" t="s">
        <v>43</v>
      </c>
      <c r="H213" s="18">
        <v>20.7</v>
      </c>
      <c r="I213" s="20">
        <v>35</v>
      </c>
      <c r="J213" s="21">
        <v>724.5</v>
      </c>
    </row>
    <row r="214" spans="1:10">
      <c r="A214" s="19">
        <v>35349</v>
      </c>
      <c r="B214" s="18" t="s">
        <v>39</v>
      </c>
      <c r="C214" s="18" t="s">
        <v>41</v>
      </c>
      <c r="D214" s="18" t="s">
        <v>28</v>
      </c>
      <c r="E214" s="18" t="s">
        <v>29</v>
      </c>
      <c r="F214" s="18" t="s">
        <v>51</v>
      </c>
      <c r="G214" s="18" t="s">
        <v>43</v>
      </c>
      <c r="H214" s="18">
        <v>15.2</v>
      </c>
      <c r="I214" s="20">
        <v>25</v>
      </c>
      <c r="J214" s="21">
        <v>380</v>
      </c>
    </row>
    <row r="215" spans="1:10">
      <c r="A215" s="19">
        <v>35352</v>
      </c>
      <c r="B215" s="18" t="s">
        <v>39</v>
      </c>
      <c r="C215" s="18" t="s">
        <v>44</v>
      </c>
      <c r="D215" s="18" t="s">
        <v>28</v>
      </c>
      <c r="E215" s="18" t="s">
        <v>33</v>
      </c>
      <c r="F215" s="18" t="s">
        <v>42</v>
      </c>
      <c r="G215" s="18" t="s">
        <v>43</v>
      </c>
      <c r="H215" s="18">
        <v>44</v>
      </c>
      <c r="I215" s="20">
        <v>9</v>
      </c>
      <c r="J215" s="21">
        <v>396</v>
      </c>
    </row>
    <row r="216" spans="1:10">
      <c r="A216" s="19">
        <v>35352</v>
      </c>
      <c r="B216" s="18" t="s">
        <v>39</v>
      </c>
      <c r="C216" s="18" t="s">
        <v>46</v>
      </c>
      <c r="D216" s="18" t="s">
        <v>28</v>
      </c>
      <c r="E216" s="18" t="s">
        <v>35</v>
      </c>
      <c r="F216" s="18" t="s">
        <v>42</v>
      </c>
      <c r="G216" s="18" t="s">
        <v>43</v>
      </c>
      <c r="H216" s="18">
        <v>16.8</v>
      </c>
      <c r="I216" s="20">
        <v>40</v>
      </c>
      <c r="J216" s="21">
        <v>672</v>
      </c>
    </row>
    <row r="217" spans="1:10">
      <c r="A217" s="19">
        <v>35352</v>
      </c>
      <c r="B217" s="18" t="s">
        <v>39</v>
      </c>
      <c r="C217" s="18" t="s">
        <v>47</v>
      </c>
      <c r="D217" s="18" t="s">
        <v>28</v>
      </c>
      <c r="E217" s="18" t="s">
        <v>29</v>
      </c>
      <c r="F217" s="18" t="s">
        <v>42</v>
      </c>
      <c r="G217" s="18" t="s">
        <v>43</v>
      </c>
      <c r="H217" s="18">
        <v>10</v>
      </c>
      <c r="I217" s="20">
        <v>10</v>
      </c>
      <c r="J217" s="21">
        <v>100</v>
      </c>
    </row>
    <row r="218" spans="1:10">
      <c r="A218" s="19">
        <v>35353</v>
      </c>
      <c r="B218" s="18" t="s">
        <v>26</v>
      </c>
      <c r="C218" s="18" t="s">
        <v>27</v>
      </c>
      <c r="D218" s="18" t="s">
        <v>28</v>
      </c>
      <c r="E218" s="18" t="s">
        <v>33</v>
      </c>
      <c r="F218" s="18" t="s">
        <v>42</v>
      </c>
      <c r="G218" s="18" t="s">
        <v>43</v>
      </c>
      <c r="H218" s="18">
        <v>30.4</v>
      </c>
      <c r="I218" s="20">
        <v>12</v>
      </c>
      <c r="J218" s="21">
        <v>364.79999999999995</v>
      </c>
    </row>
    <row r="219" spans="1:10">
      <c r="A219" s="19">
        <v>35353</v>
      </c>
      <c r="B219" s="18" t="s">
        <v>26</v>
      </c>
      <c r="C219" s="18" t="s">
        <v>32</v>
      </c>
      <c r="D219" s="18" t="s">
        <v>28</v>
      </c>
      <c r="E219" s="18" t="s">
        <v>35</v>
      </c>
      <c r="F219" s="18" t="s">
        <v>42</v>
      </c>
      <c r="G219" s="18" t="s">
        <v>43</v>
      </c>
      <c r="H219" s="18">
        <v>20.7</v>
      </c>
      <c r="I219" s="20">
        <v>8</v>
      </c>
      <c r="J219" s="21">
        <v>165.6</v>
      </c>
    </row>
    <row r="220" spans="1:10">
      <c r="A220" s="19">
        <v>35353</v>
      </c>
      <c r="B220" s="18" t="s">
        <v>26</v>
      </c>
      <c r="C220" s="18" t="s">
        <v>34</v>
      </c>
      <c r="D220" s="18" t="s">
        <v>28</v>
      </c>
      <c r="E220" s="18" t="s">
        <v>29</v>
      </c>
      <c r="F220" s="18" t="s">
        <v>42</v>
      </c>
      <c r="G220" s="18" t="s">
        <v>43</v>
      </c>
      <c r="H220" s="18">
        <v>210.8</v>
      </c>
      <c r="I220" s="20">
        <v>20</v>
      </c>
      <c r="J220" s="21">
        <v>4216</v>
      </c>
    </row>
    <row r="221" spans="1:10">
      <c r="A221" s="19">
        <v>35353</v>
      </c>
      <c r="B221" s="18" t="s">
        <v>26</v>
      </c>
      <c r="C221" s="18" t="s">
        <v>36</v>
      </c>
      <c r="D221" s="18" t="s">
        <v>28</v>
      </c>
      <c r="E221" s="18" t="s">
        <v>33</v>
      </c>
      <c r="F221" s="18" t="s">
        <v>42</v>
      </c>
      <c r="G221" s="18" t="s">
        <v>43</v>
      </c>
      <c r="H221" s="18">
        <v>7.3</v>
      </c>
      <c r="I221" s="20">
        <v>10</v>
      </c>
      <c r="J221" s="21">
        <v>73</v>
      </c>
    </row>
    <row r="222" spans="1:10">
      <c r="A222" s="19">
        <v>35354</v>
      </c>
      <c r="B222" s="18" t="s">
        <v>39</v>
      </c>
      <c r="C222" s="18" t="s">
        <v>40</v>
      </c>
      <c r="D222" s="18" t="s">
        <v>28</v>
      </c>
      <c r="E222" s="18" t="s">
        <v>35</v>
      </c>
      <c r="F222" s="18" t="s">
        <v>48</v>
      </c>
      <c r="G222" s="18" t="s">
        <v>31</v>
      </c>
      <c r="H222" s="18">
        <v>5.9</v>
      </c>
      <c r="I222" s="20">
        <v>15</v>
      </c>
      <c r="J222" s="21">
        <v>88.5</v>
      </c>
    </row>
    <row r="223" spans="1:10">
      <c r="A223" s="19">
        <v>35354</v>
      </c>
      <c r="B223" s="18" t="s">
        <v>39</v>
      </c>
      <c r="C223" s="18" t="s">
        <v>41</v>
      </c>
      <c r="D223" s="18" t="s">
        <v>28</v>
      </c>
      <c r="E223" s="18" t="s">
        <v>29</v>
      </c>
      <c r="F223" s="18" t="s">
        <v>45</v>
      </c>
      <c r="G223" s="18" t="s">
        <v>38</v>
      </c>
      <c r="H223" s="18">
        <v>24.9</v>
      </c>
      <c r="I223" s="20">
        <v>50</v>
      </c>
      <c r="J223" s="21">
        <v>1245</v>
      </c>
    </row>
    <row r="224" spans="1:10">
      <c r="A224" s="19">
        <v>35354</v>
      </c>
      <c r="B224" s="18" t="s">
        <v>39</v>
      </c>
      <c r="C224" s="18" t="s">
        <v>44</v>
      </c>
      <c r="D224" s="18" t="s">
        <v>28</v>
      </c>
      <c r="E224" s="18" t="s">
        <v>33</v>
      </c>
      <c r="F224" s="18" t="s">
        <v>45</v>
      </c>
      <c r="G224" s="18" t="s">
        <v>38</v>
      </c>
      <c r="H224" s="18">
        <v>27.8</v>
      </c>
      <c r="I224" s="20">
        <v>25</v>
      </c>
      <c r="J224" s="21">
        <v>695</v>
      </c>
    </row>
    <row r="225" spans="1:10">
      <c r="A225" s="19">
        <v>35355</v>
      </c>
      <c r="B225" s="18" t="s">
        <v>39</v>
      </c>
      <c r="C225" s="18" t="s">
        <v>46</v>
      </c>
      <c r="D225" s="18" t="s">
        <v>28</v>
      </c>
      <c r="E225" s="18" t="s">
        <v>35</v>
      </c>
      <c r="F225" s="18" t="s">
        <v>45</v>
      </c>
      <c r="G225" s="18" t="s">
        <v>38</v>
      </c>
      <c r="H225" s="18">
        <v>11.2</v>
      </c>
      <c r="I225" s="20">
        <v>10</v>
      </c>
      <c r="J225" s="21">
        <v>112</v>
      </c>
    </row>
    <row r="226" spans="1:10">
      <c r="A226" s="19">
        <v>35355</v>
      </c>
      <c r="B226" s="18" t="s">
        <v>39</v>
      </c>
      <c r="C226" s="18" t="s">
        <v>47</v>
      </c>
      <c r="D226" s="18" t="s">
        <v>28</v>
      </c>
      <c r="E226" s="18" t="s">
        <v>29</v>
      </c>
      <c r="F226" s="18" t="s">
        <v>45</v>
      </c>
      <c r="G226" s="18" t="s">
        <v>38</v>
      </c>
      <c r="H226" s="18">
        <v>7.6</v>
      </c>
      <c r="I226" s="20">
        <v>16</v>
      </c>
      <c r="J226" s="21">
        <v>121.6</v>
      </c>
    </row>
    <row r="227" spans="1:10">
      <c r="A227" s="19">
        <v>35355</v>
      </c>
      <c r="B227" s="18" t="s">
        <v>26</v>
      </c>
      <c r="C227" s="18" t="s">
        <v>27</v>
      </c>
      <c r="D227" s="18" t="s">
        <v>28</v>
      </c>
      <c r="E227" s="18" t="s">
        <v>33</v>
      </c>
      <c r="F227" s="18" t="s">
        <v>45</v>
      </c>
      <c r="G227" s="18" t="s">
        <v>38</v>
      </c>
      <c r="H227" s="18">
        <v>50</v>
      </c>
      <c r="I227" s="20">
        <v>40</v>
      </c>
      <c r="J227" s="21">
        <v>2000</v>
      </c>
    </row>
    <row r="228" spans="1:10">
      <c r="A228" s="19">
        <v>35356</v>
      </c>
      <c r="B228" s="18" t="s">
        <v>26</v>
      </c>
      <c r="C228" s="18" t="s">
        <v>32</v>
      </c>
      <c r="D228" s="18" t="s">
        <v>28</v>
      </c>
      <c r="E228" s="18" t="s">
        <v>35</v>
      </c>
      <c r="F228" s="18" t="s">
        <v>30</v>
      </c>
      <c r="G228" s="18" t="s">
        <v>31</v>
      </c>
      <c r="H228" s="18">
        <v>8</v>
      </c>
      <c r="I228" s="20">
        <v>10</v>
      </c>
      <c r="J228" s="21">
        <v>80</v>
      </c>
    </row>
    <row r="229" spans="1:10">
      <c r="A229" s="19">
        <v>35356</v>
      </c>
      <c r="B229" s="18" t="s">
        <v>26</v>
      </c>
      <c r="C229" s="18" t="s">
        <v>34</v>
      </c>
      <c r="D229" s="18" t="s">
        <v>28</v>
      </c>
      <c r="E229" s="18" t="s">
        <v>29</v>
      </c>
      <c r="F229" s="18" t="s">
        <v>30</v>
      </c>
      <c r="G229" s="18" t="s">
        <v>31</v>
      </c>
      <c r="H229" s="18">
        <v>18.600000000000001</v>
      </c>
      <c r="I229" s="20">
        <v>10</v>
      </c>
      <c r="J229" s="21">
        <v>186</v>
      </c>
    </row>
    <row r="230" spans="1:10">
      <c r="A230" s="19">
        <v>35356</v>
      </c>
      <c r="B230" s="18" t="s">
        <v>26</v>
      </c>
      <c r="C230" s="18" t="s">
        <v>36</v>
      </c>
      <c r="D230" s="18" t="s">
        <v>28</v>
      </c>
      <c r="E230" s="18" t="s">
        <v>29</v>
      </c>
      <c r="F230" s="18" t="s">
        <v>30</v>
      </c>
      <c r="G230" s="18" t="s">
        <v>31</v>
      </c>
      <c r="H230" s="18">
        <v>17.2</v>
      </c>
      <c r="I230" s="20">
        <v>40</v>
      </c>
      <c r="J230" s="21">
        <v>688</v>
      </c>
    </row>
    <row r="231" spans="1:10">
      <c r="A231" s="19">
        <v>35359</v>
      </c>
      <c r="B231" s="18" t="s">
        <v>39</v>
      </c>
      <c r="C231" s="18" t="s">
        <v>40</v>
      </c>
      <c r="D231" s="18" t="s">
        <v>28</v>
      </c>
      <c r="E231" s="18" t="s">
        <v>33</v>
      </c>
      <c r="F231" s="18" t="s">
        <v>50</v>
      </c>
      <c r="G231" s="18" t="s">
        <v>31</v>
      </c>
      <c r="H231" s="18">
        <v>10</v>
      </c>
      <c r="I231" s="20">
        <v>10</v>
      </c>
      <c r="J231" s="21">
        <v>100</v>
      </c>
    </row>
    <row r="232" spans="1:10">
      <c r="A232" s="19">
        <v>35359</v>
      </c>
      <c r="B232" s="18" t="s">
        <v>39</v>
      </c>
      <c r="C232" s="18" t="s">
        <v>41</v>
      </c>
      <c r="D232" s="18" t="s">
        <v>28</v>
      </c>
      <c r="E232" s="18" t="s">
        <v>35</v>
      </c>
      <c r="F232" s="18" t="s">
        <v>50</v>
      </c>
      <c r="G232" s="18" t="s">
        <v>31</v>
      </c>
      <c r="H232" s="18">
        <v>5.6</v>
      </c>
      <c r="I232" s="20">
        <v>8</v>
      </c>
      <c r="J232" s="21">
        <v>44.8</v>
      </c>
    </row>
    <row r="233" spans="1:10">
      <c r="A233" s="19">
        <v>35360</v>
      </c>
      <c r="B233" s="18" t="s">
        <v>39</v>
      </c>
      <c r="C233" s="18" t="s">
        <v>44</v>
      </c>
      <c r="D233" s="18" t="s">
        <v>28</v>
      </c>
      <c r="E233" s="18" t="s">
        <v>29</v>
      </c>
      <c r="F233" s="18" t="s">
        <v>52</v>
      </c>
      <c r="G233" s="18" t="s">
        <v>31</v>
      </c>
      <c r="H233" s="18">
        <v>25.6</v>
      </c>
      <c r="I233" s="20">
        <v>6</v>
      </c>
      <c r="J233" s="21">
        <v>153.60000000000002</v>
      </c>
    </row>
    <row r="234" spans="1:10">
      <c r="A234" s="19">
        <v>35360</v>
      </c>
      <c r="B234" s="18" t="s">
        <v>39</v>
      </c>
      <c r="C234" s="18" t="s">
        <v>46</v>
      </c>
      <c r="D234" s="18" t="s">
        <v>28</v>
      </c>
      <c r="E234" s="18" t="s">
        <v>33</v>
      </c>
      <c r="F234" s="18" t="s">
        <v>52</v>
      </c>
      <c r="G234" s="18" t="s">
        <v>31</v>
      </c>
      <c r="H234" s="18">
        <v>15.2</v>
      </c>
      <c r="I234" s="20">
        <v>7</v>
      </c>
      <c r="J234" s="21">
        <v>106.39999999999999</v>
      </c>
    </row>
    <row r="235" spans="1:10">
      <c r="A235" s="19">
        <v>35360</v>
      </c>
      <c r="B235" s="18" t="s">
        <v>39</v>
      </c>
      <c r="C235" s="18" t="s">
        <v>47</v>
      </c>
      <c r="D235" s="18" t="s">
        <v>28</v>
      </c>
      <c r="E235" s="18" t="s">
        <v>35</v>
      </c>
      <c r="F235" s="18" t="s">
        <v>52</v>
      </c>
      <c r="G235" s="18" t="s">
        <v>31</v>
      </c>
      <c r="H235" s="18">
        <v>10</v>
      </c>
      <c r="I235" s="20">
        <v>25</v>
      </c>
      <c r="J235" s="21">
        <v>250</v>
      </c>
    </row>
    <row r="236" spans="1:10">
      <c r="A236" s="19">
        <v>35360</v>
      </c>
      <c r="B236" s="18" t="s">
        <v>26</v>
      </c>
      <c r="C236" s="18" t="s">
        <v>27</v>
      </c>
      <c r="D236" s="18" t="s">
        <v>28</v>
      </c>
      <c r="E236" s="18" t="s">
        <v>29</v>
      </c>
      <c r="F236" s="18" t="s">
        <v>52</v>
      </c>
      <c r="G236" s="18" t="s">
        <v>31</v>
      </c>
      <c r="H236" s="18">
        <v>42.4</v>
      </c>
      <c r="I236" s="20">
        <v>48</v>
      </c>
      <c r="J236" s="21">
        <v>2035.1999999999998</v>
      </c>
    </row>
    <row r="237" spans="1:10">
      <c r="A237" s="19">
        <v>35361</v>
      </c>
      <c r="B237" s="18" t="s">
        <v>26</v>
      </c>
      <c r="C237" s="18" t="s">
        <v>32</v>
      </c>
      <c r="D237" s="18" t="s">
        <v>28</v>
      </c>
      <c r="E237" s="18" t="s">
        <v>33</v>
      </c>
      <c r="F237" s="18" t="s">
        <v>52</v>
      </c>
      <c r="G237" s="18" t="s">
        <v>31</v>
      </c>
      <c r="H237" s="18">
        <v>17.600000000000001</v>
      </c>
      <c r="I237" s="20">
        <v>18</v>
      </c>
      <c r="J237" s="21">
        <v>316.8</v>
      </c>
    </row>
    <row r="238" spans="1:10">
      <c r="A238" s="19">
        <v>35362</v>
      </c>
      <c r="B238" s="18" t="s">
        <v>26</v>
      </c>
      <c r="C238" s="18" t="s">
        <v>34</v>
      </c>
      <c r="D238" s="18" t="s">
        <v>28</v>
      </c>
      <c r="E238" s="18" t="s">
        <v>35</v>
      </c>
      <c r="F238" s="18" t="s">
        <v>42</v>
      </c>
      <c r="G238" s="18" t="s">
        <v>43</v>
      </c>
      <c r="H238" s="18">
        <v>20.8</v>
      </c>
      <c r="I238" s="20">
        <v>28</v>
      </c>
      <c r="J238" s="21">
        <v>582.4</v>
      </c>
    </row>
    <row r="239" spans="1:10">
      <c r="A239" s="19">
        <v>35362</v>
      </c>
      <c r="B239" s="18" t="s">
        <v>26</v>
      </c>
      <c r="C239" s="18" t="s">
        <v>36</v>
      </c>
      <c r="D239" s="18" t="s">
        <v>28</v>
      </c>
      <c r="E239" s="18" t="s">
        <v>29</v>
      </c>
      <c r="F239" s="18" t="s">
        <v>42</v>
      </c>
      <c r="G239" s="18" t="s">
        <v>43</v>
      </c>
      <c r="H239" s="18">
        <v>24.9</v>
      </c>
      <c r="I239" s="20">
        <v>24</v>
      </c>
      <c r="J239" s="21">
        <v>597.59999999999991</v>
      </c>
    </row>
    <row r="240" spans="1:10">
      <c r="A240" s="19">
        <v>35362</v>
      </c>
      <c r="B240" s="18" t="s">
        <v>39</v>
      </c>
      <c r="C240" s="18" t="s">
        <v>40</v>
      </c>
      <c r="D240" s="18" t="s">
        <v>28</v>
      </c>
      <c r="E240" s="18" t="s">
        <v>33</v>
      </c>
      <c r="F240" s="18" t="s">
        <v>42</v>
      </c>
      <c r="G240" s="18" t="s">
        <v>43</v>
      </c>
      <c r="H240" s="18">
        <v>27.8</v>
      </c>
      <c r="I240" s="20">
        <v>25</v>
      </c>
      <c r="J240" s="21">
        <v>695</v>
      </c>
    </row>
    <row r="241" spans="1:10">
      <c r="A241" s="19">
        <v>35362</v>
      </c>
      <c r="B241" s="18" t="s">
        <v>39</v>
      </c>
      <c r="C241" s="18" t="s">
        <v>41</v>
      </c>
      <c r="D241" s="18" t="s">
        <v>28</v>
      </c>
      <c r="E241" s="18" t="s">
        <v>35</v>
      </c>
      <c r="F241" s="18" t="s">
        <v>42</v>
      </c>
      <c r="G241" s="18" t="s">
        <v>43</v>
      </c>
      <c r="H241" s="18">
        <v>7.2</v>
      </c>
      <c r="I241" s="20">
        <v>40</v>
      </c>
      <c r="J241" s="21">
        <v>288</v>
      </c>
    </row>
    <row r="242" spans="1:10">
      <c r="A242" s="19">
        <v>35362</v>
      </c>
      <c r="B242" s="18" t="s">
        <v>39</v>
      </c>
      <c r="C242" s="18" t="s">
        <v>44</v>
      </c>
      <c r="D242" s="18" t="s">
        <v>28</v>
      </c>
      <c r="E242" s="18" t="s">
        <v>29</v>
      </c>
      <c r="F242" s="18" t="s">
        <v>42</v>
      </c>
      <c r="G242" s="18" t="s">
        <v>43</v>
      </c>
      <c r="H242" s="18">
        <v>15.2</v>
      </c>
      <c r="I242" s="20">
        <v>20</v>
      </c>
      <c r="J242" s="21">
        <v>304</v>
      </c>
    </row>
    <row r="243" spans="1:10">
      <c r="A243" s="19">
        <v>35363</v>
      </c>
      <c r="B243" s="18" t="s">
        <v>39</v>
      </c>
      <c r="C243" s="18" t="s">
        <v>46</v>
      </c>
      <c r="D243" s="18" t="s">
        <v>28</v>
      </c>
      <c r="E243" s="18" t="s">
        <v>33</v>
      </c>
      <c r="F243" s="18" t="s">
        <v>42</v>
      </c>
      <c r="G243" s="18" t="s">
        <v>43</v>
      </c>
      <c r="H243" s="18">
        <v>20.7</v>
      </c>
      <c r="I243" s="20">
        <v>15</v>
      </c>
      <c r="J243" s="21">
        <v>310.5</v>
      </c>
    </row>
    <row r="244" spans="1:10">
      <c r="A244" s="19">
        <v>35363</v>
      </c>
      <c r="B244" s="18" t="s">
        <v>39</v>
      </c>
      <c r="C244" s="18" t="s">
        <v>47</v>
      </c>
      <c r="D244" s="18" t="s">
        <v>28</v>
      </c>
      <c r="E244" s="18" t="s">
        <v>35</v>
      </c>
      <c r="F244" s="18" t="s">
        <v>42</v>
      </c>
      <c r="G244" s="18" t="s">
        <v>43</v>
      </c>
      <c r="H244" s="18">
        <v>31.2</v>
      </c>
      <c r="I244" s="20">
        <v>20</v>
      </c>
      <c r="J244" s="21">
        <v>624</v>
      </c>
    </row>
    <row r="245" spans="1:10">
      <c r="A245" s="19">
        <v>35366</v>
      </c>
      <c r="B245" s="18" t="s">
        <v>26</v>
      </c>
      <c r="C245" s="18" t="s">
        <v>27</v>
      </c>
      <c r="D245" s="18" t="s">
        <v>28</v>
      </c>
      <c r="E245" s="18" t="s">
        <v>29</v>
      </c>
      <c r="F245" s="18" t="s">
        <v>51</v>
      </c>
      <c r="G245" s="18" t="s">
        <v>43</v>
      </c>
      <c r="H245" s="18">
        <v>39.4</v>
      </c>
      <c r="I245" s="20">
        <v>28</v>
      </c>
      <c r="J245" s="21">
        <v>1103.2</v>
      </c>
    </row>
    <row r="246" spans="1:10">
      <c r="A246" s="19">
        <v>35366</v>
      </c>
      <c r="B246" s="18" t="s">
        <v>26</v>
      </c>
      <c r="C246" s="18" t="s">
        <v>32</v>
      </c>
      <c r="D246" s="18" t="s">
        <v>28</v>
      </c>
      <c r="E246" s="18" t="s">
        <v>33</v>
      </c>
      <c r="F246" s="18" t="s">
        <v>51</v>
      </c>
      <c r="G246" s="18" t="s">
        <v>43</v>
      </c>
      <c r="H246" s="18">
        <v>17.600000000000001</v>
      </c>
      <c r="I246" s="20">
        <v>10</v>
      </c>
      <c r="J246" s="21">
        <v>176</v>
      </c>
    </row>
    <row r="247" spans="1:10">
      <c r="A247" s="19">
        <v>35366</v>
      </c>
      <c r="B247" s="18" t="s">
        <v>26</v>
      </c>
      <c r="C247" s="18" t="s">
        <v>34</v>
      </c>
      <c r="D247" s="18" t="s">
        <v>28</v>
      </c>
      <c r="E247" s="18" t="s">
        <v>35</v>
      </c>
      <c r="F247" s="18" t="s">
        <v>51</v>
      </c>
      <c r="G247" s="18" t="s">
        <v>43</v>
      </c>
      <c r="H247" s="18">
        <v>31.2</v>
      </c>
      <c r="I247" s="20">
        <v>70</v>
      </c>
      <c r="J247" s="21">
        <v>2184</v>
      </c>
    </row>
    <row r="248" spans="1:10">
      <c r="A248" s="19">
        <v>35367</v>
      </c>
      <c r="B248" s="18" t="s">
        <v>26</v>
      </c>
      <c r="C248" s="18" t="s">
        <v>36</v>
      </c>
      <c r="D248" s="18" t="s">
        <v>28</v>
      </c>
      <c r="E248" s="18" t="s">
        <v>29</v>
      </c>
      <c r="F248" s="18" t="s">
        <v>52</v>
      </c>
      <c r="G248" s="18" t="s">
        <v>31</v>
      </c>
      <c r="H248" s="18">
        <v>44</v>
      </c>
      <c r="I248" s="20">
        <v>9</v>
      </c>
      <c r="J248" s="21">
        <v>396</v>
      </c>
    </row>
    <row r="249" spans="1:10">
      <c r="A249" s="19">
        <v>35367</v>
      </c>
      <c r="B249" s="18" t="s">
        <v>39</v>
      </c>
      <c r="C249" s="18" t="s">
        <v>40</v>
      </c>
      <c r="D249" s="18" t="s">
        <v>28</v>
      </c>
      <c r="E249" s="18" t="s">
        <v>29</v>
      </c>
      <c r="F249" s="18" t="s">
        <v>52</v>
      </c>
      <c r="G249" s="18" t="s">
        <v>31</v>
      </c>
      <c r="H249" s="18">
        <v>2</v>
      </c>
      <c r="I249" s="20">
        <v>8</v>
      </c>
      <c r="J249" s="21">
        <v>16</v>
      </c>
    </row>
    <row r="250" spans="1:10">
      <c r="A250" s="19">
        <v>35367</v>
      </c>
      <c r="B250" s="18" t="s">
        <v>39</v>
      </c>
      <c r="C250" s="18" t="s">
        <v>41</v>
      </c>
      <c r="D250" s="18" t="s">
        <v>28</v>
      </c>
      <c r="E250" s="18" t="s">
        <v>33</v>
      </c>
      <c r="F250" s="18" t="s">
        <v>49</v>
      </c>
      <c r="G250" s="18" t="s">
        <v>38</v>
      </c>
      <c r="H250" s="18">
        <v>36.799999999999997</v>
      </c>
      <c r="I250" s="20">
        <v>40</v>
      </c>
      <c r="J250" s="21">
        <v>1472</v>
      </c>
    </row>
    <row r="251" spans="1:10">
      <c r="A251" s="19">
        <v>35367</v>
      </c>
      <c r="B251" s="18" t="s">
        <v>39</v>
      </c>
      <c r="C251" s="18" t="s">
        <v>44</v>
      </c>
      <c r="D251" s="18" t="s">
        <v>28</v>
      </c>
      <c r="E251" s="18" t="s">
        <v>35</v>
      </c>
      <c r="F251" s="18" t="s">
        <v>49</v>
      </c>
      <c r="G251" s="18" t="s">
        <v>38</v>
      </c>
      <c r="H251" s="18">
        <v>50</v>
      </c>
      <c r="I251" s="20">
        <v>20</v>
      </c>
      <c r="J251" s="21">
        <v>1000</v>
      </c>
    </row>
    <row r="252" spans="1:10">
      <c r="A252" s="19">
        <v>35367</v>
      </c>
      <c r="B252" s="18" t="s">
        <v>39</v>
      </c>
      <c r="C252" s="18" t="s">
        <v>46</v>
      </c>
      <c r="D252" s="18" t="s">
        <v>28</v>
      </c>
      <c r="E252" s="18" t="s">
        <v>29</v>
      </c>
      <c r="F252" s="18" t="s">
        <v>49</v>
      </c>
      <c r="G252" s="18" t="s">
        <v>38</v>
      </c>
      <c r="H252" s="18">
        <v>7.7</v>
      </c>
      <c r="I252" s="20">
        <v>12</v>
      </c>
      <c r="J252" s="21">
        <v>92.4</v>
      </c>
    </row>
    <row r="253" spans="1:10">
      <c r="A253" s="19">
        <v>35368</v>
      </c>
      <c r="B253" s="18" t="s">
        <v>39</v>
      </c>
      <c r="C253" s="18" t="s">
        <v>47</v>
      </c>
      <c r="D253" s="18" t="s">
        <v>28</v>
      </c>
      <c r="E253" s="18" t="s">
        <v>33</v>
      </c>
      <c r="F253" s="18" t="s">
        <v>42</v>
      </c>
      <c r="G253" s="18" t="s">
        <v>43</v>
      </c>
      <c r="H253" s="18">
        <v>15.2</v>
      </c>
      <c r="I253" s="20">
        <v>24</v>
      </c>
      <c r="J253" s="21">
        <v>364.79999999999995</v>
      </c>
    </row>
    <row r="254" spans="1:10">
      <c r="A254" s="19">
        <v>35368</v>
      </c>
      <c r="B254" s="18" t="s">
        <v>26</v>
      </c>
      <c r="C254" s="18" t="s">
        <v>27</v>
      </c>
      <c r="D254" s="18" t="s">
        <v>28</v>
      </c>
      <c r="E254" s="18" t="s">
        <v>35</v>
      </c>
      <c r="F254" s="18" t="s">
        <v>42</v>
      </c>
      <c r="G254" s="18" t="s">
        <v>43</v>
      </c>
      <c r="H254" s="18">
        <v>10</v>
      </c>
      <c r="I254" s="20">
        <v>56</v>
      </c>
      <c r="J254" s="21">
        <v>560</v>
      </c>
    </row>
    <row r="255" spans="1:10">
      <c r="A255" s="19">
        <v>35368</v>
      </c>
      <c r="B255" s="18" t="s">
        <v>26</v>
      </c>
      <c r="C255" s="18" t="s">
        <v>32</v>
      </c>
      <c r="D255" s="18" t="s">
        <v>28</v>
      </c>
      <c r="E255" s="18" t="s">
        <v>29</v>
      </c>
      <c r="F255" s="18" t="s">
        <v>42</v>
      </c>
      <c r="G255" s="18" t="s">
        <v>43</v>
      </c>
      <c r="H255" s="18">
        <v>19.2</v>
      </c>
      <c r="I255" s="20">
        <v>40</v>
      </c>
      <c r="J255" s="21">
        <v>768</v>
      </c>
    </row>
    <row r="256" spans="1:10">
      <c r="A256" s="19">
        <v>35368</v>
      </c>
      <c r="B256" s="18" t="s">
        <v>26</v>
      </c>
      <c r="C256" s="18" t="s">
        <v>34</v>
      </c>
      <c r="D256" s="18" t="s">
        <v>28</v>
      </c>
      <c r="E256" s="18" t="s">
        <v>33</v>
      </c>
      <c r="F256" s="18" t="s">
        <v>42</v>
      </c>
      <c r="G256" s="18" t="s">
        <v>43</v>
      </c>
      <c r="H256" s="18">
        <v>15.2</v>
      </c>
      <c r="I256" s="20">
        <v>40</v>
      </c>
      <c r="J256" s="21">
        <v>608</v>
      </c>
    </row>
    <row r="257" spans="1:10">
      <c r="A257" s="19">
        <v>35369</v>
      </c>
      <c r="B257" s="18" t="s">
        <v>26</v>
      </c>
      <c r="C257" s="18" t="s">
        <v>36</v>
      </c>
      <c r="D257" s="18" t="s">
        <v>28</v>
      </c>
      <c r="E257" s="18" t="s">
        <v>35</v>
      </c>
      <c r="F257" s="18" t="s">
        <v>42</v>
      </c>
      <c r="G257" s="18" t="s">
        <v>43</v>
      </c>
      <c r="H257" s="18">
        <v>26.6</v>
      </c>
      <c r="I257" s="20">
        <v>50</v>
      </c>
      <c r="J257" s="21">
        <v>1330</v>
      </c>
    </row>
    <row r="258" spans="1:10">
      <c r="A258" s="19">
        <v>35369</v>
      </c>
      <c r="B258" s="18" t="s">
        <v>39</v>
      </c>
      <c r="C258" s="18" t="s">
        <v>40</v>
      </c>
      <c r="D258" s="18" t="s">
        <v>28</v>
      </c>
      <c r="E258" s="18" t="s">
        <v>29</v>
      </c>
      <c r="F258" s="18" t="s">
        <v>42</v>
      </c>
      <c r="G258" s="18" t="s">
        <v>43</v>
      </c>
      <c r="H258" s="18">
        <v>10</v>
      </c>
      <c r="I258" s="20">
        <v>4</v>
      </c>
      <c r="J258" s="21">
        <v>40</v>
      </c>
    </row>
    <row r="259" spans="1:10">
      <c r="A259" s="19">
        <v>35369</v>
      </c>
      <c r="B259" s="18" t="s">
        <v>39</v>
      </c>
      <c r="C259" s="18" t="s">
        <v>41</v>
      </c>
      <c r="D259" s="18" t="s">
        <v>28</v>
      </c>
      <c r="E259" s="18" t="s">
        <v>33</v>
      </c>
      <c r="F259" s="18" t="s">
        <v>42</v>
      </c>
      <c r="G259" s="18" t="s">
        <v>43</v>
      </c>
      <c r="H259" s="18">
        <v>14.4</v>
      </c>
      <c r="I259" s="20">
        <v>15</v>
      </c>
      <c r="J259" s="21">
        <v>216</v>
      </c>
    </row>
    <row r="260" spans="1:10">
      <c r="A260" s="19">
        <v>35370</v>
      </c>
      <c r="B260" s="18" t="s">
        <v>39</v>
      </c>
      <c r="C260" s="18" t="s">
        <v>44</v>
      </c>
      <c r="D260" s="18" t="s">
        <v>28</v>
      </c>
      <c r="E260" s="18" t="s">
        <v>35</v>
      </c>
      <c r="F260" s="18" t="s">
        <v>42</v>
      </c>
      <c r="G260" s="18" t="s">
        <v>43</v>
      </c>
      <c r="H260" s="18">
        <v>32</v>
      </c>
      <c r="I260" s="20">
        <v>70</v>
      </c>
      <c r="J260" s="21">
        <v>2240</v>
      </c>
    </row>
    <row r="261" spans="1:10">
      <c r="A261" s="19">
        <v>35370</v>
      </c>
      <c r="B261" s="18" t="s">
        <v>39</v>
      </c>
      <c r="C261" s="18" t="s">
        <v>46</v>
      </c>
      <c r="D261" s="18" t="s">
        <v>28</v>
      </c>
      <c r="E261" s="18" t="s">
        <v>29</v>
      </c>
      <c r="F261" s="18" t="s">
        <v>42</v>
      </c>
      <c r="G261" s="18" t="s">
        <v>43</v>
      </c>
      <c r="H261" s="18">
        <v>17.600000000000001</v>
      </c>
      <c r="I261" s="20">
        <v>35</v>
      </c>
      <c r="J261" s="21">
        <v>616</v>
      </c>
    </row>
    <row r="262" spans="1:10">
      <c r="A262" s="19">
        <v>35373</v>
      </c>
      <c r="B262" s="18" t="s">
        <v>39</v>
      </c>
      <c r="C262" s="18" t="s">
        <v>47</v>
      </c>
      <c r="D262" s="18" t="s">
        <v>28</v>
      </c>
      <c r="E262" s="18" t="s">
        <v>33</v>
      </c>
      <c r="F262" s="18" t="s">
        <v>51</v>
      </c>
      <c r="G262" s="18" t="s">
        <v>43</v>
      </c>
      <c r="H262" s="18">
        <v>11.2</v>
      </c>
      <c r="I262" s="20">
        <v>9</v>
      </c>
      <c r="J262" s="21">
        <v>100.8</v>
      </c>
    </row>
    <row r="263" spans="1:10">
      <c r="A263" s="19">
        <v>35373</v>
      </c>
      <c r="B263" s="18" t="s">
        <v>26</v>
      </c>
      <c r="C263" s="18" t="s">
        <v>27</v>
      </c>
      <c r="D263" s="18" t="s">
        <v>28</v>
      </c>
      <c r="E263" s="18" t="s">
        <v>35</v>
      </c>
      <c r="F263" s="18" t="s">
        <v>51</v>
      </c>
      <c r="G263" s="18" t="s">
        <v>43</v>
      </c>
      <c r="H263" s="18">
        <v>32</v>
      </c>
      <c r="I263" s="20">
        <v>70</v>
      </c>
      <c r="J263" s="21">
        <v>2240</v>
      </c>
    </row>
    <row r="264" spans="1:10">
      <c r="A264" s="19">
        <v>35373</v>
      </c>
      <c r="B264" s="18" t="s">
        <v>26</v>
      </c>
      <c r="C264" s="18" t="s">
        <v>32</v>
      </c>
      <c r="D264" s="18" t="s">
        <v>28</v>
      </c>
      <c r="E264" s="18" t="s">
        <v>29</v>
      </c>
      <c r="F264" s="18" t="s">
        <v>51</v>
      </c>
      <c r="G264" s="18" t="s">
        <v>43</v>
      </c>
      <c r="H264" s="18">
        <v>7.3</v>
      </c>
      <c r="I264" s="20">
        <v>80</v>
      </c>
      <c r="J264" s="21">
        <v>584</v>
      </c>
    </row>
    <row r="265" spans="1:10">
      <c r="A265" s="19">
        <v>35374</v>
      </c>
      <c r="B265" s="18" t="s">
        <v>26</v>
      </c>
      <c r="C265" s="18" t="s">
        <v>34</v>
      </c>
      <c r="D265" s="18" t="s">
        <v>28</v>
      </c>
      <c r="E265" s="18" t="s">
        <v>33</v>
      </c>
      <c r="F265" s="18" t="s">
        <v>45</v>
      </c>
      <c r="G265" s="18" t="s">
        <v>38</v>
      </c>
      <c r="H265" s="18">
        <v>30.4</v>
      </c>
      <c r="I265" s="20">
        <v>20</v>
      </c>
      <c r="J265" s="21">
        <v>608</v>
      </c>
    </row>
    <row r="266" spans="1:10">
      <c r="A266" s="19">
        <v>35374</v>
      </c>
      <c r="B266" s="18" t="s">
        <v>26</v>
      </c>
      <c r="C266" s="18" t="s">
        <v>36</v>
      </c>
      <c r="D266" s="18" t="s">
        <v>28</v>
      </c>
      <c r="E266" s="18" t="s">
        <v>35</v>
      </c>
      <c r="F266" s="18" t="s">
        <v>45</v>
      </c>
      <c r="G266" s="18" t="s">
        <v>38</v>
      </c>
      <c r="H266" s="18">
        <v>31.2</v>
      </c>
      <c r="I266" s="20">
        <v>36</v>
      </c>
      <c r="J266" s="21">
        <v>1123.2</v>
      </c>
    </row>
    <row r="267" spans="1:10">
      <c r="A267" s="19">
        <v>35375</v>
      </c>
      <c r="B267" s="18" t="s">
        <v>39</v>
      </c>
      <c r="C267" s="18" t="s">
        <v>40</v>
      </c>
      <c r="D267" s="18" t="s">
        <v>28</v>
      </c>
      <c r="E267" s="18" t="s">
        <v>29</v>
      </c>
      <c r="F267" s="18" t="s">
        <v>42</v>
      </c>
      <c r="G267" s="18" t="s">
        <v>43</v>
      </c>
      <c r="H267" s="18">
        <v>6.2</v>
      </c>
      <c r="I267" s="20">
        <v>6</v>
      </c>
      <c r="J267" s="21">
        <v>37.200000000000003</v>
      </c>
    </row>
    <row r="268" spans="1:10">
      <c r="A268" s="19">
        <v>35375</v>
      </c>
      <c r="B268" s="18" t="s">
        <v>39</v>
      </c>
      <c r="C268" s="18" t="s">
        <v>41</v>
      </c>
      <c r="D268" s="18" t="s">
        <v>28</v>
      </c>
      <c r="E268" s="18" t="s">
        <v>29</v>
      </c>
      <c r="F268" s="18" t="s">
        <v>42</v>
      </c>
      <c r="G268" s="18" t="s">
        <v>43</v>
      </c>
      <c r="H268" s="18">
        <v>11.2</v>
      </c>
      <c r="I268" s="20">
        <v>10</v>
      </c>
      <c r="J268" s="21">
        <v>112</v>
      </c>
    </row>
    <row r="269" spans="1:10">
      <c r="A269" s="19">
        <v>35375</v>
      </c>
      <c r="B269" s="18" t="s">
        <v>39</v>
      </c>
      <c r="C269" s="18" t="s">
        <v>44</v>
      </c>
      <c r="D269" s="18" t="s">
        <v>28</v>
      </c>
      <c r="E269" s="18" t="s">
        <v>33</v>
      </c>
      <c r="F269" s="18" t="s">
        <v>42</v>
      </c>
      <c r="G269" s="18" t="s">
        <v>43</v>
      </c>
      <c r="H269" s="18">
        <v>14.7</v>
      </c>
      <c r="I269" s="20">
        <v>4</v>
      </c>
      <c r="J269" s="21">
        <v>58.8</v>
      </c>
    </row>
    <row r="270" spans="1:10">
      <c r="A270" s="19">
        <v>35375</v>
      </c>
      <c r="B270" s="18" t="s">
        <v>39</v>
      </c>
      <c r="C270" s="18" t="s">
        <v>46</v>
      </c>
      <c r="D270" s="18" t="s">
        <v>28</v>
      </c>
      <c r="E270" s="18" t="s">
        <v>35</v>
      </c>
      <c r="F270" s="18" t="s">
        <v>42</v>
      </c>
      <c r="G270" s="18" t="s">
        <v>43</v>
      </c>
      <c r="H270" s="18">
        <v>14.4</v>
      </c>
      <c r="I270" s="20">
        <v>50</v>
      </c>
      <c r="J270" s="21">
        <v>720</v>
      </c>
    </row>
    <row r="271" spans="1:10">
      <c r="A271" s="19">
        <v>35376</v>
      </c>
      <c r="B271" s="18" t="s">
        <v>39</v>
      </c>
      <c r="C271" s="18" t="s">
        <v>47</v>
      </c>
      <c r="D271" s="18" t="s">
        <v>28</v>
      </c>
      <c r="E271" s="18" t="s">
        <v>29</v>
      </c>
      <c r="F271" s="18" t="s">
        <v>42</v>
      </c>
      <c r="G271" s="18" t="s">
        <v>43</v>
      </c>
      <c r="H271" s="18">
        <v>14.4</v>
      </c>
      <c r="I271" s="20">
        <v>15</v>
      </c>
      <c r="J271" s="21">
        <v>216</v>
      </c>
    </row>
    <row r="272" spans="1:10">
      <c r="A272" s="19">
        <v>35376</v>
      </c>
      <c r="B272" s="18" t="s">
        <v>26</v>
      </c>
      <c r="C272" s="18" t="s">
        <v>27</v>
      </c>
      <c r="D272" s="18" t="s">
        <v>28</v>
      </c>
      <c r="E272" s="18" t="s">
        <v>33</v>
      </c>
      <c r="F272" s="18" t="s">
        <v>42</v>
      </c>
      <c r="G272" s="18" t="s">
        <v>43</v>
      </c>
      <c r="H272" s="18">
        <v>7.2</v>
      </c>
      <c r="I272" s="20">
        <v>25</v>
      </c>
      <c r="J272" s="21">
        <v>180</v>
      </c>
    </row>
    <row r="273" spans="1:10">
      <c r="A273" s="19">
        <v>35377</v>
      </c>
      <c r="B273" s="18" t="s">
        <v>26</v>
      </c>
      <c r="C273" s="18" t="s">
        <v>32</v>
      </c>
      <c r="D273" s="18" t="s">
        <v>28</v>
      </c>
      <c r="E273" s="18" t="s">
        <v>35</v>
      </c>
      <c r="F273" s="18" t="s">
        <v>52</v>
      </c>
      <c r="G273" s="18" t="s">
        <v>31</v>
      </c>
      <c r="H273" s="18">
        <v>5.9</v>
      </c>
      <c r="I273" s="20">
        <v>24</v>
      </c>
      <c r="J273" s="21">
        <v>141.60000000000002</v>
      </c>
    </row>
    <row r="274" spans="1:10">
      <c r="A274" s="19">
        <v>35380</v>
      </c>
      <c r="B274" s="18" t="s">
        <v>26</v>
      </c>
      <c r="C274" s="18" t="s">
        <v>34</v>
      </c>
      <c r="D274" s="18" t="s">
        <v>28</v>
      </c>
      <c r="E274" s="18" t="s">
        <v>29</v>
      </c>
      <c r="F274" s="18" t="s">
        <v>49</v>
      </c>
      <c r="G274" s="18" t="s">
        <v>38</v>
      </c>
      <c r="H274" s="18">
        <v>16.8</v>
      </c>
      <c r="I274" s="20">
        <v>10</v>
      </c>
      <c r="J274" s="21">
        <v>168</v>
      </c>
    </row>
    <row r="275" spans="1:10">
      <c r="A275" s="19">
        <v>35380</v>
      </c>
      <c r="B275" s="18" t="s">
        <v>26</v>
      </c>
      <c r="C275" s="18" t="s">
        <v>36</v>
      </c>
      <c r="D275" s="18" t="s">
        <v>28</v>
      </c>
      <c r="E275" s="18" t="s">
        <v>33</v>
      </c>
      <c r="F275" s="18" t="s">
        <v>49</v>
      </c>
      <c r="G275" s="18" t="s">
        <v>38</v>
      </c>
      <c r="H275" s="18">
        <v>15.5</v>
      </c>
      <c r="I275" s="20">
        <v>77</v>
      </c>
      <c r="J275" s="21">
        <v>1193.5</v>
      </c>
    </row>
    <row r="276" spans="1:10">
      <c r="A276" s="19">
        <v>35380</v>
      </c>
      <c r="B276" s="18" t="s">
        <v>39</v>
      </c>
      <c r="C276" s="18" t="s">
        <v>40</v>
      </c>
      <c r="D276" s="18" t="s">
        <v>28</v>
      </c>
      <c r="E276" s="18" t="s">
        <v>35</v>
      </c>
      <c r="F276" s="18" t="s">
        <v>37</v>
      </c>
      <c r="G276" s="18" t="s">
        <v>38</v>
      </c>
      <c r="H276" s="18">
        <v>28.8</v>
      </c>
      <c r="I276" s="20">
        <v>18</v>
      </c>
      <c r="J276" s="21">
        <v>518.4</v>
      </c>
    </row>
    <row r="277" spans="1:10">
      <c r="A277" s="19">
        <v>35380</v>
      </c>
      <c r="B277" s="18" t="s">
        <v>39</v>
      </c>
      <c r="C277" s="18" t="s">
        <v>41</v>
      </c>
      <c r="D277" s="18" t="s">
        <v>28</v>
      </c>
      <c r="E277" s="18" t="s">
        <v>29</v>
      </c>
      <c r="F277" s="18" t="s">
        <v>49</v>
      </c>
      <c r="G277" s="18" t="s">
        <v>38</v>
      </c>
      <c r="H277" s="18">
        <v>210.8</v>
      </c>
      <c r="I277" s="20">
        <v>20</v>
      </c>
      <c r="J277" s="21">
        <v>4216</v>
      </c>
    </row>
    <row r="278" spans="1:10">
      <c r="A278" s="19">
        <v>35380</v>
      </c>
      <c r="B278" s="18" t="s">
        <v>39</v>
      </c>
      <c r="C278" s="18" t="s">
        <v>44</v>
      </c>
      <c r="D278" s="18" t="s">
        <v>28</v>
      </c>
      <c r="E278" s="18" t="s">
        <v>33</v>
      </c>
      <c r="F278" s="18" t="s">
        <v>49</v>
      </c>
      <c r="G278" s="18" t="s">
        <v>38</v>
      </c>
      <c r="H278" s="18">
        <v>7.7</v>
      </c>
      <c r="I278" s="20">
        <v>13</v>
      </c>
      <c r="J278" s="21">
        <v>100.10000000000001</v>
      </c>
    </row>
    <row r="279" spans="1:10">
      <c r="A279" s="19">
        <v>35380</v>
      </c>
      <c r="B279" s="18" t="s">
        <v>39</v>
      </c>
      <c r="C279" s="18" t="s">
        <v>46</v>
      </c>
      <c r="D279" s="18" t="s">
        <v>28</v>
      </c>
      <c r="E279" s="18" t="s">
        <v>35</v>
      </c>
      <c r="F279" s="18" t="s">
        <v>37</v>
      </c>
      <c r="G279" s="18" t="s">
        <v>38</v>
      </c>
      <c r="H279" s="18">
        <v>13</v>
      </c>
      <c r="I279" s="20">
        <v>15</v>
      </c>
      <c r="J279" s="21">
        <v>195</v>
      </c>
    </row>
    <row r="280" spans="1:10">
      <c r="A280" s="19">
        <v>35381</v>
      </c>
      <c r="B280" s="18" t="s">
        <v>39</v>
      </c>
      <c r="C280" s="18" t="s">
        <v>47</v>
      </c>
      <c r="D280" s="18" t="s">
        <v>28</v>
      </c>
      <c r="E280" s="18" t="s">
        <v>29</v>
      </c>
      <c r="F280" s="18" t="s">
        <v>45</v>
      </c>
      <c r="G280" s="18" t="s">
        <v>38</v>
      </c>
      <c r="H280" s="18">
        <v>5.9</v>
      </c>
      <c r="I280" s="20">
        <v>20</v>
      </c>
      <c r="J280" s="21">
        <v>118</v>
      </c>
    </row>
    <row r="281" spans="1:10">
      <c r="A281" s="19">
        <v>35381</v>
      </c>
      <c r="B281" s="18" t="s">
        <v>26</v>
      </c>
      <c r="C281" s="18" t="s">
        <v>27</v>
      </c>
      <c r="D281" s="18" t="s">
        <v>28</v>
      </c>
      <c r="E281" s="18" t="s">
        <v>33</v>
      </c>
      <c r="F281" s="18" t="s">
        <v>45</v>
      </c>
      <c r="G281" s="18" t="s">
        <v>38</v>
      </c>
      <c r="H281" s="18">
        <v>3.6</v>
      </c>
      <c r="I281" s="20">
        <v>10</v>
      </c>
      <c r="J281" s="21">
        <v>36</v>
      </c>
    </row>
    <row r="282" spans="1:10">
      <c r="A282" s="19">
        <v>35382</v>
      </c>
      <c r="B282" s="18" t="s">
        <v>26</v>
      </c>
      <c r="C282" s="18" t="s">
        <v>32</v>
      </c>
      <c r="D282" s="18" t="s">
        <v>28</v>
      </c>
      <c r="E282" s="18" t="s">
        <v>35</v>
      </c>
      <c r="F282" s="18" t="s">
        <v>52</v>
      </c>
      <c r="G282" s="18" t="s">
        <v>31</v>
      </c>
      <c r="H282" s="18">
        <v>16.8</v>
      </c>
      <c r="I282" s="20">
        <v>12</v>
      </c>
      <c r="J282" s="21">
        <v>201.60000000000002</v>
      </c>
    </row>
    <row r="283" spans="1:10">
      <c r="A283" s="19">
        <v>35382</v>
      </c>
      <c r="B283" s="18" t="s">
        <v>26</v>
      </c>
      <c r="C283" s="18" t="s">
        <v>34</v>
      </c>
      <c r="D283" s="18" t="s">
        <v>28</v>
      </c>
      <c r="E283" s="18" t="s">
        <v>29</v>
      </c>
      <c r="F283" s="18" t="s">
        <v>52</v>
      </c>
      <c r="G283" s="18" t="s">
        <v>31</v>
      </c>
      <c r="H283" s="18">
        <v>210.8</v>
      </c>
      <c r="I283" s="20">
        <v>50</v>
      </c>
      <c r="J283" s="21">
        <v>10540</v>
      </c>
    </row>
    <row r="284" spans="1:10">
      <c r="A284" s="19">
        <v>35383</v>
      </c>
      <c r="B284" s="18" t="s">
        <v>26</v>
      </c>
      <c r="C284" s="18" t="s">
        <v>36</v>
      </c>
      <c r="D284" s="18" t="s">
        <v>28</v>
      </c>
      <c r="E284" s="18" t="s">
        <v>33</v>
      </c>
      <c r="F284" s="18" t="s">
        <v>50</v>
      </c>
      <c r="G284" s="18" t="s">
        <v>31</v>
      </c>
      <c r="H284" s="18">
        <v>14.4</v>
      </c>
      <c r="I284" s="20">
        <v>12</v>
      </c>
      <c r="J284" s="21">
        <v>172.8</v>
      </c>
    </row>
    <row r="285" spans="1:10">
      <c r="A285" s="19">
        <v>35383</v>
      </c>
      <c r="B285" s="18" t="s">
        <v>39</v>
      </c>
      <c r="C285" s="18" t="s">
        <v>40</v>
      </c>
      <c r="D285" s="18" t="s">
        <v>28</v>
      </c>
      <c r="E285" s="18" t="s">
        <v>35</v>
      </c>
      <c r="F285" s="18" t="s">
        <v>50</v>
      </c>
      <c r="G285" s="18" t="s">
        <v>31</v>
      </c>
      <c r="H285" s="18">
        <v>99</v>
      </c>
      <c r="I285" s="20">
        <v>4</v>
      </c>
      <c r="J285" s="21">
        <v>396</v>
      </c>
    </row>
    <row r="286" spans="1:10">
      <c r="A286" s="19">
        <v>35384</v>
      </c>
      <c r="B286" s="18" t="s">
        <v>39</v>
      </c>
      <c r="C286" s="18" t="s">
        <v>41</v>
      </c>
      <c r="D286" s="18" t="s">
        <v>28</v>
      </c>
      <c r="E286" s="18" t="s">
        <v>29</v>
      </c>
      <c r="F286" s="18" t="s">
        <v>37</v>
      </c>
      <c r="G286" s="18" t="s">
        <v>38</v>
      </c>
      <c r="H286" s="18">
        <v>3.6</v>
      </c>
      <c r="I286" s="20">
        <v>25</v>
      </c>
      <c r="J286" s="21">
        <v>90</v>
      </c>
    </row>
    <row r="287" spans="1:10">
      <c r="A287" s="19">
        <v>35384</v>
      </c>
      <c r="B287" s="18" t="s">
        <v>39</v>
      </c>
      <c r="C287" s="18" t="s">
        <v>44</v>
      </c>
      <c r="D287" s="18" t="s">
        <v>28</v>
      </c>
      <c r="E287" s="18" t="s">
        <v>29</v>
      </c>
      <c r="F287" s="18" t="s">
        <v>37</v>
      </c>
      <c r="G287" s="18" t="s">
        <v>38</v>
      </c>
      <c r="H287" s="18">
        <v>15.6</v>
      </c>
      <c r="I287" s="20">
        <v>25</v>
      </c>
      <c r="J287" s="21">
        <v>390</v>
      </c>
    </row>
    <row r="288" spans="1:10">
      <c r="A288" s="19">
        <v>35387</v>
      </c>
      <c r="B288" s="18" t="s">
        <v>39</v>
      </c>
      <c r="C288" s="18" t="s">
        <v>46</v>
      </c>
      <c r="D288" s="18" t="s">
        <v>28</v>
      </c>
      <c r="E288" s="18" t="s">
        <v>33</v>
      </c>
      <c r="F288" s="18" t="s">
        <v>37</v>
      </c>
      <c r="G288" s="18" t="s">
        <v>38</v>
      </c>
      <c r="H288" s="18">
        <v>28.8</v>
      </c>
      <c r="I288" s="20">
        <v>20</v>
      </c>
      <c r="J288" s="21">
        <v>576</v>
      </c>
    </row>
    <row r="289" spans="1:10">
      <c r="A289" s="19">
        <v>35387</v>
      </c>
      <c r="B289" s="18" t="s">
        <v>39</v>
      </c>
      <c r="C289" s="18" t="s">
        <v>47</v>
      </c>
      <c r="D289" s="18" t="s">
        <v>28</v>
      </c>
      <c r="E289" s="18" t="s">
        <v>35</v>
      </c>
      <c r="F289" s="18" t="s">
        <v>37</v>
      </c>
      <c r="G289" s="18" t="s">
        <v>38</v>
      </c>
      <c r="H289" s="18">
        <v>10</v>
      </c>
      <c r="I289" s="20">
        <v>30</v>
      </c>
      <c r="J289" s="21">
        <v>300</v>
      </c>
    </row>
    <row r="290" spans="1:10">
      <c r="A290" s="19">
        <v>35387</v>
      </c>
      <c r="B290" s="18" t="s">
        <v>26</v>
      </c>
      <c r="C290" s="18" t="s">
        <v>27</v>
      </c>
      <c r="D290" s="18" t="s">
        <v>28</v>
      </c>
      <c r="E290" s="18" t="s">
        <v>29</v>
      </c>
      <c r="F290" s="18" t="s">
        <v>37</v>
      </c>
      <c r="G290" s="18" t="s">
        <v>38</v>
      </c>
      <c r="H290" s="18">
        <v>19.2</v>
      </c>
      <c r="I290" s="20">
        <v>12</v>
      </c>
      <c r="J290" s="21">
        <v>230.39999999999998</v>
      </c>
    </row>
    <row r="291" spans="1:10">
      <c r="A291" s="19">
        <v>35388</v>
      </c>
      <c r="B291" s="18" t="s">
        <v>26</v>
      </c>
      <c r="C291" s="18" t="s">
        <v>32</v>
      </c>
      <c r="D291" s="18" t="s">
        <v>28</v>
      </c>
      <c r="E291" s="18" t="s">
        <v>33</v>
      </c>
      <c r="F291" s="18" t="s">
        <v>49</v>
      </c>
      <c r="G291" s="18" t="s">
        <v>38</v>
      </c>
      <c r="H291" s="18">
        <v>27.2</v>
      </c>
      <c r="I291" s="20">
        <v>8</v>
      </c>
      <c r="J291" s="21">
        <v>217.6</v>
      </c>
    </row>
    <row r="292" spans="1:10">
      <c r="A292" s="19">
        <v>35388</v>
      </c>
      <c r="B292" s="18" t="s">
        <v>26</v>
      </c>
      <c r="C292" s="18" t="s">
        <v>34</v>
      </c>
      <c r="D292" s="18" t="s">
        <v>28</v>
      </c>
      <c r="E292" s="18" t="s">
        <v>35</v>
      </c>
      <c r="F292" s="18" t="s">
        <v>49</v>
      </c>
      <c r="G292" s="18" t="s">
        <v>38</v>
      </c>
      <c r="H292" s="18">
        <v>24.9</v>
      </c>
      <c r="I292" s="20">
        <v>16</v>
      </c>
      <c r="J292" s="21">
        <v>398.4</v>
      </c>
    </row>
    <row r="293" spans="1:10">
      <c r="A293" s="19">
        <v>35388</v>
      </c>
      <c r="B293" s="18" t="s">
        <v>26</v>
      </c>
      <c r="C293" s="18" t="s">
        <v>36</v>
      </c>
      <c r="D293" s="18" t="s">
        <v>28</v>
      </c>
      <c r="E293" s="18" t="s">
        <v>29</v>
      </c>
      <c r="F293" s="18" t="s">
        <v>49</v>
      </c>
      <c r="G293" s="18" t="s">
        <v>38</v>
      </c>
      <c r="H293" s="18">
        <v>24.8</v>
      </c>
      <c r="I293" s="20">
        <v>30</v>
      </c>
      <c r="J293" s="21">
        <v>744</v>
      </c>
    </row>
    <row r="294" spans="1:10">
      <c r="A294" s="19">
        <v>35389</v>
      </c>
      <c r="B294" s="18" t="s">
        <v>39</v>
      </c>
      <c r="C294" s="18" t="s">
        <v>40</v>
      </c>
      <c r="D294" s="18" t="s">
        <v>28</v>
      </c>
      <c r="E294" s="18" t="s">
        <v>33</v>
      </c>
      <c r="F294" s="18" t="s">
        <v>30</v>
      </c>
      <c r="G294" s="18" t="s">
        <v>31</v>
      </c>
      <c r="H294" s="18">
        <v>11.2</v>
      </c>
      <c r="I294" s="20">
        <v>10</v>
      </c>
      <c r="J294" s="21">
        <v>112</v>
      </c>
    </row>
    <row r="295" spans="1:10">
      <c r="A295" s="19">
        <v>35389</v>
      </c>
      <c r="B295" s="18" t="s">
        <v>39</v>
      </c>
      <c r="C295" s="18" t="s">
        <v>41</v>
      </c>
      <c r="D295" s="18" t="s">
        <v>28</v>
      </c>
      <c r="E295" s="18" t="s">
        <v>35</v>
      </c>
      <c r="F295" s="18" t="s">
        <v>30</v>
      </c>
      <c r="G295" s="18" t="s">
        <v>31</v>
      </c>
      <c r="H295" s="18">
        <v>3.6</v>
      </c>
      <c r="I295" s="20">
        <v>10</v>
      </c>
      <c r="J295" s="21">
        <v>36</v>
      </c>
    </row>
    <row r="296" spans="1:10">
      <c r="A296" s="19">
        <v>35389</v>
      </c>
      <c r="B296" s="18" t="s">
        <v>39</v>
      </c>
      <c r="C296" s="18" t="s">
        <v>44</v>
      </c>
      <c r="D296" s="18" t="s">
        <v>28</v>
      </c>
      <c r="E296" s="18" t="s">
        <v>29</v>
      </c>
      <c r="F296" s="18" t="s">
        <v>30</v>
      </c>
      <c r="G296" s="18" t="s">
        <v>31</v>
      </c>
      <c r="H296" s="18">
        <v>15.2</v>
      </c>
      <c r="I296" s="20">
        <v>20</v>
      </c>
      <c r="J296" s="21">
        <v>304</v>
      </c>
    </row>
    <row r="297" spans="1:10">
      <c r="A297" s="19">
        <v>35390</v>
      </c>
      <c r="B297" s="18" t="s">
        <v>39</v>
      </c>
      <c r="C297" s="18" t="s">
        <v>46</v>
      </c>
      <c r="D297" s="18" t="s">
        <v>28</v>
      </c>
      <c r="E297" s="18" t="s">
        <v>33</v>
      </c>
      <c r="F297" s="18" t="s">
        <v>30</v>
      </c>
      <c r="G297" s="18" t="s">
        <v>31</v>
      </c>
      <c r="H297" s="18">
        <v>13.9</v>
      </c>
      <c r="I297" s="20">
        <v>56</v>
      </c>
      <c r="J297" s="21">
        <v>778.4</v>
      </c>
    </row>
    <row r="298" spans="1:10">
      <c r="A298" s="19">
        <v>35390</v>
      </c>
      <c r="B298" s="18" t="s">
        <v>39</v>
      </c>
      <c r="C298" s="18" t="s">
        <v>47</v>
      </c>
      <c r="D298" s="18" t="s">
        <v>28</v>
      </c>
      <c r="E298" s="18" t="s">
        <v>35</v>
      </c>
      <c r="F298" s="18" t="s">
        <v>30</v>
      </c>
      <c r="G298" s="18" t="s">
        <v>31</v>
      </c>
      <c r="H298" s="18">
        <v>27.2</v>
      </c>
      <c r="I298" s="20">
        <v>80</v>
      </c>
      <c r="J298" s="21">
        <v>2176</v>
      </c>
    </row>
    <row r="299" spans="1:10">
      <c r="A299" s="19">
        <v>35390</v>
      </c>
      <c r="B299" s="18" t="s">
        <v>26</v>
      </c>
      <c r="C299" s="18" t="s">
        <v>27</v>
      </c>
      <c r="D299" s="18" t="s">
        <v>28</v>
      </c>
      <c r="E299" s="18" t="s">
        <v>29</v>
      </c>
      <c r="F299" s="18" t="s">
        <v>30</v>
      </c>
      <c r="G299" s="18" t="s">
        <v>31</v>
      </c>
      <c r="H299" s="18">
        <v>10</v>
      </c>
      <c r="I299" s="20">
        <v>70</v>
      </c>
      <c r="J299" s="21">
        <v>700</v>
      </c>
    </row>
    <row r="300" spans="1:10">
      <c r="A300" s="19">
        <v>35391</v>
      </c>
      <c r="B300" s="18" t="s">
        <v>26</v>
      </c>
      <c r="C300" s="18" t="s">
        <v>32</v>
      </c>
      <c r="D300" s="18" t="s">
        <v>28</v>
      </c>
      <c r="E300" s="18" t="s">
        <v>33</v>
      </c>
      <c r="F300" s="18" t="s">
        <v>49</v>
      </c>
      <c r="G300" s="18" t="s">
        <v>38</v>
      </c>
      <c r="H300" s="18">
        <v>27.2</v>
      </c>
      <c r="I300" s="20">
        <v>55</v>
      </c>
      <c r="J300" s="21">
        <v>1496</v>
      </c>
    </row>
    <row r="301" spans="1:10">
      <c r="A301" s="19">
        <v>35391</v>
      </c>
      <c r="B301" s="18" t="s">
        <v>26</v>
      </c>
      <c r="C301" s="18" t="s">
        <v>34</v>
      </c>
      <c r="D301" s="18" t="s">
        <v>28</v>
      </c>
      <c r="E301" s="18" t="s">
        <v>35</v>
      </c>
      <c r="F301" s="18" t="s">
        <v>42</v>
      </c>
      <c r="G301" s="18" t="s">
        <v>43</v>
      </c>
      <c r="H301" s="18">
        <v>5.9</v>
      </c>
      <c r="I301" s="20">
        <v>28</v>
      </c>
      <c r="J301" s="21">
        <v>165.20000000000002</v>
      </c>
    </row>
    <row r="302" spans="1:10">
      <c r="A302" s="19">
        <v>35391</v>
      </c>
      <c r="B302" s="18" t="s">
        <v>26</v>
      </c>
      <c r="C302" s="18" t="s">
        <v>36</v>
      </c>
      <c r="D302" s="18" t="s">
        <v>28</v>
      </c>
      <c r="E302" s="18" t="s">
        <v>29</v>
      </c>
      <c r="F302" s="18" t="s">
        <v>42</v>
      </c>
      <c r="G302" s="18" t="s">
        <v>43</v>
      </c>
      <c r="H302" s="18">
        <v>36.4</v>
      </c>
      <c r="I302" s="20">
        <v>30</v>
      </c>
      <c r="J302" s="21">
        <v>1092</v>
      </c>
    </row>
    <row r="303" spans="1:10">
      <c r="A303" s="19">
        <v>35391</v>
      </c>
      <c r="B303" s="18" t="s">
        <v>39</v>
      </c>
      <c r="C303" s="18" t="s">
        <v>40</v>
      </c>
      <c r="D303" s="18" t="s">
        <v>28</v>
      </c>
      <c r="E303" s="18" t="s">
        <v>33</v>
      </c>
      <c r="F303" s="18" t="s">
        <v>42</v>
      </c>
      <c r="G303" s="18" t="s">
        <v>43</v>
      </c>
      <c r="H303" s="18">
        <v>210.8</v>
      </c>
      <c r="I303" s="20">
        <v>10</v>
      </c>
      <c r="J303" s="21">
        <v>2108</v>
      </c>
    </row>
    <row r="304" spans="1:10">
      <c r="A304" s="19">
        <v>35391</v>
      </c>
      <c r="B304" s="18" t="s">
        <v>39</v>
      </c>
      <c r="C304" s="18" t="s">
        <v>41</v>
      </c>
      <c r="D304" s="18" t="s">
        <v>28</v>
      </c>
      <c r="E304" s="18" t="s">
        <v>35</v>
      </c>
      <c r="F304" s="18" t="s">
        <v>42</v>
      </c>
      <c r="G304" s="18" t="s">
        <v>43</v>
      </c>
      <c r="H304" s="18">
        <v>16</v>
      </c>
      <c r="I304" s="20">
        <v>35</v>
      </c>
      <c r="J304" s="21">
        <v>560</v>
      </c>
    </row>
    <row r="305" spans="1:10">
      <c r="A305" s="19">
        <v>35391</v>
      </c>
      <c r="B305" s="18" t="s">
        <v>39</v>
      </c>
      <c r="C305" s="18" t="s">
        <v>44</v>
      </c>
      <c r="D305" s="18" t="s">
        <v>28</v>
      </c>
      <c r="E305" s="18" t="s">
        <v>29</v>
      </c>
      <c r="F305" s="18" t="s">
        <v>42</v>
      </c>
      <c r="G305" s="18" t="s">
        <v>43</v>
      </c>
      <c r="H305" s="18">
        <v>99</v>
      </c>
      <c r="I305" s="20">
        <v>35</v>
      </c>
      <c r="J305" s="21">
        <v>3465</v>
      </c>
    </row>
    <row r="306" spans="1:10">
      <c r="A306" s="19">
        <v>35391</v>
      </c>
      <c r="B306" s="18" t="s">
        <v>39</v>
      </c>
      <c r="C306" s="18" t="s">
        <v>46</v>
      </c>
      <c r="D306" s="18" t="s">
        <v>28</v>
      </c>
      <c r="E306" s="18" t="s">
        <v>29</v>
      </c>
      <c r="F306" s="18" t="s">
        <v>49</v>
      </c>
      <c r="G306" s="18" t="s">
        <v>38</v>
      </c>
      <c r="H306" s="18">
        <v>14.4</v>
      </c>
      <c r="I306" s="20">
        <v>54</v>
      </c>
      <c r="J306" s="21">
        <v>777.6</v>
      </c>
    </row>
    <row r="307" spans="1:10">
      <c r="A307" s="19">
        <v>35394</v>
      </c>
      <c r="B307" s="18" t="s">
        <v>39</v>
      </c>
      <c r="C307" s="18" t="s">
        <v>47</v>
      </c>
      <c r="D307" s="18" t="s">
        <v>28</v>
      </c>
      <c r="E307" s="18" t="s">
        <v>33</v>
      </c>
      <c r="F307" s="18" t="s">
        <v>45</v>
      </c>
      <c r="G307" s="18" t="s">
        <v>38</v>
      </c>
      <c r="H307" s="18">
        <v>5.9</v>
      </c>
      <c r="I307" s="20">
        <v>24</v>
      </c>
      <c r="J307" s="21">
        <v>141.60000000000002</v>
      </c>
    </row>
    <row r="308" spans="1:10">
      <c r="A308" s="19">
        <v>35394</v>
      </c>
      <c r="B308" s="18" t="s">
        <v>26</v>
      </c>
      <c r="C308" s="18" t="s">
        <v>27</v>
      </c>
      <c r="D308" s="18" t="s">
        <v>28</v>
      </c>
      <c r="E308" s="18" t="s">
        <v>35</v>
      </c>
      <c r="F308" s="18" t="s">
        <v>45</v>
      </c>
      <c r="G308" s="18" t="s">
        <v>38</v>
      </c>
      <c r="H308" s="18">
        <v>11.2</v>
      </c>
      <c r="I308" s="20">
        <v>50</v>
      </c>
      <c r="J308" s="21">
        <v>560</v>
      </c>
    </row>
    <row r="309" spans="1:10">
      <c r="A309" s="19">
        <v>35394</v>
      </c>
      <c r="B309" s="18" t="s">
        <v>26</v>
      </c>
      <c r="C309" s="18" t="s">
        <v>32</v>
      </c>
      <c r="D309" s="18" t="s">
        <v>28</v>
      </c>
      <c r="E309" s="18" t="s">
        <v>29</v>
      </c>
      <c r="F309" s="18" t="s">
        <v>45</v>
      </c>
      <c r="G309" s="18" t="s">
        <v>38</v>
      </c>
      <c r="H309" s="18">
        <v>42.4</v>
      </c>
      <c r="I309" s="20">
        <v>20</v>
      </c>
      <c r="J309" s="21">
        <v>848</v>
      </c>
    </row>
    <row r="310" spans="1:10">
      <c r="A310" s="19">
        <v>35395</v>
      </c>
      <c r="B310" s="18" t="s">
        <v>26</v>
      </c>
      <c r="C310" s="18" t="s">
        <v>34</v>
      </c>
      <c r="D310" s="18" t="s">
        <v>28</v>
      </c>
      <c r="E310" s="18" t="s">
        <v>33</v>
      </c>
      <c r="F310" s="18" t="s">
        <v>49</v>
      </c>
      <c r="G310" s="18" t="s">
        <v>38</v>
      </c>
      <c r="H310" s="18">
        <v>28.8</v>
      </c>
      <c r="I310" s="20">
        <v>30</v>
      </c>
      <c r="J310" s="21">
        <v>864</v>
      </c>
    </row>
    <row r="311" spans="1:10">
      <c r="A311" s="19">
        <v>35395</v>
      </c>
      <c r="B311" s="18" t="s">
        <v>26</v>
      </c>
      <c r="C311" s="18" t="s">
        <v>36</v>
      </c>
      <c r="D311" s="18" t="s">
        <v>28</v>
      </c>
      <c r="E311" s="18" t="s">
        <v>35</v>
      </c>
      <c r="F311" s="18" t="s">
        <v>42</v>
      </c>
      <c r="G311" s="18" t="s">
        <v>43</v>
      </c>
      <c r="H311" s="18">
        <v>14.4</v>
      </c>
      <c r="I311" s="20">
        <v>12</v>
      </c>
      <c r="J311" s="21">
        <v>172.8</v>
      </c>
    </row>
    <row r="312" spans="1:10">
      <c r="A312" s="19">
        <v>35395</v>
      </c>
      <c r="B312" s="18" t="s">
        <v>39</v>
      </c>
      <c r="C312" s="18" t="s">
        <v>40</v>
      </c>
      <c r="D312" s="18" t="s">
        <v>28</v>
      </c>
      <c r="E312" s="18" t="s">
        <v>29</v>
      </c>
      <c r="F312" s="18" t="s">
        <v>42</v>
      </c>
      <c r="G312" s="18" t="s">
        <v>43</v>
      </c>
      <c r="H312" s="18">
        <v>6.2</v>
      </c>
      <c r="I312" s="20">
        <v>12</v>
      </c>
      <c r="J312" s="21">
        <v>74.400000000000006</v>
      </c>
    </row>
    <row r="313" spans="1:10">
      <c r="A313" s="19">
        <v>35395</v>
      </c>
      <c r="B313" s="18" t="s">
        <v>39</v>
      </c>
      <c r="C313" s="18" t="s">
        <v>41</v>
      </c>
      <c r="D313" s="18" t="s">
        <v>28</v>
      </c>
      <c r="E313" s="18" t="s">
        <v>33</v>
      </c>
      <c r="F313" s="18" t="s">
        <v>42</v>
      </c>
      <c r="G313" s="18" t="s">
        <v>43</v>
      </c>
      <c r="H313" s="18">
        <v>10</v>
      </c>
      <c r="I313" s="20">
        <v>20</v>
      </c>
      <c r="J313" s="21">
        <v>200</v>
      </c>
    </row>
    <row r="314" spans="1:10">
      <c r="A314" s="19">
        <v>35395</v>
      </c>
      <c r="B314" s="18" t="s">
        <v>39</v>
      </c>
      <c r="C314" s="18" t="s">
        <v>44</v>
      </c>
      <c r="D314" s="18" t="s">
        <v>28</v>
      </c>
      <c r="E314" s="18" t="s">
        <v>35</v>
      </c>
      <c r="F314" s="18" t="s">
        <v>49</v>
      </c>
      <c r="G314" s="18" t="s">
        <v>38</v>
      </c>
      <c r="H314" s="18">
        <v>17.2</v>
      </c>
      <c r="I314" s="20">
        <v>5</v>
      </c>
      <c r="J314" s="21">
        <v>86</v>
      </c>
    </row>
    <row r="315" spans="1:10">
      <c r="A315" s="19">
        <v>35396</v>
      </c>
      <c r="B315" s="18" t="s">
        <v>39</v>
      </c>
      <c r="C315" s="18" t="s">
        <v>46</v>
      </c>
      <c r="D315" s="18" t="s">
        <v>28</v>
      </c>
      <c r="E315" s="18" t="s">
        <v>29</v>
      </c>
      <c r="F315" s="18" t="s">
        <v>45</v>
      </c>
      <c r="G315" s="18" t="s">
        <v>38</v>
      </c>
      <c r="H315" s="18">
        <v>16.8</v>
      </c>
      <c r="I315" s="20">
        <v>24</v>
      </c>
      <c r="J315" s="21">
        <v>403.20000000000005</v>
      </c>
    </row>
    <row r="316" spans="1:10">
      <c r="A316" s="19">
        <v>35397</v>
      </c>
      <c r="B316" s="18" t="s">
        <v>39</v>
      </c>
      <c r="C316" s="18" t="s">
        <v>47</v>
      </c>
      <c r="D316" s="18" t="s">
        <v>28</v>
      </c>
      <c r="E316" s="18" t="s">
        <v>33</v>
      </c>
      <c r="F316" s="18" t="s">
        <v>50</v>
      </c>
      <c r="G316" s="18" t="s">
        <v>31</v>
      </c>
      <c r="H316" s="18">
        <v>16.8</v>
      </c>
      <c r="I316" s="20">
        <v>5</v>
      </c>
      <c r="J316" s="21">
        <v>84</v>
      </c>
    </row>
    <row r="317" spans="1:10">
      <c r="A317" s="19">
        <v>35397</v>
      </c>
      <c r="B317" s="18" t="s">
        <v>26</v>
      </c>
      <c r="C317" s="18" t="s">
        <v>27</v>
      </c>
      <c r="D317" s="18" t="s">
        <v>28</v>
      </c>
      <c r="E317" s="18" t="s">
        <v>35</v>
      </c>
      <c r="F317" s="18" t="s">
        <v>52</v>
      </c>
      <c r="G317" s="18" t="s">
        <v>31</v>
      </c>
      <c r="H317" s="18">
        <v>16.8</v>
      </c>
      <c r="I317" s="20">
        <v>15</v>
      </c>
      <c r="J317" s="21">
        <v>252</v>
      </c>
    </row>
    <row r="318" spans="1:10">
      <c r="A318" s="19">
        <v>35397</v>
      </c>
      <c r="B318" s="18" t="s">
        <v>26</v>
      </c>
      <c r="C318" s="18" t="s">
        <v>32</v>
      </c>
      <c r="D318" s="18" t="s">
        <v>28</v>
      </c>
      <c r="E318" s="18" t="s">
        <v>29</v>
      </c>
      <c r="F318" s="18" t="s">
        <v>52</v>
      </c>
      <c r="G318" s="18" t="s">
        <v>31</v>
      </c>
      <c r="H318" s="18">
        <v>5.9</v>
      </c>
      <c r="I318" s="20">
        <v>18</v>
      </c>
      <c r="J318" s="21">
        <v>106.2</v>
      </c>
    </row>
    <row r="319" spans="1:10">
      <c r="A319" s="19">
        <v>35397</v>
      </c>
      <c r="B319" s="18" t="s">
        <v>26</v>
      </c>
      <c r="C319" s="18" t="s">
        <v>34</v>
      </c>
      <c r="D319" s="18" t="s">
        <v>28</v>
      </c>
      <c r="E319" s="18" t="s">
        <v>33</v>
      </c>
      <c r="F319" s="18" t="s">
        <v>50</v>
      </c>
      <c r="G319" s="18" t="s">
        <v>31</v>
      </c>
      <c r="H319" s="18">
        <v>10.4</v>
      </c>
      <c r="I319" s="20">
        <v>5</v>
      </c>
      <c r="J319" s="21">
        <v>52</v>
      </c>
    </row>
    <row r="320" spans="1:10">
      <c r="A320" s="19">
        <v>35397</v>
      </c>
      <c r="B320" s="18" t="s">
        <v>26</v>
      </c>
      <c r="C320" s="18" t="s">
        <v>36</v>
      </c>
      <c r="D320" s="18" t="s">
        <v>28</v>
      </c>
      <c r="E320" s="18" t="s">
        <v>35</v>
      </c>
      <c r="F320" s="18" t="s">
        <v>52</v>
      </c>
      <c r="G320" s="18" t="s">
        <v>31</v>
      </c>
      <c r="H320" s="18">
        <v>10.4</v>
      </c>
      <c r="I320" s="20">
        <v>7</v>
      </c>
      <c r="J320" s="21">
        <v>72.8</v>
      </c>
    </row>
    <row r="321" spans="1:10">
      <c r="A321" s="19">
        <v>35397</v>
      </c>
      <c r="B321" s="18" t="s">
        <v>39</v>
      </c>
      <c r="C321" s="18" t="s">
        <v>40</v>
      </c>
      <c r="D321" s="18" t="s">
        <v>28</v>
      </c>
      <c r="E321" s="18" t="s">
        <v>29</v>
      </c>
      <c r="F321" s="18" t="s">
        <v>52</v>
      </c>
      <c r="G321" s="18" t="s">
        <v>31</v>
      </c>
      <c r="H321" s="18">
        <v>11.2</v>
      </c>
      <c r="I321" s="20">
        <v>36</v>
      </c>
      <c r="J321" s="21">
        <v>403.2</v>
      </c>
    </row>
    <row r="322" spans="1:10">
      <c r="A322" s="19">
        <v>35398</v>
      </c>
      <c r="B322" s="18" t="s">
        <v>39</v>
      </c>
      <c r="C322" s="18" t="s">
        <v>41</v>
      </c>
      <c r="D322" s="18" t="s">
        <v>28</v>
      </c>
      <c r="E322" s="18" t="s">
        <v>33</v>
      </c>
      <c r="F322" s="18" t="s">
        <v>51</v>
      </c>
      <c r="G322" s="18" t="s">
        <v>43</v>
      </c>
      <c r="H322" s="18">
        <v>8</v>
      </c>
      <c r="I322" s="20">
        <v>5</v>
      </c>
      <c r="J322" s="21">
        <v>40</v>
      </c>
    </row>
    <row r="323" spans="1:10">
      <c r="A323" s="19">
        <v>35398</v>
      </c>
      <c r="B323" s="18" t="s">
        <v>39</v>
      </c>
      <c r="C323" s="18" t="s">
        <v>44</v>
      </c>
      <c r="D323" s="18" t="s">
        <v>28</v>
      </c>
      <c r="E323" s="18" t="s">
        <v>35</v>
      </c>
      <c r="F323" s="18" t="s">
        <v>51</v>
      </c>
      <c r="G323" s="18" t="s">
        <v>43</v>
      </c>
      <c r="H323" s="18">
        <v>26.6</v>
      </c>
      <c r="I323" s="20">
        <v>35</v>
      </c>
      <c r="J323" s="21">
        <v>931</v>
      </c>
    </row>
    <row r="324" spans="1:10">
      <c r="A324" s="19">
        <v>35398</v>
      </c>
      <c r="B324" s="18" t="s">
        <v>39</v>
      </c>
      <c r="C324" s="18" t="s">
        <v>46</v>
      </c>
      <c r="D324" s="18" t="s">
        <v>28</v>
      </c>
      <c r="E324" s="18" t="s">
        <v>29</v>
      </c>
      <c r="F324" s="18" t="s">
        <v>51</v>
      </c>
      <c r="G324" s="18" t="s">
        <v>43</v>
      </c>
      <c r="H324" s="18">
        <v>36.4</v>
      </c>
      <c r="I324" s="20">
        <v>13</v>
      </c>
      <c r="J324" s="21">
        <v>473.2</v>
      </c>
    </row>
    <row r="325" spans="1:10">
      <c r="A325" s="19">
        <v>35398</v>
      </c>
      <c r="B325" s="18" t="s">
        <v>39</v>
      </c>
      <c r="C325" s="18" t="s">
        <v>47</v>
      </c>
      <c r="D325" s="18" t="s">
        <v>28</v>
      </c>
      <c r="E325" s="18" t="s">
        <v>29</v>
      </c>
      <c r="F325" s="18" t="s">
        <v>51</v>
      </c>
      <c r="G325" s="18" t="s">
        <v>43</v>
      </c>
      <c r="H325" s="18">
        <v>15.6</v>
      </c>
      <c r="I325" s="20">
        <v>25</v>
      </c>
      <c r="J325" s="21">
        <v>390</v>
      </c>
    </row>
    <row r="326" spans="1:10">
      <c r="A326" s="19">
        <v>35401</v>
      </c>
      <c r="B326" s="18" t="s">
        <v>26</v>
      </c>
      <c r="C326" s="18" t="s">
        <v>27</v>
      </c>
      <c r="D326" s="18" t="s">
        <v>28</v>
      </c>
      <c r="E326" s="18" t="s">
        <v>33</v>
      </c>
      <c r="F326" s="18" t="s">
        <v>50</v>
      </c>
      <c r="G326" s="18" t="s">
        <v>31</v>
      </c>
      <c r="H326" s="18">
        <v>30.4</v>
      </c>
      <c r="I326" s="20">
        <v>18</v>
      </c>
      <c r="J326" s="21">
        <v>547.19999999999993</v>
      </c>
    </row>
    <row r="327" spans="1:10">
      <c r="A327" s="19">
        <v>35401</v>
      </c>
      <c r="B327" s="18" t="s">
        <v>26</v>
      </c>
      <c r="C327" s="18" t="s">
        <v>32</v>
      </c>
      <c r="D327" s="18" t="s">
        <v>28</v>
      </c>
      <c r="E327" s="18" t="s">
        <v>35</v>
      </c>
      <c r="F327" s="18" t="s">
        <v>50</v>
      </c>
      <c r="G327" s="18" t="s">
        <v>31</v>
      </c>
      <c r="H327" s="18">
        <v>99</v>
      </c>
      <c r="I327" s="20">
        <v>20</v>
      </c>
      <c r="J327" s="21">
        <v>1980</v>
      </c>
    </row>
    <row r="328" spans="1:10">
      <c r="A328" s="19">
        <v>35402</v>
      </c>
      <c r="B328" s="18" t="s">
        <v>26</v>
      </c>
      <c r="C328" s="18" t="s">
        <v>34</v>
      </c>
      <c r="D328" s="18" t="s">
        <v>28</v>
      </c>
      <c r="E328" s="18" t="s">
        <v>29</v>
      </c>
      <c r="F328" s="18" t="s">
        <v>37</v>
      </c>
      <c r="G328" s="18" t="s">
        <v>38</v>
      </c>
      <c r="H328" s="18">
        <v>26.6</v>
      </c>
      <c r="I328" s="20">
        <v>30</v>
      </c>
      <c r="J328" s="21">
        <v>798</v>
      </c>
    </row>
    <row r="329" spans="1:10">
      <c r="A329" s="19">
        <v>35402</v>
      </c>
      <c r="B329" s="18" t="s">
        <v>26</v>
      </c>
      <c r="C329" s="18" t="s">
        <v>36</v>
      </c>
      <c r="D329" s="18" t="s">
        <v>28</v>
      </c>
      <c r="E329" s="18" t="s">
        <v>33</v>
      </c>
      <c r="F329" s="18" t="s">
        <v>37</v>
      </c>
      <c r="G329" s="18" t="s">
        <v>38</v>
      </c>
      <c r="H329" s="18">
        <v>8</v>
      </c>
      <c r="I329" s="20">
        <v>20</v>
      </c>
      <c r="J329" s="21">
        <v>160</v>
      </c>
    </row>
    <row r="330" spans="1:10">
      <c r="A330" s="19">
        <v>35402</v>
      </c>
      <c r="B330" s="18" t="s">
        <v>39</v>
      </c>
      <c r="C330" s="18" t="s">
        <v>40</v>
      </c>
      <c r="D330" s="18" t="s">
        <v>28</v>
      </c>
      <c r="E330" s="18" t="s">
        <v>35</v>
      </c>
      <c r="F330" s="18" t="s">
        <v>37</v>
      </c>
      <c r="G330" s="18" t="s">
        <v>38</v>
      </c>
      <c r="H330" s="18">
        <v>14.4</v>
      </c>
      <c r="I330" s="20">
        <v>15</v>
      </c>
      <c r="J330" s="21">
        <v>216</v>
      </c>
    </row>
    <row r="331" spans="1:10">
      <c r="A331" s="19">
        <v>35402</v>
      </c>
      <c r="B331" s="18" t="s">
        <v>39</v>
      </c>
      <c r="C331" s="18" t="s">
        <v>41</v>
      </c>
      <c r="D331" s="18" t="s">
        <v>28</v>
      </c>
      <c r="E331" s="18" t="s">
        <v>29</v>
      </c>
      <c r="F331" s="18" t="s">
        <v>49</v>
      </c>
      <c r="G331" s="18" t="s">
        <v>38</v>
      </c>
      <c r="H331" s="18">
        <v>15.2</v>
      </c>
      <c r="I331" s="20">
        <v>6</v>
      </c>
      <c r="J331" s="21">
        <v>91.199999999999989</v>
      </c>
    </row>
    <row r="332" spans="1:10">
      <c r="A332" s="19">
        <v>35403</v>
      </c>
      <c r="B332" s="18" t="s">
        <v>39</v>
      </c>
      <c r="C332" s="18" t="s">
        <v>44</v>
      </c>
      <c r="D332" s="18" t="s">
        <v>28</v>
      </c>
      <c r="E332" s="18" t="s">
        <v>33</v>
      </c>
      <c r="F332" s="18" t="s">
        <v>30</v>
      </c>
      <c r="G332" s="18" t="s">
        <v>31</v>
      </c>
      <c r="H332" s="18">
        <v>64.8</v>
      </c>
      <c r="I332" s="20">
        <v>12</v>
      </c>
      <c r="J332" s="21">
        <v>777.59999999999991</v>
      </c>
    </row>
    <row r="333" spans="1:10">
      <c r="A333" s="19">
        <v>35403</v>
      </c>
      <c r="B333" s="18" t="s">
        <v>39</v>
      </c>
      <c r="C333" s="18" t="s">
        <v>46</v>
      </c>
      <c r="D333" s="18" t="s">
        <v>28</v>
      </c>
      <c r="E333" s="18" t="s">
        <v>35</v>
      </c>
      <c r="F333" s="18" t="s">
        <v>30</v>
      </c>
      <c r="G333" s="18" t="s">
        <v>31</v>
      </c>
      <c r="H333" s="18">
        <v>27.2</v>
      </c>
      <c r="I333" s="20">
        <v>70</v>
      </c>
      <c r="J333" s="21">
        <v>1904</v>
      </c>
    </row>
    <row r="334" spans="1:10">
      <c r="A334" s="19">
        <v>35403</v>
      </c>
      <c r="B334" s="18" t="s">
        <v>39</v>
      </c>
      <c r="C334" s="18" t="s">
        <v>47</v>
      </c>
      <c r="D334" s="18" t="s">
        <v>28</v>
      </c>
      <c r="E334" s="18" t="s">
        <v>29</v>
      </c>
      <c r="F334" s="18" t="s">
        <v>30</v>
      </c>
      <c r="G334" s="18" t="s">
        <v>31</v>
      </c>
      <c r="H334" s="18">
        <v>210.8</v>
      </c>
      <c r="I334" s="20">
        <v>40</v>
      </c>
      <c r="J334" s="21">
        <v>8432</v>
      </c>
    </row>
    <row r="335" spans="1:10">
      <c r="A335" s="19">
        <v>35403</v>
      </c>
      <c r="B335" s="18" t="s">
        <v>26</v>
      </c>
      <c r="C335" s="18" t="s">
        <v>27</v>
      </c>
      <c r="D335" s="18" t="s">
        <v>28</v>
      </c>
      <c r="E335" s="18" t="s">
        <v>33</v>
      </c>
      <c r="F335" s="18" t="s">
        <v>30</v>
      </c>
      <c r="G335" s="18" t="s">
        <v>31</v>
      </c>
      <c r="H335" s="18">
        <v>27.8</v>
      </c>
      <c r="I335" s="20">
        <v>42</v>
      </c>
      <c r="J335" s="21">
        <v>1167.6000000000001</v>
      </c>
    </row>
    <row r="336" spans="1:10">
      <c r="A336" s="19">
        <v>35404</v>
      </c>
      <c r="B336" s="18" t="s">
        <v>26</v>
      </c>
      <c r="C336" s="18" t="s">
        <v>32</v>
      </c>
      <c r="D336" s="18" t="s">
        <v>28</v>
      </c>
      <c r="E336" s="18" t="s">
        <v>35</v>
      </c>
      <c r="F336" s="18" t="s">
        <v>42</v>
      </c>
      <c r="G336" s="18" t="s">
        <v>43</v>
      </c>
      <c r="H336" s="18">
        <v>10.6</v>
      </c>
      <c r="I336" s="20">
        <v>80</v>
      </c>
      <c r="J336" s="21">
        <v>848</v>
      </c>
    </row>
    <row r="337" spans="1:10">
      <c r="A337" s="19">
        <v>35404</v>
      </c>
      <c r="B337" s="18" t="s">
        <v>26</v>
      </c>
      <c r="C337" s="18" t="s">
        <v>34</v>
      </c>
      <c r="D337" s="18" t="s">
        <v>28</v>
      </c>
      <c r="E337" s="18" t="s">
        <v>29</v>
      </c>
      <c r="F337" s="18" t="s">
        <v>49</v>
      </c>
      <c r="G337" s="18" t="s">
        <v>38</v>
      </c>
      <c r="H337" s="18">
        <v>10.6</v>
      </c>
      <c r="I337" s="20">
        <v>15</v>
      </c>
      <c r="J337" s="21">
        <v>159</v>
      </c>
    </row>
    <row r="338" spans="1:10">
      <c r="A338" s="19">
        <v>35404</v>
      </c>
      <c r="B338" s="18" t="s">
        <v>26</v>
      </c>
      <c r="C338" s="18" t="s">
        <v>36</v>
      </c>
      <c r="D338" s="18" t="s">
        <v>28</v>
      </c>
      <c r="E338" s="18" t="s">
        <v>33</v>
      </c>
      <c r="F338" s="18" t="s">
        <v>49</v>
      </c>
      <c r="G338" s="18" t="s">
        <v>38</v>
      </c>
      <c r="H338" s="18">
        <v>10</v>
      </c>
      <c r="I338" s="20">
        <v>30</v>
      </c>
      <c r="J338" s="21">
        <v>300</v>
      </c>
    </row>
    <row r="339" spans="1:10">
      <c r="A339" s="19">
        <v>35404</v>
      </c>
      <c r="B339" s="18" t="s">
        <v>39</v>
      </c>
      <c r="C339" s="18" t="s">
        <v>40</v>
      </c>
      <c r="D339" s="18" t="s">
        <v>28</v>
      </c>
      <c r="E339" s="18" t="s">
        <v>35</v>
      </c>
      <c r="F339" s="18" t="s">
        <v>42</v>
      </c>
      <c r="G339" s="18" t="s">
        <v>43</v>
      </c>
      <c r="H339" s="18">
        <v>17.2</v>
      </c>
      <c r="I339" s="20">
        <v>50</v>
      </c>
      <c r="J339" s="21">
        <v>860</v>
      </c>
    </row>
    <row r="340" spans="1:10">
      <c r="A340" s="19">
        <v>35405</v>
      </c>
      <c r="B340" s="18" t="s">
        <v>39</v>
      </c>
      <c r="C340" s="18" t="s">
        <v>41</v>
      </c>
      <c r="D340" s="18" t="s">
        <v>28</v>
      </c>
      <c r="E340" s="18" t="s">
        <v>29</v>
      </c>
      <c r="F340" s="18" t="s">
        <v>45</v>
      </c>
      <c r="G340" s="18" t="s">
        <v>38</v>
      </c>
      <c r="H340" s="18">
        <v>5.9</v>
      </c>
      <c r="I340" s="20">
        <v>10</v>
      </c>
      <c r="J340" s="21">
        <v>59</v>
      </c>
    </row>
    <row r="341" spans="1:10">
      <c r="A341" s="19">
        <v>35405</v>
      </c>
      <c r="B341" s="18" t="s">
        <v>39</v>
      </c>
      <c r="C341" s="18" t="s">
        <v>44</v>
      </c>
      <c r="D341" s="18" t="s">
        <v>28</v>
      </c>
      <c r="E341" s="18" t="s">
        <v>33</v>
      </c>
      <c r="F341" s="18" t="s">
        <v>45</v>
      </c>
      <c r="G341" s="18" t="s">
        <v>38</v>
      </c>
      <c r="H341" s="18">
        <v>18.600000000000001</v>
      </c>
      <c r="I341" s="20">
        <v>15</v>
      </c>
      <c r="J341" s="21">
        <v>279</v>
      </c>
    </row>
    <row r="342" spans="1:10">
      <c r="A342" s="19">
        <v>35408</v>
      </c>
      <c r="B342" s="18" t="s">
        <v>39</v>
      </c>
      <c r="C342" s="18" t="s">
        <v>46</v>
      </c>
      <c r="D342" s="18" t="s">
        <v>28</v>
      </c>
      <c r="E342" s="18" t="s">
        <v>35</v>
      </c>
      <c r="F342" s="18" t="s">
        <v>49</v>
      </c>
      <c r="G342" s="18" t="s">
        <v>38</v>
      </c>
      <c r="H342" s="18">
        <v>36.4</v>
      </c>
      <c r="I342" s="20">
        <v>20</v>
      </c>
      <c r="J342" s="21">
        <v>728</v>
      </c>
    </row>
    <row r="343" spans="1:10">
      <c r="A343" s="19">
        <v>35408</v>
      </c>
      <c r="B343" s="18" t="s">
        <v>39</v>
      </c>
      <c r="C343" s="18" t="s">
        <v>47</v>
      </c>
      <c r="D343" s="18" t="s">
        <v>28</v>
      </c>
      <c r="E343" s="18" t="s">
        <v>29</v>
      </c>
      <c r="F343" s="18" t="s">
        <v>49</v>
      </c>
      <c r="G343" s="18" t="s">
        <v>38</v>
      </c>
      <c r="H343" s="18">
        <v>10</v>
      </c>
      <c r="I343" s="20">
        <v>42</v>
      </c>
      <c r="J343" s="21">
        <v>420</v>
      </c>
    </row>
    <row r="344" spans="1:10">
      <c r="A344" s="19">
        <v>35408</v>
      </c>
      <c r="B344" s="18" t="s">
        <v>26</v>
      </c>
      <c r="C344" s="18" t="s">
        <v>27</v>
      </c>
      <c r="D344" s="18" t="s">
        <v>28</v>
      </c>
      <c r="E344" s="18" t="s">
        <v>29</v>
      </c>
      <c r="F344" s="18" t="s">
        <v>49</v>
      </c>
      <c r="G344" s="18" t="s">
        <v>38</v>
      </c>
      <c r="H344" s="18">
        <v>14.4</v>
      </c>
      <c r="I344" s="20">
        <v>20</v>
      </c>
      <c r="J344" s="21">
        <v>288</v>
      </c>
    </row>
    <row r="345" spans="1:10">
      <c r="A345" s="19">
        <v>35409</v>
      </c>
      <c r="B345" s="18" t="s">
        <v>26</v>
      </c>
      <c r="C345" s="18" t="s">
        <v>32</v>
      </c>
      <c r="D345" s="18" t="s">
        <v>28</v>
      </c>
      <c r="E345" s="18" t="s">
        <v>33</v>
      </c>
      <c r="F345" s="18" t="s">
        <v>30</v>
      </c>
      <c r="G345" s="18" t="s">
        <v>31</v>
      </c>
      <c r="H345" s="18">
        <v>17.2</v>
      </c>
      <c r="I345" s="20">
        <v>6</v>
      </c>
      <c r="J345" s="21">
        <v>103.19999999999999</v>
      </c>
    </row>
    <row r="346" spans="1:10">
      <c r="A346" s="19">
        <v>35410</v>
      </c>
      <c r="B346" s="18" t="s">
        <v>26</v>
      </c>
      <c r="C346" s="18" t="s">
        <v>34</v>
      </c>
      <c r="D346" s="18" t="s">
        <v>28</v>
      </c>
      <c r="E346" s="18" t="s">
        <v>35</v>
      </c>
      <c r="F346" s="18" t="s">
        <v>51</v>
      </c>
      <c r="G346" s="18" t="s">
        <v>43</v>
      </c>
      <c r="H346" s="18">
        <v>16.8</v>
      </c>
      <c r="I346" s="20">
        <v>20</v>
      </c>
      <c r="J346" s="21">
        <v>336</v>
      </c>
    </row>
    <row r="347" spans="1:10">
      <c r="A347" s="19">
        <v>35410</v>
      </c>
      <c r="B347" s="18" t="s">
        <v>26</v>
      </c>
      <c r="C347" s="18" t="s">
        <v>36</v>
      </c>
      <c r="D347" s="18" t="s">
        <v>28</v>
      </c>
      <c r="E347" s="18" t="s">
        <v>29</v>
      </c>
      <c r="F347" s="18" t="s">
        <v>51</v>
      </c>
      <c r="G347" s="18" t="s">
        <v>43</v>
      </c>
      <c r="H347" s="18">
        <v>35.1</v>
      </c>
      <c r="I347" s="20">
        <v>16</v>
      </c>
      <c r="J347" s="21">
        <v>561.6</v>
      </c>
    </row>
    <row r="348" spans="1:10">
      <c r="A348" s="19">
        <v>35410</v>
      </c>
      <c r="B348" s="18" t="s">
        <v>39</v>
      </c>
      <c r="C348" s="18" t="s">
        <v>40</v>
      </c>
      <c r="D348" s="18" t="s">
        <v>28</v>
      </c>
      <c r="E348" s="18" t="s">
        <v>33</v>
      </c>
      <c r="F348" s="18" t="s">
        <v>51</v>
      </c>
      <c r="G348" s="18" t="s">
        <v>43</v>
      </c>
      <c r="H348" s="18">
        <v>7.7</v>
      </c>
      <c r="I348" s="20">
        <v>8</v>
      </c>
      <c r="J348" s="21">
        <v>61.6</v>
      </c>
    </row>
    <row r="349" spans="1:10">
      <c r="A349" s="19">
        <v>35411</v>
      </c>
      <c r="B349" s="18" t="s">
        <v>39</v>
      </c>
      <c r="C349" s="18" t="s">
        <v>41</v>
      </c>
      <c r="D349" s="18" t="s">
        <v>28</v>
      </c>
      <c r="E349" s="18" t="s">
        <v>35</v>
      </c>
      <c r="F349" s="18" t="s">
        <v>50</v>
      </c>
      <c r="G349" s="18" t="s">
        <v>31</v>
      </c>
      <c r="H349" s="18">
        <v>27.2</v>
      </c>
      <c r="I349" s="20">
        <v>6</v>
      </c>
      <c r="J349" s="21">
        <v>163.19999999999999</v>
      </c>
    </row>
    <row r="350" spans="1:10">
      <c r="A350" s="19">
        <v>35411</v>
      </c>
      <c r="B350" s="18" t="s">
        <v>39</v>
      </c>
      <c r="C350" s="18" t="s">
        <v>44</v>
      </c>
      <c r="D350" s="18" t="s">
        <v>28</v>
      </c>
      <c r="E350" s="18" t="s">
        <v>29</v>
      </c>
      <c r="F350" s="18" t="s">
        <v>50</v>
      </c>
      <c r="G350" s="18" t="s">
        <v>31</v>
      </c>
      <c r="H350" s="18">
        <v>20.7</v>
      </c>
      <c r="I350" s="20">
        <v>18</v>
      </c>
      <c r="J350" s="21">
        <v>372.59999999999997</v>
      </c>
    </row>
    <row r="351" spans="1:10">
      <c r="A351" s="19">
        <v>35411</v>
      </c>
      <c r="B351" s="18" t="s">
        <v>39</v>
      </c>
      <c r="C351" s="18" t="s">
        <v>46</v>
      </c>
      <c r="D351" s="18" t="s">
        <v>28</v>
      </c>
      <c r="E351" s="18" t="s">
        <v>33</v>
      </c>
      <c r="F351" s="18" t="s">
        <v>45</v>
      </c>
      <c r="G351" s="18" t="s">
        <v>38</v>
      </c>
      <c r="H351" s="18">
        <v>8</v>
      </c>
      <c r="I351" s="20">
        <v>14</v>
      </c>
      <c r="J351" s="21">
        <v>112</v>
      </c>
    </row>
    <row r="352" spans="1:10">
      <c r="A352" s="19">
        <v>35411</v>
      </c>
      <c r="B352" s="18" t="s">
        <v>39</v>
      </c>
      <c r="C352" s="18" t="s">
        <v>47</v>
      </c>
      <c r="D352" s="18" t="s">
        <v>28</v>
      </c>
      <c r="E352" s="18" t="s">
        <v>35</v>
      </c>
      <c r="F352" s="18" t="s">
        <v>50</v>
      </c>
      <c r="G352" s="18" t="s">
        <v>31</v>
      </c>
      <c r="H352" s="18">
        <v>12</v>
      </c>
      <c r="I352" s="20">
        <v>30</v>
      </c>
      <c r="J352" s="21">
        <v>360</v>
      </c>
    </row>
    <row r="353" spans="1:10">
      <c r="A353" s="19">
        <v>35411</v>
      </c>
      <c r="B353" s="18" t="s">
        <v>26</v>
      </c>
      <c r="C353" s="18" t="s">
        <v>27</v>
      </c>
      <c r="D353" s="18" t="s">
        <v>28</v>
      </c>
      <c r="E353" s="18" t="s">
        <v>29</v>
      </c>
      <c r="F353" s="18" t="s">
        <v>50</v>
      </c>
      <c r="G353" s="18" t="s">
        <v>31</v>
      </c>
      <c r="H353" s="18">
        <v>26.2</v>
      </c>
      <c r="I353" s="20">
        <v>20</v>
      </c>
      <c r="J353" s="21">
        <v>524</v>
      </c>
    </row>
    <row r="354" spans="1:10">
      <c r="A354" s="19">
        <v>35412</v>
      </c>
      <c r="B354" s="18" t="s">
        <v>26</v>
      </c>
      <c r="C354" s="18" t="s">
        <v>32</v>
      </c>
      <c r="D354" s="18" t="s">
        <v>28</v>
      </c>
      <c r="E354" s="18" t="s">
        <v>33</v>
      </c>
      <c r="F354" s="18" t="s">
        <v>42</v>
      </c>
      <c r="G354" s="18" t="s">
        <v>43</v>
      </c>
      <c r="H354" s="18">
        <v>8</v>
      </c>
      <c r="I354" s="20">
        <v>50</v>
      </c>
      <c r="J354" s="21">
        <v>400</v>
      </c>
    </row>
    <row r="355" spans="1:10">
      <c r="A355" s="19">
        <v>35412</v>
      </c>
      <c r="B355" s="18" t="s">
        <v>26</v>
      </c>
      <c r="C355" s="18" t="s">
        <v>34</v>
      </c>
      <c r="D355" s="18" t="s">
        <v>28</v>
      </c>
      <c r="E355" s="18" t="s">
        <v>35</v>
      </c>
      <c r="F355" s="18" t="s">
        <v>42</v>
      </c>
      <c r="G355" s="18" t="s">
        <v>43</v>
      </c>
      <c r="H355" s="18">
        <v>2</v>
      </c>
      <c r="I355" s="20">
        <v>60</v>
      </c>
      <c r="J355" s="21">
        <v>120</v>
      </c>
    </row>
    <row r="356" spans="1:10">
      <c r="A356" s="19">
        <v>35412</v>
      </c>
      <c r="B356" s="18" t="s">
        <v>26</v>
      </c>
      <c r="C356" s="18" t="s">
        <v>36</v>
      </c>
      <c r="D356" s="18" t="s">
        <v>28</v>
      </c>
      <c r="E356" s="18" t="s">
        <v>29</v>
      </c>
      <c r="F356" s="18" t="s">
        <v>42</v>
      </c>
      <c r="G356" s="18" t="s">
        <v>43</v>
      </c>
      <c r="H356" s="18">
        <v>17</v>
      </c>
      <c r="I356" s="20">
        <v>32</v>
      </c>
      <c r="J356" s="21">
        <v>544</v>
      </c>
    </row>
    <row r="357" spans="1:10">
      <c r="A357" s="19">
        <v>35412</v>
      </c>
      <c r="B357" s="18" t="s">
        <v>39</v>
      </c>
      <c r="C357" s="18" t="s">
        <v>40</v>
      </c>
      <c r="D357" s="18" t="s">
        <v>28</v>
      </c>
      <c r="E357" s="18" t="s">
        <v>33</v>
      </c>
      <c r="F357" s="18" t="s">
        <v>42</v>
      </c>
      <c r="G357" s="18" t="s">
        <v>43</v>
      </c>
      <c r="H357" s="18">
        <v>50</v>
      </c>
      <c r="I357" s="20">
        <v>9</v>
      </c>
      <c r="J357" s="21">
        <v>450</v>
      </c>
    </row>
    <row r="358" spans="1:10">
      <c r="A358" s="19">
        <v>35412</v>
      </c>
      <c r="B358" s="18" t="s">
        <v>39</v>
      </c>
      <c r="C358" s="18" t="s">
        <v>41</v>
      </c>
      <c r="D358" s="18" t="s">
        <v>28</v>
      </c>
      <c r="E358" s="18" t="s">
        <v>35</v>
      </c>
      <c r="F358" s="18" t="s">
        <v>42</v>
      </c>
      <c r="G358" s="18" t="s">
        <v>43</v>
      </c>
      <c r="H358" s="18">
        <v>99</v>
      </c>
      <c r="I358" s="20">
        <v>14</v>
      </c>
      <c r="J358" s="21">
        <v>1386</v>
      </c>
    </row>
    <row r="359" spans="1:10">
      <c r="A359" s="19">
        <v>35415</v>
      </c>
      <c r="B359" s="18" t="s">
        <v>39</v>
      </c>
      <c r="C359" s="18" t="s">
        <v>44</v>
      </c>
      <c r="D359" s="18" t="s">
        <v>28</v>
      </c>
      <c r="E359" s="18" t="s">
        <v>29</v>
      </c>
      <c r="F359" s="18" t="s">
        <v>50</v>
      </c>
      <c r="G359" s="18" t="s">
        <v>31</v>
      </c>
      <c r="H359" s="18">
        <v>30.4</v>
      </c>
      <c r="I359" s="20">
        <v>20</v>
      </c>
      <c r="J359" s="21">
        <v>608</v>
      </c>
    </row>
    <row r="360" spans="1:10">
      <c r="A360" s="19">
        <v>35415</v>
      </c>
      <c r="B360" s="18" t="s">
        <v>39</v>
      </c>
      <c r="C360" s="18" t="s">
        <v>46</v>
      </c>
      <c r="D360" s="18" t="s">
        <v>28</v>
      </c>
      <c r="E360" s="18" t="s">
        <v>33</v>
      </c>
      <c r="F360" s="18" t="s">
        <v>45</v>
      </c>
      <c r="G360" s="18" t="s">
        <v>38</v>
      </c>
      <c r="H360" s="18">
        <v>64.8</v>
      </c>
      <c r="I360" s="20">
        <v>28</v>
      </c>
      <c r="J360" s="21">
        <v>1814.3999999999999</v>
      </c>
    </row>
    <row r="361" spans="1:10">
      <c r="A361" s="19">
        <v>35415</v>
      </c>
      <c r="B361" s="18" t="s">
        <v>39</v>
      </c>
      <c r="C361" s="18" t="s">
        <v>47</v>
      </c>
      <c r="D361" s="18" t="s">
        <v>28</v>
      </c>
      <c r="E361" s="18" t="s">
        <v>35</v>
      </c>
      <c r="F361" s="18" t="s">
        <v>45</v>
      </c>
      <c r="G361" s="18" t="s">
        <v>38</v>
      </c>
      <c r="H361" s="18">
        <v>27.2</v>
      </c>
      <c r="I361" s="20">
        <v>15</v>
      </c>
      <c r="J361" s="21">
        <v>408</v>
      </c>
    </row>
    <row r="362" spans="1:10">
      <c r="A362" s="19">
        <v>35415</v>
      </c>
      <c r="B362" s="18" t="s">
        <v>26</v>
      </c>
      <c r="C362" s="18" t="s">
        <v>27</v>
      </c>
      <c r="D362" s="18" t="s">
        <v>28</v>
      </c>
      <c r="E362" s="18" t="s">
        <v>29</v>
      </c>
      <c r="F362" s="18" t="s">
        <v>50</v>
      </c>
      <c r="G362" s="18" t="s">
        <v>31</v>
      </c>
      <c r="H362" s="18">
        <v>4.8</v>
      </c>
      <c r="I362" s="20">
        <v>20</v>
      </c>
      <c r="J362" s="21">
        <v>96</v>
      </c>
    </row>
    <row r="363" spans="1:10">
      <c r="A363" s="19">
        <v>35415</v>
      </c>
      <c r="B363" s="18" t="s">
        <v>26</v>
      </c>
      <c r="C363" s="18" t="s">
        <v>32</v>
      </c>
      <c r="D363" s="18" t="s">
        <v>28</v>
      </c>
      <c r="E363" s="18" t="s">
        <v>29</v>
      </c>
      <c r="F363" s="18" t="s">
        <v>50</v>
      </c>
      <c r="G363" s="18" t="s">
        <v>31</v>
      </c>
      <c r="H363" s="18">
        <v>13</v>
      </c>
      <c r="I363" s="20">
        <v>15</v>
      </c>
      <c r="J363" s="21">
        <v>195</v>
      </c>
    </row>
    <row r="364" spans="1:10">
      <c r="A364" s="19">
        <v>35416</v>
      </c>
      <c r="B364" s="18" t="s">
        <v>26</v>
      </c>
      <c r="C364" s="18" t="s">
        <v>34</v>
      </c>
      <c r="D364" s="18" t="s">
        <v>28</v>
      </c>
      <c r="E364" s="18" t="s">
        <v>33</v>
      </c>
      <c r="F364" s="18" t="s">
        <v>49</v>
      </c>
      <c r="G364" s="18" t="s">
        <v>38</v>
      </c>
      <c r="H364" s="18">
        <v>24</v>
      </c>
      <c r="I364" s="20">
        <v>10</v>
      </c>
      <c r="J364" s="21">
        <v>240</v>
      </c>
    </row>
    <row r="365" spans="1:10">
      <c r="A365" s="19">
        <v>35416</v>
      </c>
      <c r="B365" s="18" t="s">
        <v>26</v>
      </c>
      <c r="C365" s="18" t="s">
        <v>36</v>
      </c>
      <c r="D365" s="18" t="s">
        <v>28</v>
      </c>
      <c r="E365" s="18" t="s">
        <v>35</v>
      </c>
      <c r="F365" s="18" t="s">
        <v>49</v>
      </c>
      <c r="G365" s="18" t="s">
        <v>38</v>
      </c>
      <c r="H365" s="18">
        <v>27.2</v>
      </c>
      <c r="I365" s="20">
        <v>20</v>
      </c>
      <c r="J365" s="21">
        <v>544</v>
      </c>
    </row>
    <row r="366" spans="1:10">
      <c r="A366" s="19">
        <v>35416</v>
      </c>
      <c r="B366" s="18" t="s">
        <v>39</v>
      </c>
      <c r="C366" s="18" t="s">
        <v>40</v>
      </c>
      <c r="D366" s="18" t="s">
        <v>28</v>
      </c>
      <c r="E366" s="18" t="s">
        <v>29</v>
      </c>
      <c r="F366" s="18" t="s">
        <v>49</v>
      </c>
      <c r="G366" s="18" t="s">
        <v>38</v>
      </c>
      <c r="H366" s="18">
        <v>10</v>
      </c>
      <c r="I366" s="20">
        <v>8</v>
      </c>
      <c r="J366" s="21">
        <v>80</v>
      </c>
    </row>
    <row r="367" spans="1:10">
      <c r="A367" s="19">
        <v>35417</v>
      </c>
      <c r="B367" s="18" t="s">
        <v>39</v>
      </c>
      <c r="C367" s="18" t="s">
        <v>41</v>
      </c>
      <c r="D367" s="18" t="s">
        <v>28</v>
      </c>
      <c r="E367" s="18" t="s">
        <v>33</v>
      </c>
      <c r="F367" s="18" t="s">
        <v>49</v>
      </c>
      <c r="G367" s="18" t="s">
        <v>38</v>
      </c>
      <c r="H367" s="18">
        <v>44</v>
      </c>
      <c r="I367" s="20">
        <v>12</v>
      </c>
      <c r="J367" s="21">
        <v>528</v>
      </c>
    </row>
    <row r="368" spans="1:10">
      <c r="A368" s="19">
        <v>35417</v>
      </c>
      <c r="B368" s="18" t="s">
        <v>39</v>
      </c>
      <c r="C368" s="18" t="s">
        <v>44</v>
      </c>
      <c r="D368" s="18" t="s">
        <v>28</v>
      </c>
      <c r="E368" s="18" t="s">
        <v>35</v>
      </c>
      <c r="F368" s="18" t="s">
        <v>49</v>
      </c>
      <c r="G368" s="18" t="s">
        <v>38</v>
      </c>
      <c r="H368" s="18">
        <v>36.4</v>
      </c>
      <c r="I368" s="20">
        <v>6</v>
      </c>
      <c r="J368" s="21">
        <v>218.39999999999998</v>
      </c>
    </row>
    <row r="369" spans="1:10">
      <c r="A369" s="19">
        <v>35417</v>
      </c>
      <c r="B369" s="18" t="s">
        <v>39</v>
      </c>
      <c r="C369" s="18" t="s">
        <v>46</v>
      </c>
      <c r="D369" s="18" t="s">
        <v>28</v>
      </c>
      <c r="E369" s="18" t="s">
        <v>29</v>
      </c>
      <c r="F369" s="18" t="s">
        <v>48</v>
      </c>
      <c r="G369" s="18" t="s">
        <v>31</v>
      </c>
      <c r="H369" s="18">
        <v>11.2</v>
      </c>
      <c r="I369" s="20">
        <v>10</v>
      </c>
      <c r="J369" s="21">
        <v>112</v>
      </c>
    </row>
    <row r="370" spans="1:10">
      <c r="A370" s="19">
        <v>35417</v>
      </c>
      <c r="B370" s="18" t="s">
        <v>39</v>
      </c>
      <c r="C370" s="18" t="s">
        <v>47</v>
      </c>
      <c r="D370" s="18" t="s">
        <v>28</v>
      </c>
      <c r="E370" s="18" t="s">
        <v>33</v>
      </c>
      <c r="F370" s="18" t="s">
        <v>48</v>
      </c>
      <c r="G370" s="18" t="s">
        <v>31</v>
      </c>
      <c r="H370" s="18">
        <v>3.6</v>
      </c>
      <c r="I370" s="20">
        <v>15</v>
      </c>
      <c r="J370" s="21">
        <v>54</v>
      </c>
    </row>
    <row r="371" spans="1:10">
      <c r="A371" s="19">
        <v>35417</v>
      </c>
      <c r="B371" s="18" t="s">
        <v>26</v>
      </c>
      <c r="C371" s="18" t="s">
        <v>27</v>
      </c>
      <c r="D371" s="18" t="s">
        <v>28</v>
      </c>
      <c r="E371" s="18" t="s">
        <v>35</v>
      </c>
      <c r="F371" s="18" t="s">
        <v>49</v>
      </c>
      <c r="G371" s="18" t="s">
        <v>38</v>
      </c>
      <c r="H371" s="18">
        <v>3.6</v>
      </c>
      <c r="I371" s="20">
        <v>15</v>
      </c>
      <c r="J371" s="21">
        <v>54</v>
      </c>
    </row>
    <row r="372" spans="1:10">
      <c r="A372" s="19">
        <v>35417</v>
      </c>
      <c r="B372" s="18" t="s">
        <v>26</v>
      </c>
      <c r="C372" s="18" t="s">
        <v>32</v>
      </c>
      <c r="D372" s="18" t="s">
        <v>28</v>
      </c>
      <c r="E372" s="18" t="s">
        <v>29</v>
      </c>
      <c r="F372" s="18" t="s">
        <v>49</v>
      </c>
      <c r="G372" s="18" t="s">
        <v>38</v>
      </c>
      <c r="H372" s="18">
        <v>17.2</v>
      </c>
      <c r="I372" s="20">
        <v>15</v>
      </c>
      <c r="J372" s="21">
        <v>258</v>
      </c>
    </row>
    <row r="373" spans="1:10">
      <c r="A373" s="19">
        <v>35418</v>
      </c>
      <c r="B373" s="18" t="s">
        <v>26</v>
      </c>
      <c r="C373" s="18" t="s">
        <v>34</v>
      </c>
      <c r="D373" s="18" t="s">
        <v>28</v>
      </c>
      <c r="E373" s="18" t="s">
        <v>33</v>
      </c>
      <c r="F373" s="18" t="s">
        <v>51</v>
      </c>
      <c r="G373" s="18" t="s">
        <v>43</v>
      </c>
      <c r="H373" s="18">
        <v>5.6</v>
      </c>
      <c r="I373" s="20">
        <v>20</v>
      </c>
      <c r="J373" s="21">
        <v>112</v>
      </c>
    </row>
    <row r="374" spans="1:10">
      <c r="A374" s="19">
        <v>35418</v>
      </c>
      <c r="B374" s="18" t="s">
        <v>26</v>
      </c>
      <c r="C374" s="18" t="s">
        <v>36</v>
      </c>
      <c r="D374" s="18" t="s">
        <v>28</v>
      </c>
      <c r="E374" s="18" t="s">
        <v>35</v>
      </c>
      <c r="F374" s="18" t="s">
        <v>51</v>
      </c>
      <c r="G374" s="18" t="s">
        <v>43</v>
      </c>
      <c r="H374" s="18">
        <v>7.6</v>
      </c>
      <c r="I374" s="20">
        <v>15</v>
      </c>
      <c r="J374" s="21">
        <v>114</v>
      </c>
    </row>
    <row r="375" spans="1:10">
      <c r="A375" s="19">
        <v>35418</v>
      </c>
      <c r="B375" s="18" t="s">
        <v>39</v>
      </c>
      <c r="C375" s="18" t="s">
        <v>40</v>
      </c>
      <c r="D375" s="18" t="s">
        <v>28</v>
      </c>
      <c r="E375" s="18" t="s">
        <v>29</v>
      </c>
      <c r="F375" s="18" t="s">
        <v>51</v>
      </c>
      <c r="G375" s="18" t="s">
        <v>43</v>
      </c>
      <c r="H375" s="18">
        <v>26.2</v>
      </c>
      <c r="I375" s="20">
        <v>40</v>
      </c>
      <c r="J375" s="21">
        <v>1048</v>
      </c>
    </row>
    <row r="376" spans="1:10">
      <c r="A376" s="19">
        <v>35419</v>
      </c>
      <c r="B376" s="18" t="s">
        <v>39</v>
      </c>
      <c r="C376" s="18" t="s">
        <v>41</v>
      </c>
      <c r="D376" s="18" t="s">
        <v>28</v>
      </c>
      <c r="E376" s="18" t="s">
        <v>33</v>
      </c>
      <c r="F376" s="18" t="s">
        <v>42</v>
      </c>
      <c r="G376" s="18" t="s">
        <v>43</v>
      </c>
      <c r="H376" s="18">
        <v>39.4</v>
      </c>
      <c r="I376" s="20">
        <v>20</v>
      </c>
      <c r="J376" s="21">
        <v>788</v>
      </c>
    </row>
    <row r="377" spans="1:10">
      <c r="A377" s="19">
        <v>35419</v>
      </c>
      <c r="B377" s="18" t="s">
        <v>39</v>
      </c>
      <c r="C377" s="18" t="s">
        <v>44</v>
      </c>
      <c r="D377" s="18" t="s">
        <v>28</v>
      </c>
      <c r="E377" s="18" t="s">
        <v>35</v>
      </c>
      <c r="F377" s="18" t="s">
        <v>42</v>
      </c>
      <c r="G377" s="18" t="s">
        <v>43</v>
      </c>
      <c r="H377" s="18">
        <v>12</v>
      </c>
      <c r="I377" s="20">
        <v>30</v>
      </c>
      <c r="J377" s="21">
        <v>360</v>
      </c>
    </row>
    <row r="378" spans="1:10">
      <c r="A378" s="19">
        <v>35419</v>
      </c>
      <c r="B378" s="18" t="s">
        <v>39</v>
      </c>
      <c r="C378" s="18" t="s">
        <v>46</v>
      </c>
      <c r="D378" s="18" t="s">
        <v>28</v>
      </c>
      <c r="E378" s="18" t="s">
        <v>29</v>
      </c>
      <c r="F378" s="18" t="s">
        <v>42</v>
      </c>
      <c r="G378" s="18" t="s">
        <v>43</v>
      </c>
      <c r="H378" s="18">
        <v>24.8</v>
      </c>
      <c r="I378" s="20">
        <v>16</v>
      </c>
      <c r="J378" s="21">
        <v>396.8</v>
      </c>
    </row>
    <row r="379" spans="1:10">
      <c r="A379" s="19">
        <v>35419</v>
      </c>
      <c r="B379" s="18" t="s">
        <v>39</v>
      </c>
      <c r="C379" s="18" t="s">
        <v>47</v>
      </c>
      <c r="D379" s="18" t="s">
        <v>28</v>
      </c>
      <c r="E379" s="18" t="s">
        <v>33</v>
      </c>
      <c r="F379" s="18" t="s">
        <v>42</v>
      </c>
      <c r="G379" s="18" t="s">
        <v>43</v>
      </c>
      <c r="H379" s="18">
        <v>19.2</v>
      </c>
      <c r="I379" s="20">
        <v>15</v>
      </c>
      <c r="J379" s="21">
        <v>288</v>
      </c>
    </row>
    <row r="380" spans="1:10">
      <c r="A380" s="19">
        <v>35422</v>
      </c>
      <c r="B380" s="18" t="s">
        <v>26</v>
      </c>
      <c r="C380" s="18" t="s">
        <v>27</v>
      </c>
      <c r="D380" s="18" t="s">
        <v>28</v>
      </c>
      <c r="E380" s="18" t="s">
        <v>35</v>
      </c>
      <c r="F380" s="18" t="s">
        <v>37</v>
      </c>
      <c r="G380" s="18" t="s">
        <v>38</v>
      </c>
      <c r="H380" s="18">
        <v>9.6</v>
      </c>
      <c r="I380" s="20">
        <v>45</v>
      </c>
      <c r="J380" s="21">
        <v>432</v>
      </c>
    </row>
    <row r="381" spans="1:10">
      <c r="A381" s="19">
        <v>35422</v>
      </c>
      <c r="B381" s="18" t="s">
        <v>26</v>
      </c>
      <c r="C381" s="18" t="s">
        <v>32</v>
      </c>
      <c r="D381" s="18" t="s">
        <v>28</v>
      </c>
      <c r="E381" s="18" t="s">
        <v>29</v>
      </c>
      <c r="F381" s="18" t="s">
        <v>45</v>
      </c>
      <c r="G381" s="18" t="s">
        <v>38</v>
      </c>
      <c r="H381" s="18">
        <v>4.8</v>
      </c>
      <c r="I381" s="20">
        <v>18</v>
      </c>
      <c r="J381" s="21">
        <v>86.399999999999991</v>
      </c>
    </row>
    <row r="382" spans="1:10">
      <c r="A382" s="19">
        <v>35422</v>
      </c>
      <c r="B382" s="18" t="s">
        <v>26</v>
      </c>
      <c r="C382" s="18" t="s">
        <v>34</v>
      </c>
      <c r="D382" s="18" t="s">
        <v>28</v>
      </c>
      <c r="E382" s="18" t="s">
        <v>29</v>
      </c>
      <c r="F382" s="18" t="s">
        <v>37</v>
      </c>
      <c r="G382" s="18" t="s">
        <v>38</v>
      </c>
      <c r="H382" s="18">
        <v>14.4</v>
      </c>
      <c r="I382" s="20">
        <v>40</v>
      </c>
      <c r="J382" s="21">
        <v>576</v>
      </c>
    </row>
    <row r="383" spans="1:10">
      <c r="A383" s="19">
        <v>35422</v>
      </c>
      <c r="B383" s="18" t="s">
        <v>26</v>
      </c>
      <c r="C383" s="18" t="s">
        <v>36</v>
      </c>
      <c r="D383" s="18" t="s">
        <v>28</v>
      </c>
      <c r="E383" s="18" t="s">
        <v>33</v>
      </c>
      <c r="F383" s="18" t="s">
        <v>37</v>
      </c>
      <c r="G383" s="18" t="s">
        <v>38</v>
      </c>
      <c r="H383" s="18">
        <v>27.8</v>
      </c>
      <c r="I383" s="20">
        <v>24</v>
      </c>
      <c r="J383" s="21">
        <v>667.2</v>
      </c>
    </row>
    <row r="384" spans="1:10">
      <c r="A384" s="19">
        <v>35422</v>
      </c>
      <c r="B384" s="18" t="s">
        <v>39</v>
      </c>
      <c r="C384" s="18" t="s">
        <v>40</v>
      </c>
      <c r="D384" s="18" t="s">
        <v>28</v>
      </c>
      <c r="E384" s="18" t="s">
        <v>35</v>
      </c>
      <c r="F384" s="18" t="s">
        <v>37</v>
      </c>
      <c r="G384" s="18" t="s">
        <v>38</v>
      </c>
      <c r="H384" s="18">
        <v>10</v>
      </c>
      <c r="I384" s="20">
        <v>60</v>
      </c>
      <c r="J384" s="21">
        <v>600</v>
      </c>
    </row>
    <row r="385" spans="1:10">
      <c r="A385" s="19">
        <v>35423</v>
      </c>
      <c r="B385" s="18" t="s">
        <v>39</v>
      </c>
      <c r="C385" s="18" t="s">
        <v>41</v>
      </c>
      <c r="D385" s="18" t="s">
        <v>28</v>
      </c>
      <c r="E385" s="18" t="s">
        <v>29</v>
      </c>
      <c r="F385" s="18" t="s">
        <v>51</v>
      </c>
      <c r="G385" s="18" t="s">
        <v>43</v>
      </c>
      <c r="H385" s="18">
        <v>28.8</v>
      </c>
      <c r="I385" s="20">
        <v>50</v>
      </c>
      <c r="J385" s="21">
        <v>1440</v>
      </c>
    </row>
    <row r="386" spans="1:10">
      <c r="A386" s="19">
        <v>35424</v>
      </c>
      <c r="B386" s="18" t="s">
        <v>39</v>
      </c>
      <c r="C386" s="18" t="s">
        <v>44</v>
      </c>
      <c r="D386" s="18" t="s">
        <v>28</v>
      </c>
      <c r="E386" s="18" t="s">
        <v>33</v>
      </c>
      <c r="F386" s="18" t="s">
        <v>49</v>
      </c>
      <c r="G386" s="18" t="s">
        <v>38</v>
      </c>
      <c r="H386" s="18">
        <v>4.8</v>
      </c>
      <c r="I386" s="20">
        <v>10</v>
      </c>
      <c r="J386" s="21">
        <v>48</v>
      </c>
    </row>
    <row r="387" spans="1:10">
      <c r="A387" s="19">
        <v>35424</v>
      </c>
      <c r="B387" s="18" t="s">
        <v>39</v>
      </c>
      <c r="C387" s="18" t="s">
        <v>46</v>
      </c>
      <c r="D387" s="18" t="s">
        <v>28</v>
      </c>
      <c r="E387" s="18" t="s">
        <v>35</v>
      </c>
      <c r="F387" s="18" t="s">
        <v>49</v>
      </c>
      <c r="G387" s="18" t="s">
        <v>38</v>
      </c>
      <c r="H387" s="18">
        <v>24.9</v>
      </c>
      <c r="I387" s="20">
        <v>70</v>
      </c>
      <c r="J387" s="21">
        <v>1743</v>
      </c>
    </row>
    <row r="388" spans="1:10">
      <c r="A388" s="19">
        <v>35424</v>
      </c>
      <c r="B388" s="18" t="s">
        <v>39</v>
      </c>
      <c r="C388" s="18" t="s">
        <v>47</v>
      </c>
      <c r="D388" s="18" t="s">
        <v>28</v>
      </c>
      <c r="E388" s="18" t="s">
        <v>29</v>
      </c>
      <c r="F388" s="18" t="s">
        <v>49</v>
      </c>
      <c r="G388" s="18" t="s">
        <v>38</v>
      </c>
      <c r="H388" s="18">
        <v>15.2</v>
      </c>
      <c r="I388" s="20">
        <v>25</v>
      </c>
      <c r="J388" s="21">
        <v>380</v>
      </c>
    </row>
    <row r="389" spans="1:10">
      <c r="A389" s="19">
        <v>35424</v>
      </c>
      <c r="B389" s="18" t="s">
        <v>26</v>
      </c>
      <c r="C389" s="18" t="s">
        <v>27</v>
      </c>
      <c r="D389" s="18" t="s">
        <v>28</v>
      </c>
      <c r="E389" s="18" t="s">
        <v>33</v>
      </c>
      <c r="F389" s="18" t="s">
        <v>49</v>
      </c>
      <c r="G389" s="18" t="s">
        <v>38</v>
      </c>
      <c r="H389" s="18">
        <v>11.2</v>
      </c>
      <c r="I389" s="20">
        <v>7</v>
      </c>
      <c r="J389" s="21">
        <v>78.399999999999991</v>
      </c>
    </row>
    <row r="390" spans="1:10">
      <c r="A390" s="19">
        <v>35424</v>
      </c>
      <c r="B390" s="18" t="s">
        <v>26</v>
      </c>
      <c r="C390" s="18" t="s">
        <v>32</v>
      </c>
      <c r="D390" s="18" t="s">
        <v>28</v>
      </c>
      <c r="E390" s="18" t="s">
        <v>35</v>
      </c>
      <c r="F390" s="18" t="s">
        <v>49</v>
      </c>
      <c r="G390" s="18" t="s">
        <v>38</v>
      </c>
      <c r="H390" s="18">
        <v>18.600000000000001</v>
      </c>
      <c r="I390" s="20">
        <v>42</v>
      </c>
      <c r="J390" s="21">
        <v>781.2</v>
      </c>
    </row>
    <row r="391" spans="1:10">
      <c r="A391" s="19">
        <v>35424</v>
      </c>
      <c r="B391" s="18" t="s">
        <v>26</v>
      </c>
      <c r="C391" s="18" t="s">
        <v>34</v>
      </c>
      <c r="D391" s="18" t="s">
        <v>28</v>
      </c>
      <c r="E391" s="18" t="s">
        <v>29</v>
      </c>
      <c r="F391" s="18" t="s">
        <v>49</v>
      </c>
      <c r="G391" s="18" t="s">
        <v>38</v>
      </c>
      <c r="H391" s="18">
        <v>39.4</v>
      </c>
      <c r="I391" s="20">
        <v>10</v>
      </c>
      <c r="J391" s="21">
        <v>394</v>
      </c>
    </row>
    <row r="392" spans="1:10">
      <c r="A392" s="19">
        <v>35424</v>
      </c>
      <c r="B392" s="18" t="s">
        <v>26</v>
      </c>
      <c r="C392" s="18" t="s">
        <v>36</v>
      </c>
      <c r="D392" s="18" t="s">
        <v>28</v>
      </c>
      <c r="E392" s="18" t="s">
        <v>33</v>
      </c>
      <c r="F392" s="18" t="s">
        <v>49</v>
      </c>
      <c r="G392" s="18" t="s">
        <v>38</v>
      </c>
      <c r="H392" s="18">
        <v>10</v>
      </c>
      <c r="I392" s="20">
        <v>32</v>
      </c>
      <c r="J392" s="21">
        <v>320</v>
      </c>
    </row>
    <row r="393" spans="1:10">
      <c r="A393" s="19">
        <v>35425</v>
      </c>
      <c r="B393" s="18" t="s">
        <v>39</v>
      </c>
      <c r="C393" s="18" t="s">
        <v>40</v>
      </c>
      <c r="D393" s="18" t="s">
        <v>28</v>
      </c>
      <c r="E393" s="18" t="s">
        <v>35</v>
      </c>
      <c r="F393" s="18" t="s">
        <v>37</v>
      </c>
      <c r="G393" s="18" t="s">
        <v>38</v>
      </c>
      <c r="H393" s="18">
        <v>28.8</v>
      </c>
      <c r="I393" s="20">
        <v>8</v>
      </c>
      <c r="J393" s="21">
        <v>230.4</v>
      </c>
    </row>
    <row r="394" spans="1:10">
      <c r="A394" s="19">
        <v>35425</v>
      </c>
      <c r="B394" s="18" t="s">
        <v>39</v>
      </c>
      <c r="C394" s="18" t="s">
        <v>41</v>
      </c>
      <c r="D394" s="18" t="s">
        <v>28</v>
      </c>
      <c r="E394" s="18" t="s">
        <v>29</v>
      </c>
      <c r="F394" s="18" t="s">
        <v>37</v>
      </c>
      <c r="G394" s="18" t="s">
        <v>38</v>
      </c>
      <c r="H394" s="18">
        <v>9.6</v>
      </c>
      <c r="I394" s="20">
        <v>28</v>
      </c>
      <c r="J394" s="21">
        <v>268.8</v>
      </c>
    </row>
    <row r="395" spans="1:10">
      <c r="A395" s="19">
        <v>35425</v>
      </c>
      <c r="B395" s="18" t="s">
        <v>39</v>
      </c>
      <c r="C395" s="18" t="s">
        <v>44</v>
      </c>
      <c r="D395" s="18" t="s">
        <v>28</v>
      </c>
      <c r="E395" s="18" t="s">
        <v>33</v>
      </c>
      <c r="F395" s="18" t="s">
        <v>37</v>
      </c>
      <c r="G395" s="18" t="s">
        <v>38</v>
      </c>
      <c r="H395" s="18">
        <v>26.2</v>
      </c>
      <c r="I395" s="20">
        <v>70</v>
      </c>
      <c r="J395" s="21">
        <v>1834</v>
      </c>
    </row>
    <row r="396" spans="1:10">
      <c r="A396" s="19">
        <v>35426</v>
      </c>
      <c r="B396" s="18" t="s">
        <v>39</v>
      </c>
      <c r="C396" s="18" t="s">
        <v>46</v>
      </c>
      <c r="D396" s="18" t="s">
        <v>28</v>
      </c>
      <c r="E396" s="18" t="s">
        <v>35</v>
      </c>
      <c r="F396" s="18" t="s">
        <v>30</v>
      </c>
      <c r="G396" s="18" t="s">
        <v>31</v>
      </c>
      <c r="H396" s="18">
        <v>8</v>
      </c>
      <c r="I396" s="20">
        <v>10</v>
      </c>
      <c r="J396" s="21">
        <v>80</v>
      </c>
    </row>
    <row r="397" spans="1:10">
      <c r="A397" s="19">
        <v>35426</v>
      </c>
      <c r="B397" s="18" t="s">
        <v>39</v>
      </c>
      <c r="C397" s="18" t="s">
        <v>47</v>
      </c>
      <c r="D397" s="18" t="s">
        <v>28</v>
      </c>
      <c r="E397" s="18" t="s">
        <v>29</v>
      </c>
      <c r="F397" s="18" t="s">
        <v>49</v>
      </c>
      <c r="G397" s="18" t="s">
        <v>38</v>
      </c>
      <c r="H397" s="18">
        <v>27.8</v>
      </c>
      <c r="I397" s="20">
        <v>21</v>
      </c>
      <c r="J397" s="21">
        <v>583.80000000000007</v>
      </c>
    </row>
    <row r="398" spans="1:10">
      <c r="A398" s="19">
        <v>35426</v>
      </c>
      <c r="B398" s="18" t="s">
        <v>26</v>
      </c>
      <c r="C398" s="18" t="s">
        <v>27</v>
      </c>
      <c r="D398" s="18" t="s">
        <v>28</v>
      </c>
      <c r="E398" s="18" t="s">
        <v>33</v>
      </c>
      <c r="F398" s="18" t="s">
        <v>49</v>
      </c>
      <c r="G398" s="18" t="s">
        <v>38</v>
      </c>
      <c r="H398" s="18">
        <v>7.2</v>
      </c>
      <c r="I398" s="20">
        <v>40</v>
      </c>
      <c r="J398" s="21">
        <v>288</v>
      </c>
    </row>
    <row r="399" spans="1:10">
      <c r="A399" s="19">
        <v>35426</v>
      </c>
      <c r="B399" s="18" t="s">
        <v>26</v>
      </c>
      <c r="C399" s="18" t="s">
        <v>32</v>
      </c>
      <c r="D399" s="18" t="s">
        <v>28</v>
      </c>
      <c r="E399" s="18" t="s">
        <v>35</v>
      </c>
      <c r="F399" s="18" t="s">
        <v>49</v>
      </c>
      <c r="G399" s="18" t="s">
        <v>38</v>
      </c>
      <c r="H399" s="18">
        <v>17.2</v>
      </c>
      <c r="I399" s="20">
        <v>60</v>
      </c>
      <c r="J399" s="21">
        <v>1032</v>
      </c>
    </row>
    <row r="400" spans="1:10">
      <c r="A400" s="19">
        <v>35426</v>
      </c>
      <c r="B400" s="18" t="s">
        <v>26</v>
      </c>
      <c r="C400" s="18" t="s">
        <v>34</v>
      </c>
      <c r="D400" s="18" t="s">
        <v>28</v>
      </c>
      <c r="E400" s="18" t="s">
        <v>29</v>
      </c>
      <c r="F400" s="18" t="s">
        <v>30</v>
      </c>
      <c r="G400" s="18" t="s">
        <v>31</v>
      </c>
      <c r="H400" s="18">
        <v>42.4</v>
      </c>
      <c r="I400" s="20">
        <v>18</v>
      </c>
      <c r="J400" s="21">
        <v>763.19999999999993</v>
      </c>
    </row>
    <row r="401" spans="1:10">
      <c r="A401" s="19">
        <v>35429</v>
      </c>
      <c r="B401" s="18" t="s">
        <v>26</v>
      </c>
      <c r="C401" s="18" t="s">
        <v>36</v>
      </c>
      <c r="D401" s="18" t="s">
        <v>28</v>
      </c>
      <c r="E401" s="18" t="s">
        <v>29</v>
      </c>
      <c r="F401" s="18" t="s">
        <v>51</v>
      </c>
      <c r="G401" s="18" t="s">
        <v>43</v>
      </c>
      <c r="H401" s="18">
        <v>14.4</v>
      </c>
      <c r="I401" s="20">
        <v>30</v>
      </c>
      <c r="J401" s="21">
        <v>432</v>
      </c>
    </row>
    <row r="402" spans="1:10">
      <c r="A402" s="19">
        <v>35429</v>
      </c>
      <c r="B402" s="18" t="s">
        <v>39</v>
      </c>
      <c r="C402" s="18" t="s">
        <v>40</v>
      </c>
      <c r="D402" s="18" t="s">
        <v>28</v>
      </c>
      <c r="E402" s="18" t="s">
        <v>33</v>
      </c>
      <c r="F402" s="18" t="s">
        <v>51</v>
      </c>
      <c r="G402" s="18" t="s">
        <v>43</v>
      </c>
      <c r="H402" s="18">
        <v>19.2</v>
      </c>
      <c r="I402" s="20">
        <v>120</v>
      </c>
      <c r="J402" s="21">
        <v>2304</v>
      </c>
    </row>
    <row r="403" spans="1:10">
      <c r="A403" s="19">
        <v>35430</v>
      </c>
      <c r="B403" s="18" t="s">
        <v>39</v>
      </c>
      <c r="C403" s="18" t="s">
        <v>41</v>
      </c>
      <c r="D403" s="18" t="s">
        <v>28</v>
      </c>
      <c r="E403" s="18" t="s">
        <v>35</v>
      </c>
      <c r="F403" s="18" t="s">
        <v>50</v>
      </c>
      <c r="G403" s="18" t="s">
        <v>31</v>
      </c>
      <c r="H403" s="18">
        <v>10.4</v>
      </c>
      <c r="I403" s="20">
        <v>14</v>
      </c>
      <c r="J403" s="21">
        <v>145.6</v>
      </c>
    </row>
    <row r="404" spans="1:10">
      <c r="A404" s="19">
        <v>35430</v>
      </c>
      <c r="B404" s="18" t="s">
        <v>39</v>
      </c>
      <c r="C404" s="18" t="s">
        <v>44</v>
      </c>
      <c r="D404" s="18" t="s">
        <v>28</v>
      </c>
      <c r="E404" s="18" t="s">
        <v>29</v>
      </c>
      <c r="F404" s="18" t="s">
        <v>50</v>
      </c>
      <c r="G404" s="18" t="s">
        <v>31</v>
      </c>
      <c r="H404" s="18">
        <v>10</v>
      </c>
      <c r="I404" s="20">
        <v>60</v>
      </c>
      <c r="J404" s="21">
        <v>600</v>
      </c>
    </row>
    <row r="405" spans="1:10">
      <c r="A405" s="19">
        <v>35430</v>
      </c>
      <c r="B405" s="18" t="s">
        <v>39</v>
      </c>
      <c r="C405" s="18" t="s">
        <v>46</v>
      </c>
      <c r="D405" s="18" t="s">
        <v>28</v>
      </c>
      <c r="E405" s="18" t="s">
        <v>33</v>
      </c>
      <c r="F405" s="18" t="s">
        <v>50</v>
      </c>
      <c r="G405" s="18" t="s">
        <v>31</v>
      </c>
      <c r="H405" s="18">
        <v>14.4</v>
      </c>
      <c r="I405" s="20">
        <v>35</v>
      </c>
      <c r="J405" s="21">
        <v>504</v>
      </c>
    </row>
    <row r="406" spans="1:10">
      <c r="A406" s="19">
        <v>35430</v>
      </c>
      <c r="B406" s="18" t="s">
        <v>39</v>
      </c>
      <c r="C406" s="18" t="s">
        <v>47</v>
      </c>
      <c r="D406" s="18" t="s">
        <v>28</v>
      </c>
      <c r="E406" s="18" t="s">
        <v>35</v>
      </c>
      <c r="F406" s="18" t="s">
        <v>50</v>
      </c>
      <c r="G406" s="18" t="s">
        <v>31</v>
      </c>
      <c r="H406" s="18">
        <v>17.2</v>
      </c>
      <c r="I406" s="20">
        <v>30</v>
      </c>
      <c r="J406" s="21">
        <v>516</v>
      </c>
    </row>
    <row r="407" spans="1:10">
      <c r="A407" s="19">
        <v>35431</v>
      </c>
      <c r="B407" s="18" t="s">
        <v>26</v>
      </c>
      <c r="C407" s="18" t="s">
        <v>27</v>
      </c>
      <c r="D407" s="18" t="s">
        <v>28</v>
      </c>
      <c r="E407" s="18" t="s">
        <v>29</v>
      </c>
      <c r="F407" s="18" t="s">
        <v>49</v>
      </c>
      <c r="G407" s="18" t="s">
        <v>38</v>
      </c>
      <c r="H407" s="18">
        <v>30.4</v>
      </c>
      <c r="I407" s="20">
        <v>70</v>
      </c>
      <c r="J407" s="21">
        <v>2128</v>
      </c>
    </row>
    <row r="408" spans="1:10">
      <c r="A408" s="19">
        <v>35431</v>
      </c>
      <c r="B408" s="18" t="s">
        <v>26</v>
      </c>
      <c r="C408" s="18" t="s">
        <v>32</v>
      </c>
      <c r="D408" s="18" t="s">
        <v>28</v>
      </c>
      <c r="E408" s="18" t="s">
        <v>33</v>
      </c>
      <c r="F408" s="18" t="s">
        <v>49</v>
      </c>
      <c r="G408" s="18" t="s">
        <v>38</v>
      </c>
      <c r="H408" s="18">
        <v>16.8</v>
      </c>
      <c r="I408" s="20">
        <v>20</v>
      </c>
      <c r="J408" s="21">
        <v>336</v>
      </c>
    </row>
    <row r="409" spans="1:10">
      <c r="A409" s="19">
        <v>35431</v>
      </c>
      <c r="B409" s="18" t="s">
        <v>26</v>
      </c>
      <c r="C409" s="18" t="s">
        <v>34</v>
      </c>
      <c r="D409" s="18" t="s">
        <v>28</v>
      </c>
      <c r="E409" s="18" t="s">
        <v>35</v>
      </c>
      <c r="F409" s="18" t="s">
        <v>49</v>
      </c>
      <c r="G409" s="18" t="s">
        <v>38</v>
      </c>
      <c r="H409" s="18">
        <v>20.7</v>
      </c>
      <c r="I409" s="20">
        <v>18</v>
      </c>
      <c r="J409" s="21">
        <v>372.59999999999997</v>
      </c>
    </row>
    <row r="410" spans="1:10">
      <c r="A410" s="19">
        <v>35431</v>
      </c>
      <c r="B410" s="18" t="s">
        <v>26</v>
      </c>
      <c r="C410" s="18" t="s">
        <v>36</v>
      </c>
      <c r="D410" s="18" t="s">
        <v>28</v>
      </c>
      <c r="E410" s="18" t="s">
        <v>29</v>
      </c>
      <c r="F410" s="18" t="s">
        <v>49</v>
      </c>
      <c r="G410" s="18" t="s">
        <v>38</v>
      </c>
      <c r="H410" s="18">
        <v>14.4</v>
      </c>
      <c r="I410" s="20">
        <v>35</v>
      </c>
      <c r="J410" s="21">
        <v>504</v>
      </c>
    </row>
    <row r="411" spans="1:10">
      <c r="A411" s="19">
        <v>35431</v>
      </c>
      <c r="B411" s="18" t="s">
        <v>39</v>
      </c>
      <c r="C411" s="18" t="s">
        <v>40</v>
      </c>
      <c r="D411" s="18" t="s">
        <v>28</v>
      </c>
      <c r="E411" s="18" t="s">
        <v>33</v>
      </c>
      <c r="F411" s="18" t="s">
        <v>49</v>
      </c>
      <c r="G411" s="18" t="s">
        <v>38</v>
      </c>
      <c r="H411" s="18">
        <v>16</v>
      </c>
      <c r="I411" s="20">
        <v>30</v>
      </c>
      <c r="J411" s="21">
        <v>480</v>
      </c>
    </row>
    <row r="412" spans="1:10">
      <c r="A412" s="19">
        <v>35431</v>
      </c>
      <c r="B412" s="18" t="s">
        <v>39</v>
      </c>
      <c r="C412" s="18" t="s">
        <v>41</v>
      </c>
      <c r="D412" s="18" t="s">
        <v>28</v>
      </c>
      <c r="E412" s="18" t="s">
        <v>35</v>
      </c>
      <c r="F412" s="18" t="s">
        <v>49</v>
      </c>
      <c r="G412" s="18" t="s">
        <v>38</v>
      </c>
      <c r="H412" s="18">
        <v>99</v>
      </c>
      <c r="I412" s="20">
        <v>21</v>
      </c>
      <c r="J412" s="21">
        <v>2079</v>
      </c>
    </row>
    <row r="413" spans="1:10">
      <c r="A413" s="19">
        <v>35431</v>
      </c>
      <c r="B413" s="18" t="s">
        <v>39</v>
      </c>
      <c r="C413" s="18" t="s">
        <v>44</v>
      </c>
      <c r="D413" s="18" t="s">
        <v>28</v>
      </c>
      <c r="E413" s="18" t="s">
        <v>29</v>
      </c>
      <c r="F413" s="18" t="s">
        <v>49</v>
      </c>
      <c r="G413" s="18" t="s">
        <v>38</v>
      </c>
      <c r="H413" s="18">
        <v>17.2</v>
      </c>
      <c r="I413" s="20">
        <v>60</v>
      </c>
      <c r="J413" s="21">
        <v>1032</v>
      </c>
    </row>
    <row r="414" spans="1:10">
      <c r="A414" s="19">
        <v>35432</v>
      </c>
      <c r="B414" s="18" t="s">
        <v>39</v>
      </c>
      <c r="C414" s="18" t="s">
        <v>46</v>
      </c>
      <c r="D414" s="18" t="s">
        <v>28</v>
      </c>
      <c r="E414" s="18" t="s">
        <v>33</v>
      </c>
      <c r="F414" s="18" t="s">
        <v>50</v>
      </c>
      <c r="G414" s="18" t="s">
        <v>31</v>
      </c>
      <c r="H414" s="18">
        <v>35.1</v>
      </c>
      <c r="I414" s="20">
        <v>65</v>
      </c>
      <c r="J414" s="21">
        <v>2281.5</v>
      </c>
    </row>
    <row r="415" spans="1:10">
      <c r="A415" s="19">
        <v>35432</v>
      </c>
      <c r="B415" s="18" t="s">
        <v>39</v>
      </c>
      <c r="C415" s="18" t="s">
        <v>47</v>
      </c>
      <c r="D415" s="18" t="s">
        <v>28</v>
      </c>
      <c r="E415" s="18" t="s">
        <v>35</v>
      </c>
      <c r="F415" s="18" t="s">
        <v>50</v>
      </c>
      <c r="G415" s="18" t="s">
        <v>31</v>
      </c>
      <c r="H415" s="18">
        <v>7.2</v>
      </c>
      <c r="I415" s="20">
        <v>60</v>
      </c>
      <c r="J415" s="21">
        <v>432</v>
      </c>
    </row>
    <row r="416" spans="1:10">
      <c r="A416" s="19">
        <v>35433</v>
      </c>
      <c r="B416" s="18" t="s">
        <v>26</v>
      </c>
      <c r="C416" s="18" t="s">
        <v>27</v>
      </c>
      <c r="D416" s="18" t="s">
        <v>28</v>
      </c>
      <c r="E416" s="18" t="s">
        <v>29</v>
      </c>
      <c r="F416" s="18" t="s">
        <v>42</v>
      </c>
      <c r="G416" s="18" t="s">
        <v>43</v>
      </c>
      <c r="H416" s="18">
        <v>13.9</v>
      </c>
      <c r="I416" s="20">
        <v>21</v>
      </c>
      <c r="J416" s="21">
        <v>291.90000000000003</v>
      </c>
    </row>
    <row r="417" spans="1:10">
      <c r="A417" s="19">
        <v>35433</v>
      </c>
      <c r="B417" s="18" t="s">
        <v>26</v>
      </c>
      <c r="C417" s="18" t="s">
        <v>32</v>
      </c>
      <c r="D417" s="18" t="s">
        <v>28</v>
      </c>
      <c r="E417" s="18" t="s">
        <v>33</v>
      </c>
      <c r="F417" s="18" t="s">
        <v>51</v>
      </c>
      <c r="G417" s="18" t="s">
        <v>43</v>
      </c>
      <c r="H417" s="18">
        <v>11.2</v>
      </c>
      <c r="I417" s="20">
        <v>40</v>
      </c>
      <c r="J417" s="21">
        <v>448</v>
      </c>
    </row>
    <row r="418" spans="1:10">
      <c r="A418" s="19">
        <v>35433</v>
      </c>
      <c r="B418" s="18" t="s">
        <v>26</v>
      </c>
      <c r="C418" s="18" t="s">
        <v>34</v>
      </c>
      <c r="D418" s="18" t="s">
        <v>28</v>
      </c>
      <c r="E418" s="18" t="s">
        <v>35</v>
      </c>
      <c r="F418" s="18" t="s">
        <v>51</v>
      </c>
      <c r="G418" s="18" t="s">
        <v>43</v>
      </c>
      <c r="H418" s="18">
        <v>24.9</v>
      </c>
      <c r="I418" s="20">
        <v>30</v>
      </c>
      <c r="J418" s="21">
        <v>747</v>
      </c>
    </row>
    <row r="419" spans="1:10">
      <c r="A419" s="19">
        <v>35433</v>
      </c>
      <c r="B419" s="18" t="s">
        <v>26</v>
      </c>
      <c r="C419" s="18" t="s">
        <v>36</v>
      </c>
      <c r="D419" s="18" t="s">
        <v>28</v>
      </c>
      <c r="E419" s="18" t="s">
        <v>29</v>
      </c>
      <c r="F419" s="18" t="s">
        <v>51</v>
      </c>
      <c r="G419" s="18" t="s">
        <v>43</v>
      </c>
      <c r="H419" s="18">
        <v>16</v>
      </c>
      <c r="I419" s="20">
        <v>30</v>
      </c>
      <c r="J419" s="21">
        <v>480</v>
      </c>
    </row>
    <row r="420" spans="1:10">
      <c r="A420" s="19">
        <v>35433</v>
      </c>
      <c r="B420" s="18" t="s">
        <v>39</v>
      </c>
      <c r="C420" s="18" t="s">
        <v>40</v>
      </c>
      <c r="D420" s="18" t="s">
        <v>28</v>
      </c>
      <c r="E420" s="18" t="s">
        <v>29</v>
      </c>
      <c r="F420" s="18" t="s">
        <v>42</v>
      </c>
      <c r="G420" s="18" t="s">
        <v>43</v>
      </c>
      <c r="H420" s="18">
        <v>10.199999999999999</v>
      </c>
      <c r="I420" s="20">
        <v>70</v>
      </c>
      <c r="J420" s="21">
        <v>714</v>
      </c>
    </row>
    <row r="421" spans="1:10">
      <c r="A421" s="19">
        <v>35436</v>
      </c>
      <c r="B421" s="18" t="s">
        <v>39</v>
      </c>
      <c r="C421" s="18" t="s">
        <v>41</v>
      </c>
      <c r="D421" s="18" t="s">
        <v>28</v>
      </c>
      <c r="E421" s="18" t="s">
        <v>33</v>
      </c>
      <c r="F421" s="18" t="s">
        <v>49</v>
      </c>
      <c r="G421" s="18" t="s">
        <v>38</v>
      </c>
      <c r="H421" s="18">
        <v>8</v>
      </c>
      <c r="I421" s="20">
        <v>50</v>
      </c>
      <c r="J421" s="21">
        <v>400</v>
      </c>
    </row>
    <row r="422" spans="1:10">
      <c r="A422" s="19">
        <v>35437</v>
      </c>
      <c r="B422" s="18" t="s">
        <v>39</v>
      </c>
      <c r="C422" s="18" t="s">
        <v>44</v>
      </c>
      <c r="D422" s="18" t="s">
        <v>28</v>
      </c>
      <c r="E422" s="18" t="s">
        <v>35</v>
      </c>
      <c r="F422" s="18" t="s">
        <v>51</v>
      </c>
      <c r="G422" s="18" t="s">
        <v>43</v>
      </c>
      <c r="H422" s="18">
        <v>16.8</v>
      </c>
      <c r="I422" s="20">
        <v>30</v>
      </c>
      <c r="J422" s="21">
        <v>504</v>
      </c>
    </row>
    <row r="423" spans="1:10">
      <c r="A423" s="19">
        <v>35437</v>
      </c>
      <c r="B423" s="18" t="s">
        <v>39</v>
      </c>
      <c r="C423" s="18" t="s">
        <v>46</v>
      </c>
      <c r="D423" s="18" t="s">
        <v>28</v>
      </c>
      <c r="E423" s="18" t="s">
        <v>29</v>
      </c>
      <c r="F423" s="18" t="s">
        <v>51</v>
      </c>
      <c r="G423" s="18" t="s">
        <v>43</v>
      </c>
      <c r="H423" s="18">
        <v>28.8</v>
      </c>
      <c r="I423" s="20">
        <v>15</v>
      </c>
      <c r="J423" s="21">
        <v>432</v>
      </c>
    </row>
    <row r="424" spans="1:10">
      <c r="A424" s="19">
        <v>35437</v>
      </c>
      <c r="B424" s="18" t="s">
        <v>39</v>
      </c>
      <c r="C424" s="18" t="s">
        <v>47</v>
      </c>
      <c r="D424" s="18" t="s">
        <v>28</v>
      </c>
      <c r="E424" s="18" t="s">
        <v>33</v>
      </c>
      <c r="F424" s="18" t="s">
        <v>52</v>
      </c>
      <c r="G424" s="18" t="s">
        <v>31</v>
      </c>
      <c r="H424" s="18">
        <v>8</v>
      </c>
      <c r="I424" s="20">
        <v>30</v>
      </c>
      <c r="J424" s="21">
        <v>240</v>
      </c>
    </row>
    <row r="425" spans="1:10">
      <c r="A425" s="19">
        <v>35437</v>
      </c>
      <c r="B425" s="18" t="s">
        <v>26</v>
      </c>
      <c r="C425" s="18" t="s">
        <v>27</v>
      </c>
      <c r="D425" s="18" t="s">
        <v>28</v>
      </c>
      <c r="E425" s="18" t="s">
        <v>35</v>
      </c>
      <c r="F425" s="18" t="s">
        <v>52</v>
      </c>
      <c r="G425" s="18" t="s">
        <v>31</v>
      </c>
      <c r="H425" s="18">
        <v>36.4</v>
      </c>
      <c r="I425" s="20">
        <v>42</v>
      </c>
      <c r="J425" s="21">
        <v>1528.8</v>
      </c>
    </row>
    <row r="426" spans="1:10">
      <c r="A426" s="19">
        <v>35437</v>
      </c>
      <c r="B426" s="18" t="s">
        <v>26</v>
      </c>
      <c r="C426" s="18" t="s">
        <v>32</v>
      </c>
      <c r="D426" s="18" t="s">
        <v>28</v>
      </c>
      <c r="E426" s="18" t="s">
        <v>29</v>
      </c>
      <c r="F426" s="18" t="s">
        <v>52</v>
      </c>
      <c r="G426" s="18" t="s">
        <v>31</v>
      </c>
      <c r="H426" s="18">
        <v>14.4</v>
      </c>
      <c r="I426" s="20">
        <v>10</v>
      </c>
      <c r="J426" s="21">
        <v>144</v>
      </c>
    </row>
    <row r="427" spans="1:10">
      <c r="A427" s="19">
        <v>35437</v>
      </c>
      <c r="B427" s="18" t="s">
        <v>26</v>
      </c>
      <c r="C427" s="18" t="s">
        <v>34</v>
      </c>
      <c r="D427" s="18" t="s">
        <v>28</v>
      </c>
      <c r="E427" s="18" t="s">
        <v>33</v>
      </c>
      <c r="F427" s="18" t="s">
        <v>52</v>
      </c>
      <c r="G427" s="18" t="s">
        <v>31</v>
      </c>
      <c r="H427" s="18">
        <v>14.7</v>
      </c>
      <c r="I427" s="20">
        <v>2</v>
      </c>
      <c r="J427" s="21">
        <v>29.4</v>
      </c>
    </row>
    <row r="428" spans="1:10">
      <c r="A428" s="19">
        <v>35437</v>
      </c>
      <c r="B428" s="18" t="s">
        <v>26</v>
      </c>
      <c r="C428" s="18" t="s">
        <v>36</v>
      </c>
      <c r="D428" s="18" t="s">
        <v>28</v>
      </c>
      <c r="E428" s="18" t="s">
        <v>35</v>
      </c>
      <c r="F428" s="18" t="s">
        <v>51</v>
      </c>
      <c r="G428" s="18" t="s">
        <v>43</v>
      </c>
      <c r="H428" s="18">
        <v>17.2</v>
      </c>
      <c r="I428" s="20">
        <v>15</v>
      </c>
      <c r="J428" s="21">
        <v>258</v>
      </c>
    </row>
    <row r="429" spans="1:10">
      <c r="A429" s="19">
        <v>35437</v>
      </c>
      <c r="B429" s="18" t="s">
        <v>39</v>
      </c>
      <c r="C429" s="18" t="s">
        <v>40</v>
      </c>
      <c r="D429" s="18" t="s">
        <v>28</v>
      </c>
      <c r="E429" s="18" t="s">
        <v>29</v>
      </c>
      <c r="F429" s="18" t="s">
        <v>52</v>
      </c>
      <c r="G429" s="18" t="s">
        <v>31</v>
      </c>
      <c r="H429" s="18">
        <v>15.2</v>
      </c>
      <c r="I429" s="20">
        <v>5</v>
      </c>
      <c r="J429" s="21">
        <v>76</v>
      </c>
    </row>
    <row r="430" spans="1:10">
      <c r="A430" s="19">
        <v>35438</v>
      </c>
      <c r="B430" s="18" t="s">
        <v>39</v>
      </c>
      <c r="C430" s="18" t="s">
        <v>41</v>
      </c>
      <c r="D430" s="18" t="s">
        <v>28</v>
      </c>
      <c r="E430" s="18" t="s">
        <v>33</v>
      </c>
      <c r="F430" s="18" t="s">
        <v>50</v>
      </c>
      <c r="G430" s="18" t="s">
        <v>31</v>
      </c>
      <c r="H430" s="18">
        <v>20.8</v>
      </c>
      <c r="I430" s="20">
        <v>10</v>
      </c>
      <c r="J430" s="21">
        <v>208</v>
      </c>
    </row>
    <row r="431" spans="1:10">
      <c r="A431" s="19">
        <v>35438</v>
      </c>
      <c r="B431" s="18" t="s">
        <v>39</v>
      </c>
      <c r="C431" s="18" t="s">
        <v>44</v>
      </c>
      <c r="D431" s="18" t="s">
        <v>28</v>
      </c>
      <c r="E431" s="18" t="s">
        <v>35</v>
      </c>
      <c r="F431" s="18" t="s">
        <v>50</v>
      </c>
      <c r="G431" s="18" t="s">
        <v>31</v>
      </c>
      <c r="H431" s="18">
        <v>5.9</v>
      </c>
      <c r="I431" s="20">
        <v>6</v>
      </c>
      <c r="J431" s="21">
        <v>35.400000000000006</v>
      </c>
    </row>
    <row r="432" spans="1:10">
      <c r="A432" s="19">
        <v>35438</v>
      </c>
      <c r="B432" s="18" t="s">
        <v>39</v>
      </c>
      <c r="C432" s="18" t="s">
        <v>46</v>
      </c>
      <c r="D432" s="18" t="s">
        <v>28</v>
      </c>
      <c r="E432" s="18" t="s">
        <v>29</v>
      </c>
      <c r="F432" s="18" t="s">
        <v>50</v>
      </c>
      <c r="G432" s="18" t="s">
        <v>31</v>
      </c>
      <c r="H432" s="18">
        <v>39.4</v>
      </c>
      <c r="I432" s="20">
        <v>35</v>
      </c>
      <c r="J432" s="21">
        <v>1379</v>
      </c>
    </row>
    <row r="433" spans="1:10">
      <c r="A433" s="19">
        <v>35439</v>
      </c>
      <c r="B433" s="18" t="s">
        <v>39</v>
      </c>
      <c r="C433" s="18" t="s">
        <v>47</v>
      </c>
      <c r="D433" s="18" t="s">
        <v>28</v>
      </c>
      <c r="E433" s="18" t="s">
        <v>33</v>
      </c>
      <c r="F433" s="18" t="s">
        <v>45</v>
      </c>
      <c r="G433" s="18" t="s">
        <v>38</v>
      </c>
      <c r="H433" s="18">
        <v>8</v>
      </c>
      <c r="I433" s="20">
        <v>12</v>
      </c>
      <c r="J433" s="21">
        <v>96</v>
      </c>
    </row>
    <row r="434" spans="1:10">
      <c r="A434" s="19">
        <v>35439</v>
      </c>
      <c r="B434" s="18" t="s">
        <v>26</v>
      </c>
      <c r="C434" s="18" t="s">
        <v>27</v>
      </c>
      <c r="D434" s="18" t="s">
        <v>28</v>
      </c>
      <c r="E434" s="18" t="s">
        <v>35</v>
      </c>
      <c r="F434" s="18" t="s">
        <v>45</v>
      </c>
      <c r="G434" s="18" t="s">
        <v>38</v>
      </c>
      <c r="H434" s="18">
        <v>18.600000000000001</v>
      </c>
      <c r="I434" s="20">
        <v>12</v>
      </c>
      <c r="J434" s="21">
        <v>223.20000000000002</v>
      </c>
    </row>
    <row r="435" spans="1:10">
      <c r="A435" s="19">
        <v>35440</v>
      </c>
      <c r="B435" s="18" t="s">
        <v>26</v>
      </c>
      <c r="C435" s="18" t="s">
        <v>32</v>
      </c>
      <c r="D435" s="18" t="s">
        <v>28</v>
      </c>
      <c r="E435" s="18" t="s">
        <v>29</v>
      </c>
      <c r="F435" s="18" t="s">
        <v>45</v>
      </c>
      <c r="G435" s="18" t="s">
        <v>38</v>
      </c>
      <c r="H435" s="18">
        <v>44</v>
      </c>
      <c r="I435" s="20">
        <v>16</v>
      </c>
      <c r="J435" s="21">
        <v>704</v>
      </c>
    </row>
    <row r="436" spans="1:10">
      <c r="A436" s="19">
        <v>35440</v>
      </c>
      <c r="B436" s="18" t="s">
        <v>26</v>
      </c>
      <c r="C436" s="18" t="s">
        <v>34</v>
      </c>
      <c r="D436" s="18" t="s">
        <v>28</v>
      </c>
      <c r="E436" s="18" t="s">
        <v>33</v>
      </c>
      <c r="F436" s="18" t="s">
        <v>48</v>
      </c>
      <c r="G436" s="18" t="s">
        <v>31</v>
      </c>
      <c r="H436" s="18">
        <v>44</v>
      </c>
      <c r="I436" s="20">
        <v>9</v>
      </c>
      <c r="J436" s="21">
        <v>396</v>
      </c>
    </row>
    <row r="437" spans="1:10">
      <c r="A437" s="19">
        <v>35440</v>
      </c>
      <c r="B437" s="18" t="s">
        <v>26</v>
      </c>
      <c r="C437" s="18" t="s">
        <v>36</v>
      </c>
      <c r="D437" s="18" t="s">
        <v>28</v>
      </c>
      <c r="E437" s="18" t="s">
        <v>35</v>
      </c>
      <c r="F437" s="18" t="s">
        <v>48</v>
      </c>
      <c r="G437" s="18" t="s">
        <v>31</v>
      </c>
      <c r="H437" s="18">
        <v>15.5</v>
      </c>
      <c r="I437" s="20">
        <v>40</v>
      </c>
      <c r="J437" s="21">
        <v>620</v>
      </c>
    </row>
    <row r="438" spans="1:10">
      <c r="A438" s="19">
        <v>35440</v>
      </c>
      <c r="B438" s="18" t="s">
        <v>39</v>
      </c>
      <c r="C438" s="18" t="s">
        <v>40</v>
      </c>
      <c r="D438" s="18" t="s">
        <v>28</v>
      </c>
      <c r="E438" s="18" t="s">
        <v>29</v>
      </c>
      <c r="F438" s="18" t="s">
        <v>45</v>
      </c>
      <c r="G438" s="18" t="s">
        <v>38</v>
      </c>
      <c r="H438" s="18">
        <v>2</v>
      </c>
      <c r="I438" s="20">
        <v>49</v>
      </c>
      <c r="J438" s="21">
        <v>98</v>
      </c>
    </row>
    <row r="439" spans="1:10">
      <c r="A439" s="19">
        <v>35440</v>
      </c>
      <c r="B439" s="18" t="s">
        <v>39</v>
      </c>
      <c r="C439" s="18" t="s">
        <v>41</v>
      </c>
      <c r="D439" s="18" t="s">
        <v>28</v>
      </c>
      <c r="E439" s="18" t="s">
        <v>29</v>
      </c>
      <c r="F439" s="18" t="s">
        <v>48</v>
      </c>
      <c r="G439" s="18" t="s">
        <v>31</v>
      </c>
      <c r="H439" s="18">
        <v>7.7</v>
      </c>
      <c r="I439" s="20">
        <v>25</v>
      </c>
      <c r="J439" s="21">
        <v>192.5</v>
      </c>
    </row>
    <row r="440" spans="1:10">
      <c r="A440" s="19">
        <v>35443</v>
      </c>
      <c r="B440" s="18" t="s">
        <v>39</v>
      </c>
      <c r="C440" s="18" t="s">
        <v>44</v>
      </c>
      <c r="D440" s="18" t="s">
        <v>28</v>
      </c>
      <c r="E440" s="18" t="s">
        <v>33</v>
      </c>
      <c r="F440" s="18" t="s">
        <v>50</v>
      </c>
      <c r="G440" s="18" t="s">
        <v>31</v>
      </c>
      <c r="H440" s="18">
        <v>18.600000000000001</v>
      </c>
      <c r="I440" s="20">
        <v>20</v>
      </c>
      <c r="J440" s="21">
        <v>372</v>
      </c>
    </row>
    <row r="441" spans="1:10">
      <c r="A441" s="19">
        <v>35444</v>
      </c>
      <c r="B441" s="18" t="s">
        <v>39</v>
      </c>
      <c r="C441" s="18" t="s">
        <v>46</v>
      </c>
      <c r="D441" s="18" t="s">
        <v>28</v>
      </c>
      <c r="E441" s="18" t="s">
        <v>35</v>
      </c>
      <c r="F441" s="18" t="s">
        <v>51</v>
      </c>
      <c r="G441" s="18" t="s">
        <v>43</v>
      </c>
      <c r="H441" s="18">
        <v>2</v>
      </c>
      <c r="I441" s="20">
        <v>50</v>
      </c>
      <c r="J441" s="21">
        <v>100</v>
      </c>
    </row>
    <row r="442" spans="1:10">
      <c r="A442" s="19">
        <v>35444</v>
      </c>
      <c r="B442" s="18" t="s">
        <v>39</v>
      </c>
      <c r="C442" s="18" t="s">
        <v>47</v>
      </c>
      <c r="D442" s="18" t="s">
        <v>28</v>
      </c>
      <c r="E442" s="18" t="s">
        <v>29</v>
      </c>
      <c r="F442" s="18" t="s">
        <v>45</v>
      </c>
      <c r="G442" s="18" t="s">
        <v>38</v>
      </c>
      <c r="H442" s="18">
        <v>14.4</v>
      </c>
      <c r="I442" s="20">
        <v>14</v>
      </c>
      <c r="J442" s="21">
        <v>201.6</v>
      </c>
    </row>
    <row r="443" spans="1:10">
      <c r="A443" s="19">
        <v>35444</v>
      </c>
      <c r="B443" s="18" t="s">
        <v>26</v>
      </c>
      <c r="C443" s="18" t="s">
        <v>27</v>
      </c>
      <c r="D443" s="18" t="s">
        <v>28</v>
      </c>
      <c r="E443" s="18" t="s">
        <v>33</v>
      </c>
      <c r="F443" s="18" t="s">
        <v>45</v>
      </c>
      <c r="G443" s="18" t="s">
        <v>38</v>
      </c>
      <c r="H443" s="18">
        <v>14.4</v>
      </c>
      <c r="I443" s="20">
        <v>24</v>
      </c>
      <c r="J443" s="21">
        <v>345.6</v>
      </c>
    </row>
    <row r="444" spans="1:10">
      <c r="A444" s="19">
        <v>35444</v>
      </c>
      <c r="B444" s="18" t="s">
        <v>26</v>
      </c>
      <c r="C444" s="18" t="s">
        <v>32</v>
      </c>
      <c r="D444" s="18" t="s">
        <v>28</v>
      </c>
      <c r="E444" s="18" t="s">
        <v>35</v>
      </c>
      <c r="F444" s="18" t="s">
        <v>45</v>
      </c>
      <c r="G444" s="18" t="s">
        <v>38</v>
      </c>
      <c r="H444" s="18">
        <v>39.4</v>
      </c>
      <c r="I444" s="20">
        <v>40</v>
      </c>
      <c r="J444" s="21">
        <v>1576</v>
      </c>
    </row>
    <row r="445" spans="1:10">
      <c r="A445" s="19">
        <v>35444</v>
      </c>
      <c r="B445" s="18" t="s">
        <v>26</v>
      </c>
      <c r="C445" s="18" t="s">
        <v>34</v>
      </c>
      <c r="D445" s="18" t="s">
        <v>28</v>
      </c>
      <c r="E445" s="18" t="s">
        <v>29</v>
      </c>
      <c r="F445" s="18" t="s">
        <v>51</v>
      </c>
      <c r="G445" s="18" t="s">
        <v>43</v>
      </c>
      <c r="H445" s="18">
        <v>7.3</v>
      </c>
      <c r="I445" s="20">
        <v>18</v>
      </c>
      <c r="J445" s="21">
        <v>131.4</v>
      </c>
    </row>
    <row r="446" spans="1:10">
      <c r="A446" s="19">
        <v>35445</v>
      </c>
      <c r="B446" s="18" t="s">
        <v>26</v>
      </c>
      <c r="C446" s="18" t="s">
        <v>36</v>
      </c>
      <c r="D446" s="18" t="s">
        <v>28</v>
      </c>
      <c r="E446" s="18" t="s">
        <v>33</v>
      </c>
      <c r="F446" s="18" t="s">
        <v>45</v>
      </c>
      <c r="G446" s="18" t="s">
        <v>38</v>
      </c>
      <c r="H446" s="18">
        <v>2</v>
      </c>
      <c r="I446" s="20">
        <v>20</v>
      </c>
      <c r="J446" s="21">
        <v>40</v>
      </c>
    </row>
    <row r="447" spans="1:10">
      <c r="A447" s="19">
        <v>35445</v>
      </c>
      <c r="B447" s="18" t="s">
        <v>39</v>
      </c>
      <c r="C447" s="18" t="s">
        <v>40</v>
      </c>
      <c r="D447" s="18" t="s">
        <v>28</v>
      </c>
      <c r="E447" s="18" t="s">
        <v>35</v>
      </c>
      <c r="F447" s="18" t="s">
        <v>45</v>
      </c>
      <c r="G447" s="18" t="s">
        <v>38</v>
      </c>
      <c r="H447" s="18">
        <v>31.2</v>
      </c>
      <c r="I447" s="20">
        <v>2</v>
      </c>
      <c r="J447" s="21">
        <v>62.4</v>
      </c>
    </row>
    <row r="448" spans="1:10">
      <c r="A448" s="19">
        <v>35446</v>
      </c>
      <c r="B448" s="18" t="s">
        <v>39</v>
      </c>
      <c r="C448" s="18" t="s">
        <v>41</v>
      </c>
      <c r="D448" s="18" t="s">
        <v>28</v>
      </c>
      <c r="E448" s="18" t="s">
        <v>29</v>
      </c>
      <c r="F448" s="18" t="s">
        <v>42</v>
      </c>
      <c r="G448" s="18" t="s">
        <v>43</v>
      </c>
      <c r="H448" s="18">
        <v>9.6</v>
      </c>
      <c r="I448" s="20">
        <v>2</v>
      </c>
      <c r="J448" s="21">
        <v>19.2</v>
      </c>
    </row>
    <row r="449" spans="1:10">
      <c r="A449" s="19">
        <v>35446</v>
      </c>
      <c r="B449" s="18" t="s">
        <v>39</v>
      </c>
      <c r="C449" s="18" t="s">
        <v>44</v>
      </c>
      <c r="D449" s="18" t="s">
        <v>28</v>
      </c>
      <c r="E449" s="18" t="s">
        <v>33</v>
      </c>
      <c r="F449" s="18" t="s">
        <v>42</v>
      </c>
      <c r="G449" s="18" t="s">
        <v>43</v>
      </c>
      <c r="H449" s="18">
        <v>10.4</v>
      </c>
      <c r="I449" s="20">
        <v>35</v>
      </c>
      <c r="J449" s="21">
        <v>364</v>
      </c>
    </row>
    <row r="450" spans="1:10">
      <c r="A450" s="19">
        <v>35446</v>
      </c>
      <c r="B450" s="18" t="s">
        <v>39</v>
      </c>
      <c r="C450" s="18" t="s">
        <v>46</v>
      </c>
      <c r="D450" s="18" t="s">
        <v>28</v>
      </c>
      <c r="E450" s="18" t="s">
        <v>35</v>
      </c>
      <c r="F450" s="18" t="s">
        <v>42</v>
      </c>
      <c r="G450" s="18" t="s">
        <v>43</v>
      </c>
      <c r="H450" s="18">
        <v>210.8</v>
      </c>
      <c r="I450" s="20">
        <v>50</v>
      </c>
      <c r="J450" s="21">
        <v>10540</v>
      </c>
    </row>
    <row r="451" spans="1:10">
      <c r="A451" s="19">
        <v>35446</v>
      </c>
      <c r="B451" s="18" t="s">
        <v>39</v>
      </c>
      <c r="C451" s="18" t="s">
        <v>47</v>
      </c>
      <c r="D451" s="18" t="s">
        <v>28</v>
      </c>
      <c r="E451" s="18" t="s">
        <v>29</v>
      </c>
      <c r="F451" s="18" t="s">
        <v>42</v>
      </c>
      <c r="G451" s="18" t="s">
        <v>43</v>
      </c>
      <c r="H451" s="18">
        <v>10</v>
      </c>
      <c r="I451" s="20">
        <v>36</v>
      </c>
      <c r="J451" s="21">
        <v>360</v>
      </c>
    </row>
    <row r="452" spans="1:10">
      <c r="A452" s="19">
        <v>35446</v>
      </c>
      <c r="B452" s="18" t="s">
        <v>26</v>
      </c>
      <c r="C452" s="18" t="s">
        <v>27</v>
      </c>
      <c r="D452" s="18" t="s">
        <v>28</v>
      </c>
      <c r="E452" s="18" t="s">
        <v>33</v>
      </c>
      <c r="F452" s="18" t="s">
        <v>50</v>
      </c>
      <c r="G452" s="18" t="s">
        <v>31</v>
      </c>
      <c r="H452" s="18">
        <v>7.3</v>
      </c>
      <c r="I452" s="20">
        <v>20</v>
      </c>
      <c r="J452" s="21">
        <v>146</v>
      </c>
    </row>
    <row r="453" spans="1:10">
      <c r="A453" s="19">
        <v>35446</v>
      </c>
      <c r="B453" s="18" t="s">
        <v>26</v>
      </c>
      <c r="C453" s="18" t="s">
        <v>32</v>
      </c>
      <c r="D453" s="18" t="s">
        <v>28</v>
      </c>
      <c r="E453" s="18" t="s">
        <v>35</v>
      </c>
      <c r="F453" s="18" t="s">
        <v>50</v>
      </c>
      <c r="G453" s="18" t="s">
        <v>31</v>
      </c>
      <c r="H453" s="18">
        <v>15.6</v>
      </c>
      <c r="I453" s="20">
        <v>20</v>
      </c>
      <c r="J453" s="21">
        <v>312</v>
      </c>
    </row>
    <row r="454" spans="1:10">
      <c r="A454" s="19">
        <v>35446</v>
      </c>
      <c r="B454" s="18" t="s">
        <v>26</v>
      </c>
      <c r="C454" s="18" t="s">
        <v>34</v>
      </c>
      <c r="D454" s="18" t="s">
        <v>28</v>
      </c>
      <c r="E454" s="18" t="s">
        <v>29</v>
      </c>
      <c r="F454" s="18" t="s">
        <v>50</v>
      </c>
      <c r="G454" s="18" t="s">
        <v>31</v>
      </c>
      <c r="H454" s="18">
        <v>26.2</v>
      </c>
      <c r="I454" s="20">
        <v>10</v>
      </c>
      <c r="J454" s="21">
        <v>262</v>
      </c>
    </row>
    <row r="455" spans="1:10">
      <c r="A455" s="19">
        <v>35447</v>
      </c>
      <c r="B455" s="18" t="s">
        <v>26</v>
      </c>
      <c r="C455" s="18" t="s">
        <v>36</v>
      </c>
      <c r="D455" s="18" t="s">
        <v>28</v>
      </c>
      <c r="E455" s="18" t="s">
        <v>33</v>
      </c>
      <c r="F455" s="18" t="s">
        <v>42</v>
      </c>
      <c r="G455" s="18" t="s">
        <v>43</v>
      </c>
      <c r="H455" s="18">
        <v>7.6</v>
      </c>
      <c r="I455" s="20">
        <v>55</v>
      </c>
      <c r="J455" s="21">
        <v>418</v>
      </c>
    </row>
    <row r="456" spans="1:10">
      <c r="A456" s="19">
        <v>35447</v>
      </c>
      <c r="B456" s="18" t="s">
        <v>39</v>
      </c>
      <c r="C456" s="18" t="s">
        <v>40</v>
      </c>
      <c r="D456" s="18" t="s">
        <v>28</v>
      </c>
      <c r="E456" s="18" t="s">
        <v>35</v>
      </c>
      <c r="F456" s="18" t="s">
        <v>42</v>
      </c>
      <c r="G456" s="18" t="s">
        <v>43</v>
      </c>
      <c r="H456" s="18">
        <v>22.8</v>
      </c>
      <c r="I456" s="20">
        <v>16</v>
      </c>
      <c r="J456" s="21">
        <v>364.8</v>
      </c>
    </row>
    <row r="457" spans="1:10">
      <c r="A457" s="19">
        <v>35447</v>
      </c>
      <c r="B457" s="18" t="s">
        <v>39</v>
      </c>
      <c r="C457" s="18" t="s">
        <v>41</v>
      </c>
      <c r="D457" s="18" t="s">
        <v>28</v>
      </c>
      <c r="E457" s="18" t="s">
        <v>29</v>
      </c>
      <c r="F457" s="18" t="s">
        <v>42</v>
      </c>
      <c r="G457" s="18" t="s">
        <v>43</v>
      </c>
      <c r="H457" s="18">
        <v>8</v>
      </c>
      <c r="I457" s="20">
        <v>15</v>
      </c>
      <c r="J457" s="21">
        <v>120</v>
      </c>
    </row>
    <row r="458" spans="1:10">
      <c r="A458" s="19">
        <v>35447</v>
      </c>
      <c r="B458" s="18" t="s">
        <v>39</v>
      </c>
      <c r="C458" s="18" t="s">
        <v>44</v>
      </c>
      <c r="D458" s="18" t="s">
        <v>28</v>
      </c>
      <c r="E458" s="18" t="s">
        <v>29</v>
      </c>
      <c r="F458" s="18" t="s">
        <v>42</v>
      </c>
      <c r="G458" s="18" t="s">
        <v>43</v>
      </c>
      <c r="H458" s="18">
        <v>15.2</v>
      </c>
      <c r="I458" s="20">
        <v>60</v>
      </c>
      <c r="J458" s="21">
        <v>912</v>
      </c>
    </row>
    <row r="459" spans="1:10">
      <c r="A459" s="19">
        <v>35450</v>
      </c>
      <c r="B459" s="18" t="s">
        <v>39</v>
      </c>
      <c r="C459" s="18" t="s">
        <v>46</v>
      </c>
      <c r="D459" s="18" t="s">
        <v>28</v>
      </c>
      <c r="E459" s="18" t="s">
        <v>33</v>
      </c>
      <c r="F459" s="18" t="s">
        <v>42</v>
      </c>
      <c r="G459" s="18" t="s">
        <v>43</v>
      </c>
      <c r="H459" s="18">
        <v>28.8</v>
      </c>
      <c r="I459" s="20">
        <v>20</v>
      </c>
      <c r="J459" s="21">
        <v>576</v>
      </c>
    </row>
    <row r="460" spans="1:10">
      <c r="A460" s="19">
        <v>35450</v>
      </c>
      <c r="B460" s="18" t="s">
        <v>39</v>
      </c>
      <c r="C460" s="18" t="s">
        <v>47</v>
      </c>
      <c r="D460" s="18" t="s">
        <v>28</v>
      </c>
      <c r="E460" s="18" t="s">
        <v>35</v>
      </c>
      <c r="F460" s="18" t="s">
        <v>42</v>
      </c>
      <c r="G460" s="18" t="s">
        <v>43</v>
      </c>
      <c r="H460" s="18">
        <v>27.2</v>
      </c>
      <c r="I460" s="20">
        <v>60</v>
      </c>
      <c r="J460" s="21">
        <v>1632</v>
      </c>
    </row>
    <row r="461" spans="1:10">
      <c r="A461" s="19">
        <v>35451</v>
      </c>
      <c r="B461" s="18" t="s">
        <v>26</v>
      </c>
      <c r="C461" s="18" t="s">
        <v>27</v>
      </c>
      <c r="D461" s="18" t="s">
        <v>28</v>
      </c>
      <c r="E461" s="18" t="s">
        <v>29</v>
      </c>
      <c r="F461" s="18" t="s">
        <v>45</v>
      </c>
      <c r="G461" s="18" t="s">
        <v>38</v>
      </c>
      <c r="H461" s="18">
        <v>12</v>
      </c>
      <c r="I461" s="20">
        <v>20</v>
      </c>
      <c r="J461" s="21">
        <v>240</v>
      </c>
    </row>
    <row r="462" spans="1:10">
      <c r="A462" s="19">
        <v>35451</v>
      </c>
      <c r="B462" s="18" t="s">
        <v>26</v>
      </c>
      <c r="C462" s="18" t="s">
        <v>32</v>
      </c>
      <c r="D462" s="18" t="s">
        <v>28</v>
      </c>
      <c r="E462" s="18" t="s">
        <v>33</v>
      </c>
      <c r="F462" s="18" t="s">
        <v>45</v>
      </c>
      <c r="G462" s="18" t="s">
        <v>38</v>
      </c>
      <c r="H462" s="18">
        <v>77.599999999999994</v>
      </c>
      <c r="I462" s="20">
        <v>20</v>
      </c>
      <c r="J462" s="21">
        <v>1552</v>
      </c>
    </row>
    <row r="463" spans="1:10">
      <c r="A463" s="19">
        <v>35451</v>
      </c>
      <c r="B463" s="18" t="s">
        <v>26</v>
      </c>
      <c r="C463" s="18" t="s">
        <v>34</v>
      </c>
      <c r="D463" s="18" t="s">
        <v>28</v>
      </c>
      <c r="E463" s="18" t="s">
        <v>35</v>
      </c>
      <c r="F463" s="18" t="s">
        <v>50</v>
      </c>
      <c r="G463" s="18" t="s">
        <v>31</v>
      </c>
      <c r="H463" s="18">
        <v>10.4</v>
      </c>
      <c r="I463" s="20">
        <v>10</v>
      </c>
      <c r="J463" s="21">
        <v>104</v>
      </c>
    </row>
    <row r="464" spans="1:10">
      <c r="A464" s="19">
        <v>35451</v>
      </c>
      <c r="B464" s="18" t="s">
        <v>26</v>
      </c>
      <c r="C464" s="18" t="s">
        <v>36</v>
      </c>
      <c r="D464" s="18" t="s">
        <v>28</v>
      </c>
      <c r="E464" s="18" t="s">
        <v>29</v>
      </c>
      <c r="F464" s="18" t="s">
        <v>45</v>
      </c>
      <c r="G464" s="18" t="s">
        <v>38</v>
      </c>
      <c r="H464" s="18">
        <v>4.8</v>
      </c>
      <c r="I464" s="20">
        <v>2</v>
      </c>
      <c r="J464" s="21">
        <v>9.6</v>
      </c>
    </row>
    <row r="465" spans="1:10">
      <c r="A465" s="19">
        <v>35451</v>
      </c>
      <c r="B465" s="18" t="s">
        <v>39</v>
      </c>
      <c r="C465" s="18" t="s">
        <v>40</v>
      </c>
      <c r="D465" s="18" t="s">
        <v>28</v>
      </c>
      <c r="E465" s="18" t="s">
        <v>33</v>
      </c>
      <c r="F465" s="18" t="s">
        <v>50</v>
      </c>
      <c r="G465" s="18" t="s">
        <v>31</v>
      </c>
      <c r="H465" s="18">
        <v>24.9</v>
      </c>
      <c r="I465" s="20">
        <v>30</v>
      </c>
      <c r="J465" s="21">
        <v>747</v>
      </c>
    </row>
    <row r="466" spans="1:10">
      <c r="A466" s="19">
        <v>35451</v>
      </c>
      <c r="B466" s="18" t="s">
        <v>39</v>
      </c>
      <c r="C466" s="18" t="s">
        <v>41</v>
      </c>
      <c r="D466" s="18" t="s">
        <v>28</v>
      </c>
      <c r="E466" s="18" t="s">
        <v>35</v>
      </c>
      <c r="F466" s="18" t="s">
        <v>45</v>
      </c>
      <c r="G466" s="18" t="s">
        <v>38</v>
      </c>
      <c r="H466" s="18">
        <v>12</v>
      </c>
      <c r="I466" s="20">
        <v>8</v>
      </c>
      <c r="J466" s="21">
        <v>96</v>
      </c>
    </row>
    <row r="467" spans="1:10">
      <c r="A467" s="19">
        <v>35451</v>
      </c>
      <c r="B467" s="18" t="s">
        <v>39</v>
      </c>
      <c r="C467" s="18" t="s">
        <v>44</v>
      </c>
      <c r="D467" s="18" t="s">
        <v>28</v>
      </c>
      <c r="E467" s="18" t="s">
        <v>29</v>
      </c>
      <c r="F467" s="18" t="s">
        <v>50</v>
      </c>
      <c r="G467" s="18" t="s">
        <v>31</v>
      </c>
      <c r="H467" s="18">
        <v>7.3</v>
      </c>
      <c r="I467" s="20">
        <v>4</v>
      </c>
      <c r="J467" s="21">
        <v>29.2</v>
      </c>
    </row>
    <row r="468" spans="1:10">
      <c r="A468" s="19">
        <v>35451</v>
      </c>
      <c r="B468" s="18" t="s">
        <v>39</v>
      </c>
      <c r="C468" s="18" t="s">
        <v>46</v>
      </c>
      <c r="D468" s="18" t="s">
        <v>28</v>
      </c>
      <c r="E468" s="18" t="s">
        <v>33</v>
      </c>
      <c r="F468" s="18" t="s">
        <v>50</v>
      </c>
      <c r="G468" s="18" t="s">
        <v>31</v>
      </c>
      <c r="H468" s="18">
        <v>26.2</v>
      </c>
      <c r="I468" s="20">
        <v>15</v>
      </c>
      <c r="J468" s="21">
        <v>393</v>
      </c>
    </row>
    <row r="469" spans="1:10">
      <c r="A469" s="19">
        <v>35452</v>
      </c>
      <c r="B469" s="18" t="s">
        <v>39</v>
      </c>
      <c r="C469" s="18" t="s">
        <v>47</v>
      </c>
      <c r="D469" s="18" t="s">
        <v>28</v>
      </c>
      <c r="E469" s="18" t="s">
        <v>35</v>
      </c>
      <c r="F469" s="18" t="s">
        <v>51</v>
      </c>
      <c r="G469" s="18" t="s">
        <v>43</v>
      </c>
      <c r="H469" s="18">
        <v>24.9</v>
      </c>
      <c r="I469" s="20">
        <v>2</v>
      </c>
      <c r="J469" s="21">
        <v>49.8</v>
      </c>
    </row>
    <row r="470" spans="1:10">
      <c r="A470" s="19">
        <v>35453</v>
      </c>
      <c r="B470" s="18" t="s">
        <v>26</v>
      </c>
      <c r="C470" s="18" t="s">
        <v>27</v>
      </c>
      <c r="D470" s="18" t="s">
        <v>28</v>
      </c>
      <c r="E470" s="18" t="s">
        <v>29</v>
      </c>
      <c r="F470" s="18" t="s">
        <v>37</v>
      </c>
      <c r="G470" s="18" t="s">
        <v>38</v>
      </c>
      <c r="H470" s="18">
        <v>44</v>
      </c>
      <c r="I470" s="20">
        <v>20</v>
      </c>
      <c r="J470" s="21">
        <v>880</v>
      </c>
    </row>
    <row r="471" spans="1:10">
      <c r="A471" s="19">
        <v>35453</v>
      </c>
      <c r="B471" s="18" t="s">
        <v>26</v>
      </c>
      <c r="C471" s="18" t="s">
        <v>32</v>
      </c>
      <c r="D471" s="18" t="s">
        <v>28</v>
      </c>
      <c r="E471" s="18" t="s">
        <v>33</v>
      </c>
      <c r="F471" s="18" t="s">
        <v>52</v>
      </c>
      <c r="G471" s="18" t="s">
        <v>31</v>
      </c>
      <c r="H471" s="18">
        <v>210.8</v>
      </c>
      <c r="I471" s="20">
        <v>49</v>
      </c>
      <c r="J471" s="21">
        <v>10329.200000000001</v>
      </c>
    </row>
    <row r="472" spans="1:10">
      <c r="A472" s="19">
        <v>35453</v>
      </c>
      <c r="B472" s="18" t="s">
        <v>26</v>
      </c>
      <c r="C472" s="18" t="s">
        <v>34</v>
      </c>
      <c r="D472" s="18" t="s">
        <v>28</v>
      </c>
      <c r="E472" s="18" t="s">
        <v>35</v>
      </c>
      <c r="F472" s="18" t="s">
        <v>52</v>
      </c>
      <c r="G472" s="18" t="s">
        <v>31</v>
      </c>
      <c r="H472" s="18">
        <v>10</v>
      </c>
      <c r="I472" s="20">
        <v>30</v>
      </c>
      <c r="J472" s="21">
        <v>300</v>
      </c>
    </row>
    <row r="473" spans="1:10">
      <c r="A473" s="19">
        <v>35453</v>
      </c>
      <c r="B473" s="18" t="s">
        <v>26</v>
      </c>
      <c r="C473" s="18" t="s">
        <v>36</v>
      </c>
      <c r="D473" s="18" t="s">
        <v>28</v>
      </c>
      <c r="E473" s="18" t="s">
        <v>29</v>
      </c>
      <c r="F473" s="18" t="s">
        <v>52</v>
      </c>
      <c r="G473" s="18" t="s">
        <v>31</v>
      </c>
      <c r="H473" s="18">
        <v>14.4</v>
      </c>
      <c r="I473" s="20">
        <v>60</v>
      </c>
      <c r="J473" s="21">
        <v>864</v>
      </c>
    </row>
    <row r="474" spans="1:10">
      <c r="A474" s="19">
        <v>35453</v>
      </c>
      <c r="B474" s="18" t="s">
        <v>39</v>
      </c>
      <c r="C474" s="18" t="s">
        <v>40</v>
      </c>
      <c r="D474" s="18" t="s">
        <v>28</v>
      </c>
      <c r="E474" s="18" t="s">
        <v>33</v>
      </c>
      <c r="F474" s="18" t="s">
        <v>37</v>
      </c>
      <c r="G474" s="18" t="s">
        <v>38</v>
      </c>
      <c r="H474" s="18">
        <v>10</v>
      </c>
      <c r="I474" s="20">
        <v>14</v>
      </c>
      <c r="J474" s="21">
        <v>140</v>
      </c>
    </row>
    <row r="475" spans="1:10">
      <c r="A475" s="19">
        <v>35454</v>
      </c>
      <c r="B475" s="18" t="s">
        <v>39</v>
      </c>
      <c r="C475" s="18" t="s">
        <v>41</v>
      </c>
      <c r="D475" s="18" t="s">
        <v>28</v>
      </c>
      <c r="E475" s="18" t="s">
        <v>35</v>
      </c>
      <c r="F475" s="18" t="s">
        <v>37</v>
      </c>
      <c r="G475" s="18" t="s">
        <v>38</v>
      </c>
      <c r="H475" s="18">
        <v>14.4</v>
      </c>
      <c r="I475" s="20">
        <v>20</v>
      </c>
      <c r="J475" s="21">
        <v>288</v>
      </c>
    </row>
    <row r="476" spans="1:10">
      <c r="A476" s="19">
        <v>35454</v>
      </c>
      <c r="B476" s="18" t="s">
        <v>39</v>
      </c>
      <c r="C476" s="18" t="s">
        <v>44</v>
      </c>
      <c r="D476" s="18" t="s">
        <v>28</v>
      </c>
      <c r="E476" s="18" t="s">
        <v>29</v>
      </c>
      <c r="F476" s="18" t="s">
        <v>37</v>
      </c>
      <c r="G476" s="18" t="s">
        <v>38</v>
      </c>
      <c r="H476" s="18">
        <v>19.2</v>
      </c>
      <c r="I476" s="20">
        <v>10</v>
      </c>
      <c r="J476" s="21">
        <v>192</v>
      </c>
    </row>
    <row r="477" spans="1:10">
      <c r="A477" s="19">
        <v>35457</v>
      </c>
      <c r="B477" s="18" t="s">
        <v>39</v>
      </c>
      <c r="C477" s="18" t="s">
        <v>46</v>
      </c>
      <c r="D477" s="18" t="s">
        <v>28</v>
      </c>
      <c r="E477" s="18" t="s">
        <v>29</v>
      </c>
      <c r="F477" s="18" t="s">
        <v>42</v>
      </c>
      <c r="G477" s="18" t="s">
        <v>43</v>
      </c>
      <c r="H477" s="18">
        <v>30.4</v>
      </c>
      <c r="I477" s="20">
        <v>5</v>
      </c>
      <c r="J477" s="21">
        <v>152</v>
      </c>
    </row>
    <row r="478" spans="1:10">
      <c r="A478" s="19">
        <v>35457</v>
      </c>
      <c r="B478" s="18" t="s">
        <v>39</v>
      </c>
      <c r="C478" s="18" t="s">
        <v>47</v>
      </c>
      <c r="D478" s="18" t="s">
        <v>28</v>
      </c>
      <c r="E478" s="18" t="s">
        <v>33</v>
      </c>
      <c r="F478" s="18" t="s">
        <v>42</v>
      </c>
      <c r="G478" s="18" t="s">
        <v>43</v>
      </c>
      <c r="H478" s="18">
        <v>26.6</v>
      </c>
      <c r="I478" s="20">
        <v>7</v>
      </c>
      <c r="J478" s="21">
        <v>186.20000000000002</v>
      </c>
    </row>
    <row r="479" spans="1:10">
      <c r="A479" s="19">
        <v>35457</v>
      </c>
      <c r="B479" s="18" t="s">
        <v>26</v>
      </c>
      <c r="C479" s="18" t="s">
        <v>27</v>
      </c>
      <c r="D479" s="18" t="s">
        <v>28</v>
      </c>
      <c r="E479" s="18" t="s">
        <v>35</v>
      </c>
      <c r="F479" s="18" t="s">
        <v>42</v>
      </c>
      <c r="G479" s="18" t="s">
        <v>43</v>
      </c>
      <c r="H479" s="18">
        <v>18.600000000000001</v>
      </c>
      <c r="I479" s="20">
        <v>35</v>
      </c>
      <c r="J479" s="21">
        <v>651</v>
      </c>
    </row>
    <row r="480" spans="1:10">
      <c r="A480" s="19">
        <v>35458</v>
      </c>
      <c r="B480" s="18" t="s">
        <v>26</v>
      </c>
      <c r="C480" s="18" t="s">
        <v>32</v>
      </c>
      <c r="D480" s="18" t="s">
        <v>28</v>
      </c>
      <c r="E480" s="18" t="s">
        <v>29</v>
      </c>
      <c r="F480" s="18" t="s">
        <v>52</v>
      </c>
      <c r="G480" s="18" t="s">
        <v>31</v>
      </c>
      <c r="H480" s="18">
        <v>9.6</v>
      </c>
      <c r="I480" s="20">
        <v>20</v>
      </c>
      <c r="J480" s="21">
        <v>192</v>
      </c>
    </row>
    <row r="481" spans="1:10">
      <c r="A481" s="19">
        <v>35459</v>
      </c>
      <c r="B481" s="18" t="s">
        <v>26</v>
      </c>
      <c r="C481" s="18" t="s">
        <v>34</v>
      </c>
      <c r="D481" s="18" t="s">
        <v>28</v>
      </c>
      <c r="E481" s="18" t="s">
        <v>33</v>
      </c>
      <c r="F481" s="18" t="s">
        <v>45</v>
      </c>
      <c r="G481" s="18" t="s">
        <v>38</v>
      </c>
      <c r="H481" s="18">
        <v>35.1</v>
      </c>
      <c r="I481" s="20">
        <v>35</v>
      </c>
      <c r="J481" s="21">
        <v>1228.5</v>
      </c>
    </row>
    <row r="482" spans="1:10">
      <c r="A482" s="19">
        <v>35459</v>
      </c>
      <c r="B482" s="18" t="s">
        <v>26</v>
      </c>
      <c r="C482" s="18" t="s">
        <v>36</v>
      </c>
      <c r="D482" s="18" t="s">
        <v>28</v>
      </c>
      <c r="E482" s="18" t="s">
        <v>35</v>
      </c>
      <c r="F482" s="18" t="s">
        <v>45</v>
      </c>
      <c r="G482" s="18" t="s">
        <v>38</v>
      </c>
      <c r="H482" s="18">
        <v>13</v>
      </c>
      <c r="I482" s="20">
        <v>40</v>
      </c>
      <c r="J482" s="21">
        <v>520</v>
      </c>
    </row>
    <row r="483" spans="1:10">
      <c r="A483" s="19">
        <v>35460</v>
      </c>
      <c r="B483" s="18" t="s">
        <v>39</v>
      </c>
      <c r="C483" s="18" t="s">
        <v>40</v>
      </c>
      <c r="D483" s="18" t="s">
        <v>28</v>
      </c>
      <c r="E483" s="18" t="s">
        <v>29</v>
      </c>
      <c r="F483" s="18" t="s">
        <v>42</v>
      </c>
      <c r="G483" s="18" t="s">
        <v>43</v>
      </c>
      <c r="H483" s="18">
        <v>30.4</v>
      </c>
      <c r="I483" s="20">
        <v>30</v>
      </c>
      <c r="J483" s="21">
        <v>912</v>
      </c>
    </row>
    <row r="484" spans="1:10">
      <c r="A484" s="19">
        <v>35460</v>
      </c>
      <c r="B484" s="18" t="s">
        <v>39</v>
      </c>
      <c r="C484" s="18" t="s">
        <v>41</v>
      </c>
      <c r="D484" s="18" t="s">
        <v>28</v>
      </c>
      <c r="E484" s="18" t="s">
        <v>33</v>
      </c>
      <c r="F484" s="18" t="s">
        <v>42</v>
      </c>
      <c r="G484" s="18" t="s">
        <v>43</v>
      </c>
      <c r="H484" s="18">
        <v>7.6</v>
      </c>
      <c r="I484" s="20">
        <v>30</v>
      </c>
      <c r="J484" s="21">
        <v>228</v>
      </c>
    </row>
    <row r="485" spans="1:10">
      <c r="A485" s="19">
        <v>35460</v>
      </c>
      <c r="B485" s="18" t="s">
        <v>39</v>
      </c>
      <c r="C485" s="18" t="s">
        <v>44</v>
      </c>
      <c r="D485" s="18" t="s">
        <v>28</v>
      </c>
      <c r="E485" s="18" t="s">
        <v>35</v>
      </c>
      <c r="F485" s="18" t="s">
        <v>42</v>
      </c>
      <c r="G485" s="18" t="s">
        <v>43</v>
      </c>
      <c r="H485" s="18">
        <v>44</v>
      </c>
      <c r="I485" s="20">
        <v>70</v>
      </c>
      <c r="J485" s="21">
        <v>3080</v>
      </c>
    </row>
    <row r="486" spans="1:10">
      <c r="A486" s="19">
        <v>35460</v>
      </c>
      <c r="B486" s="18" t="s">
        <v>39</v>
      </c>
      <c r="C486" s="18" t="s">
        <v>46</v>
      </c>
      <c r="D486" s="18" t="s">
        <v>28</v>
      </c>
      <c r="E486" s="18" t="s">
        <v>29</v>
      </c>
      <c r="F486" s="18" t="s">
        <v>42</v>
      </c>
      <c r="G486" s="18" t="s">
        <v>43</v>
      </c>
      <c r="H486" s="18">
        <v>8</v>
      </c>
      <c r="I486" s="20">
        <v>50</v>
      </c>
      <c r="J486" s="21">
        <v>400</v>
      </c>
    </row>
    <row r="487" spans="1:10">
      <c r="A487" s="19">
        <v>35460</v>
      </c>
      <c r="B487" s="18" t="s">
        <v>39</v>
      </c>
      <c r="C487" s="18" t="s">
        <v>47</v>
      </c>
      <c r="D487" s="18" t="s">
        <v>28</v>
      </c>
      <c r="E487" s="18" t="s">
        <v>33</v>
      </c>
      <c r="F487" s="18" t="s">
        <v>42</v>
      </c>
      <c r="G487" s="18" t="s">
        <v>43</v>
      </c>
      <c r="H487" s="18">
        <v>14.7</v>
      </c>
      <c r="I487" s="20">
        <v>50</v>
      </c>
      <c r="J487" s="21">
        <v>735</v>
      </c>
    </row>
    <row r="488" spans="1:10">
      <c r="A488" s="19">
        <v>35460</v>
      </c>
      <c r="B488" s="18" t="s">
        <v>26</v>
      </c>
      <c r="C488" s="18" t="s">
        <v>27</v>
      </c>
      <c r="D488" s="18" t="s">
        <v>28</v>
      </c>
      <c r="E488" s="18" t="s">
        <v>35</v>
      </c>
      <c r="F488" s="18" t="s">
        <v>42</v>
      </c>
      <c r="G488" s="18" t="s">
        <v>43</v>
      </c>
      <c r="H488" s="18">
        <v>31.2</v>
      </c>
      <c r="I488" s="20">
        <v>45</v>
      </c>
      <c r="J488" s="21">
        <v>1404</v>
      </c>
    </row>
    <row r="489" spans="1:10">
      <c r="A489" s="19">
        <v>35460</v>
      </c>
      <c r="B489" s="18" t="s">
        <v>26</v>
      </c>
      <c r="C489" s="18" t="s">
        <v>32</v>
      </c>
      <c r="D489" s="18" t="s">
        <v>28</v>
      </c>
      <c r="E489" s="18" t="s">
        <v>29</v>
      </c>
      <c r="F489" s="18" t="s">
        <v>42</v>
      </c>
      <c r="G489" s="18" t="s">
        <v>43</v>
      </c>
      <c r="H489" s="18">
        <v>31.2</v>
      </c>
      <c r="I489" s="20">
        <v>50</v>
      </c>
      <c r="J489" s="21">
        <v>1560</v>
      </c>
    </row>
    <row r="490" spans="1:10">
      <c r="A490" s="19">
        <v>35461</v>
      </c>
      <c r="B490" s="18" t="s">
        <v>26</v>
      </c>
      <c r="C490" s="18" t="s">
        <v>34</v>
      </c>
      <c r="D490" s="18" t="s">
        <v>28</v>
      </c>
      <c r="E490" s="18" t="s">
        <v>33</v>
      </c>
      <c r="F490" s="18" t="s">
        <v>45</v>
      </c>
      <c r="G490" s="18" t="s">
        <v>38</v>
      </c>
      <c r="H490" s="18">
        <v>5.9</v>
      </c>
      <c r="I490" s="20">
        <v>40</v>
      </c>
      <c r="J490" s="21">
        <v>236</v>
      </c>
    </row>
    <row r="491" spans="1:10">
      <c r="A491" s="19">
        <v>35461</v>
      </c>
      <c r="B491" s="18" t="s">
        <v>26</v>
      </c>
      <c r="C491" s="18" t="s">
        <v>36</v>
      </c>
      <c r="D491" s="18" t="s">
        <v>28</v>
      </c>
      <c r="E491" s="18" t="s">
        <v>35</v>
      </c>
      <c r="F491" s="18" t="s">
        <v>45</v>
      </c>
      <c r="G491" s="18" t="s">
        <v>38</v>
      </c>
      <c r="H491" s="18">
        <v>24.9</v>
      </c>
      <c r="I491" s="20">
        <v>10</v>
      </c>
      <c r="J491" s="21">
        <v>249</v>
      </c>
    </row>
    <row r="492" spans="1:10">
      <c r="A492" s="19">
        <v>35464</v>
      </c>
      <c r="B492" s="18" t="s">
        <v>39</v>
      </c>
      <c r="C492" s="18" t="s">
        <v>40</v>
      </c>
      <c r="D492" s="18" t="s">
        <v>28</v>
      </c>
      <c r="E492" s="18" t="s">
        <v>29</v>
      </c>
      <c r="F492" s="18" t="s">
        <v>45</v>
      </c>
      <c r="G492" s="18" t="s">
        <v>38</v>
      </c>
      <c r="H492" s="18">
        <v>30.4</v>
      </c>
      <c r="I492" s="20">
        <v>28</v>
      </c>
      <c r="J492" s="21">
        <v>851.19999999999993</v>
      </c>
    </row>
    <row r="493" spans="1:10">
      <c r="A493" s="19">
        <v>35464</v>
      </c>
      <c r="B493" s="18" t="s">
        <v>39</v>
      </c>
      <c r="C493" s="18" t="s">
        <v>41</v>
      </c>
      <c r="D493" s="18" t="s">
        <v>28</v>
      </c>
      <c r="E493" s="18" t="s">
        <v>33</v>
      </c>
      <c r="F493" s="18" t="s">
        <v>45</v>
      </c>
      <c r="G493" s="18" t="s">
        <v>38</v>
      </c>
      <c r="H493" s="18">
        <v>16.8</v>
      </c>
      <c r="I493" s="20">
        <v>6</v>
      </c>
      <c r="J493" s="21">
        <v>100.80000000000001</v>
      </c>
    </row>
    <row r="494" spans="1:10">
      <c r="A494" s="19">
        <v>35464</v>
      </c>
      <c r="B494" s="18" t="s">
        <v>39</v>
      </c>
      <c r="C494" s="18" t="s">
        <v>44</v>
      </c>
      <c r="D494" s="18" t="s">
        <v>28</v>
      </c>
      <c r="E494" s="18" t="s">
        <v>35</v>
      </c>
      <c r="F494" s="18" t="s">
        <v>45</v>
      </c>
      <c r="G494" s="18" t="s">
        <v>38</v>
      </c>
      <c r="H494" s="18">
        <v>14.4</v>
      </c>
      <c r="I494" s="20">
        <v>18</v>
      </c>
      <c r="J494" s="21">
        <v>259.2</v>
      </c>
    </row>
    <row r="495" spans="1:10">
      <c r="A495" s="19">
        <v>35465</v>
      </c>
      <c r="B495" s="18" t="s">
        <v>39</v>
      </c>
      <c r="C495" s="18" t="s">
        <v>46</v>
      </c>
      <c r="D495" s="18" t="s">
        <v>28</v>
      </c>
      <c r="E495" s="18" t="s">
        <v>29</v>
      </c>
      <c r="F495" s="18" t="s">
        <v>50</v>
      </c>
      <c r="G495" s="18" t="s">
        <v>31</v>
      </c>
      <c r="H495" s="18">
        <v>15.2</v>
      </c>
      <c r="I495" s="20">
        <v>10</v>
      </c>
      <c r="J495" s="21">
        <v>152</v>
      </c>
    </row>
    <row r="496" spans="1:10">
      <c r="A496" s="19">
        <v>35465</v>
      </c>
      <c r="B496" s="18" t="s">
        <v>39</v>
      </c>
      <c r="C496" s="18" t="s">
        <v>47</v>
      </c>
      <c r="D496" s="18" t="s">
        <v>28</v>
      </c>
      <c r="E496" s="18" t="s">
        <v>29</v>
      </c>
      <c r="F496" s="18" t="s">
        <v>50</v>
      </c>
      <c r="G496" s="18" t="s">
        <v>31</v>
      </c>
      <c r="H496" s="18">
        <v>16.8</v>
      </c>
      <c r="I496" s="20">
        <v>12</v>
      </c>
      <c r="J496" s="21">
        <v>201.60000000000002</v>
      </c>
    </row>
    <row r="497" spans="1:10">
      <c r="A497" s="19">
        <v>35465</v>
      </c>
      <c r="B497" s="18" t="s">
        <v>26</v>
      </c>
      <c r="C497" s="18" t="s">
        <v>27</v>
      </c>
      <c r="D497" s="18" t="s">
        <v>28</v>
      </c>
      <c r="E497" s="18" t="s">
        <v>33</v>
      </c>
      <c r="F497" s="18" t="s">
        <v>50</v>
      </c>
      <c r="G497" s="18" t="s">
        <v>31</v>
      </c>
      <c r="H497" s="18">
        <v>27.8</v>
      </c>
      <c r="I497" s="20">
        <v>10</v>
      </c>
      <c r="J497" s="21">
        <v>278</v>
      </c>
    </row>
    <row r="498" spans="1:10">
      <c r="A498" s="19">
        <v>35466</v>
      </c>
      <c r="B498" s="18" t="s">
        <v>26</v>
      </c>
      <c r="C498" s="18" t="s">
        <v>32</v>
      </c>
      <c r="D498" s="18" t="s">
        <v>28</v>
      </c>
      <c r="E498" s="18" t="s">
        <v>35</v>
      </c>
      <c r="F498" s="18" t="s">
        <v>45</v>
      </c>
      <c r="G498" s="18" t="s">
        <v>38</v>
      </c>
      <c r="H498" s="18">
        <v>30.4</v>
      </c>
      <c r="I498" s="20">
        <v>40</v>
      </c>
      <c r="J498" s="21">
        <v>1216</v>
      </c>
    </row>
    <row r="499" spans="1:10">
      <c r="A499" s="19">
        <v>35466</v>
      </c>
      <c r="B499" s="18" t="s">
        <v>26</v>
      </c>
      <c r="C499" s="18" t="s">
        <v>34</v>
      </c>
      <c r="D499" s="18" t="s">
        <v>28</v>
      </c>
      <c r="E499" s="18" t="s">
        <v>29</v>
      </c>
      <c r="F499" s="18" t="s">
        <v>45</v>
      </c>
      <c r="G499" s="18" t="s">
        <v>38</v>
      </c>
      <c r="H499" s="18">
        <v>26.6</v>
      </c>
      <c r="I499" s="20">
        <v>30</v>
      </c>
      <c r="J499" s="21">
        <v>798</v>
      </c>
    </row>
    <row r="500" spans="1:10">
      <c r="A500" s="19">
        <v>35466</v>
      </c>
      <c r="B500" s="18" t="s">
        <v>26</v>
      </c>
      <c r="C500" s="18" t="s">
        <v>36</v>
      </c>
      <c r="D500" s="18" t="s">
        <v>28</v>
      </c>
      <c r="E500" s="18" t="s">
        <v>33</v>
      </c>
      <c r="F500" s="18" t="s">
        <v>45</v>
      </c>
      <c r="G500" s="18" t="s">
        <v>38</v>
      </c>
      <c r="H500" s="18">
        <v>9.6</v>
      </c>
      <c r="I500" s="20">
        <v>5</v>
      </c>
      <c r="J500" s="21">
        <v>48</v>
      </c>
    </row>
    <row r="501" spans="1:10">
      <c r="A501" s="19">
        <v>35466</v>
      </c>
      <c r="B501" s="18" t="s">
        <v>39</v>
      </c>
      <c r="C501" s="18" t="s">
        <v>40</v>
      </c>
      <c r="D501" s="18" t="s">
        <v>28</v>
      </c>
      <c r="E501" s="18" t="s">
        <v>35</v>
      </c>
      <c r="F501" s="18" t="s">
        <v>45</v>
      </c>
      <c r="G501" s="18" t="s">
        <v>38</v>
      </c>
      <c r="H501" s="18">
        <v>6.2</v>
      </c>
      <c r="I501" s="20">
        <v>24</v>
      </c>
      <c r="J501" s="21">
        <v>148.80000000000001</v>
      </c>
    </row>
    <row r="502" spans="1:10">
      <c r="A502" s="19">
        <v>35466</v>
      </c>
      <c r="B502" s="18" t="s">
        <v>39</v>
      </c>
      <c r="C502" s="18" t="s">
        <v>41</v>
      </c>
      <c r="D502" s="18" t="s">
        <v>28</v>
      </c>
      <c r="E502" s="18" t="s">
        <v>29</v>
      </c>
      <c r="F502" s="18" t="s">
        <v>50</v>
      </c>
      <c r="G502" s="18" t="s">
        <v>31</v>
      </c>
      <c r="H502" s="18">
        <v>26.2</v>
      </c>
      <c r="I502" s="20">
        <v>15</v>
      </c>
      <c r="J502" s="21">
        <v>393</v>
      </c>
    </row>
    <row r="503" spans="1:10">
      <c r="A503" s="19">
        <v>35467</v>
      </c>
      <c r="B503" s="18" t="s">
        <v>39</v>
      </c>
      <c r="C503" s="18" t="s">
        <v>44</v>
      </c>
      <c r="D503" s="18" t="s">
        <v>28</v>
      </c>
      <c r="E503" s="18" t="s">
        <v>33</v>
      </c>
      <c r="F503" s="18" t="s">
        <v>45</v>
      </c>
      <c r="G503" s="18" t="s">
        <v>38</v>
      </c>
      <c r="H503" s="18">
        <v>11.2</v>
      </c>
      <c r="I503" s="20">
        <v>20</v>
      </c>
      <c r="J503" s="21">
        <v>224</v>
      </c>
    </row>
    <row r="504" spans="1:10">
      <c r="A504" s="19">
        <v>35467</v>
      </c>
      <c r="B504" s="18" t="s">
        <v>39</v>
      </c>
      <c r="C504" s="18" t="s">
        <v>46</v>
      </c>
      <c r="D504" s="18" t="s">
        <v>28</v>
      </c>
      <c r="E504" s="18" t="s">
        <v>35</v>
      </c>
      <c r="F504" s="18" t="s">
        <v>45</v>
      </c>
      <c r="G504" s="18" t="s">
        <v>38</v>
      </c>
      <c r="H504" s="18">
        <v>7.3</v>
      </c>
      <c r="I504" s="20">
        <v>15</v>
      </c>
      <c r="J504" s="21">
        <v>109.5</v>
      </c>
    </row>
    <row r="505" spans="1:10">
      <c r="A505" s="19">
        <v>35467</v>
      </c>
      <c r="B505" s="18" t="s">
        <v>39</v>
      </c>
      <c r="C505" s="18" t="s">
        <v>47</v>
      </c>
      <c r="D505" s="18" t="s">
        <v>28</v>
      </c>
      <c r="E505" s="18" t="s">
        <v>29</v>
      </c>
      <c r="F505" s="18" t="s">
        <v>45</v>
      </c>
      <c r="G505" s="18" t="s">
        <v>38</v>
      </c>
      <c r="H505" s="18">
        <v>15.6</v>
      </c>
      <c r="I505" s="20">
        <v>15</v>
      </c>
      <c r="J505" s="21">
        <v>234</v>
      </c>
    </row>
    <row r="506" spans="1:10">
      <c r="A506" s="19">
        <v>35468</v>
      </c>
      <c r="B506" s="18" t="s">
        <v>26</v>
      </c>
      <c r="C506" s="18" t="s">
        <v>27</v>
      </c>
      <c r="D506" s="18" t="s">
        <v>28</v>
      </c>
      <c r="E506" s="18" t="s">
        <v>33</v>
      </c>
      <c r="F506" s="18" t="s">
        <v>37</v>
      </c>
      <c r="G506" s="18" t="s">
        <v>38</v>
      </c>
      <c r="H506" s="18">
        <v>13.9</v>
      </c>
      <c r="I506" s="20">
        <v>16</v>
      </c>
      <c r="J506" s="21">
        <v>222.4</v>
      </c>
    </row>
    <row r="507" spans="1:10">
      <c r="A507" s="19">
        <v>35468</v>
      </c>
      <c r="B507" s="18" t="s">
        <v>26</v>
      </c>
      <c r="C507" s="18" t="s">
        <v>32</v>
      </c>
      <c r="D507" s="18" t="s">
        <v>28</v>
      </c>
      <c r="E507" s="18" t="s">
        <v>35</v>
      </c>
      <c r="F507" s="18" t="s">
        <v>37</v>
      </c>
      <c r="G507" s="18" t="s">
        <v>38</v>
      </c>
      <c r="H507" s="18">
        <v>30.4</v>
      </c>
      <c r="I507" s="20">
        <v>15</v>
      </c>
      <c r="J507" s="21">
        <v>456</v>
      </c>
    </row>
    <row r="508" spans="1:10">
      <c r="A508" s="19">
        <v>35468</v>
      </c>
      <c r="B508" s="18" t="s">
        <v>26</v>
      </c>
      <c r="C508" s="18" t="s">
        <v>34</v>
      </c>
      <c r="D508" s="18" t="s">
        <v>28</v>
      </c>
      <c r="E508" s="18" t="s">
        <v>29</v>
      </c>
      <c r="F508" s="18" t="s">
        <v>37</v>
      </c>
      <c r="G508" s="18" t="s">
        <v>38</v>
      </c>
      <c r="H508" s="18">
        <v>26.6</v>
      </c>
      <c r="I508" s="20">
        <v>6</v>
      </c>
      <c r="J508" s="21">
        <v>159.60000000000002</v>
      </c>
    </row>
    <row r="509" spans="1:10">
      <c r="A509" s="19">
        <v>35468</v>
      </c>
      <c r="B509" s="18" t="s">
        <v>26</v>
      </c>
      <c r="C509" s="18" t="s">
        <v>36</v>
      </c>
      <c r="D509" s="18" t="s">
        <v>28</v>
      </c>
      <c r="E509" s="18" t="s">
        <v>33</v>
      </c>
      <c r="F509" s="18" t="s">
        <v>37</v>
      </c>
      <c r="G509" s="18" t="s">
        <v>38</v>
      </c>
      <c r="H509" s="18">
        <v>8</v>
      </c>
      <c r="I509" s="20">
        <v>30</v>
      </c>
      <c r="J509" s="21">
        <v>240</v>
      </c>
    </row>
    <row r="510" spans="1:10">
      <c r="A510" s="19">
        <v>35471</v>
      </c>
      <c r="B510" s="18" t="s">
        <v>39</v>
      </c>
      <c r="C510" s="18" t="s">
        <v>40</v>
      </c>
      <c r="D510" s="18" t="s">
        <v>28</v>
      </c>
      <c r="E510" s="18" t="s">
        <v>35</v>
      </c>
      <c r="F510" s="18" t="s">
        <v>42</v>
      </c>
      <c r="G510" s="18" t="s">
        <v>43</v>
      </c>
      <c r="H510" s="18">
        <v>13.9</v>
      </c>
      <c r="I510" s="20">
        <v>49</v>
      </c>
      <c r="J510" s="21">
        <v>681.1</v>
      </c>
    </row>
    <row r="511" spans="1:10">
      <c r="A511" s="19">
        <v>35471</v>
      </c>
      <c r="B511" s="18" t="s">
        <v>39</v>
      </c>
      <c r="C511" s="18" t="s">
        <v>41</v>
      </c>
      <c r="D511" s="18" t="s">
        <v>28</v>
      </c>
      <c r="E511" s="18" t="s">
        <v>29</v>
      </c>
      <c r="F511" s="18" t="s">
        <v>42</v>
      </c>
      <c r="G511" s="18" t="s">
        <v>43</v>
      </c>
      <c r="H511" s="18">
        <v>22.8</v>
      </c>
      <c r="I511" s="20">
        <v>90</v>
      </c>
      <c r="J511" s="21">
        <v>2052</v>
      </c>
    </row>
    <row r="512" spans="1:10">
      <c r="A512" s="19">
        <v>35471</v>
      </c>
      <c r="B512" s="18" t="s">
        <v>39</v>
      </c>
      <c r="C512" s="18" t="s">
        <v>44</v>
      </c>
      <c r="D512" s="18" t="s">
        <v>28</v>
      </c>
      <c r="E512" s="18" t="s">
        <v>33</v>
      </c>
      <c r="F512" s="18" t="s">
        <v>42</v>
      </c>
      <c r="G512" s="18" t="s">
        <v>43</v>
      </c>
      <c r="H512" s="18">
        <v>15.2</v>
      </c>
      <c r="I512" s="20">
        <v>45</v>
      </c>
      <c r="J512" s="21">
        <v>684</v>
      </c>
    </row>
    <row r="513" spans="1:10">
      <c r="A513" s="19">
        <v>35471</v>
      </c>
      <c r="B513" s="18" t="s">
        <v>39</v>
      </c>
      <c r="C513" s="18" t="s">
        <v>46</v>
      </c>
      <c r="D513" s="18" t="s">
        <v>28</v>
      </c>
      <c r="E513" s="18" t="s">
        <v>35</v>
      </c>
      <c r="F513" s="18" t="s">
        <v>45</v>
      </c>
      <c r="G513" s="18" t="s">
        <v>38</v>
      </c>
      <c r="H513" s="18">
        <v>35.1</v>
      </c>
      <c r="I513" s="20">
        <v>50</v>
      </c>
      <c r="J513" s="21">
        <v>1755</v>
      </c>
    </row>
    <row r="514" spans="1:10">
      <c r="A514" s="19">
        <v>35471</v>
      </c>
      <c r="B514" s="18" t="s">
        <v>39</v>
      </c>
      <c r="C514" s="18" t="s">
        <v>47</v>
      </c>
      <c r="D514" s="18" t="s">
        <v>28</v>
      </c>
      <c r="E514" s="18" t="s">
        <v>29</v>
      </c>
      <c r="F514" s="18" t="s">
        <v>42</v>
      </c>
      <c r="G514" s="18" t="s">
        <v>43</v>
      </c>
      <c r="H514" s="18">
        <v>99</v>
      </c>
      <c r="I514" s="20">
        <v>24</v>
      </c>
      <c r="J514" s="21">
        <v>2376</v>
      </c>
    </row>
    <row r="515" spans="1:10">
      <c r="A515" s="19">
        <v>35472</v>
      </c>
      <c r="B515" s="18" t="s">
        <v>26</v>
      </c>
      <c r="C515" s="18" t="s">
        <v>27</v>
      </c>
      <c r="D515" s="18" t="s">
        <v>28</v>
      </c>
      <c r="E515" s="18" t="s">
        <v>29</v>
      </c>
      <c r="F515" s="18" t="s">
        <v>45</v>
      </c>
      <c r="G515" s="18" t="s">
        <v>38</v>
      </c>
      <c r="H515" s="18">
        <v>16.8</v>
      </c>
      <c r="I515" s="20">
        <v>30</v>
      </c>
      <c r="J515" s="21">
        <v>504</v>
      </c>
    </row>
    <row r="516" spans="1:10">
      <c r="A516" s="19">
        <v>35472</v>
      </c>
      <c r="B516" s="18" t="s">
        <v>26</v>
      </c>
      <c r="C516" s="18" t="s">
        <v>32</v>
      </c>
      <c r="D516" s="18" t="s">
        <v>28</v>
      </c>
      <c r="E516" s="18" t="s">
        <v>33</v>
      </c>
      <c r="F516" s="18" t="s">
        <v>45</v>
      </c>
      <c r="G516" s="18" t="s">
        <v>38</v>
      </c>
      <c r="H516" s="18">
        <v>5.9</v>
      </c>
      <c r="I516" s="20">
        <v>80</v>
      </c>
      <c r="J516" s="21">
        <v>472</v>
      </c>
    </row>
    <row r="517" spans="1:10">
      <c r="A517" s="19">
        <v>35472</v>
      </c>
      <c r="B517" s="18" t="s">
        <v>26</v>
      </c>
      <c r="C517" s="18" t="s">
        <v>34</v>
      </c>
      <c r="D517" s="18" t="s">
        <v>28</v>
      </c>
      <c r="E517" s="18" t="s">
        <v>35</v>
      </c>
      <c r="F517" s="18" t="s">
        <v>45</v>
      </c>
      <c r="G517" s="18" t="s">
        <v>38</v>
      </c>
      <c r="H517" s="18">
        <v>13.6</v>
      </c>
      <c r="I517" s="20">
        <v>60</v>
      </c>
      <c r="J517" s="21">
        <v>816</v>
      </c>
    </row>
    <row r="518" spans="1:10">
      <c r="A518" s="19">
        <v>35473</v>
      </c>
      <c r="B518" s="18" t="s">
        <v>26</v>
      </c>
      <c r="C518" s="18" t="s">
        <v>36</v>
      </c>
      <c r="D518" s="18" t="s">
        <v>28</v>
      </c>
      <c r="E518" s="18" t="s">
        <v>29</v>
      </c>
      <c r="F518" s="18" t="s">
        <v>50</v>
      </c>
      <c r="G518" s="18" t="s">
        <v>31</v>
      </c>
      <c r="H518" s="18">
        <v>16.8</v>
      </c>
      <c r="I518" s="20">
        <v>6</v>
      </c>
      <c r="J518" s="21">
        <v>100.80000000000001</v>
      </c>
    </row>
    <row r="519" spans="1:10">
      <c r="A519" s="19">
        <v>35473</v>
      </c>
      <c r="B519" s="18" t="s">
        <v>39</v>
      </c>
      <c r="C519" s="18" t="s">
        <v>40</v>
      </c>
      <c r="D519" s="18" t="s">
        <v>28</v>
      </c>
      <c r="E519" s="18" t="s">
        <v>33</v>
      </c>
      <c r="F519" s="18" t="s">
        <v>50</v>
      </c>
      <c r="G519" s="18" t="s">
        <v>31</v>
      </c>
      <c r="H519" s="18">
        <v>36.4</v>
      </c>
      <c r="I519" s="20">
        <v>12</v>
      </c>
      <c r="J519" s="21">
        <v>436.79999999999995</v>
      </c>
    </row>
    <row r="520" spans="1:10">
      <c r="A520" s="19">
        <v>35473</v>
      </c>
      <c r="B520" s="18" t="s">
        <v>39</v>
      </c>
      <c r="C520" s="18" t="s">
        <v>41</v>
      </c>
      <c r="D520" s="18" t="s">
        <v>28</v>
      </c>
      <c r="E520" s="18" t="s">
        <v>35</v>
      </c>
      <c r="F520" s="18" t="s">
        <v>45</v>
      </c>
      <c r="G520" s="18" t="s">
        <v>38</v>
      </c>
      <c r="H520" s="18">
        <v>14.4</v>
      </c>
      <c r="I520" s="20">
        <v>8</v>
      </c>
      <c r="J520" s="21">
        <v>115.2</v>
      </c>
    </row>
    <row r="521" spans="1:10">
      <c r="A521" s="19">
        <v>35473</v>
      </c>
      <c r="B521" s="18" t="s">
        <v>39</v>
      </c>
      <c r="C521" s="18" t="s">
        <v>44</v>
      </c>
      <c r="D521" s="18" t="s">
        <v>28</v>
      </c>
      <c r="E521" s="18" t="s">
        <v>29</v>
      </c>
      <c r="F521" s="18" t="s">
        <v>45</v>
      </c>
      <c r="G521" s="18" t="s">
        <v>38</v>
      </c>
      <c r="H521" s="18">
        <v>24.9</v>
      </c>
      <c r="I521" s="20">
        <v>15</v>
      </c>
      <c r="J521" s="21">
        <v>373.5</v>
      </c>
    </row>
    <row r="522" spans="1:10">
      <c r="A522" s="19">
        <v>35473</v>
      </c>
      <c r="B522" s="18" t="s">
        <v>39</v>
      </c>
      <c r="C522" s="18" t="s">
        <v>46</v>
      </c>
      <c r="D522" s="18" t="s">
        <v>28</v>
      </c>
      <c r="E522" s="18" t="s">
        <v>33</v>
      </c>
      <c r="F522" s="18" t="s">
        <v>45</v>
      </c>
      <c r="G522" s="18" t="s">
        <v>38</v>
      </c>
      <c r="H522" s="18">
        <v>7.7</v>
      </c>
      <c r="I522" s="20">
        <v>30</v>
      </c>
      <c r="J522" s="21">
        <v>231</v>
      </c>
    </row>
    <row r="523" spans="1:10">
      <c r="A523" s="19">
        <v>35473</v>
      </c>
      <c r="B523" s="18" t="s">
        <v>39</v>
      </c>
      <c r="C523" s="18" t="s">
        <v>47</v>
      </c>
      <c r="D523" s="18" t="s">
        <v>28</v>
      </c>
      <c r="E523" s="18" t="s">
        <v>35</v>
      </c>
      <c r="F523" s="18" t="s">
        <v>45</v>
      </c>
      <c r="G523" s="18" t="s">
        <v>38</v>
      </c>
      <c r="H523" s="18">
        <v>31.2</v>
      </c>
      <c r="I523" s="20">
        <v>10</v>
      </c>
      <c r="J523" s="21">
        <v>312</v>
      </c>
    </row>
    <row r="524" spans="1:10">
      <c r="A524" s="19">
        <v>35474</v>
      </c>
      <c r="B524" s="18" t="s">
        <v>26</v>
      </c>
      <c r="C524" s="18" t="s">
        <v>27</v>
      </c>
      <c r="D524" s="18" t="s">
        <v>28</v>
      </c>
      <c r="E524" s="18" t="s">
        <v>29</v>
      </c>
      <c r="F524" s="18" t="s">
        <v>45</v>
      </c>
      <c r="G524" s="18" t="s">
        <v>38</v>
      </c>
      <c r="H524" s="18">
        <v>5.9</v>
      </c>
      <c r="I524" s="20">
        <v>15</v>
      </c>
      <c r="J524" s="21">
        <v>88.5</v>
      </c>
    </row>
    <row r="525" spans="1:10">
      <c r="A525" s="19">
        <v>35474</v>
      </c>
      <c r="B525" s="18" t="s">
        <v>26</v>
      </c>
      <c r="C525" s="18" t="s">
        <v>32</v>
      </c>
      <c r="D525" s="18" t="s">
        <v>28</v>
      </c>
      <c r="E525" s="18" t="s">
        <v>33</v>
      </c>
      <c r="F525" s="18" t="s">
        <v>45</v>
      </c>
      <c r="G525" s="18" t="s">
        <v>38</v>
      </c>
      <c r="H525" s="18">
        <v>14.4</v>
      </c>
      <c r="I525" s="20">
        <v>6</v>
      </c>
      <c r="J525" s="21">
        <v>86.4</v>
      </c>
    </row>
    <row r="526" spans="1:10">
      <c r="A526" s="19">
        <v>35475</v>
      </c>
      <c r="B526" s="18" t="s">
        <v>26</v>
      </c>
      <c r="C526" s="18" t="s">
        <v>34</v>
      </c>
      <c r="D526" s="18" t="s">
        <v>28</v>
      </c>
      <c r="E526" s="18" t="s">
        <v>35</v>
      </c>
      <c r="F526" s="18" t="s">
        <v>42</v>
      </c>
      <c r="G526" s="18" t="s">
        <v>43</v>
      </c>
      <c r="H526" s="18">
        <v>16.8</v>
      </c>
      <c r="I526" s="20">
        <v>35</v>
      </c>
      <c r="J526" s="21">
        <v>588</v>
      </c>
    </row>
    <row r="527" spans="1:10">
      <c r="A527" s="19">
        <v>35475</v>
      </c>
      <c r="B527" s="18" t="s">
        <v>26</v>
      </c>
      <c r="C527" s="18" t="s">
        <v>36</v>
      </c>
      <c r="D527" s="18" t="s">
        <v>28</v>
      </c>
      <c r="E527" s="18" t="s">
        <v>29</v>
      </c>
      <c r="F527" s="18" t="s">
        <v>37</v>
      </c>
      <c r="G527" s="18" t="s">
        <v>38</v>
      </c>
      <c r="H527" s="18">
        <v>3.6</v>
      </c>
      <c r="I527" s="20">
        <v>20</v>
      </c>
      <c r="J527" s="21">
        <v>72</v>
      </c>
    </row>
    <row r="528" spans="1:10">
      <c r="A528" s="19">
        <v>35475</v>
      </c>
      <c r="B528" s="18" t="s">
        <v>39</v>
      </c>
      <c r="C528" s="18" t="s">
        <v>40</v>
      </c>
      <c r="D528" s="18" t="s">
        <v>28</v>
      </c>
      <c r="E528" s="18" t="s">
        <v>33</v>
      </c>
      <c r="F528" s="18" t="s">
        <v>37</v>
      </c>
      <c r="G528" s="18" t="s">
        <v>38</v>
      </c>
      <c r="H528" s="18">
        <v>5.6</v>
      </c>
      <c r="I528" s="20">
        <v>15</v>
      </c>
      <c r="J528" s="21">
        <v>84</v>
      </c>
    </row>
    <row r="529" spans="1:10">
      <c r="A529" s="19">
        <v>35475</v>
      </c>
      <c r="B529" s="18" t="s">
        <v>39</v>
      </c>
      <c r="C529" s="18" t="s">
        <v>41</v>
      </c>
      <c r="D529" s="18" t="s">
        <v>28</v>
      </c>
      <c r="E529" s="18" t="s">
        <v>35</v>
      </c>
      <c r="F529" s="18" t="s">
        <v>37</v>
      </c>
      <c r="G529" s="18" t="s">
        <v>38</v>
      </c>
      <c r="H529" s="18">
        <v>7.3</v>
      </c>
      <c r="I529" s="20">
        <v>12</v>
      </c>
      <c r="J529" s="21">
        <v>87.6</v>
      </c>
    </row>
    <row r="530" spans="1:10">
      <c r="A530" s="19">
        <v>35475</v>
      </c>
      <c r="B530" s="18" t="s">
        <v>39</v>
      </c>
      <c r="C530" s="18" t="s">
        <v>44</v>
      </c>
      <c r="D530" s="18" t="s">
        <v>28</v>
      </c>
      <c r="E530" s="18" t="s">
        <v>29</v>
      </c>
      <c r="F530" s="18" t="s">
        <v>42</v>
      </c>
      <c r="G530" s="18" t="s">
        <v>43</v>
      </c>
      <c r="H530" s="18">
        <v>7.3</v>
      </c>
      <c r="I530" s="20">
        <v>40</v>
      </c>
      <c r="J530" s="21">
        <v>292</v>
      </c>
    </row>
    <row r="531" spans="1:10">
      <c r="A531" s="19">
        <v>35475</v>
      </c>
      <c r="B531" s="18" t="s">
        <v>39</v>
      </c>
      <c r="C531" s="18" t="s">
        <v>46</v>
      </c>
      <c r="D531" s="18" t="s">
        <v>28</v>
      </c>
      <c r="E531" s="18" t="s">
        <v>33</v>
      </c>
      <c r="F531" s="18" t="s">
        <v>37</v>
      </c>
      <c r="G531" s="18" t="s">
        <v>38</v>
      </c>
      <c r="H531" s="18">
        <v>10</v>
      </c>
      <c r="I531" s="20">
        <v>3</v>
      </c>
      <c r="J531" s="21">
        <v>30</v>
      </c>
    </row>
    <row r="532" spans="1:10">
      <c r="A532" s="19">
        <v>35475</v>
      </c>
      <c r="B532" s="18" t="s">
        <v>39</v>
      </c>
      <c r="C532" s="18" t="s">
        <v>47</v>
      </c>
      <c r="D532" s="18" t="s">
        <v>28</v>
      </c>
      <c r="E532" s="18" t="s">
        <v>35</v>
      </c>
      <c r="F532" s="18" t="s">
        <v>42</v>
      </c>
      <c r="G532" s="18" t="s">
        <v>43</v>
      </c>
      <c r="H532" s="18">
        <v>17.2</v>
      </c>
      <c r="I532" s="20">
        <v>2</v>
      </c>
      <c r="J532" s="21">
        <v>34.4</v>
      </c>
    </row>
    <row r="533" spans="1:10">
      <c r="A533" s="19">
        <v>35478</v>
      </c>
      <c r="B533" s="18" t="s">
        <v>26</v>
      </c>
      <c r="C533" s="18" t="s">
        <v>27</v>
      </c>
      <c r="D533" s="18" t="s">
        <v>28</v>
      </c>
      <c r="E533" s="18" t="s">
        <v>29</v>
      </c>
      <c r="F533" s="18" t="s">
        <v>42</v>
      </c>
      <c r="G533" s="18" t="s">
        <v>43</v>
      </c>
      <c r="H533" s="18">
        <v>24.9</v>
      </c>
      <c r="I533" s="20">
        <v>6</v>
      </c>
      <c r="J533" s="21">
        <v>149.39999999999998</v>
      </c>
    </row>
    <row r="534" spans="1:10">
      <c r="A534" s="19">
        <v>35478</v>
      </c>
      <c r="B534" s="18" t="s">
        <v>26</v>
      </c>
      <c r="C534" s="18" t="s">
        <v>32</v>
      </c>
      <c r="D534" s="18" t="s">
        <v>28</v>
      </c>
      <c r="E534" s="18" t="s">
        <v>29</v>
      </c>
      <c r="F534" s="18" t="s">
        <v>42</v>
      </c>
      <c r="G534" s="18" t="s">
        <v>43</v>
      </c>
      <c r="H534" s="18">
        <v>14.7</v>
      </c>
      <c r="I534" s="20">
        <v>20</v>
      </c>
      <c r="J534" s="21">
        <v>294</v>
      </c>
    </row>
    <row r="535" spans="1:10">
      <c r="A535" s="19">
        <v>35479</v>
      </c>
      <c r="B535" s="18" t="s">
        <v>26</v>
      </c>
      <c r="C535" s="18" t="s">
        <v>34</v>
      </c>
      <c r="D535" s="18" t="s">
        <v>28</v>
      </c>
      <c r="E535" s="18" t="s">
        <v>33</v>
      </c>
      <c r="F535" s="18" t="s">
        <v>45</v>
      </c>
      <c r="G535" s="18" t="s">
        <v>38</v>
      </c>
      <c r="H535" s="18">
        <v>5.6</v>
      </c>
      <c r="I535" s="20">
        <v>20</v>
      </c>
      <c r="J535" s="21">
        <v>112</v>
      </c>
    </row>
    <row r="536" spans="1:10">
      <c r="A536" s="19">
        <v>35479</v>
      </c>
      <c r="B536" s="18" t="s">
        <v>26</v>
      </c>
      <c r="C536" s="18" t="s">
        <v>36</v>
      </c>
      <c r="D536" s="18" t="s">
        <v>28</v>
      </c>
      <c r="E536" s="18" t="s">
        <v>35</v>
      </c>
      <c r="F536" s="18" t="s">
        <v>45</v>
      </c>
      <c r="G536" s="18" t="s">
        <v>38</v>
      </c>
      <c r="H536" s="18">
        <v>39.4</v>
      </c>
      <c r="I536" s="20">
        <v>35</v>
      </c>
      <c r="J536" s="21">
        <v>1379</v>
      </c>
    </row>
    <row r="537" spans="1:10">
      <c r="A537" s="19">
        <v>35479</v>
      </c>
      <c r="B537" s="18" t="s">
        <v>39</v>
      </c>
      <c r="C537" s="18" t="s">
        <v>40</v>
      </c>
      <c r="D537" s="18" t="s">
        <v>28</v>
      </c>
      <c r="E537" s="18" t="s">
        <v>29</v>
      </c>
      <c r="F537" s="18" t="s">
        <v>45</v>
      </c>
      <c r="G537" s="18" t="s">
        <v>38</v>
      </c>
      <c r="H537" s="18">
        <v>24.8</v>
      </c>
      <c r="I537" s="20">
        <v>14</v>
      </c>
      <c r="J537" s="21">
        <v>347.2</v>
      </c>
    </row>
    <row r="538" spans="1:10">
      <c r="A538" s="19">
        <v>35480</v>
      </c>
      <c r="B538" s="18" t="s">
        <v>39</v>
      </c>
      <c r="C538" s="18" t="s">
        <v>41</v>
      </c>
      <c r="D538" s="18" t="s">
        <v>28</v>
      </c>
      <c r="E538" s="18" t="s">
        <v>33</v>
      </c>
      <c r="F538" s="18" t="s">
        <v>42</v>
      </c>
      <c r="G538" s="18" t="s">
        <v>43</v>
      </c>
      <c r="H538" s="18">
        <v>16.8</v>
      </c>
      <c r="I538" s="20">
        <v>28</v>
      </c>
      <c r="J538" s="21">
        <v>470.40000000000003</v>
      </c>
    </row>
    <row r="539" spans="1:10">
      <c r="A539" s="19">
        <v>35480</v>
      </c>
      <c r="B539" s="18" t="s">
        <v>39</v>
      </c>
      <c r="C539" s="18" t="s">
        <v>44</v>
      </c>
      <c r="D539" s="18" t="s">
        <v>28</v>
      </c>
      <c r="E539" s="18" t="s">
        <v>35</v>
      </c>
      <c r="F539" s="18" t="s">
        <v>42</v>
      </c>
      <c r="G539" s="18" t="s">
        <v>43</v>
      </c>
      <c r="H539" s="18">
        <v>26.6</v>
      </c>
      <c r="I539" s="20">
        <v>35</v>
      </c>
      <c r="J539" s="21">
        <v>931</v>
      </c>
    </row>
    <row r="540" spans="1:10">
      <c r="A540" s="19">
        <v>35480</v>
      </c>
      <c r="B540" s="18" t="s">
        <v>39</v>
      </c>
      <c r="C540" s="18" t="s">
        <v>46</v>
      </c>
      <c r="D540" s="18" t="s">
        <v>28</v>
      </c>
      <c r="E540" s="18" t="s">
        <v>29</v>
      </c>
      <c r="F540" s="18" t="s">
        <v>50</v>
      </c>
      <c r="G540" s="18" t="s">
        <v>31</v>
      </c>
      <c r="H540" s="18">
        <v>5.9</v>
      </c>
      <c r="I540" s="20">
        <v>6</v>
      </c>
      <c r="J540" s="21">
        <v>35.400000000000006</v>
      </c>
    </row>
    <row r="541" spans="1:10">
      <c r="A541" s="19">
        <v>35480</v>
      </c>
      <c r="B541" s="18" t="s">
        <v>39</v>
      </c>
      <c r="C541" s="18" t="s">
        <v>47</v>
      </c>
      <c r="D541" s="18" t="s">
        <v>28</v>
      </c>
      <c r="E541" s="18" t="s">
        <v>33</v>
      </c>
      <c r="F541" s="18" t="s">
        <v>42</v>
      </c>
      <c r="G541" s="18" t="s">
        <v>43</v>
      </c>
      <c r="H541" s="18">
        <v>10.4</v>
      </c>
      <c r="I541" s="20">
        <v>55</v>
      </c>
      <c r="J541" s="21">
        <v>572</v>
      </c>
    </row>
    <row r="542" spans="1:10">
      <c r="A542" s="19">
        <v>35480</v>
      </c>
      <c r="B542" s="18" t="s">
        <v>26</v>
      </c>
      <c r="C542" s="18" t="s">
        <v>27</v>
      </c>
      <c r="D542" s="18" t="s">
        <v>28</v>
      </c>
      <c r="E542" s="18" t="s">
        <v>35</v>
      </c>
      <c r="F542" s="18" t="s">
        <v>50</v>
      </c>
      <c r="G542" s="18" t="s">
        <v>31</v>
      </c>
      <c r="H542" s="18">
        <v>24.8</v>
      </c>
      <c r="I542" s="20">
        <v>20</v>
      </c>
      <c r="J542" s="21">
        <v>496</v>
      </c>
    </row>
    <row r="543" spans="1:10">
      <c r="A543" s="19">
        <v>35480</v>
      </c>
      <c r="B543" s="18" t="s">
        <v>26</v>
      </c>
      <c r="C543" s="18" t="s">
        <v>32</v>
      </c>
      <c r="D543" s="18" t="s">
        <v>28</v>
      </c>
      <c r="E543" s="18" t="s">
        <v>29</v>
      </c>
      <c r="F543" s="18" t="s">
        <v>42</v>
      </c>
      <c r="G543" s="18" t="s">
        <v>43</v>
      </c>
      <c r="H543" s="18">
        <v>19.2</v>
      </c>
      <c r="I543" s="20">
        <v>120</v>
      </c>
      <c r="J543" s="21">
        <v>2304</v>
      </c>
    </row>
    <row r="544" spans="1:10">
      <c r="A544" s="19">
        <v>35481</v>
      </c>
      <c r="B544" s="18" t="s">
        <v>26</v>
      </c>
      <c r="C544" s="18" t="s">
        <v>34</v>
      </c>
      <c r="D544" s="18" t="s">
        <v>28</v>
      </c>
      <c r="E544" s="18" t="s">
        <v>33</v>
      </c>
      <c r="F544" s="18" t="s">
        <v>50</v>
      </c>
      <c r="G544" s="18" t="s">
        <v>31</v>
      </c>
      <c r="H544" s="18">
        <v>15.5</v>
      </c>
      <c r="I544" s="20">
        <v>100</v>
      </c>
      <c r="J544" s="21">
        <v>1550</v>
      </c>
    </row>
    <row r="545" spans="1:10">
      <c r="A545" s="19">
        <v>35481</v>
      </c>
      <c r="B545" s="18" t="s">
        <v>26</v>
      </c>
      <c r="C545" s="18" t="s">
        <v>36</v>
      </c>
      <c r="D545" s="18" t="s">
        <v>28</v>
      </c>
      <c r="E545" s="18" t="s">
        <v>35</v>
      </c>
      <c r="F545" s="18" t="s">
        <v>50</v>
      </c>
      <c r="G545" s="18" t="s">
        <v>31</v>
      </c>
      <c r="H545" s="18">
        <v>36.4</v>
      </c>
      <c r="I545" s="20">
        <v>15</v>
      </c>
      <c r="J545" s="21">
        <v>546</v>
      </c>
    </row>
    <row r="546" spans="1:10">
      <c r="A546" s="19">
        <v>35482</v>
      </c>
      <c r="B546" s="18" t="s">
        <v>39</v>
      </c>
      <c r="C546" s="18" t="s">
        <v>40</v>
      </c>
      <c r="D546" s="18" t="s">
        <v>28</v>
      </c>
      <c r="E546" s="18" t="s">
        <v>29</v>
      </c>
      <c r="F546" s="18" t="s">
        <v>42</v>
      </c>
      <c r="G546" s="18" t="s">
        <v>43</v>
      </c>
      <c r="H546" s="18">
        <v>13.9</v>
      </c>
      <c r="I546" s="20">
        <v>20</v>
      </c>
      <c r="J546" s="21">
        <v>278</v>
      </c>
    </row>
    <row r="547" spans="1:10">
      <c r="A547" s="19">
        <v>35482</v>
      </c>
      <c r="B547" s="18" t="s">
        <v>39</v>
      </c>
      <c r="C547" s="18" t="s">
        <v>41</v>
      </c>
      <c r="D547" s="18" t="s">
        <v>28</v>
      </c>
      <c r="E547" s="18" t="s">
        <v>33</v>
      </c>
      <c r="F547" s="18" t="s">
        <v>42</v>
      </c>
      <c r="G547" s="18" t="s">
        <v>43</v>
      </c>
      <c r="H547" s="18">
        <v>9.6</v>
      </c>
      <c r="I547" s="20">
        <v>10</v>
      </c>
      <c r="J547" s="21">
        <v>96</v>
      </c>
    </row>
    <row r="548" spans="1:10">
      <c r="A548" s="19">
        <v>35482</v>
      </c>
      <c r="B548" s="18" t="s">
        <v>39</v>
      </c>
      <c r="C548" s="18" t="s">
        <v>44</v>
      </c>
      <c r="D548" s="18" t="s">
        <v>28</v>
      </c>
      <c r="E548" s="18" t="s">
        <v>35</v>
      </c>
      <c r="F548" s="18" t="s">
        <v>42</v>
      </c>
      <c r="G548" s="18" t="s">
        <v>43</v>
      </c>
      <c r="H548" s="18">
        <v>2</v>
      </c>
      <c r="I548" s="20">
        <v>20</v>
      </c>
      <c r="J548" s="21">
        <v>40</v>
      </c>
    </row>
    <row r="549" spans="1:10">
      <c r="A549" s="19">
        <v>35482</v>
      </c>
      <c r="B549" s="18" t="s">
        <v>39</v>
      </c>
      <c r="C549" s="18" t="s">
        <v>46</v>
      </c>
      <c r="D549" s="18" t="s">
        <v>28</v>
      </c>
      <c r="E549" s="18" t="s">
        <v>29</v>
      </c>
      <c r="F549" s="18" t="s">
        <v>49</v>
      </c>
      <c r="G549" s="18" t="s">
        <v>38</v>
      </c>
      <c r="H549" s="18">
        <v>12</v>
      </c>
      <c r="I549" s="20">
        <v>25</v>
      </c>
      <c r="J549" s="21">
        <v>300</v>
      </c>
    </row>
    <row r="550" spans="1:10">
      <c r="A550" s="19">
        <v>35482</v>
      </c>
      <c r="B550" s="18" t="s">
        <v>39</v>
      </c>
      <c r="C550" s="18" t="s">
        <v>47</v>
      </c>
      <c r="D550" s="18" t="s">
        <v>28</v>
      </c>
      <c r="E550" s="18" t="s">
        <v>33</v>
      </c>
      <c r="F550" s="18" t="s">
        <v>49</v>
      </c>
      <c r="G550" s="18" t="s">
        <v>38</v>
      </c>
      <c r="H550" s="18">
        <v>10.199999999999999</v>
      </c>
      <c r="I550" s="20">
        <v>15</v>
      </c>
      <c r="J550" s="21">
        <v>153</v>
      </c>
    </row>
    <row r="551" spans="1:10">
      <c r="A551" s="19">
        <v>35485</v>
      </c>
      <c r="B551" s="18" t="s">
        <v>26</v>
      </c>
      <c r="C551" s="18" t="s">
        <v>27</v>
      </c>
      <c r="D551" s="18" t="s">
        <v>28</v>
      </c>
      <c r="E551" s="18" t="s">
        <v>35</v>
      </c>
      <c r="F551" s="18" t="s">
        <v>50</v>
      </c>
      <c r="G551" s="18" t="s">
        <v>31</v>
      </c>
      <c r="H551" s="18">
        <v>22.8</v>
      </c>
      <c r="I551" s="20">
        <v>25</v>
      </c>
      <c r="J551" s="21">
        <v>570</v>
      </c>
    </row>
    <row r="552" spans="1:10">
      <c r="A552" s="19">
        <v>35485</v>
      </c>
      <c r="B552" s="18" t="s">
        <v>26</v>
      </c>
      <c r="C552" s="18" t="s">
        <v>32</v>
      </c>
      <c r="D552" s="18" t="s">
        <v>28</v>
      </c>
      <c r="E552" s="18" t="s">
        <v>29</v>
      </c>
      <c r="F552" s="18" t="s">
        <v>50</v>
      </c>
      <c r="G552" s="18" t="s">
        <v>31</v>
      </c>
      <c r="H552" s="18">
        <v>26.2</v>
      </c>
      <c r="I552" s="20">
        <v>50</v>
      </c>
      <c r="J552" s="21">
        <v>1310</v>
      </c>
    </row>
    <row r="553" spans="1:10">
      <c r="A553" s="19">
        <v>35485</v>
      </c>
      <c r="B553" s="18" t="s">
        <v>26</v>
      </c>
      <c r="C553" s="18" t="s">
        <v>34</v>
      </c>
      <c r="D553" s="18" t="s">
        <v>28</v>
      </c>
      <c r="E553" s="18" t="s">
        <v>29</v>
      </c>
      <c r="F553" s="18" t="s">
        <v>50</v>
      </c>
      <c r="G553" s="18" t="s">
        <v>31</v>
      </c>
      <c r="H553" s="18">
        <v>17.2</v>
      </c>
      <c r="I553" s="20">
        <v>30</v>
      </c>
      <c r="J553" s="21">
        <v>516</v>
      </c>
    </row>
    <row r="554" spans="1:10">
      <c r="A554" s="19">
        <v>35485</v>
      </c>
      <c r="B554" s="18" t="s">
        <v>26</v>
      </c>
      <c r="C554" s="18" t="s">
        <v>36</v>
      </c>
      <c r="D554" s="18" t="s">
        <v>28</v>
      </c>
      <c r="E554" s="18" t="s">
        <v>33</v>
      </c>
      <c r="F554" s="18" t="s">
        <v>50</v>
      </c>
      <c r="G554" s="18" t="s">
        <v>31</v>
      </c>
      <c r="H554" s="18">
        <v>14.4</v>
      </c>
      <c r="I554" s="20">
        <v>20</v>
      </c>
      <c r="J554" s="21">
        <v>288</v>
      </c>
    </row>
    <row r="555" spans="1:10">
      <c r="A555" s="19">
        <v>35486</v>
      </c>
      <c r="B555" s="18" t="s">
        <v>39</v>
      </c>
      <c r="C555" s="18" t="s">
        <v>40</v>
      </c>
      <c r="D555" s="18" t="s">
        <v>28</v>
      </c>
      <c r="E555" s="18" t="s">
        <v>35</v>
      </c>
      <c r="F555" s="18" t="s">
        <v>51</v>
      </c>
      <c r="G555" s="18" t="s">
        <v>43</v>
      </c>
      <c r="H555" s="18">
        <v>44</v>
      </c>
      <c r="I555" s="20">
        <v>36</v>
      </c>
      <c r="J555" s="21">
        <v>1584</v>
      </c>
    </row>
    <row r="556" spans="1:10">
      <c r="A556" s="19">
        <v>35486</v>
      </c>
      <c r="B556" s="18" t="s">
        <v>39</v>
      </c>
      <c r="C556" s="18" t="s">
        <v>41</v>
      </c>
      <c r="D556" s="18" t="s">
        <v>28</v>
      </c>
      <c r="E556" s="18" t="s">
        <v>29</v>
      </c>
      <c r="F556" s="18" t="s">
        <v>50</v>
      </c>
      <c r="G556" s="18" t="s">
        <v>31</v>
      </c>
      <c r="H556" s="18">
        <v>8</v>
      </c>
      <c r="I556" s="20">
        <v>40</v>
      </c>
      <c r="J556" s="21">
        <v>320</v>
      </c>
    </row>
    <row r="557" spans="1:10">
      <c r="A557" s="19">
        <v>35486</v>
      </c>
      <c r="B557" s="18" t="s">
        <v>39</v>
      </c>
      <c r="C557" s="18" t="s">
        <v>44</v>
      </c>
      <c r="D557" s="18" t="s">
        <v>28</v>
      </c>
      <c r="E557" s="18" t="s">
        <v>33</v>
      </c>
      <c r="F557" s="18" t="s">
        <v>50</v>
      </c>
      <c r="G557" s="18" t="s">
        <v>31</v>
      </c>
      <c r="H557" s="18">
        <v>16</v>
      </c>
      <c r="I557" s="20">
        <v>21</v>
      </c>
      <c r="J557" s="21">
        <v>336</v>
      </c>
    </row>
    <row r="558" spans="1:10">
      <c r="A558" s="19">
        <v>35487</v>
      </c>
      <c r="B558" s="18" t="s">
        <v>39</v>
      </c>
      <c r="C558" s="18" t="s">
        <v>46</v>
      </c>
      <c r="D558" s="18" t="s">
        <v>28</v>
      </c>
      <c r="E558" s="18" t="s">
        <v>35</v>
      </c>
      <c r="F558" s="18" t="s">
        <v>52</v>
      </c>
      <c r="G558" s="18" t="s">
        <v>31</v>
      </c>
      <c r="H558" s="18">
        <v>30.4</v>
      </c>
      <c r="I558" s="20">
        <v>15</v>
      </c>
      <c r="J558" s="21">
        <v>456</v>
      </c>
    </row>
    <row r="559" spans="1:10">
      <c r="A559" s="19">
        <v>35487</v>
      </c>
      <c r="B559" s="18" t="s">
        <v>39</v>
      </c>
      <c r="C559" s="18" t="s">
        <v>47</v>
      </c>
      <c r="D559" s="18" t="s">
        <v>28</v>
      </c>
      <c r="E559" s="18" t="s">
        <v>29</v>
      </c>
      <c r="F559" s="18" t="s">
        <v>52</v>
      </c>
      <c r="G559" s="18" t="s">
        <v>31</v>
      </c>
      <c r="H559" s="18">
        <v>36.4</v>
      </c>
      <c r="I559" s="20">
        <v>30</v>
      </c>
      <c r="J559" s="21">
        <v>1092</v>
      </c>
    </row>
    <row r="560" spans="1:10">
      <c r="A560" s="19">
        <v>35487</v>
      </c>
      <c r="B560" s="18" t="s">
        <v>26</v>
      </c>
      <c r="C560" s="18" t="s">
        <v>27</v>
      </c>
      <c r="D560" s="18" t="s">
        <v>28</v>
      </c>
      <c r="E560" s="18" t="s">
        <v>33</v>
      </c>
      <c r="F560" s="18" t="s">
        <v>52</v>
      </c>
      <c r="G560" s="18" t="s">
        <v>31</v>
      </c>
      <c r="H560" s="18">
        <v>36.799999999999997</v>
      </c>
      <c r="I560" s="20">
        <v>20</v>
      </c>
      <c r="J560" s="21">
        <v>736</v>
      </c>
    </row>
    <row r="561" spans="1:10">
      <c r="A561" s="19">
        <v>35487</v>
      </c>
      <c r="B561" s="18" t="s">
        <v>26</v>
      </c>
      <c r="C561" s="18" t="s">
        <v>32</v>
      </c>
      <c r="D561" s="18" t="s">
        <v>28</v>
      </c>
      <c r="E561" s="18" t="s">
        <v>35</v>
      </c>
      <c r="F561" s="18" t="s">
        <v>52</v>
      </c>
      <c r="G561" s="18" t="s">
        <v>31</v>
      </c>
      <c r="H561" s="18">
        <v>24.9</v>
      </c>
      <c r="I561" s="20">
        <v>30</v>
      </c>
      <c r="J561" s="21">
        <v>747</v>
      </c>
    </row>
    <row r="562" spans="1:10">
      <c r="A562" s="19">
        <v>35487</v>
      </c>
      <c r="B562" s="18" t="s">
        <v>26</v>
      </c>
      <c r="C562" s="18" t="s">
        <v>34</v>
      </c>
      <c r="D562" s="18" t="s">
        <v>28</v>
      </c>
      <c r="E562" s="18" t="s">
        <v>29</v>
      </c>
      <c r="F562" s="18" t="s">
        <v>52</v>
      </c>
      <c r="G562" s="18" t="s">
        <v>31</v>
      </c>
      <c r="H562" s="18">
        <v>17.2</v>
      </c>
      <c r="I562" s="20">
        <v>50</v>
      </c>
      <c r="J562" s="21">
        <v>860</v>
      </c>
    </row>
    <row r="563" spans="1:10">
      <c r="A563" s="19">
        <v>35488</v>
      </c>
      <c r="B563" s="18" t="s">
        <v>26</v>
      </c>
      <c r="C563" s="18" t="s">
        <v>36</v>
      </c>
      <c r="D563" s="18" t="s">
        <v>28</v>
      </c>
      <c r="E563" s="18" t="s">
        <v>33</v>
      </c>
      <c r="F563" s="18" t="s">
        <v>42</v>
      </c>
      <c r="G563" s="18" t="s">
        <v>43</v>
      </c>
      <c r="H563" s="18">
        <v>24</v>
      </c>
      <c r="I563" s="20">
        <v>16</v>
      </c>
      <c r="J563" s="21">
        <v>384</v>
      </c>
    </row>
    <row r="564" spans="1:10">
      <c r="A564" s="19">
        <v>35488</v>
      </c>
      <c r="B564" s="18" t="s">
        <v>39</v>
      </c>
      <c r="C564" s="18" t="s">
        <v>40</v>
      </c>
      <c r="D564" s="18" t="s">
        <v>28</v>
      </c>
      <c r="E564" s="18" t="s">
        <v>35</v>
      </c>
      <c r="F564" s="18" t="s">
        <v>42</v>
      </c>
      <c r="G564" s="18" t="s">
        <v>43</v>
      </c>
      <c r="H564" s="18">
        <v>9.6</v>
      </c>
      <c r="I564" s="20">
        <v>20</v>
      </c>
      <c r="J564" s="21">
        <v>192</v>
      </c>
    </row>
    <row r="565" spans="1:10">
      <c r="A565" s="19">
        <v>35488</v>
      </c>
      <c r="B565" s="18" t="s">
        <v>39</v>
      </c>
      <c r="C565" s="18" t="s">
        <v>41</v>
      </c>
      <c r="D565" s="18" t="s">
        <v>28</v>
      </c>
      <c r="E565" s="18" t="s">
        <v>29</v>
      </c>
      <c r="F565" s="18" t="s">
        <v>42</v>
      </c>
      <c r="G565" s="18" t="s">
        <v>43</v>
      </c>
      <c r="H565" s="18">
        <v>27.8</v>
      </c>
      <c r="I565" s="20">
        <v>40</v>
      </c>
      <c r="J565" s="21">
        <v>1112</v>
      </c>
    </row>
    <row r="566" spans="1:10">
      <c r="A566" s="19">
        <v>35489</v>
      </c>
      <c r="B566" s="18" t="s">
        <v>39</v>
      </c>
      <c r="C566" s="18" t="s">
        <v>44</v>
      </c>
      <c r="D566" s="18" t="s">
        <v>28</v>
      </c>
      <c r="E566" s="18" t="s">
        <v>33</v>
      </c>
      <c r="F566" s="18" t="s">
        <v>49</v>
      </c>
      <c r="G566" s="18" t="s">
        <v>38</v>
      </c>
      <c r="H566" s="18">
        <v>8</v>
      </c>
      <c r="I566" s="20">
        <v>40</v>
      </c>
      <c r="J566" s="21">
        <v>320</v>
      </c>
    </row>
    <row r="567" spans="1:10">
      <c r="A567" s="19">
        <v>35489</v>
      </c>
      <c r="B567" s="18" t="s">
        <v>39</v>
      </c>
      <c r="C567" s="18" t="s">
        <v>46</v>
      </c>
      <c r="D567" s="18" t="s">
        <v>28</v>
      </c>
      <c r="E567" s="18" t="s">
        <v>35</v>
      </c>
      <c r="F567" s="18" t="s">
        <v>49</v>
      </c>
      <c r="G567" s="18" t="s">
        <v>38</v>
      </c>
      <c r="H567" s="18">
        <v>20.7</v>
      </c>
      <c r="I567" s="20">
        <v>28</v>
      </c>
      <c r="J567" s="21">
        <v>579.6</v>
      </c>
    </row>
    <row r="568" spans="1:10">
      <c r="A568" s="19">
        <v>35489</v>
      </c>
      <c r="B568" s="18" t="s">
        <v>39</v>
      </c>
      <c r="C568" s="18" t="s">
        <v>47</v>
      </c>
      <c r="D568" s="18" t="s">
        <v>28</v>
      </c>
      <c r="E568" s="18" t="s">
        <v>29</v>
      </c>
      <c r="F568" s="18" t="s">
        <v>50</v>
      </c>
      <c r="G568" s="18" t="s">
        <v>31</v>
      </c>
      <c r="H568" s="18">
        <v>10</v>
      </c>
      <c r="I568" s="20">
        <v>21</v>
      </c>
      <c r="J568" s="21">
        <v>210</v>
      </c>
    </row>
    <row r="569" spans="1:10">
      <c r="A569" s="19">
        <v>35489</v>
      </c>
      <c r="B569" s="18" t="s">
        <v>26</v>
      </c>
      <c r="C569" s="18" t="s">
        <v>27</v>
      </c>
      <c r="D569" s="18" t="s">
        <v>28</v>
      </c>
      <c r="E569" s="18" t="s">
        <v>33</v>
      </c>
      <c r="F569" s="18" t="s">
        <v>50</v>
      </c>
      <c r="G569" s="18" t="s">
        <v>31</v>
      </c>
      <c r="H569" s="18">
        <v>6.2</v>
      </c>
      <c r="I569" s="20">
        <v>4</v>
      </c>
      <c r="J569" s="21">
        <v>24.8</v>
      </c>
    </row>
    <row r="570" spans="1:10">
      <c r="A570" s="19">
        <v>35489</v>
      </c>
      <c r="B570" s="18" t="s">
        <v>26</v>
      </c>
      <c r="C570" s="18" t="s">
        <v>32</v>
      </c>
      <c r="D570" s="18" t="s">
        <v>28</v>
      </c>
      <c r="E570" s="18" t="s">
        <v>35</v>
      </c>
      <c r="F570" s="18" t="s">
        <v>49</v>
      </c>
      <c r="G570" s="18" t="s">
        <v>38</v>
      </c>
      <c r="H570" s="18">
        <v>19.2</v>
      </c>
      <c r="I570" s="20">
        <v>60</v>
      </c>
      <c r="J570" s="21">
        <v>1152</v>
      </c>
    </row>
    <row r="571" spans="1:10">
      <c r="A571" s="19">
        <v>35492</v>
      </c>
      <c r="B571" s="18" t="s">
        <v>26</v>
      </c>
      <c r="C571" s="18" t="s">
        <v>34</v>
      </c>
      <c r="D571" s="18" t="s">
        <v>28</v>
      </c>
      <c r="E571" s="18" t="s">
        <v>29</v>
      </c>
      <c r="F571" s="18" t="s">
        <v>51</v>
      </c>
      <c r="G571" s="18" t="s">
        <v>43</v>
      </c>
      <c r="H571" s="18">
        <v>4.8</v>
      </c>
      <c r="I571" s="20">
        <v>1</v>
      </c>
      <c r="J571" s="21">
        <v>4.8</v>
      </c>
    </row>
    <row r="572" spans="1:10">
      <c r="A572" s="19">
        <v>35492</v>
      </c>
      <c r="B572" s="18" t="s">
        <v>26</v>
      </c>
      <c r="C572" s="18" t="s">
        <v>36</v>
      </c>
      <c r="D572" s="18" t="s">
        <v>28</v>
      </c>
      <c r="E572" s="18" t="s">
        <v>29</v>
      </c>
      <c r="F572" s="18" t="s">
        <v>51</v>
      </c>
      <c r="G572" s="18" t="s">
        <v>43</v>
      </c>
      <c r="H572" s="18">
        <v>7.2</v>
      </c>
      <c r="I572" s="20">
        <v>21</v>
      </c>
      <c r="J572" s="21">
        <v>151.20000000000002</v>
      </c>
    </row>
    <row r="573" spans="1:10">
      <c r="A573" s="19">
        <v>35493</v>
      </c>
      <c r="B573" s="18" t="s">
        <v>39</v>
      </c>
      <c r="C573" s="18" t="s">
        <v>40</v>
      </c>
      <c r="D573" s="18" t="s">
        <v>28</v>
      </c>
      <c r="E573" s="18" t="s">
        <v>33</v>
      </c>
      <c r="F573" s="18" t="s">
        <v>42</v>
      </c>
      <c r="G573" s="18" t="s">
        <v>43</v>
      </c>
      <c r="H573" s="18">
        <v>30.4</v>
      </c>
      <c r="I573" s="20">
        <v>30</v>
      </c>
      <c r="J573" s="21">
        <v>912</v>
      </c>
    </row>
    <row r="574" spans="1:10">
      <c r="A574" s="19">
        <v>35493</v>
      </c>
      <c r="B574" s="18" t="s">
        <v>39</v>
      </c>
      <c r="C574" s="18" t="s">
        <v>41</v>
      </c>
      <c r="D574" s="18" t="s">
        <v>28</v>
      </c>
      <c r="E574" s="18" t="s">
        <v>35</v>
      </c>
      <c r="F574" s="18" t="s">
        <v>30</v>
      </c>
      <c r="G574" s="18" t="s">
        <v>31</v>
      </c>
      <c r="H574" s="18">
        <v>11.2</v>
      </c>
      <c r="I574" s="20">
        <v>50</v>
      </c>
      <c r="J574" s="21">
        <v>560</v>
      </c>
    </row>
    <row r="575" spans="1:10">
      <c r="A575" s="19">
        <v>35493</v>
      </c>
      <c r="B575" s="18" t="s">
        <v>39</v>
      </c>
      <c r="C575" s="18" t="s">
        <v>44</v>
      </c>
      <c r="D575" s="18" t="s">
        <v>28</v>
      </c>
      <c r="E575" s="18" t="s">
        <v>29</v>
      </c>
      <c r="F575" s="18" t="s">
        <v>42</v>
      </c>
      <c r="G575" s="18" t="s">
        <v>43</v>
      </c>
      <c r="H575" s="18">
        <v>27.2</v>
      </c>
      <c r="I575" s="20">
        <v>20</v>
      </c>
      <c r="J575" s="21">
        <v>544</v>
      </c>
    </row>
    <row r="576" spans="1:10">
      <c r="A576" s="19">
        <v>35493</v>
      </c>
      <c r="B576" s="18" t="s">
        <v>39</v>
      </c>
      <c r="C576" s="18" t="s">
        <v>46</v>
      </c>
      <c r="D576" s="18" t="s">
        <v>28</v>
      </c>
      <c r="E576" s="18" t="s">
        <v>33</v>
      </c>
      <c r="F576" s="18" t="s">
        <v>42</v>
      </c>
      <c r="G576" s="18" t="s">
        <v>43</v>
      </c>
      <c r="H576" s="18">
        <v>36.799999999999997</v>
      </c>
      <c r="I576" s="20">
        <v>3</v>
      </c>
      <c r="J576" s="21">
        <v>110.39999999999999</v>
      </c>
    </row>
    <row r="577" spans="1:10">
      <c r="A577" s="19">
        <v>35493</v>
      </c>
      <c r="B577" s="18" t="s">
        <v>39</v>
      </c>
      <c r="C577" s="18" t="s">
        <v>47</v>
      </c>
      <c r="D577" s="18" t="s">
        <v>28</v>
      </c>
      <c r="E577" s="18" t="s">
        <v>35</v>
      </c>
      <c r="F577" s="18" t="s">
        <v>30</v>
      </c>
      <c r="G577" s="18" t="s">
        <v>31</v>
      </c>
      <c r="H577" s="18">
        <v>7.3</v>
      </c>
      <c r="I577" s="20">
        <v>21</v>
      </c>
      <c r="J577" s="21">
        <v>153.29999999999998</v>
      </c>
    </row>
    <row r="578" spans="1:10">
      <c r="A578" s="19">
        <v>35493</v>
      </c>
      <c r="B578" s="18" t="s">
        <v>26</v>
      </c>
      <c r="C578" s="18" t="s">
        <v>27</v>
      </c>
      <c r="D578" s="18" t="s">
        <v>28</v>
      </c>
      <c r="E578" s="18" t="s">
        <v>29</v>
      </c>
      <c r="F578" s="18" t="s">
        <v>42</v>
      </c>
      <c r="G578" s="18" t="s">
        <v>43</v>
      </c>
      <c r="H578" s="18">
        <v>17.600000000000001</v>
      </c>
      <c r="I578" s="20">
        <v>16</v>
      </c>
      <c r="J578" s="21">
        <v>281.60000000000002</v>
      </c>
    </row>
    <row r="579" spans="1:10">
      <c r="A579" s="19">
        <v>35494</v>
      </c>
      <c r="B579" s="18" t="s">
        <v>26</v>
      </c>
      <c r="C579" s="18" t="s">
        <v>32</v>
      </c>
      <c r="D579" s="18" t="s">
        <v>28</v>
      </c>
      <c r="E579" s="18" t="s">
        <v>33</v>
      </c>
      <c r="F579" s="18" t="s">
        <v>49</v>
      </c>
      <c r="G579" s="18" t="s">
        <v>38</v>
      </c>
      <c r="H579" s="18">
        <v>3.6</v>
      </c>
      <c r="I579" s="20">
        <v>25</v>
      </c>
      <c r="J579" s="21">
        <v>90</v>
      </c>
    </row>
    <row r="580" spans="1:10">
      <c r="A580" s="19">
        <v>35494</v>
      </c>
      <c r="B580" s="18" t="s">
        <v>26</v>
      </c>
      <c r="C580" s="18" t="s">
        <v>34</v>
      </c>
      <c r="D580" s="18" t="s">
        <v>28</v>
      </c>
      <c r="E580" s="18" t="s">
        <v>35</v>
      </c>
      <c r="F580" s="18" t="s">
        <v>49</v>
      </c>
      <c r="G580" s="18" t="s">
        <v>38</v>
      </c>
      <c r="H580" s="18">
        <v>14.7</v>
      </c>
      <c r="I580" s="20">
        <v>20</v>
      </c>
      <c r="J580" s="21">
        <v>294</v>
      </c>
    </row>
    <row r="581" spans="1:10">
      <c r="A581" s="19">
        <v>35494</v>
      </c>
      <c r="B581" s="18" t="s">
        <v>26</v>
      </c>
      <c r="C581" s="18" t="s">
        <v>36</v>
      </c>
      <c r="D581" s="18" t="s">
        <v>28</v>
      </c>
      <c r="E581" s="18" t="s">
        <v>29</v>
      </c>
      <c r="F581" s="18" t="s">
        <v>49</v>
      </c>
      <c r="G581" s="18" t="s">
        <v>38</v>
      </c>
      <c r="H581" s="18">
        <v>7.6</v>
      </c>
      <c r="I581" s="20">
        <v>30</v>
      </c>
      <c r="J581" s="21">
        <v>228</v>
      </c>
    </row>
    <row r="582" spans="1:10">
      <c r="A582" s="19">
        <v>35494</v>
      </c>
      <c r="B582" s="18" t="s">
        <v>39</v>
      </c>
      <c r="C582" s="18" t="s">
        <v>40</v>
      </c>
      <c r="D582" s="18" t="s">
        <v>28</v>
      </c>
      <c r="E582" s="18" t="s">
        <v>33</v>
      </c>
      <c r="F582" s="18" t="s">
        <v>49</v>
      </c>
      <c r="G582" s="18" t="s">
        <v>38</v>
      </c>
      <c r="H582" s="18">
        <v>99</v>
      </c>
      <c r="I582" s="20">
        <v>18</v>
      </c>
      <c r="J582" s="21">
        <v>1782</v>
      </c>
    </row>
    <row r="583" spans="1:10">
      <c r="A583" s="19">
        <v>35494</v>
      </c>
      <c r="B583" s="18" t="s">
        <v>39</v>
      </c>
      <c r="C583" s="18" t="s">
        <v>41</v>
      </c>
      <c r="D583" s="18" t="s">
        <v>28</v>
      </c>
      <c r="E583" s="18" t="s">
        <v>35</v>
      </c>
      <c r="F583" s="18" t="s">
        <v>49</v>
      </c>
      <c r="G583" s="18" t="s">
        <v>38</v>
      </c>
      <c r="H583" s="18">
        <v>13</v>
      </c>
      <c r="I583" s="20">
        <v>25</v>
      </c>
      <c r="J583" s="21">
        <v>325</v>
      </c>
    </row>
    <row r="584" spans="1:10">
      <c r="A584" s="19">
        <v>35495</v>
      </c>
      <c r="B584" s="18" t="s">
        <v>39</v>
      </c>
      <c r="C584" s="18" t="s">
        <v>44</v>
      </c>
      <c r="D584" s="18" t="s">
        <v>28</v>
      </c>
      <c r="E584" s="18" t="s">
        <v>29</v>
      </c>
      <c r="F584" s="18" t="s">
        <v>42</v>
      </c>
      <c r="G584" s="18" t="s">
        <v>43</v>
      </c>
      <c r="H584" s="18">
        <v>16.8</v>
      </c>
      <c r="I584" s="20">
        <v>10</v>
      </c>
      <c r="J584" s="21">
        <v>168</v>
      </c>
    </row>
    <row r="585" spans="1:10">
      <c r="A585" s="19">
        <v>35495</v>
      </c>
      <c r="B585" s="18" t="s">
        <v>39</v>
      </c>
      <c r="C585" s="18" t="s">
        <v>46</v>
      </c>
      <c r="D585" s="18" t="s">
        <v>28</v>
      </c>
      <c r="E585" s="18" t="s">
        <v>33</v>
      </c>
      <c r="F585" s="18" t="s">
        <v>42</v>
      </c>
      <c r="G585" s="18" t="s">
        <v>43</v>
      </c>
      <c r="H585" s="18">
        <v>9.6</v>
      </c>
      <c r="I585" s="20">
        <v>5</v>
      </c>
      <c r="J585" s="21">
        <v>48</v>
      </c>
    </row>
    <row r="586" spans="1:10">
      <c r="A586" s="19">
        <v>35495</v>
      </c>
      <c r="B586" s="18" t="s">
        <v>39</v>
      </c>
      <c r="C586" s="18" t="s">
        <v>47</v>
      </c>
      <c r="D586" s="18" t="s">
        <v>28</v>
      </c>
      <c r="E586" s="18" t="s">
        <v>35</v>
      </c>
      <c r="F586" s="18" t="s">
        <v>50</v>
      </c>
      <c r="G586" s="18" t="s">
        <v>31</v>
      </c>
      <c r="H586" s="18">
        <v>3.6</v>
      </c>
      <c r="I586" s="20">
        <v>28</v>
      </c>
      <c r="J586" s="21">
        <v>100.8</v>
      </c>
    </row>
    <row r="587" spans="1:10">
      <c r="A587" s="19">
        <v>35495</v>
      </c>
      <c r="B587" s="18" t="s">
        <v>26</v>
      </c>
      <c r="C587" s="18" t="s">
        <v>27</v>
      </c>
      <c r="D587" s="18" t="s">
        <v>28</v>
      </c>
      <c r="E587" s="18" t="s">
        <v>29</v>
      </c>
      <c r="F587" s="18" t="s">
        <v>50</v>
      </c>
      <c r="G587" s="18" t="s">
        <v>31</v>
      </c>
      <c r="H587" s="18">
        <v>11.2</v>
      </c>
      <c r="I587" s="20">
        <v>12</v>
      </c>
      <c r="J587" s="21">
        <v>134.39999999999998</v>
      </c>
    </row>
    <row r="588" spans="1:10">
      <c r="A588" s="19">
        <v>35496</v>
      </c>
      <c r="B588" s="18" t="s">
        <v>26</v>
      </c>
      <c r="C588" s="18" t="s">
        <v>32</v>
      </c>
      <c r="D588" s="18" t="s">
        <v>28</v>
      </c>
      <c r="E588" s="18" t="s">
        <v>33</v>
      </c>
      <c r="F588" s="18" t="s">
        <v>45</v>
      </c>
      <c r="G588" s="18" t="s">
        <v>38</v>
      </c>
      <c r="H588" s="18">
        <v>20.7</v>
      </c>
      <c r="I588" s="20">
        <v>8</v>
      </c>
      <c r="J588" s="21">
        <v>165.6</v>
      </c>
    </row>
    <row r="589" spans="1:10">
      <c r="A589" s="19">
        <v>35496</v>
      </c>
      <c r="B589" s="18" t="s">
        <v>26</v>
      </c>
      <c r="C589" s="18" t="s">
        <v>34</v>
      </c>
      <c r="D589" s="18" t="s">
        <v>28</v>
      </c>
      <c r="E589" s="18" t="s">
        <v>35</v>
      </c>
      <c r="F589" s="18" t="s">
        <v>45</v>
      </c>
      <c r="G589" s="18" t="s">
        <v>38</v>
      </c>
      <c r="H589" s="18">
        <v>36.799999999999997</v>
      </c>
      <c r="I589" s="20">
        <v>15</v>
      </c>
      <c r="J589" s="21">
        <v>552</v>
      </c>
    </row>
    <row r="590" spans="1:10">
      <c r="A590" s="19">
        <v>35499</v>
      </c>
      <c r="B590" s="18" t="s">
        <v>26</v>
      </c>
      <c r="C590" s="18" t="s">
        <v>36</v>
      </c>
      <c r="D590" s="18" t="s">
        <v>28</v>
      </c>
      <c r="E590" s="18" t="s">
        <v>29</v>
      </c>
      <c r="F590" s="18" t="s">
        <v>49</v>
      </c>
      <c r="G590" s="18" t="s">
        <v>38</v>
      </c>
      <c r="H590" s="18">
        <v>13.9</v>
      </c>
      <c r="I590" s="20">
        <v>35</v>
      </c>
      <c r="J590" s="21">
        <v>486.5</v>
      </c>
    </row>
    <row r="591" spans="1:10">
      <c r="A591" s="19">
        <v>35499</v>
      </c>
      <c r="B591" s="18" t="s">
        <v>39</v>
      </c>
      <c r="C591" s="18" t="s">
        <v>40</v>
      </c>
      <c r="D591" s="18" t="s">
        <v>28</v>
      </c>
      <c r="E591" s="18" t="s">
        <v>29</v>
      </c>
      <c r="F591" s="18" t="s">
        <v>49</v>
      </c>
      <c r="G591" s="18" t="s">
        <v>38</v>
      </c>
      <c r="H591" s="18">
        <v>15.5</v>
      </c>
      <c r="I591" s="20">
        <v>2</v>
      </c>
      <c r="J591" s="21">
        <v>31</v>
      </c>
    </row>
    <row r="592" spans="1:10">
      <c r="A592" s="19">
        <v>35499</v>
      </c>
      <c r="B592" s="18" t="s">
        <v>39</v>
      </c>
      <c r="C592" s="18" t="s">
        <v>41</v>
      </c>
      <c r="D592" s="18" t="s">
        <v>28</v>
      </c>
      <c r="E592" s="18" t="s">
        <v>33</v>
      </c>
      <c r="F592" s="18" t="s">
        <v>49</v>
      </c>
      <c r="G592" s="18" t="s">
        <v>38</v>
      </c>
      <c r="H592" s="18">
        <v>15.2</v>
      </c>
      <c r="I592" s="20">
        <v>40</v>
      </c>
      <c r="J592" s="21">
        <v>608</v>
      </c>
    </row>
    <row r="593" spans="1:10">
      <c r="A593" s="19">
        <v>35500</v>
      </c>
      <c r="B593" s="18" t="s">
        <v>39</v>
      </c>
      <c r="C593" s="18" t="s">
        <v>44</v>
      </c>
      <c r="D593" s="18" t="s">
        <v>28</v>
      </c>
      <c r="E593" s="18" t="s">
        <v>35</v>
      </c>
      <c r="F593" s="18" t="s">
        <v>51</v>
      </c>
      <c r="G593" s="18" t="s">
        <v>43</v>
      </c>
      <c r="H593" s="18">
        <v>30.4</v>
      </c>
      <c r="I593" s="20">
        <v>20</v>
      </c>
      <c r="J593" s="21">
        <v>608</v>
      </c>
    </row>
    <row r="594" spans="1:10">
      <c r="A594" s="19">
        <v>35500</v>
      </c>
      <c r="B594" s="18" t="s">
        <v>39</v>
      </c>
      <c r="C594" s="18" t="s">
        <v>46</v>
      </c>
      <c r="D594" s="18" t="s">
        <v>28</v>
      </c>
      <c r="E594" s="18" t="s">
        <v>29</v>
      </c>
      <c r="F594" s="18" t="s">
        <v>51</v>
      </c>
      <c r="G594" s="18" t="s">
        <v>43</v>
      </c>
      <c r="H594" s="18">
        <v>24</v>
      </c>
      <c r="I594" s="20">
        <v>30</v>
      </c>
      <c r="J594" s="21">
        <v>720</v>
      </c>
    </row>
    <row r="595" spans="1:10">
      <c r="A595" s="19">
        <v>35500</v>
      </c>
      <c r="B595" s="18" t="s">
        <v>39</v>
      </c>
      <c r="C595" s="18" t="s">
        <v>47</v>
      </c>
      <c r="D595" s="18" t="s">
        <v>28</v>
      </c>
      <c r="E595" s="18" t="s">
        <v>33</v>
      </c>
      <c r="F595" s="18" t="s">
        <v>42</v>
      </c>
      <c r="G595" s="18" t="s">
        <v>43</v>
      </c>
      <c r="H595" s="18">
        <v>26.6</v>
      </c>
      <c r="I595" s="20">
        <v>8</v>
      </c>
      <c r="J595" s="21">
        <v>212.8</v>
      </c>
    </row>
    <row r="596" spans="1:10">
      <c r="A596" s="19">
        <v>35500</v>
      </c>
      <c r="B596" s="18" t="s">
        <v>26</v>
      </c>
      <c r="C596" s="18" t="s">
        <v>27</v>
      </c>
      <c r="D596" s="18" t="s">
        <v>28</v>
      </c>
      <c r="E596" s="18" t="s">
        <v>35</v>
      </c>
      <c r="F596" s="18" t="s">
        <v>42</v>
      </c>
      <c r="G596" s="18" t="s">
        <v>43</v>
      </c>
      <c r="H596" s="18">
        <v>50</v>
      </c>
      <c r="I596" s="20">
        <v>30</v>
      </c>
      <c r="J596" s="21">
        <v>1500</v>
      </c>
    </row>
    <row r="597" spans="1:10">
      <c r="A597" s="19">
        <v>35500</v>
      </c>
      <c r="B597" s="18" t="s">
        <v>26</v>
      </c>
      <c r="C597" s="18" t="s">
        <v>32</v>
      </c>
      <c r="D597" s="18" t="s">
        <v>28</v>
      </c>
      <c r="E597" s="18" t="s">
        <v>29</v>
      </c>
      <c r="F597" s="18" t="s">
        <v>42</v>
      </c>
      <c r="G597" s="18" t="s">
        <v>43</v>
      </c>
      <c r="H597" s="18">
        <v>7.2</v>
      </c>
      <c r="I597" s="20">
        <v>15</v>
      </c>
      <c r="J597" s="21">
        <v>108</v>
      </c>
    </row>
    <row r="598" spans="1:10">
      <c r="A598" s="19">
        <v>35501</v>
      </c>
      <c r="B598" s="18" t="s">
        <v>26</v>
      </c>
      <c r="C598" s="18" t="s">
        <v>34</v>
      </c>
      <c r="D598" s="18" t="s">
        <v>28</v>
      </c>
      <c r="E598" s="18" t="s">
        <v>33</v>
      </c>
      <c r="F598" s="18" t="s">
        <v>50</v>
      </c>
      <c r="G598" s="18" t="s">
        <v>31</v>
      </c>
      <c r="H598" s="18">
        <v>3.6</v>
      </c>
      <c r="I598" s="20">
        <v>80</v>
      </c>
      <c r="J598" s="21">
        <v>288</v>
      </c>
    </row>
    <row r="599" spans="1:10">
      <c r="A599" s="19">
        <v>35501</v>
      </c>
      <c r="B599" s="18" t="s">
        <v>26</v>
      </c>
      <c r="C599" s="18" t="s">
        <v>36</v>
      </c>
      <c r="D599" s="18" t="s">
        <v>28</v>
      </c>
      <c r="E599" s="18" t="s">
        <v>35</v>
      </c>
      <c r="F599" s="18" t="s">
        <v>50</v>
      </c>
      <c r="G599" s="18" t="s">
        <v>31</v>
      </c>
      <c r="H599" s="18">
        <v>42.4</v>
      </c>
      <c r="I599" s="20">
        <v>18</v>
      </c>
      <c r="J599" s="21">
        <v>763.19999999999993</v>
      </c>
    </row>
    <row r="600" spans="1:10">
      <c r="A600" s="19">
        <v>35502</v>
      </c>
      <c r="B600" s="18" t="s">
        <v>39</v>
      </c>
      <c r="C600" s="18" t="s">
        <v>40</v>
      </c>
      <c r="D600" s="18" t="s">
        <v>28</v>
      </c>
      <c r="E600" s="18" t="s">
        <v>29</v>
      </c>
      <c r="F600" s="18" t="s">
        <v>30</v>
      </c>
      <c r="G600" s="18" t="s">
        <v>31</v>
      </c>
      <c r="H600" s="18">
        <v>36.4</v>
      </c>
      <c r="I600" s="20">
        <v>18</v>
      </c>
      <c r="J600" s="21">
        <v>655.19999999999993</v>
      </c>
    </row>
    <row r="601" spans="1:10">
      <c r="A601" s="19">
        <v>35502</v>
      </c>
      <c r="B601" s="18" t="s">
        <v>39</v>
      </c>
      <c r="C601" s="18" t="s">
        <v>41</v>
      </c>
      <c r="D601" s="18" t="s">
        <v>28</v>
      </c>
      <c r="E601" s="18" t="s">
        <v>33</v>
      </c>
      <c r="F601" s="18" t="s">
        <v>49</v>
      </c>
      <c r="G601" s="18" t="s">
        <v>38</v>
      </c>
      <c r="H601" s="18">
        <v>2</v>
      </c>
      <c r="I601" s="20">
        <v>12</v>
      </c>
      <c r="J601" s="21">
        <v>24</v>
      </c>
    </row>
    <row r="602" spans="1:10">
      <c r="A602" s="19">
        <v>35502</v>
      </c>
      <c r="B602" s="18" t="s">
        <v>39</v>
      </c>
      <c r="C602" s="18" t="s">
        <v>44</v>
      </c>
      <c r="D602" s="18" t="s">
        <v>28</v>
      </c>
      <c r="E602" s="18" t="s">
        <v>35</v>
      </c>
      <c r="F602" s="18" t="s">
        <v>30</v>
      </c>
      <c r="G602" s="18" t="s">
        <v>31</v>
      </c>
      <c r="H602" s="18">
        <v>6.2</v>
      </c>
      <c r="I602" s="20">
        <v>10</v>
      </c>
      <c r="J602" s="21">
        <v>62</v>
      </c>
    </row>
    <row r="603" spans="1:10">
      <c r="A603" s="19">
        <v>35502</v>
      </c>
      <c r="B603" s="18" t="s">
        <v>39</v>
      </c>
      <c r="C603" s="18" t="s">
        <v>46</v>
      </c>
      <c r="D603" s="18" t="s">
        <v>28</v>
      </c>
      <c r="E603" s="18" t="s">
        <v>29</v>
      </c>
      <c r="F603" s="18" t="s">
        <v>30</v>
      </c>
      <c r="G603" s="18" t="s">
        <v>31</v>
      </c>
      <c r="H603" s="18">
        <v>18.600000000000001</v>
      </c>
      <c r="I603" s="20">
        <v>12</v>
      </c>
      <c r="J603" s="21">
        <v>223.20000000000002</v>
      </c>
    </row>
    <row r="604" spans="1:10">
      <c r="A604" s="19">
        <v>35502</v>
      </c>
      <c r="B604" s="18" t="s">
        <v>39</v>
      </c>
      <c r="C604" s="18" t="s">
        <v>47</v>
      </c>
      <c r="D604" s="18" t="s">
        <v>28</v>
      </c>
      <c r="E604" s="18" t="s">
        <v>33</v>
      </c>
      <c r="F604" s="18" t="s">
        <v>30</v>
      </c>
      <c r="G604" s="18" t="s">
        <v>31</v>
      </c>
      <c r="H604" s="18">
        <v>14.7</v>
      </c>
      <c r="I604" s="20">
        <v>21</v>
      </c>
      <c r="J604" s="21">
        <v>308.7</v>
      </c>
    </row>
    <row r="605" spans="1:10">
      <c r="A605" s="19">
        <v>35502</v>
      </c>
      <c r="B605" s="18" t="s">
        <v>26</v>
      </c>
      <c r="C605" s="18" t="s">
        <v>27</v>
      </c>
      <c r="D605" s="18" t="s">
        <v>28</v>
      </c>
      <c r="E605" s="18" t="s">
        <v>35</v>
      </c>
      <c r="F605" s="18" t="s">
        <v>49</v>
      </c>
      <c r="G605" s="18" t="s">
        <v>38</v>
      </c>
      <c r="H605" s="18">
        <v>17.2</v>
      </c>
      <c r="I605" s="20">
        <v>12</v>
      </c>
      <c r="J605" s="21">
        <v>206.39999999999998</v>
      </c>
    </row>
    <row r="606" spans="1:10">
      <c r="A606" s="19">
        <v>35503</v>
      </c>
      <c r="B606" s="18" t="s">
        <v>26</v>
      </c>
      <c r="C606" s="18" t="s">
        <v>32</v>
      </c>
      <c r="D606" s="18" t="s">
        <v>28</v>
      </c>
      <c r="E606" s="18" t="s">
        <v>29</v>
      </c>
      <c r="F606" s="18" t="s">
        <v>48</v>
      </c>
      <c r="G606" s="18" t="s">
        <v>31</v>
      </c>
      <c r="H606" s="18">
        <v>14.4</v>
      </c>
      <c r="I606" s="20">
        <v>42</v>
      </c>
      <c r="J606" s="21">
        <v>604.80000000000007</v>
      </c>
    </row>
    <row r="607" spans="1:10">
      <c r="A607" s="19">
        <v>35503</v>
      </c>
      <c r="B607" s="18" t="s">
        <v>26</v>
      </c>
      <c r="C607" s="18" t="s">
        <v>34</v>
      </c>
      <c r="D607" s="18" t="s">
        <v>28</v>
      </c>
      <c r="E607" s="18" t="s">
        <v>33</v>
      </c>
      <c r="F607" s="18" t="s">
        <v>48</v>
      </c>
      <c r="G607" s="18" t="s">
        <v>31</v>
      </c>
      <c r="H607" s="18">
        <v>13.6</v>
      </c>
      <c r="I607" s="20">
        <v>60</v>
      </c>
      <c r="J607" s="21">
        <v>816</v>
      </c>
    </row>
    <row r="608" spans="1:10">
      <c r="A608" s="19">
        <v>35503</v>
      </c>
      <c r="B608" s="18" t="s">
        <v>26</v>
      </c>
      <c r="C608" s="18" t="s">
        <v>36</v>
      </c>
      <c r="D608" s="18" t="s">
        <v>28</v>
      </c>
      <c r="E608" s="18" t="s">
        <v>35</v>
      </c>
      <c r="F608" s="18" t="s">
        <v>48</v>
      </c>
      <c r="G608" s="18" t="s">
        <v>31</v>
      </c>
      <c r="H608" s="18">
        <v>10</v>
      </c>
      <c r="I608" s="20">
        <v>35</v>
      </c>
      <c r="J608" s="21">
        <v>350</v>
      </c>
    </row>
    <row r="609" spans="1:10">
      <c r="A609" s="19">
        <v>35506</v>
      </c>
      <c r="B609" s="18" t="s">
        <v>39</v>
      </c>
      <c r="C609" s="18" t="s">
        <v>40</v>
      </c>
      <c r="D609" s="18" t="s">
        <v>28</v>
      </c>
      <c r="E609" s="18" t="s">
        <v>29</v>
      </c>
      <c r="F609" s="18" t="s">
        <v>30</v>
      </c>
      <c r="G609" s="18" t="s">
        <v>31</v>
      </c>
      <c r="H609" s="18">
        <v>8</v>
      </c>
      <c r="I609" s="20">
        <v>21</v>
      </c>
      <c r="J609" s="21">
        <v>168</v>
      </c>
    </row>
    <row r="610" spans="1:10">
      <c r="A610" s="19">
        <v>35506</v>
      </c>
      <c r="B610" s="18" t="s">
        <v>39</v>
      </c>
      <c r="C610" s="18" t="s">
        <v>41</v>
      </c>
      <c r="D610" s="18" t="s">
        <v>28</v>
      </c>
      <c r="E610" s="18" t="s">
        <v>29</v>
      </c>
      <c r="F610" s="18" t="s">
        <v>30</v>
      </c>
      <c r="G610" s="18" t="s">
        <v>31</v>
      </c>
      <c r="H610" s="18">
        <v>14.4</v>
      </c>
      <c r="I610" s="20">
        <v>15</v>
      </c>
      <c r="J610" s="21">
        <v>216</v>
      </c>
    </row>
    <row r="611" spans="1:10">
      <c r="A611" s="19">
        <v>35506</v>
      </c>
      <c r="B611" s="18" t="s">
        <v>39</v>
      </c>
      <c r="C611" s="18" t="s">
        <v>44</v>
      </c>
      <c r="D611" s="18" t="s">
        <v>28</v>
      </c>
      <c r="E611" s="18" t="s">
        <v>33</v>
      </c>
      <c r="F611" s="18" t="s">
        <v>50</v>
      </c>
      <c r="G611" s="18" t="s">
        <v>31</v>
      </c>
      <c r="H611" s="18">
        <v>12</v>
      </c>
      <c r="I611" s="20">
        <v>12</v>
      </c>
      <c r="J611" s="21">
        <v>144</v>
      </c>
    </row>
    <row r="612" spans="1:10">
      <c r="A612" s="19">
        <v>35506</v>
      </c>
      <c r="B612" s="18" t="s">
        <v>39</v>
      </c>
      <c r="C612" s="18" t="s">
        <v>46</v>
      </c>
      <c r="D612" s="18" t="s">
        <v>28</v>
      </c>
      <c r="E612" s="18" t="s">
        <v>35</v>
      </c>
      <c r="F612" s="18" t="s">
        <v>50</v>
      </c>
      <c r="G612" s="18" t="s">
        <v>31</v>
      </c>
      <c r="H612" s="18">
        <v>19.2</v>
      </c>
      <c r="I612" s="20">
        <v>2</v>
      </c>
      <c r="J612" s="21">
        <v>38.4</v>
      </c>
    </row>
    <row r="613" spans="1:10">
      <c r="A613" s="19">
        <v>35506</v>
      </c>
      <c r="B613" s="18" t="s">
        <v>39</v>
      </c>
      <c r="C613" s="18" t="s">
        <v>47</v>
      </c>
      <c r="D613" s="18" t="s">
        <v>28</v>
      </c>
      <c r="E613" s="18" t="s">
        <v>29</v>
      </c>
      <c r="F613" s="18" t="s">
        <v>30</v>
      </c>
      <c r="G613" s="18" t="s">
        <v>31</v>
      </c>
      <c r="H613" s="18">
        <v>14.4</v>
      </c>
      <c r="I613" s="20">
        <v>20</v>
      </c>
      <c r="J613" s="21">
        <v>288</v>
      </c>
    </row>
    <row r="614" spans="1:10">
      <c r="A614" s="19">
        <v>35507</v>
      </c>
      <c r="B614" s="18" t="s">
        <v>26</v>
      </c>
      <c r="C614" s="18" t="s">
        <v>27</v>
      </c>
      <c r="D614" s="18" t="s">
        <v>28</v>
      </c>
      <c r="E614" s="18" t="s">
        <v>33</v>
      </c>
      <c r="F614" s="18" t="s">
        <v>51</v>
      </c>
      <c r="G614" s="18" t="s">
        <v>43</v>
      </c>
      <c r="H614" s="18">
        <v>24.8</v>
      </c>
      <c r="I614" s="20">
        <v>20</v>
      </c>
      <c r="J614" s="21">
        <v>496</v>
      </c>
    </row>
    <row r="615" spans="1:10">
      <c r="A615" s="19">
        <v>35508</v>
      </c>
      <c r="B615" s="18" t="s">
        <v>26</v>
      </c>
      <c r="C615" s="18" t="s">
        <v>32</v>
      </c>
      <c r="D615" s="18" t="s">
        <v>28</v>
      </c>
      <c r="E615" s="18" t="s">
        <v>35</v>
      </c>
      <c r="F615" s="18" t="s">
        <v>45</v>
      </c>
      <c r="G615" s="18" t="s">
        <v>38</v>
      </c>
      <c r="H615" s="18">
        <v>44</v>
      </c>
      <c r="I615" s="20">
        <v>60</v>
      </c>
      <c r="J615" s="21">
        <v>2640</v>
      </c>
    </row>
    <row r="616" spans="1:10">
      <c r="A616" s="19">
        <v>35508</v>
      </c>
      <c r="B616" s="18" t="s">
        <v>26</v>
      </c>
      <c r="C616" s="18" t="s">
        <v>34</v>
      </c>
      <c r="D616" s="18" t="s">
        <v>28</v>
      </c>
      <c r="E616" s="18" t="s">
        <v>29</v>
      </c>
      <c r="F616" s="18" t="s">
        <v>45</v>
      </c>
      <c r="G616" s="18" t="s">
        <v>38</v>
      </c>
      <c r="H616" s="18">
        <v>26.6</v>
      </c>
      <c r="I616" s="20">
        <v>30</v>
      </c>
      <c r="J616" s="21">
        <v>798</v>
      </c>
    </row>
    <row r="617" spans="1:10">
      <c r="A617" s="19">
        <v>35508</v>
      </c>
      <c r="B617" s="18" t="s">
        <v>26</v>
      </c>
      <c r="C617" s="18" t="s">
        <v>36</v>
      </c>
      <c r="D617" s="18" t="s">
        <v>28</v>
      </c>
      <c r="E617" s="18" t="s">
        <v>33</v>
      </c>
      <c r="F617" s="18" t="s">
        <v>45</v>
      </c>
      <c r="G617" s="18" t="s">
        <v>38</v>
      </c>
      <c r="H617" s="18">
        <v>210.8</v>
      </c>
      <c r="I617" s="20">
        <v>30</v>
      </c>
      <c r="J617" s="21">
        <v>6324</v>
      </c>
    </row>
    <row r="618" spans="1:10">
      <c r="A618" s="19">
        <v>35508</v>
      </c>
      <c r="B618" s="18" t="s">
        <v>39</v>
      </c>
      <c r="C618" s="18" t="s">
        <v>40</v>
      </c>
      <c r="D618" s="18" t="s">
        <v>28</v>
      </c>
      <c r="E618" s="18" t="s">
        <v>35</v>
      </c>
      <c r="F618" s="18" t="s">
        <v>45</v>
      </c>
      <c r="G618" s="18" t="s">
        <v>38</v>
      </c>
      <c r="H618" s="18">
        <v>26.2</v>
      </c>
      <c r="I618" s="20">
        <v>28</v>
      </c>
      <c r="J618" s="21">
        <v>733.6</v>
      </c>
    </row>
    <row r="619" spans="1:10">
      <c r="A619" s="19">
        <v>35509</v>
      </c>
      <c r="B619" s="18" t="s">
        <v>39</v>
      </c>
      <c r="C619" s="18" t="s">
        <v>41</v>
      </c>
      <c r="D619" s="18" t="s">
        <v>28</v>
      </c>
      <c r="E619" s="18" t="s">
        <v>29</v>
      </c>
      <c r="F619" s="18" t="s">
        <v>37</v>
      </c>
      <c r="G619" s="18" t="s">
        <v>38</v>
      </c>
      <c r="H619" s="18">
        <v>7.6</v>
      </c>
      <c r="I619" s="20">
        <v>30</v>
      </c>
      <c r="J619" s="21">
        <v>228</v>
      </c>
    </row>
    <row r="620" spans="1:10">
      <c r="A620" s="19">
        <v>35509</v>
      </c>
      <c r="B620" s="18" t="s">
        <v>39</v>
      </c>
      <c r="C620" s="18" t="s">
        <v>44</v>
      </c>
      <c r="D620" s="18" t="s">
        <v>28</v>
      </c>
      <c r="E620" s="18" t="s">
        <v>33</v>
      </c>
      <c r="F620" s="18" t="s">
        <v>37</v>
      </c>
      <c r="G620" s="18" t="s">
        <v>38</v>
      </c>
      <c r="H620" s="18">
        <v>44</v>
      </c>
      <c r="I620" s="20">
        <v>12</v>
      </c>
      <c r="J620" s="21">
        <v>528</v>
      </c>
    </row>
    <row r="621" spans="1:10">
      <c r="A621" s="19">
        <v>35509</v>
      </c>
      <c r="B621" s="18" t="s">
        <v>39</v>
      </c>
      <c r="C621" s="18" t="s">
        <v>46</v>
      </c>
      <c r="D621" s="18" t="s">
        <v>28</v>
      </c>
      <c r="E621" s="18" t="s">
        <v>35</v>
      </c>
      <c r="F621" s="18" t="s">
        <v>50</v>
      </c>
      <c r="G621" s="18" t="s">
        <v>31</v>
      </c>
      <c r="H621" s="18">
        <v>27.2</v>
      </c>
      <c r="I621" s="20">
        <v>40</v>
      </c>
      <c r="J621" s="21">
        <v>1088</v>
      </c>
    </row>
    <row r="622" spans="1:10">
      <c r="A622" s="19">
        <v>35509</v>
      </c>
      <c r="B622" s="18" t="s">
        <v>39</v>
      </c>
      <c r="C622" s="18" t="s">
        <v>47</v>
      </c>
      <c r="D622" s="18" t="s">
        <v>28</v>
      </c>
      <c r="E622" s="18" t="s">
        <v>29</v>
      </c>
      <c r="F622" s="18" t="s">
        <v>50</v>
      </c>
      <c r="G622" s="18" t="s">
        <v>31</v>
      </c>
      <c r="H622" s="18">
        <v>16</v>
      </c>
      <c r="I622" s="20">
        <v>24</v>
      </c>
      <c r="J622" s="21">
        <v>384</v>
      </c>
    </row>
    <row r="623" spans="1:10">
      <c r="A623" s="19">
        <v>35510</v>
      </c>
      <c r="B623" s="18" t="s">
        <v>26</v>
      </c>
      <c r="C623" s="18" t="s">
        <v>27</v>
      </c>
      <c r="D623" s="18" t="s">
        <v>28</v>
      </c>
      <c r="E623" s="18" t="s">
        <v>33</v>
      </c>
      <c r="F623" s="18" t="s">
        <v>49</v>
      </c>
      <c r="G623" s="18" t="s">
        <v>38</v>
      </c>
      <c r="H623" s="18">
        <v>14.7</v>
      </c>
      <c r="I623" s="20">
        <v>10</v>
      </c>
      <c r="J623" s="21">
        <v>147</v>
      </c>
    </row>
    <row r="624" spans="1:10">
      <c r="A624" s="19">
        <v>35513</v>
      </c>
      <c r="B624" s="18" t="s">
        <v>26</v>
      </c>
      <c r="C624" s="18" t="s">
        <v>32</v>
      </c>
      <c r="D624" s="18" t="s">
        <v>28</v>
      </c>
      <c r="E624" s="18" t="s">
        <v>35</v>
      </c>
      <c r="F624" s="18" t="s">
        <v>45</v>
      </c>
      <c r="G624" s="18" t="s">
        <v>38</v>
      </c>
      <c r="H624" s="18">
        <v>8</v>
      </c>
      <c r="I624" s="20">
        <v>14</v>
      </c>
      <c r="J624" s="21">
        <v>112</v>
      </c>
    </row>
    <row r="625" spans="1:10">
      <c r="A625" s="19">
        <v>35513</v>
      </c>
      <c r="B625" s="18" t="s">
        <v>26</v>
      </c>
      <c r="C625" s="18" t="s">
        <v>34</v>
      </c>
      <c r="D625" s="18" t="s">
        <v>28</v>
      </c>
      <c r="E625" s="18" t="s">
        <v>29</v>
      </c>
      <c r="F625" s="18" t="s">
        <v>52</v>
      </c>
      <c r="G625" s="18" t="s">
        <v>31</v>
      </c>
      <c r="H625" s="18">
        <v>10.4</v>
      </c>
      <c r="I625" s="20">
        <v>30</v>
      </c>
      <c r="J625" s="21">
        <v>312</v>
      </c>
    </row>
    <row r="626" spans="1:10">
      <c r="A626" s="19">
        <v>35513</v>
      </c>
      <c r="B626" s="18" t="s">
        <v>26</v>
      </c>
      <c r="C626" s="18" t="s">
        <v>36</v>
      </c>
      <c r="D626" s="18" t="s">
        <v>28</v>
      </c>
      <c r="E626" s="18" t="s">
        <v>33</v>
      </c>
      <c r="F626" s="18" t="s">
        <v>52</v>
      </c>
      <c r="G626" s="18" t="s">
        <v>31</v>
      </c>
      <c r="H626" s="18">
        <v>11.2</v>
      </c>
      <c r="I626" s="20">
        <v>35</v>
      </c>
      <c r="J626" s="21">
        <v>392</v>
      </c>
    </row>
    <row r="627" spans="1:10">
      <c r="A627" s="19">
        <v>35513</v>
      </c>
      <c r="B627" s="18" t="s">
        <v>39</v>
      </c>
      <c r="C627" s="18" t="s">
        <v>40</v>
      </c>
      <c r="D627" s="18" t="s">
        <v>28</v>
      </c>
      <c r="E627" s="18" t="s">
        <v>35</v>
      </c>
      <c r="F627" s="18" t="s">
        <v>45</v>
      </c>
      <c r="G627" s="18" t="s">
        <v>38</v>
      </c>
      <c r="H627" s="18">
        <v>14.7</v>
      </c>
      <c r="I627" s="20">
        <v>10</v>
      </c>
      <c r="J627" s="21">
        <v>147</v>
      </c>
    </row>
    <row r="628" spans="1:10">
      <c r="A628" s="19">
        <v>35513</v>
      </c>
      <c r="B628" s="18" t="s">
        <v>39</v>
      </c>
      <c r="C628" s="18" t="s">
        <v>41</v>
      </c>
      <c r="D628" s="18" t="s">
        <v>28</v>
      </c>
      <c r="E628" s="18" t="s">
        <v>29</v>
      </c>
      <c r="F628" s="18" t="s">
        <v>45</v>
      </c>
      <c r="G628" s="18" t="s">
        <v>38</v>
      </c>
      <c r="H628" s="18">
        <v>42.4</v>
      </c>
      <c r="I628" s="20">
        <v>3</v>
      </c>
      <c r="J628" s="21">
        <v>127.19999999999999</v>
      </c>
    </row>
    <row r="629" spans="1:10">
      <c r="A629" s="19">
        <v>35514</v>
      </c>
      <c r="B629" s="18" t="s">
        <v>39</v>
      </c>
      <c r="C629" s="18" t="s">
        <v>44</v>
      </c>
      <c r="D629" s="18" t="s">
        <v>28</v>
      </c>
      <c r="E629" s="18" t="s">
        <v>29</v>
      </c>
      <c r="F629" s="18" t="s">
        <v>42</v>
      </c>
      <c r="G629" s="18" t="s">
        <v>43</v>
      </c>
      <c r="H629" s="18">
        <v>8</v>
      </c>
      <c r="I629" s="20">
        <v>20</v>
      </c>
      <c r="J629" s="21">
        <v>160</v>
      </c>
    </row>
    <row r="630" spans="1:10">
      <c r="A630" s="19">
        <v>35514</v>
      </c>
      <c r="B630" s="18" t="s">
        <v>39</v>
      </c>
      <c r="C630" s="18" t="s">
        <v>46</v>
      </c>
      <c r="D630" s="18" t="s">
        <v>28</v>
      </c>
      <c r="E630" s="18" t="s">
        <v>33</v>
      </c>
      <c r="F630" s="18" t="s">
        <v>42</v>
      </c>
      <c r="G630" s="18" t="s">
        <v>43</v>
      </c>
      <c r="H630" s="18">
        <v>15.2</v>
      </c>
      <c r="I630" s="20">
        <v>20</v>
      </c>
      <c r="J630" s="21">
        <v>304</v>
      </c>
    </row>
    <row r="631" spans="1:10">
      <c r="A631" s="19">
        <v>35514</v>
      </c>
      <c r="B631" s="18" t="s">
        <v>39</v>
      </c>
      <c r="C631" s="18" t="s">
        <v>47</v>
      </c>
      <c r="D631" s="18" t="s">
        <v>28</v>
      </c>
      <c r="E631" s="18" t="s">
        <v>35</v>
      </c>
      <c r="F631" s="18" t="s">
        <v>42</v>
      </c>
      <c r="G631" s="18" t="s">
        <v>43</v>
      </c>
      <c r="H631" s="18">
        <v>12</v>
      </c>
      <c r="I631" s="20">
        <v>60</v>
      </c>
      <c r="J631" s="21">
        <v>720</v>
      </c>
    </row>
    <row r="632" spans="1:10">
      <c r="A632" s="19">
        <v>35514</v>
      </c>
      <c r="B632" s="18" t="s">
        <v>26</v>
      </c>
      <c r="C632" s="18" t="s">
        <v>27</v>
      </c>
      <c r="D632" s="18" t="s">
        <v>28</v>
      </c>
      <c r="E632" s="18" t="s">
        <v>29</v>
      </c>
      <c r="F632" s="18" t="s">
        <v>42</v>
      </c>
      <c r="G632" s="18" t="s">
        <v>43</v>
      </c>
      <c r="H632" s="18">
        <v>19.2</v>
      </c>
      <c r="I632" s="20">
        <v>30</v>
      </c>
      <c r="J632" s="21">
        <v>576</v>
      </c>
    </row>
    <row r="633" spans="1:10">
      <c r="A633" s="19">
        <v>35515</v>
      </c>
      <c r="B633" s="18" t="s">
        <v>26</v>
      </c>
      <c r="C633" s="18" t="s">
        <v>32</v>
      </c>
      <c r="D633" s="18" t="s">
        <v>28</v>
      </c>
      <c r="E633" s="18" t="s">
        <v>33</v>
      </c>
      <c r="F633" s="18" t="s">
        <v>49</v>
      </c>
      <c r="G633" s="18" t="s">
        <v>38</v>
      </c>
      <c r="H633" s="18">
        <v>16.8</v>
      </c>
      <c r="I633" s="20">
        <v>5</v>
      </c>
      <c r="J633" s="21">
        <v>84</v>
      </c>
    </row>
    <row r="634" spans="1:10">
      <c r="A634" s="19">
        <v>35515</v>
      </c>
      <c r="B634" s="18" t="s">
        <v>26</v>
      </c>
      <c r="C634" s="18" t="s">
        <v>34</v>
      </c>
      <c r="D634" s="18" t="s">
        <v>28</v>
      </c>
      <c r="E634" s="18" t="s">
        <v>35</v>
      </c>
      <c r="F634" s="18" t="s">
        <v>49</v>
      </c>
      <c r="G634" s="18" t="s">
        <v>38</v>
      </c>
      <c r="H634" s="18">
        <v>8</v>
      </c>
      <c r="I634" s="20">
        <v>16</v>
      </c>
      <c r="J634" s="21">
        <v>128</v>
      </c>
    </row>
    <row r="635" spans="1:10">
      <c r="A635" s="19">
        <v>35515</v>
      </c>
      <c r="B635" s="18" t="s">
        <v>26</v>
      </c>
      <c r="C635" s="18" t="s">
        <v>36</v>
      </c>
      <c r="D635" s="18" t="s">
        <v>28</v>
      </c>
      <c r="E635" s="18" t="s">
        <v>29</v>
      </c>
      <c r="F635" s="18" t="s">
        <v>51</v>
      </c>
      <c r="G635" s="18" t="s">
        <v>43</v>
      </c>
      <c r="H635" s="18">
        <v>5.9</v>
      </c>
      <c r="I635" s="20">
        <v>24</v>
      </c>
      <c r="J635" s="21">
        <v>141.60000000000002</v>
      </c>
    </row>
    <row r="636" spans="1:10">
      <c r="A636" s="19">
        <v>35515</v>
      </c>
      <c r="B636" s="18" t="s">
        <v>39</v>
      </c>
      <c r="C636" s="18" t="s">
        <v>40</v>
      </c>
      <c r="D636" s="18" t="s">
        <v>28</v>
      </c>
      <c r="E636" s="18" t="s">
        <v>33</v>
      </c>
      <c r="F636" s="18" t="s">
        <v>51</v>
      </c>
      <c r="G636" s="18" t="s">
        <v>43</v>
      </c>
      <c r="H636" s="18">
        <v>24.9</v>
      </c>
      <c r="I636" s="20">
        <v>30</v>
      </c>
      <c r="J636" s="21">
        <v>747</v>
      </c>
    </row>
    <row r="637" spans="1:10">
      <c r="A637" s="19">
        <v>35515</v>
      </c>
      <c r="B637" s="18" t="s">
        <v>39</v>
      </c>
      <c r="C637" s="18" t="s">
        <v>41</v>
      </c>
      <c r="D637" s="18" t="s">
        <v>28</v>
      </c>
      <c r="E637" s="18" t="s">
        <v>35</v>
      </c>
      <c r="F637" s="18" t="s">
        <v>51</v>
      </c>
      <c r="G637" s="18" t="s">
        <v>43</v>
      </c>
      <c r="H637" s="18">
        <v>7.3</v>
      </c>
      <c r="I637" s="20">
        <v>5</v>
      </c>
      <c r="J637" s="21">
        <v>36.5</v>
      </c>
    </row>
    <row r="638" spans="1:10">
      <c r="A638" s="19">
        <v>35515</v>
      </c>
      <c r="B638" s="18" t="s">
        <v>39</v>
      </c>
      <c r="C638" s="18" t="s">
        <v>44</v>
      </c>
      <c r="D638" s="18" t="s">
        <v>28</v>
      </c>
      <c r="E638" s="18" t="s">
        <v>29</v>
      </c>
      <c r="F638" s="18" t="s">
        <v>49</v>
      </c>
      <c r="G638" s="18" t="s">
        <v>38</v>
      </c>
      <c r="H638" s="18">
        <v>42.4</v>
      </c>
      <c r="I638" s="20">
        <v>25</v>
      </c>
      <c r="J638" s="21">
        <v>1060</v>
      </c>
    </row>
    <row r="639" spans="1:10">
      <c r="A639" s="19">
        <v>35516</v>
      </c>
      <c r="B639" s="18" t="s">
        <v>39</v>
      </c>
      <c r="C639" s="18" t="s">
        <v>46</v>
      </c>
      <c r="D639" s="18" t="s">
        <v>28</v>
      </c>
      <c r="E639" s="18" t="s">
        <v>33</v>
      </c>
      <c r="F639" s="18" t="s">
        <v>50</v>
      </c>
      <c r="G639" s="18" t="s">
        <v>31</v>
      </c>
      <c r="H639" s="18">
        <v>44</v>
      </c>
      <c r="I639" s="20">
        <v>30</v>
      </c>
      <c r="J639" s="21">
        <v>1320</v>
      </c>
    </row>
    <row r="640" spans="1:10">
      <c r="A640" s="19">
        <v>35516</v>
      </c>
      <c r="B640" s="18" t="s">
        <v>39</v>
      </c>
      <c r="C640" s="18" t="s">
        <v>47</v>
      </c>
      <c r="D640" s="18" t="s">
        <v>28</v>
      </c>
      <c r="E640" s="18" t="s">
        <v>35</v>
      </c>
      <c r="F640" s="18" t="s">
        <v>50</v>
      </c>
      <c r="G640" s="18" t="s">
        <v>31</v>
      </c>
      <c r="H640" s="18">
        <v>12</v>
      </c>
      <c r="I640" s="20">
        <v>20</v>
      </c>
      <c r="J640" s="21">
        <v>240</v>
      </c>
    </row>
    <row r="641" spans="1:10">
      <c r="A641" s="19">
        <v>35517</v>
      </c>
      <c r="B641" s="18" t="s">
        <v>26</v>
      </c>
      <c r="C641" s="18" t="s">
        <v>27</v>
      </c>
      <c r="D641" s="18" t="s">
        <v>28</v>
      </c>
      <c r="E641" s="18" t="s">
        <v>29</v>
      </c>
      <c r="F641" s="18" t="s">
        <v>37</v>
      </c>
      <c r="G641" s="18" t="s">
        <v>38</v>
      </c>
      <c r="H641" s="18">
        <v>13.9</v>
      </c>
      <c r="I641" s="20">
        <v>18</v>
      </c>
      <c r="J641" s="21">
        <v>250.20000000000002</v>
      </c>
    </row>
    <row r="642" spans="1:10">
      <c r="A642" s="19">
        <v>35517</v>
      </c>
      <c r="B642" s="18" t="s">
        <v>26</v>
      </c>
      <c r="C642" s="18" t="s">
        <v>32</v>
      </c>
      <c r="D642" s="18" t="s">
        <v>28</v>
      </c>
      <c r="E642" s="18" t="s">
        <v>33</v>
      </c>
      <c r="F642" s="18" t="s">
        <v>37</v>
      </c>
      <c r="G642" s="18" t="s">
        <v>38</v>
      </c>
      <c r="H642" s="18">
        <v>16.8</v>
      </c>
      <c r="I642" s="20">
        <v>15</v>
      </c>
      <c r="J642" s="21">
        <v>252</v>
      </c>
    </row>
    <row r="643" spans="1:10">
      <c r="A643" s="19">
        <v>35520</v>
      </c>
      <c r="B643" s="18" t="s">
        <v>26</v>
      </c>
      <c r="C643" s="18" t="s">
        <v>34</v>
      </c>
      <c r="D643" s="18" t="s">
        <v>28</v>
      </c>
      <c r="E643" s="18" t="s">
        <v>35</v>
      </c>
      <c r="F643" s="18" t="s">
        <v>52</v>
      </c>
      <c r="G643" s="18" t="s">
        <v>31</v>
      </c>
      <c r="H643" s="18">
        <v>44</v>
      </c>
      <c r="I643" s="20">
        <v>60</v>
      </c>
      <c r="J643" s="21">
        <v>2640</v>
      </c>
    </row>
    <row r="644" spans="1:10">
      <c r="A644" s="19">
        <v>35520</v>
      </c>
      <c r="B644" s="18" t="s">
        <v>26</v>
      </c>
      <c r="C644" s="18" t="s">
        <v>36</v>
      </c>
      <c r="D644" s="18" t="s">
        <v>28</v>
      </c>
      <c r="E644" s="18" t="s">
        <v>29</v>
      </c>
      <c r="F644" s="18" t="s">
        <v>50</v>
      </c>
      <c r="G644" s="18" t="s">
        <v>31</v>
      </c>
      <c r="H644" s="18">
        <v>15.5</v>
      </c>
      <c r="I644" s="20">
        <v>15</v>
      </c>
      <c r="J644" s="21">
        <v>232.5</v>
      </c>
    </row>
    <row r="645" spans="1:10">
      <c r="A645" s="19">
        <v>35520</v>
      </c>
      <c r="B645" s="18" t="s">
        <v>39</v>
      </c>
      <c r="C645" s="18" t="s">
        <v>40</v>
      </c>
      <c r="D645" s="18" t="s">
        <v>28</v>
      </c>
      <c r="E645" s="18" t="s">
        <v>33</v>
      </c>
      <c r="F645" s="18" t="s">
        <v>50</v>
      </c>
      <c r="G645" s="18" t="s">
        <v>31</v>
      </c>
      <c r="H645" s="18">
        <v>10.4</v>
      </c>
      <c r="I645" s="20">
        <v>7</v>
      </c>
      <c r="J645" s="21">
        <v>72.8</v>
      </c>
    </row>
    <row r="646" spans="1:10">
      <c r="A646" s="19">
        <v>35520</v>
      </c>
      <c r="B646" s="18" t="s">
        <v>39</v>
      </c>
      <c r="C646" s="18" t="s">
        <v>41</v>
      </c>
      <c r="D646" s="18" t="s">
        <v>28</v>
      </c>
      <c r="E646" s="18" t="s">
        <v>35</v>
      </c>
      <c r="F646" s="18" t="s">
        <v>52</v>
      </c>
      <c r="G646" s="18" t="s">
        <v>31</v>
      </c>
      <c r="H646" s="18">
        <v>10</v>
      </c>
      <c r="I646" s="20">
        <v>30</v>
      </c>
      <c r="J646" s="21">
        <v>300</v>
      </c>
    </row>
    <row r="647" spans="1:10">
      <c r="A647" s="19">
        <v>35520</v>
      </c>
      <c r="B647" s="18" t="s">
        <v>39</v>
      </c>
      <c r="C647" s="18" t="s">
        <v>44</v>
      </c>
      <c r="D647" s="18" t="s">
        <v>28</v>
      </c>
      <c r="E647" s="18" t="s">
        <v>29</v>
      </c>
      <c r="F647" s="18" t="s">
        <v>52</v>
      </c>
      <c r="G647" s="18" t="s">
        <v>31</v>
      </c>
      <c r="H647" s="18">
        <v>6.2</v>
      </c>
      <c r="I647" s="20">
        <v>36</v>
      </c>
      <c r="J647" s="21">
        <v>223.20000000000002</v>
      </c>
    </row>
    <row r="648" spans="1:10">
      <c r="A648" s="19">
        <v>35521</v>
      </c>
      <c r="B648" s="18" t="s">
        <v>39</v>
      </c>
      <c r="C648" s="18" t="s">
        <v>46</v>
      </c>
      <c r="D648" s="18" t="s">
        <v>28</v>
      </c>
      <c r="E648" s="18" t="s">
        <v>29</v>
      </c>
      <c r="F648" s="18" t="s">
        <v>45</v>
      </c>
      <c r="G648" s="18" t="s">
        <v>38</v>
      </c>
      <c r="H648" s="18">
        <v>11.2</v>
      </c>
      <c r="I648" s="20">
        <v>20</v>
      </c>
      <c r="J648" s="21">
        <v>224</v>
      </c>
    </row>
    <row r="649" spans="1:10">
      <c r="A649" s="19">
        <v>35521</v>
      </c>
      <c r="B649" s="18" t="s">
        <v>39</v>
      </c>
      <c r="C649" s="18" t="s">
        <v>47</v>
      </c>
      <c r="D649" s="18" t="s">
        <v>28</v>
      </c>
      <c r="E649" s="18" t="s">
        <v>33</v>
      </c>
      <c r="F649" s="18" t="s">
        <v>45</v>
      </c>
      <c r="G649" s="18" t="s">
        <v>38</v>
      </c>
      <c r="H649" s="18">
        <v>11.2</v>
      </c>
      <c r="I649" s="20">
        <v>60</v>
      </c>
      <c r="J649" s="21">
        <v>672</v>
      </c>
    </row>
    <row r="650" spans="1:10">
      <c r="A650" s="19">
        <v>35522</v>
      </c>
      <c r="B650" s="18" t="s">
        <v>26</v>
      </c>
      <c r="C650" s="18" t="s">
        <v>27</v>
      </c>
      <c r="D650" s="18" t="s">
        <v>28</v>
      </c>
      <c r="E650" s="18" t="s">
        <v>35</v>
      </c>
      <c r="F650" s="18" t="s">
        <v>42</v>
      </c>
      <c r="G650" s="18" t="s">
        <v>43</v>
      </c>
      <c r="H650" s="18">
        <v>30.4</v>
      </c>
      <c r="I650" s="20">
        <v>30</v>
      </c>
      <c r="J650" s="21">
        <v>912</v>
      </c>
    </row>
    <row r="651" spans="1:10">
      <c r="A651" s="19">
        <v>35522</v>
      </c>
      <c r="B651" s="18" t="s">
        <v>26</v>
      </c>
      <c r="C651" s="18" t="s">
        <v>32</v>
      </c>
      <c r="D651" s="18" t="s">
        <v>28</v>
      </c>
      <c r="E651" s="18" t="s">
        <v>29</v>
      </c>
      <c r="F651" s="18" t="s">
        <v>42</v>
      </c>
      <c r="G651" s="18" t="s">
        <v>43</v>
      </c>
      <c r="H651" s="18">
        <v>16.8</v>
      </c>
      <c r="I651" s="20">
        <v>15</v>
      </c>
      <c r="J651" s="21">
        <v>252</v>
      </c>
    </row>
    <row r="652" spans="1:10">
      <c r="A652" s="19">
        <v>35522</v>
      </c>
      <c r="B652" s="18" t="s">
        <v>26</v>
      </c>
      <c r="C652" s="18" t="s">
        <v>34</v>
      </c>
      <c r="D652" s="18" t="s">
        <v>28</v>
      </c>
      <c r="E652" s="18" t="s">
        <v>33</v>
      </c>
      <c r="F652" s="18" t="s">
        <v>42</v>
      </c>
      <c r="G652" s="18" t="s">
        <v>43</v>
      </c>
      <c r="H652" s="18">
        <v>28.8</v>
      </c>
      <c r="I652" s="20">
        <v>10</v>
      </c>
      <c r="J652" s="21">
        <v>288</v>
      </c>
    </row>
    <row r="653" spans="1:10">
      <c r="A653" s="19">
        <v>35522</v>
      </c>
      <c r="B653" s="18" t="s">
        <v>26</v>
      </c>
      <c r="C653" s="18" t="s">
        <v>36</v>
      </c>
      <c r="D653" s="18" t="s">
        <v>28</v>
      </c>
      <c r="E653" s="18" t="s">
        <v>35</v>
      </c>
      <c r="F653" s="18" t="s">
        <v>42</v>
      </c>
      <c r="G653" s="18" t="s">
        <v>43</v>
      </c>
      <c r="H653" s="18">
        <v>13.6</v>
      </c>
      <c r="I653" s="20">
        <v>10</v>
      </c>
      <c r="J653" s="21">
        <v>136</v>
      </c>
    </row>
    <row r="654" spans="1:10">
      <c r="A654" s="19">
        <v>35523</v>
      </c>
      <c r="B654" s="18" t="s">
        <v>39</v>
      </c>
      <c r="C654" s="18" t="s">
        <v>40</v>
      </c>
      <c r="D654" s="18" t="s">
        <v>28</v>
      </c>
      <c r="E654" s="18" t="s">
        <v>29</v>
      </c>
      <c r="F654" s="18" t="s">
        <v>45</v>
      </c>
      <c r="G654" s="18" t="s">
        <v>38</v>
      </c>
      <c r="H654" s="18">
        <v>10.4</v>
      </c>
      <c r="I654" s="20">
        <v>5</v>
      </c>
      <c r="J654" s="21">
        <v>52</v>
      </c>
    </row>
    <row r="655" spans="1:10">
      <c r="A655" s="19">
        <v>35523</v>
      </c>
      <c r="B655" s="18" t="s">
        <v>39</v>
      </c>
      <c r="C655" s="18" t="s">
        <v>41</v>
      </c>
      <c r="D655" s="18" t="s">
        <v>28</v>
      </c>
      <c r="E655" s="18" t="s">
        <v>33</v>
      </c>
      <c r="F655" s="18" t="s">
        <v>45</v>
      </c>
      <c r="G655" s="18" t="s">
        <v>38</v>
      </c>
      <c r="H655" s="18">
        <v>7.7</v>
      </c>
      <c r="I655" s="20">
        <v>20</v>
      </c>
      <c r="J655" s="21">
        <v>154</v>
      </c>
    </row>
    <row r="656" spans="1:10">
      <c r="A656" s="19">
        <v>35523</v>
      </c>
      <c r="B656" s="18" t="s">
        <v>39</v>
      </c>
      <c r="C656" s="18" t="s">
        <v>44</v>
      </c>
      <c r="D656" s="18" t="s">
        <v>28</v>
      </c>
      <c r="E656" s="18" t="s">
        <v>35</v>
      </c>
      <c r="F656" s="18" t="s">
        <v>45</v>
      </c>
      <c r="G656" s="18" t="s">
        <v>38</v>
      </c>
      <c r="H656" s="18">
        <v>7.2</v>
      </c>
      <c r="I656" s="20">
        <v>10</v>
      </c>
      <c r="J656" s="21">
        <v>72</v>
      </c>
    </row>
    <row r="657" spans="1:10">
      <c r="A657" s="19">
        <v>35524</v>
      </c>
      <c r="B657" s="18" t="s">
        <v>39</v>
      </c>
      <c r="C657" s="18" t="s">
        <v>46</v>
      </c>
      <c r="D657" s="18" t="s">
        <v>28</v>
      </c>
      <c r="E657" s="18" t="s">
        <v>29</v>
      </c>
      <c r="F657" s="18" t="s">
        <v>52</v>
      </c>
      <c r="G657" s="18" t="s">
        <v>31</v>
      </c>
      <c r="H657" s="18">
        <v>30.4</v>
      </c>
      <c r="I657" s="20">
        <v>14</v>
      </c>
      <c r="J657" s="21">
        <v>425.59999999999997</v>
      </c>
    </row>
    <row r="658" spans="1:10">
      <c r="A658" s="19">
        <v>35524</v>
      </c>
      <c r="B658" s="18" t="s">
        <v>39</v>
      </c>
      <c r="C658" s="18" t="s">
        <v>47</v>
      </c>
      <c r="D658" s="18" t="s">
        <v>28</v>
      </c>
      <c r="E658" s="18" t="s">
        <v>33</v>
      </c>
      <c r="F658" s="18" t="s">
        <v>52</v>
      </c>
      <c r="G658" s="18" t="s">
        <v>31</v>
      </c>
      <c r="H658" s="18">
        <v>10.4</v>
      </c>
      <c r="I658" s="20">
        <v>25</v>
      </c>
      <c r="J658" s="21">
        <v>260</v>
      </c>
    </row>
    <row r="659" spans="1:10">
      <c r="A659" s="19">
        <v>35524</v>
      </c>
      <c r="B659" s="18" t="s">
        <v>26</v>
      </c>
      <c r="C659" s="18" t="s">
        <v>27</v>
      </c>
      <c r="D659" s="18" t="s">
        <v>28</v>
      </c>
      <c r="E659" s="18" t="s">
        <v>35</v>
      </c>
      <c r="F659" s="18" t="s">
        <v>52</v>
      </c>
      <c r="G659" s="18" t="s">
        <v>31</v>
      </c>
      <c r="H659" s="18">
        <v>27.8</v>
      </c>
      <c r="I659" s="20">
        <v>25</v>
      </c>
      <c r="J659" s="21">
        <v>695</v>
      </c>
    </row>
    <row r="660" spans="1:10">
      <c r="A660" s="19">
        <v>35524</v>
      </c>
      <c r="B660" s="18" t="s">
        <v>26</v>
      </c>
      <c r="C660" s="18" t="s">
        <v>32</v>
      </c>
      <c r="D660" s="18" t="s">
        <v>28</v>
      </c>
      <c r="E660" s="18" t="s">
        <v>29</v>
      </c>
      <c r="F660" s="18" t="s">
        <v>52</v>
      </c>
      <c r="G660" s="18" t="s">
        <v>31</v>
      </c>
      <c r="H660" s="18">
        <v>10</v>
      </c>
      <c r="I660" s="20">
        <v>20</v>
      </c>
      <c r="J660" s="21">
        <v>200</v>
      </c>
    </row>
    <row r="661" spans="1:10">
      <c r="A661" s="19">
        <v>35527</v>
      </c>
      <c r="B661" s="18" t="s">
        <v>26</v>
      </c>
      <c r="C661" s="18" t="s">
        <v>34</v>
      </c>
      <c r="D661" s="18" t="s">
        <v>28</v>
      </c>
      <c r="E661" s="18" t="s">
        <v>33</v>
      </c>
      <c r="F661" s="18" t="s">
        <v>50</v>
      </c>
      <c r="G661" s="18" t="s">
        <v>31</v>
      </c>
      <c r="H661" s="18">
        <v>14</v>
      </c>
      <c r="I661" s="20">
        <v>30</v>
      </c>
      <c r="J661" s="21">
        <v>420</v>
      </c>
    </row>
    <row r="662" spans="1:10">
      <c r="A662" s="19">
        <v>35527</v>
      </c>
      <c r="B662" s="18" t="s">
        <v>26</v>
      </c>
      <c r="C662" s="18" t="s">
        <v>36</v>
      </c>
      <c r="D662" s="18" t="s">
        <v>28</v>
      </c>
      <c r="E662" s="18" t="s">
        <v>35</v>
      </c>
      <c r="F662" s="18" t="s">
        <v>50</v>
      </c>
      <c r="G662" s="18" t="s">
        <v>31</v>
      </c>
      <c r="H662" s="18">
        <v>4.5</v>
      </c>
      <c r="I662" s="20">
        <v>14</v>
      </c>
      <c r="J662" s="21">
        <v>63</v>
      </c>
    </row>
    <row r="663" spans="1:10">
      <c r="A663" s="19">
        <v>35527</v>
      </c>
      <c r="B663" s="18" t="s">
        <v>39</v>
      </c>
      <c r="C663" s="18" t="s">
        <v>40</v>
      </c>
      <c r="D663" s="18" t="s">
        <v>28</v>
      </c>
      <c r="E663" s="18" t="s">
        <v>29</v>
      </c>
      <c r="F663" s="18" t="s">
        <v>50</v>
      </c>
      <c r="G663" s="18" t="s">
        <v>31</v>
      </c>
      <c r="H663" s="18">
        <v>18.399999999999999</v>
      </c>
      <c r="I663" s="20">
        <v>5</v>
      </c>
      <c r="J663" s="21">
        <v>92</v>
      </c>
    </row>
    <row r="664" spans="1:10">
      <c r="A664" s="19">
        <v>35528</v>
      </c>
      <c r="B664" s="18" t="s">
        <v>39</v>
      </c>
      <c r="C664" s="18" t="s">
        <v>41</v>
      </c>
      <c r="D664" s="18" t="s">
        <v>28</v>
      </c>
      <c r="E664" s="18" t="s">
        <v>33</v>
      </c>
      <c r="F664" s="18" t="s">
        <v>42</v>
      </c>
      <c r="G664" s="18" t="s">
        <v>43</v>
      </c>
      <c r="H664" s="18">
        <v>45.6</v>
      </c>
      <c r="I664" s="20">
        <v>20</v>
      </c>
      <c r="J664" s="21">
        <v>912</v>
      </c>
    </row>
    <row r="665" spans="1:10">
      <c r="A665" s="19">
        <v>35528</v>
      </c>
      <c r="B665" s="18" t="s">
        <v>39</v>
      </c>
      <c r="C665" s="18" t="s">
        <v>44</v>
      </c>
      <c r="D665" s="18" t="s">
        <v>28</v>
      </c>
      <c r="E665" s="18" t="s">
        <v>35</v>
      </c>
      <c r="F665" s="18" t="s">
        <v>42</v>
      </c>
      <c r="G665" s="18" t="s">
        <v>43</v>
      </c>
      <c r="H665" s="18">
        <v>20</v>
      </c>
      <c r="I665" s="20">
        <v>25</v>
      </c>
      <c r="J665" s="21">
        <v>500</v>
      </c>
    </row>
    <row r="666" spans="1:10">
      <c r="A666" s="19">
        <v>35529</v>
      </c>
      <c r="B666" s="18" t="s">
        <v>39</v>
      </c>
      <c r="C666" s="18" t="s">
        <v>46</v>
      </c>
      <c r="D666" s="18" t="s">
        <v>28</v>
      </c>
      <c r="E666" s="18" t="s">
        <v>29</v>
      </c>
      <c r="F666" s="18" t="s">
        <v>48</v>
      </c>
      <c r="G666" s="18" t="s">
        <v>31</v>
      </c>
      <c r="H666" s="18">
        <v>7.45</v>
      </c>
      <c r="I666" s="20">
        <v>20</v>
      </c>
      <c r="J666" s="21">
        <v>149</v>
      </c>
    </row>
    <row r="667" spans="1:10">
      <c r="A667" s="19">
        <v>35529</v>
      </c>
      <c r="B667" s="18" t="s">
        <v>39</v>
      </c>
      <c r="C667" s="18" t="s">
        <v>47</v>
      </c>
      <c r="D667" s="18" t="s">
        <v>28</v>
      </c>
      <c r="E667" s="18" t="s">
        <v>29</v>
      </c>
      <c r="F667" s="18" t="s">
        <v>37</v>
      </c>
      <c r="G667" s="18" t="s">
        <v>38</v>
      </c>
      <c r="H667" s="18">
        <v>45.6</v>
      </c>
      <c r="I667" s="20">
        <v>8</v>
      </c>
      <c r="J667" s="21">
        <v>364.8</v>
      </c>
    </row>
    <row r="668" spans="1:10">
      <c r="A668" s="19">
        <v>35529</v>
      </c>
      <c r="B668" s="18" t="s">
        <v>26</v>
      </c>
      <c r="C668" s="18" t="s">
        <v>27</v>
      </c>
      <c r="D668" s="18" t="s">
        <v>28</v>
      </c>
      <c r="E668" s="18" t="s">
        <v>33</v>
      </c>
      <c r="F668" s="18" t="s">
        <v>37</v>
      </c>
      <c r="G668" s="18" t="s">
        <v>38</v>
      </c>
      <c r="H668" s="18">
        <v>15.5</v>
      </c>
      <c r="I668" s="20">
        <v>12</v>
      </c>
      <c r="J668" s="21">
        <v>186</v>
      </c>
    </row>
    <row r="669" spans="1:10">
      <c r="A669" s="19">
        <v>35530</v>
      </c>
      <c r="B669" s="18" t="s">
        <v>26</v>
      </c>
      <c r="C669" s="18" t="s">
        <v>32</v>
      </c>
      <c r="D669" s="18" t="s">
        <v>28</v>
      </c>
      <c r="E669" s="18" t="s">
        <v>35</v>
      </c>
      <c r="F669" s="18" t="s">
        <v>51</v>
      </c>
      <c r="G669" s="18" t="s">
        <v>43</v>
      </c>
      <c r="H669" s="18">
        <v>14</v>
      </c>
      <c r="I669" s="20">
        <v>30</v>
      </c>
      <c r="J669" s="21">
        <v>420</v>
      </c>
    </row>
    <row r="670" spans="1:10">
      <c r="A670" s="19">
        <v>35530</v>
      </c>
      <c r="B670" s="18" t="s">
        <v>26</v>
      </c>
      <c r="C670" s="18" t="s">
        <v>34</v>
      </c>
      <c r="D670" s="18" t="s">
        <v>28</v>
      </c>
      <c r="E670" s="18" t="s">
        <v>29</v>
      </c>
      <c r="F670" s="18" t="s">
        <v>51</v>
      </c>
      <c r="G670" s="18" t="s">
        <v>43</v>
      </c>
      <c r="H670" s="18">
        <v>9.5</v>
      </c>
      <c r="I670" s="20">
        <v>21</v>
      </c>
      <c r="J670" s="21">
        <v>199.5</v>
      </c>
    </row>
    <row r="671" spans="1:10">
      <c r="A671" s="19">
        <v>35530</v>
      </c>
      <c r="B671" s="18" t="s">
        <v>26</v>
      </c>
      <c r="C671" s="18" t="s">
        <v>36</v>
      </c>
      <c r="D671" s="18" t="s">
        <v>28</v>
      </c>
      <c r="E671" s="18" t="s">
        <v>33</v>
      </c>
      <c r="F671" s="18" t="s">
        <v>51</v>
      </c>
      <c r="G671" s="18" t="s">
        <v>43</v>
      </c>
      <c r="H671" s="18">
        <v>32.799999999999997</v>
      </c>
      <c r="I671" s="20">
        <v>6</v>
      </c>
      <c r="J671" s="21">
        <v>196.79999999999998</v>
      </c>
    </row>
    <row r="672" spans="1:10">
      <c r="A672" s="19">
        <v>35531</v>
      </c>
      <c r="B672" s="18" t="s">
        <v>39</v>
      </c>
      <c r="C672" s="18" t="s">
        <v>40</v>
      </c>
      <c r="D672" s="18" t="s">
        <v>28</v>
      </c>
      <c r="E672" s="18" t="s">
        <v>35</v>
      </c>
      <c r="F672" s="18" t="s">
        <v>37</v>
      </c>
      <c r="G672" s="18" t="s">
        <v>38</v>
      </c>
      <c r="H672" s="18">
        <v>21.05</v>
      </c>
      <c r="I672" s="20">
        <v>20</v>
      </c>
      <c r="J672" s="21">
        <v>421</v>
      </c>
    </row>
    <row r="673" spans="1:10">
      <c r="A673" s="19">
        <v>35531</v>
      </c>
      <c r="B673" s="18" t="s">
        <v>39</v>
      </c>
      <c r="C673" s="18" t="s">
        <v>41</v>
      </c>
      <c r="D673" s="18" t="s">
        <v>28</v>
      </c>
      <c r="E673" s="18" t="s">
        <v>29</v>
      </c>
      <c r="F673" s="18" t="s">
        <v>42</v>
      </c>
      <c r="G673" s="18" t="s">
        <v>43</v>
      </c>
      <c r="H673" s="18">
        <v>28.5</v>
      </c>
      <c r="I673" s="20">
        <v>25</v>
      </c>
      <c r="J673" s="21">
        <v>712.5</v>
      </c>
    </row>
    <row r="674" spans="1:10">
      <c r="A674" s="19">
        <v>35531</v>
      </c>
      <c r="B674" s="18" t="s">
        <v>39</v>
      </c>
      <c r="C674" s="18" t="s">
        <v>44</v>
      </c>
      <c r="D674" s="18" t="s">
        <v>28</v>
      </c>
      <c r="E674" s="18" t="s">
        <v>33</v>
      </c>
      <c r="F674" s="18" t="s">
        <v>42</v>
      </c>
      <c r="G674" s="18" t="s">
        <v>43</v>
      </c>
      <c r="H674" s="18">
        <v>10</v>
      </c>
      <c r="I674" s="20">
        <v>12</v>
      </c>
      <c r="J674" s="21">
        <v>120</v>
      </c>
    </row>
    <row r="675" spans="1:10">
      <c r="A675" s="19">
        <v>35531</v>
      </c>
      <c r="B675" s="18" t="s">
        <v>39</v>
      </c>
      <c r="C675" s="18" t="s">
        <v>46</v>
      </c>
      <c r="D675" s="18" t="s">
        <v>28</v>
      </c>
      <c r="E675" s="18" t="s">
        <v>35</v>
      </c>
      <c r="F675" s="18" t="s">
        <v>42</v>
      </c>
      <c r="G675" s="18" t="s">
        <v>43</v>
      </c>
      <c r="H675" s="18">
        <v>19</v>
      </c>
      <c r="I675" s="20">
        <v>12</v>
      </c>
      <c r="J675" s="21">
        <v>228</v>
      </c>
    </row>
    <row r="676" spans="1:10">
      <c r="A676" s="19">
        <v>35531</v>
      </c>
      <c r="B676" s="18" t="s">
        <v>39</v>
      </c>
      <c r="C676" s="18" t="s">
        <v>47</v>
      </c>
      <c r="D676" s="18" t="s">
        <v>28</v>
      </c>
      <c r="E676" s="18" t="s">
        <v>29</v>
      </c>
      <c r="F676" s="18" t="s">
        <v>37</v>
      </c>
      <c r="G676" s="18" t="s">
        <v>38</v>
      </c>
      <c r="H676" s="18">
        <v>23.25</v>
      </c>
      <c r="I676" s="20">
        <v>70</v>
      </c>
      <c r="J676" s="21">
        <v>1627.5</v>
      </c>
    </row>
    <row r="677" spans="1:10">
      <c r="A677" s="19">
        <v>35531</v>
      </c>
      <c r="B677" s="18" t="s">
        <v>26</v>
      </c>
      <c r="C677" s="18" t="s">
        <v>27</v>
      </c>
      <c r="D677" s="18" t="s">
        <v>28</v>
      </c>
      <c r="E677" s="18" t="s">
        <v>33</v>
      </c>
      <c r="F677" s="18" t="s">
        <v>42</v>
      </c>
      <c r="G677" s="18" t="s">
        <v>43</v>
      </c>
      <c r="H677" s="18">
        <v>32.799999999999997</v>
      </c>
      <c r="I677" s="20">
        <v>10</v>
      </c>
      <c r="J677" s="21">
        <v>328</v>
      </c>
    </row>
    <row r="678" spans="1:10">
      <c r="A678" s="19">
        <v>35534</v>
      </c>
      <c r="B678" s="18" t="s">
        <v>26</v>
      </c>
      <c r="C678" s="18" t="s">
        <v>32</v>
      </c>
      <c r="D678" s="18" t="s">
        <v>28</v>
      </c>
      <c r="E678" s="18" t="s">
        <v>35</v>
      </c>
      <c r="F678" s="18" t="s">
        <v>45</v>
      </c>
      <c r="G678" s="18" t="s">
        <v>38</v>
      </c>
      <c r="H678" s="18">
        <v>49.3</v>
      </c>
      <c r="I678" s="20">
        <v>3</v>
      </c>
      <c r="J678" s="21">
        <v>147.89999999999998</v>
      </c>
    </row>
    <row r="679" spans="1:10">
      <c r="A679" s="19">
        <v>35535</v>
      </c>
      <c r="B679" s="18" t="s">
        <v>26</v>
      </c>
      <c r="C679" s="18" t="s">
        <v>34</v>
      </c>
      <c r="D679" s="18" t="s">
        <v>28</v>
      </c>
      <c r="E679" s="18" t="s">
        <v>29</v>
      </c>
      <c r="F679" s="18" t="s">
        <v>52</v>
      </c>
      <c r="G679" s="18" t="s">
        <v>31</v>
      </c>
      <c r="H679" s="18">
        <v>46</v>
      </c>
      <c r="I679" s="20">
        <v>15</v>
      </c>
      <c r="J679" s="21">
        <v>690</v>
      </c>
    </row>
    <row r="680" spans="1:10">
      <c r="A680" s="19">
        <v>35535</v>
      </c>
      <c r="B680" s="18" t="s">
        <v>26</v>
      </c>
      <c r="C680" s="18" t="s">
        <v>36</v>
      </c>
      <c r="D680" s="18" t="s">
        <v>28</v>
      </c>
      <c r="E680" s="18" t="s">
        <v>33</v>
      </c>
      <c r="F680" s="18" t="s">
        <v>48</v>
      </c>
      <c r="G680" s="18" t="s">
        <v>31</v>
      </c>
      <c r="H680" s="18">
        <v>14</v>
      </c>
      <c r="I680" s="20">
        <v>18</v>
      </c>
      <c r="J680" s="21">
        <v>252</v>
      </c>
    </row>
    <row r="681" spans="1:10">
      <c r="A681" s="19">
        <v>35535</v>
      </c>
      <c r="B681" s="18" t="s">
        <v>39</v>
      </c>
      <c r="C681" s="18" t="s">
        <v>40</v>
      </c>
      <c r="D681" s="18" t="s">
        <v>28</v>
      </c>
      <c r="E681" s="18" t="s">
        <v>35</v>
      </c>
      <c r="F681" s="18" t="s">
        <v>48</v>
      </c>
      <c r="G681" s="18" t="s">
        <v>31</v>
      </c>
      <c r="H681" s="18">
        <v>15</v>
      </c>
      <c r="I681" s="20">
        <v>14</v>
      </c>
      <c r="J681" s="21">
        <v>210</v>
      </c>
    </row>
    <row r="682" spans="1:10">
      <c r="A682" s="19">
        <v>35535</v>
      </c>
      <c r="B682" s="18" t="s">
        <v>39</v>
      </c>
      <c r="C682" s="18" t="s">
        <v>41</v>
      </c>
      <c r="D682" s="18" t="s">
        <v>28</v>
      </c>
      <c r="E682" s="18" t="s">
        <v>29</v>
      </c>
      <c r="F682" s="18" t="s">
        <v>52</v>
      </c>
      <c r="G682" s="18" t="s">
        <v>31</v>
      </c>
      <c r="H682" s="18">
        <v>12.75</v>
      </c>
      <c r="I682" s="20">
        <v>15</v>
      </c>
      <c r="J682" s="21">
        <v>191.25</v>
      </c>
    </row>
    <row r="683" spans="1:10">
      <c r="A683" s="19">
        <v>35536</v>
      </c>
      <c r="B683" s="18" t="s">
        <v>39</v>
      </c>
      <c r="C683" s="18" t="s">
        <v>44</v>
      </c>
      <c r="D683" s="18" t="s">
        <v>28</v>
      </c>
      <c r="E683" s="18" t="s">
        <v>33</v>
      </c>
      <c r="F683" s="18" t="s">
        <v>49</v>
      </c>
      <c r="G683" s="18" t="s">
        <v>38</v>
      </c>
      <c r="H683" s="18">
        <v>6</v>
      </c>
      <c r="I683" s="20">
        <v>10</v>
      </c>
      <c r="J683" s="21">
        <v>60</v>
      </c>
    </row>
    <row r="684" spans="1:10">
      <c r="A684" s="19">
        <v>35536</v>
      </c>
      <c r="B684" s="18" t="s">
        <v>39</v>
      </c>
      <c r="C684" s="18" t="s">
        <v>46</v>
      </c>
      <c r="D684" s="18" t="s">
        <v>28</v>
      </c>
      <c r="E684" s="18" t="s">
        <v>35</v>
      </c>
      <c r="F684" s="18" t="s">
        <v>49</v>
      </c>
      <c r="G684" s="18" t="s">
        <v>38</v>
      </c>
      <c r="H684" s="18">
        <v>18</v>
      </c>
      <c r="I684" s="20">
        <v>10</v>
      </c>
      <c r="J684" s="21">
        <v>180</v>
      </c>
    </row>
    <row r="685" spans="1:10">
      <c r="A685" s="19">
        <v>35537</v>
      </c>
      <c r="B685" s="18" t="s">
        <v>39</v>
      </c>
      <c r="C685" s="18" t="s">
        <v>47</v>
      </c>
      <c r="D685" s="18" t="s">
        <v>28</v>
      </c>
      <c r="E685" s="18" t="s">
        <v>29</v>
      </c>
      <c r="F685" s="18" t="s">
        <v>42</v>
      </c>
      <c r="G685" s="18" t="s">
        <v>43</v>
      </c>
      <c r="H685" s="18">
        <v>45.6</v>
      </c>
      <c r="I685" s="20">
        <v>3</v>
      </c>
      <c r="J685" s="21">
        <v>136.80000000000001</v>
      </c>
    </row>
    <row r="686" spans="1:10">
      <c r="A686" s="19">
        <v>35538</v>
      </c>
      <c r="B686" s="18" t="s">
        <v>26</v>
      </c>
      <c r="C686" s="18" t="s">
        <v>27</v>
      </c>
      <c r="D686" s="18" t="s">
        <v>28</v>
      </c>
      <c r="E686" s="18" t="s">
        <v>29</v>
      </c>
      <c r="F686" s="18" t="s">
        <v>42</v>
      </c>
      <c r="G686" s="18" t="s">
        <v>43</v>
      </c>
      <c r="H686" s="18">
        <v>30</v>
      </c>
      <c r="I686" s="20">
        <v>50</v>
      </c>
      <c r="J686" s="21">
        <v>1500</v>
      </c>
    </row>
    <row r="687" spans="1:10">
      <c r="A687" s="19">
        <v>35538</v>
      </c>
      <c r="B687" s="18" t="s">
        <v>26</v>
      </c>
      <c r="C687" s="18" t="s">
        <v>32</v>
      </c>
      <c r="D687" s="18" t="s">
        <v>28</v>
      </c>
      <c r="E687" s="18" t="s">
        <v>33</v>
      </c>
      <c r="F687" s="18" t="s">
        <v>42</v>
      </c>
      <c r="G687" s="18" t="s">
        <v>43</v>
      </c>
      <c r="H687" s="18">
        <v>40</v>
      </c>
      <c r="I687" s="20">
        <v>10</v>
      </c>
      <c r="J687" s="21">
        <v>400</v>
      </c>
    </row>
    <row r="688" spans="1:10">
      <c r="A688" s="19">
        <v>35538</v>
      </c>
      <c r="B688" s="18" t="s">
        <v>26</v>
      </c>
      <c r="C688" s="18" t="s">
        <v>34</v>
      </c>
      <c r="D688" s="18" t="s">
        <v>28</v>
      </c>
      <c r="E688" s="18" t="s">
        <v>35</v>
      </c>
      <c r="F688" s="18" t="s">
        <v>37</v>
      </c>
      <c r="G688" s="18" t="s">
        <v>38</v>
      </c>
      <c r="H688" s="18">
        <v>7.75</v>
      </c>
      <c r="I688" s="20">
        <v>36</v>
      </c>
      <c r="J688" s="21">
        <v>279</v>
      </c>
    </row>
    <row r="689" spans="1:10">
      <c r="A689" s="19">
        <v>35538</v>
      </c>
      <c r="B689" s="18" t="s">
        <v>26</v>
      </c>
      <c r="C689" s="18" t="s">
        <v>36</v>
      </c>
      <c r="D689" s="18" t="s">
        <v>28</v>
      </c>
      <c r="E689" s="18" t="s">
        <v>29</v>
      </c>
      <c r="F689" s="18" t="s">
        <v>37</v>
      </c>
      <c r="G689" s="18" t="s">
        <v>38</v>
      </c>
      <c r="H689" s="18">
        <v>123.79</v>
      </c>
      <c r="I689" s="20">
        <v>36</v>
      </c>
      <c r="J689" s="21">
        <v>4456.4400000000005</v>
      </c>
    </row>
    <row r="690" spans="1:10">
      <c r="A690" s="19">
        <v>35538</v>
      </c>
      <c r="B690" s="18" t="s">
        <v>39</v>
      </c>
      <c r="C690" s="18" t="s">
        <v>40</v>
      </c>
      <c r="D690" s="18" t="s">
        <v>28</v>
      </c>
      <c r="E690" s="18" t="s">
        <v>33</v>
      </c>
      <c r="F690" s="18" t="s">
        <v>42</v>
      </c>
      <c r="G690" s="18" t="s">
        <v>43</v>
      </c>
      <c r="H690" s="18">
        <v>22</v>
      </c>
      <c r="I690" s="20">
        <v>50</v>
      </c>
      <c r="J690" s="21">
        <v>1100</v>
      </c>
    </row>
    <row r="691" spans="1:10">
      <c r="A691" s="19">
        <v>35541</v>
      </c>
      <c r="B691" s="18" t="s">
        <v>39</v>
      </c>
      <c r="C691" s="18" t="s">
        <v>41</v>
      </c>
      <c r="D691" s="18" t="s">
        <v>28</v>
      </c>
      <c r="E691" s="18" t="s">
        <v>35</v>
      </c>
      <c r="F691" s="18" t="s">
        <v>52</v>
      </c>
      <c r="G691" s="18" t="s">
        <v>31</v>
      </c>
      <c r="H691" s="18">
        <v>9.5</v>
      </c>
      <c r="I691" s="20">
        <v>6</v>
      </c>
      <c r="J691" s="21">
        <v>57</v>
      </c>
    </row>
    <row r="692" spans="1:10">
      <c r="A692" s="19">
        <v>35541</v>
      </c>
      <c r="B692" s="18" t="s">
        <v>39</v>
      </c>
      <c r="C692" s="18" t="s">
        <v>44</v>
      </c>
      <c r="D692" s="18" t="s">
        <v>28</v>
      </c>
      <c r="E692" s="18" t="s">
        <v>29</v>
      </c>
      <c r="F692" s="18" t="s">
        <v>52</v>
      </c>
      <c r="G692" s="18" t="s">
        <v>31</v>
      </c>
      <c r="H692" s="18">
        <v>34</v>
      </c>
      <c r="I692" s="20">
        <v>12</v>
      </c>
      <c r="J692" s="21">
        <v>408</v>
      </c>
    </row>
    <row r="693" spans="1:10">
      <c r="A693" s="19">
        <v>35541</v>
      </c>
      <c r="B693" s="18" t="s">
        <v>39</v>
      </c>
      <c r="C693" s="18" t="s">
        <v>46</v>
      </c>
      <c r="D693" s="18" t="s">
        <v>28</v>
      </c>
      <c r="E693" s="18" t="s">
        <v>33</v>
      </c>
      <c r="F693" s="18" t="s">
        <v>52</v>
      </c>
      <c r="G693" s="18" t="s">
        <v>31</v>
      </c>
      <c r="H693" s="18">
        <v>12</v>
      </c>
      <c r="I693" s="20">
        <v>9</v>
      </c>
      <c r="J693" s="21">
        <v>108</v>
      </c>
    </row>
    <row r="694" spans="1:10">
      <c r="A694" s="19">
        <v>35541</v>
      </c>
      <c r="B694" s="18" t="s">
        <v>39</v>
      </c>
      <c r="C694" s="18" t="s">
        <v>47</v>
      </c>
      <c r="D694" s="18" t="s">
        <v>28</v>
      </c>
      <c r="E694" s="18" t="s">
        <v>35</v>
      </c>
      <c r="F694" s="18" t="s">
        <v>52</v>
      </c>
      <c r="G694" s="18" t="s">
        <v>31</v>
      </c>
      <c r="H694" s="18">
        <v>4.5</v>
      </c>
      <c r="I694" s="20">
        <v>10</v>
      </c>
      <c r="J694" s="21">
        <v>45</v>
      </c>
    </row>
    <row r="695" spans="1:10">
      <c r="A695" s="19">
        <v>35542</v>
      </c>
      <c r="B695" s="18" t="s">
        <v>26</v>
      </c>
      <c r="C695" s="18" t="s">
        <v>27</v>
      </c>
      <c r="D695" s="18" t="s">
        <v>28</v>
      </c>
      <c r="E695" s="18" t="s">
        <v>29</v>
      </c>
      <c r="F695" s="18" t="s">
        <v>45</v>
      </c>
      <c r="G695" s="18" t="s">
        <v>38</v>
      </c>
      <c r="H695" s="18">
        <v>38</v>
      </c>
      <c r="I695" s="20">
        <v>70</v>
      </c>
      <c r="J695" s="21">
        <v>2660</v>
      </c>
    </row>
    <row r="696" spans="1:10">
      <c r="A696" s="19">
        <v>35542</v>
      </c>
      <c r="B696" s="18" t="s">
        <v>26</v>
      </c>
      <c r="C696" s="18" t="s">
        <v>32</v>
      </c>
      <c r="D696" s="18" t="s">
        <v>28</v>
      </c>
      <c r="E696" s="18" t="s">
        <v>33</v>
      </c>
      <c r="F696" s="18" t="s">
        <v>52</v>
      </c>
      <c r="G696" s="18" t="s">
        <v>31</v>
      </c>
      <c r="H696" s="18">
        <v>32</v>
      </c>
      <c r="I696" s="20">
        <v>50</v>
      </c>
      <c r="J696" s="21">
        <v>1600</v>
      </c>
    </row>
    <row r="697" spans="1:10">
      <c r="A697" s="19">
        <v>35542</v>
      </c>
      <c r="B697" s="18" t="s">
        <v>26</v>
      </c>
      <c r="C697" s="18" t="s">
        <v>34</v>
      </c>
      <c r="D697" s="18" t="s">
        <v>28</v>
      </c>
      <c r="E697" s="18" t="s">
        <v>35</v>
      </c>
      <c r="F697" s="18" t="s">
        <v>45</v>
      </c>
      <c r="G697" s="18" t="s">
        <v>38</v>
      </c>
      <c r="H697" s="18">
        <v>81</v>
      </c>
      <c r="I697" s="20">
        <v>39</v>
      </c>
      <c r="J697" s="21">
        <v>3159</v>
      </c>
    </row>
    <row r="698" spans="1:10">
      <c r="A698" s="19">
        <v>35542</v>
      </c>
      <c r="B698" s="18" t="s">
        <v>26</v>
      </c>
      <c r="C698" s="18" t="s">
        <v>36</v>
      </c>
      <c r="D698" s="18" t="s">
        <v>28</v>
      </c>
      <c r="E698" s="18" t="s">
        <v>29</v>
      </c>
      <c r="F698" s="18" t="s">
        <v>45</v>
      </c>
      <c r="G698" s="18" t="s">
        <v>38</v>
      </c>
      <c r="H698" s="18">
        <v>21.05</v>
      </c>
      <c r="I698" s="20">
        <v>39</v>
      </c>
      <c r="J698" s="21">
        <v>820.95</v>
      </c>
    </row>
    <row r="699" spans="1:10">
      <c r="A699" s="19">
        <v>35542</v>
      </c>
      <c r="B699" s="18" t="s">
        <v>39</v>
      </c>
      <c r="C699" s="18" t="s">
        <v>40</v>
      </c>
      <c r="D699" s="18" t="s">
        <v>28</v>
      </c>
      <c r="E699" s="18" t="s">
        <v>33</v>
      </c>
      <c r="F699" s="18" t="s">
        <v>52</v>
      </c>
      <c r="G699" s="18" t="s">
        <v>31</v>
      </c>
      <c r="H699" s="18">
        <v>28.5</v>
      </c>
      <c r="I699" s="20">
        <v>15</v>
      </c>
      <c r="J699" s="21">
        <v>427.5</v>
      </c>
    </row>
    <row r="700" spans="1:10">
      <c r="A700" s="19">
        <v>35542</v>
      </c>
      <c r="B700" s="18" t="s">
        <v>39</v>
      </c>
      <c r="C700" s="18" t="s">
        <v>41</v>
      </c>
      <c r="D700" s="18" t="s">
        <v>28</v>
      </c>
      <c r="E700" s="18" t="s">
        <v>35</v>
      </c>
      <c r="F700" s="18" t="s">
        <v>52</v>
      </c>
      <c r="G700" s="18" t="s">
        <v>31</v>
      </c>
      <c r="H700" s="18">
        <v>10</v>
      </c>
      <c r="I700" s="20">
        <v>40</v>
      </c>
      <c r="J700" s="21">
        <v>400</v>
      </c>
    </row>
    <row r="701" spans="1:10">
      <c r="A701" s="19">
        <v>35542</v>
      </c>
      <c r="B701" s="18" t="s">
        <v>39</v>
      </c>
      <c r="C701" s="18" t="s">
        <v>44</v>
      </c>
      <c r="D701" s="18" t="s">
        <v>28</v>
      </c>
      <c r="E701" s="18" t="s">
        <v>29</v>
      </c>
      <c r="F701" s="18" t="s">
        <v>45</v>
      </c>
      <c r="G701" s="18" t="s">
        <v>38</v>
      </c>
      <c r="H701" s="18">
        <v>45.6</v>
      </c>
      <c r="I701" s="20">
        <v>35</v>
      </c>
      <c r="J701" s="21">
        <v>1596</v>
      </c>
    </row>
    <row r="702" spans="1:10">
      <c r="A702" s="19">
        <v>35542</v>
      </c>
      <c r="B702" s="18" t="s">
        <v>39</v>
      </c>
      <c r="C702" s="18" t="s">
        <v>46</v>
      </c>
      <c r="D702" s="18" t="s">
        <v>28</v>
      </c>
      <c r="E702" s="18" t="s">
        <v>33</v>
      </c>
      <c r="F702" s="18" t="s">
        <v>45</v>
      </c>
      <c r="G702" s="18" t="s">
        <v>38</v>
      </c>
      <c r="H702" s="18">
        <v>7.75</v>
      </c>
      <c r="I702" s="20">
        <v>50</v>
      </c>
      <c r="J702" s="21">
        <v>387.5</v>
      </c>
    </row>
    <row r="703" spans="1:10">
      <c r="A703" s="19">
        <v>35543</v>
      </c>
      <c r="B703" s="18" t="s">
        <v>39</v>
      </c>
      <c r="C703" s="18" t="s">
        <v>47</v>
      </c>
      <c r="D703" s="18" t="s">
        <v>28</v>
      </c>
      <c r="E703" s="18" t="s">
        <v>35</v>
      </c>
      <c r="F703" s="18" t="s">
        <v>51</v>
      </c>
      <c r="G703" s="18" t="s">
        <v>43</v>
      </c>
      <c r="H703" s="18">
        <v>17.45</v>
      </c>
      <c r="I703" s="20">
        <v>50</v>
      </c>
      <c r="J703" s="21">
        <v>872.5</v>
      </c>
    </row>
    <row r="704" spans="1:10">
      <c r="A704" s="19">
        <v>35543</v>
      </c>
      <c r="B704" s="18" t="s">
        <v>26</v>
      </c>
      <c r="C704" s="18" t="s">
        <v>27</v>
      </c>
      <c r="D704" s="18" t="s">
        <v>28</v>
      </c>
      <c r="E704" s="18" t="s">
        <v>29</v>
      </c>
      <c r="F704" s="18" t="s">
        <v>51</v>
      </c>
      <c r="G704" s="18" t="s">
        <v>43</v>
      </c>
      <c r="H704" s="18">
        <v>34</v>
      </c>
      <c r="I704" s="20">
        <v>84</v>
      </c>
      <c r="J704" s="21">
        <v>2856</v>
      </c>
    </row>
    <row r="705" spans="1:10">
      <c r="A705" s="19">
        <v>35543</v>
      </c>
      <c r="B705" s="18" t="s">
        <v>26</v>
      </c>
      <c r="C705" s="18" t="s">
        <v>32</v>
      </c>
      <c r="D705" s="18" t="s">
        <v>28</v>
      </c>
      <c r="E705" s="18" t="s">
        <v>29</v>
      </c>
      <c r="F705" s="18" t="s">
        <v>51</v>
      </c>
      <c r="G705" s="18" t="s">
        <v>43</v>
      </c>
      <c r="H705" s="18">
        <v>97</v>
      </c>
      <c r="I705" s="20">
        <v>16</v>
      </c>
      <c r="J705" s="21">
        <v>1552</v>
      </c>
    </row>
    <row r="706" spans="1:10">
      <c r="A706" s="19">
        <v>35543</v>
      </c>
      <c r="B706" s="18" t="s">
        <v>26</v>
      </c>
      <c r="C706" s="18" t="s">
        <v>34</v>
      </c>
      <c r="D706" s="18" t="s">
        <v>28</v>
      </c>
      <c r="E706" s="18" t="s">
        <v>33</v>
      </c>
      <c r="F706" s="18" t="s">
        <v>51</v>
      </c>
      <c r="G706" s="18" t="s">
        <v>43</v>
      </c>
      <c r="H706" s="18">
        <v>2.5</v>
      </c>
      <c r="I706" s="20">
        <v>16</v>
      </c>
      <c r="J706" s="21">
        <v>40</v>
      </c>
    </row>
    <row r="707" spans="1:10">
      <c r="A707" s="19">
        <v>35543</v>
      </c>
      <c r="B707" s="18" t="s">
        <v>26</v>
      </c>
      <c r="C707" s="18" t="s">
        <v>36</v>
      </c>
      <c r="D707" s="18" t="s">
        <v>28</v>
      </c>
      <c r="E707" s="18" t="s">
        <v>35</v>
      </c>
      <c r="F707" s="18" t="s">
        <v>51</v>
      </c>
      <c r="G707" s="18" t="s">
        <v>43</v>
      </c>
      <c r="H707" s="18">
        <v>43.9</v>
      </c>
      <c r="I707" s="20">
        <v>120</v>
      </c>
      <c r="J707" s="21">
        <v>5268</v>
      </c>
    </row>
    <row r="708" spans="1:10">
      <c r="A708" s="19">
        <v>35544</v>
      </c>
      <c r="B708" s="18" t="s">
        <v>39</v>
      </c>
      <c r="C708" s="18" t="s">
        <v>40</v>
      </c>
      <c r="D708" s="18" t="s">
        <v>28</v>
      </c>
      <c r="E708" s="18" t="s">
        <v>29</v>
      </c>
      <c r="F708" s="18" t="s">
        <v>51</v>
      </c>
      <c r="G708" s="18" t="s">
        <v>43</v>
      </c>
      <c r="H708" s="18">
        <v>14</v>
      </c>
      <c r="I708" s="20">
        <v>20</v>
      </c>
      <c r="J708" s="21">
        <v>280</v>
      </c>
    </row>
    <row r="709" spans="1:10">
      <c r="A709" s="19">
        <v>35544</v>
      </c>
      <c r="B709" s="18" t="s">
        <v>39</v>
      </c>
      <c r="C709" s="18" t="s">
        <v>41</v>
      </c>
      <c r="D709" s="18" t="s">
        <v>28</v>
      </c>
      <c r="E709" s="18" t="s">
        <v>33</v>
      </c>
      <c r="F709" s="18" t="s">
        <v>45</v>
      </c>
      <c r="G709" s="18" t="s">
        <v>38</v>
      </c>
      <c r="H709" s="18">
        <v>55</v>
      </c>
      <c r="I709" s="20">
        <v>4</v>
      </c>
      <c r="J709" s="21">
        <v>220</v>
      </c>
    </row>
    <row r="710" spans="1:10">
      <c r="A710" s="19">
        <v>35544</v>
      </c>
      <c r="B710" s="18" t="s">
        <v>39</v>
      </c>
      <c r="C710" s="18" t="s">
        <v>44</v>
      </c>
      <c r="D710" s="18" t="s">
        <v>28</v>
      </c>
      <c r="E710" s="18" t="s">
        <v>35</v>
      </c>
      <c r="F710" s="18" t="s">
        <v>51</v>
      </c>
      <c r="G710" s="18" t="s">
        <v>43</v>
      </c>
      <c r="H710" s="18">
        <v>62.5</v>
      </c>
      <c r="I710" s="20">
        <v>25</v>
      </c>
      <c r="J710" s="21">
        <v>1562.5</v>
      </c>
    </row>
    <row r="711" spans="1:10">
      <c r="A711" s="19">
        <v>35544</v>
      </c>
      <c r="B711" s="18" t="s">
        <v>39</v>
      </c>
      <c r="C711" s="18" t="s">
        <v>46</v>
      </c>
      <c r="D711" s="18" t="s">
        <v>28</v>
      </c>
      <c r="E711" s="18" t="s">
        <v>29</v>
      </c>
      <c r="F711" s="18" t="s">
        <v>45</v>
      </c>
      <c r="G711" s="18" t="s">
        <v>38</v>
      </c>
      <c r="H711" s="18">
        <v>7</v>
      </c>
      <c r="I711" s="20">
        <v>6</v>
      </c>
      <c r="J711" s="21">
        <v>42</v>
      </c>
    </row>
    <row r="712" spans="1:10">
      <c r="A712" s="19">
        <v>35544</v>
      </c>
      <c r="B712" s="18" t="s">
        <v>39</v>
      </c>
      <c r="C712" s="18" t="s">
        <v>47</v>
      </c>
      <c r="D712" s="18" t="s">
        <v>28</v>
      </c>
      <c r="E712" s="18" t="s">
        <v>33</v>
      </c>
      <c r="F712" s="18" t="s">
        <v>45</v>
      </c>
      <c r="G712" s="18" t="s">
        <v>38</v>
      </c>
      <c r="H712" s="18">
        <v>15</v>
      </c>
      <c r="I712" s="20">
        <v>6</v>
      </c>
      <c r="J712" s="21">
        <v>90</v>
      </c>
    </row>
    <row r="713" spans="1:10">
      <c r="A713" s="19">
        <v>35544</v>
      </c>
      <c r="B713" s="18" t="s">
        <v>26</v>
      </c>
      <c r="C713" s="18" t="s">
        <v>27</v>
      </c>
      <c r="D713" s="18" t="s">
        <v>28</v>
      </c>
      <c r="E713" s="18" t="s">
        <v>35</v>
      </c>
      <c r="F713" s="18" t="s">
        <v>51</v>
      </c>
      <c r="G713" s="18" t="s">
        <v>43</v>
      </c>
      <c r="H713" s="18">
        <v>9.65</v>
      </c>
      <c r="I713" s="20">
        <v>80</v>
      </c>
      <c r="J713" s="21">
        <v>772</v>
      </c>
    </row>
    <row r="714" spans="1:10">
      <c r="A714" s="19">
        <v>35545</v>
      </c>
      <c r="B714" s="18" t="s">
        <v>26</v>
      </c>
      <c r="C714" s="18" t="s">
        <v>32</v>
      </c>
      <c r="D714" s="18" t="s">
        <v>28</v>
      </c>
      <c r="E714" s="18" t="s">
        <v>29</v>
      </c>
      <c r="F714" s="18" t="s">
        <v>42</v>
      </c>
      <c r="G714" s="18" t="s">
        <v>43</v>
      </c>
      <c r="H714" s="18">
        <v>19.45</v>
      </c>
      <c r="I714" s="20">
        <v>9</v>
      </c>
      <c r="J714" s="21">
        <v>175.04999999999998</v>
      </c>
    </row>
    <row r="715" spans="1:10">
      <c r="A715" s="19">
        <v>35545</v>
      </c>
      <c r="B715" s="18" t="s">
        <v>26</v>
      </c>
      <c r="C715" s="18" t="s">
        <v>34</v>
      </c>
      <c r="D715" s="18" t="s">
        <v>28</v>
      </c>
      <c r="E715" s="18" t="s">
        <v>33</v>
      </c>
      <c r="F715" s="18" t="s">
        <v>42</v>
      </c>
      <c r="G715" s="18" t="s">
        <v>43</v>
      </c>
      <c r="H715" s="18">
        <v>263.5</v>
      </c>
      <c r="I715" s="20">
        <v>15</v>
      </c>
      <c r="J715" s="21">
        <v>3952.5</v>
      </c>
    </row>
    <row r="716" spans="1:10">
      <c r="A716" s="19">
        <v>35545</v>
      </c>
      <c r="B716" s="18" t="s">
        <v>26</v>
      </c>
      <c r="C716" s="18" t="s">
        <v>36</v>
      </c>
      <c r="D716" s="18" t="s">
        <v>28</v>
      </c>
      <c r="E716" s="18" t="s">
        <v>35</v>
      </c>
      <c r="F716" s="18" t="s">
        <v>42</v>
      </c>
      <c r="G716" s="18" t="s">
        <v>43</v>
      </c>
      <c r="H716" s="18">
        <v>4.5</v>
      </c>
      <c r="I716" s="20">
        <v>5</v>
      </c>
      <c r="J716" s="21">
        <v>22.5</v>
      </c>
    </row>
    <row r="717" spans="1:10">
      <c r="A717" s="19">
        <v>35548</v>
      </c>
      <c r="B717" s="18" t="s">
        <v>39</v>
      </c>
      <c r="C717" s="18" t="s">
        <v>40</v>
      </c>
      <c r="D717" s="18" t="s">
        <v>28</v>
      </c>
      <c r="E717" s="18" t="s">
        <v>29</v>
      </c>
      <c r="F717" s="18" t="s">
        <v>37</v>
      </c>
      <c r="G717" s="18" t="s">
        <v>38</v>
      </c>
      <c r="H717" s="18">
        <v>38</v>
      </c>
      <c r="I717" s="20">
        <v>40</v>
      </c>
      <c r="J717" s="21">
        <v>1520</v>
      </c>
    </row>
    <row r="718" spans="1:10">
      <c r="A718" s="19">
        <v>35548</v>
      </c>
      <c r="B718" s="18" t="s">
        <v>39</v>
      </c>
      <c r="C718" s="18" t="s">
        <v>41</v>
      </c>
      <c r="D718" s="18" t="s">
        <v>28</v>
      </c>
      <c r="E718" s="18" t="s">
        <v>33</v>
      </c>
      <c r="F718" s="18" t="s">
        <v>37</v>
      </c>
      <c r="G718" s="18" t="s">
        <v>38</v>
      </c>
      <c r="H718" s="18">
        <v>34</v>
      </c>
      <c r="I718" s="20">
        <v>10</v>
      </c>
      <c r="J718" s="21">
        <v>340</v>
      </c>
    </row>
    <row r="719" spans="1:10">
      <c r="A719" s="19">
        <v>35548</v>
      </c>
      <c r="B719" s="18" t="s">
        <v>39</v>
      </c>
      <c r="C719" s="18" t="s">
        <v>44</v>
      </c>
      <c r="D719" s="18" t="s">
        <v>28</v>
      </c>
      <c r="E719" s="18" t="s">
        <v>35</v>
      </c>
      <c r="F719" s="18" t="s">
        <v>37</v>
      </c>
      <c r="G719" s="18" t="s">
        <v>38</v>
      </c>
      <c r="H719" s="18">
        <v>31</v>
      </c>
      <c r="I719" s="20">
        <v>16</v>
      </c>
      <c r="J719" s="21">
        <v>496</v>
      </c>
    </row>
    <row r="720" spans="1:10">
      <c r="A720" s="19">
        <v>35549</v>
      </c>
      <c r="B720" s="18" t="s">
        <v>39</v>
      </c>
      <c r="C720" s="18" t="s">
        <v>46</v>
      </c>
      <c r="D720" s="18" t="s">
        <v>28</v>
      </c>
      <c r="E720" s="18" t="s">
        <v>29</v>
      </c>
      <c r="F720" s="18" t="s">
        <v>50</v>
      </c>
      <c r="G720" s="18" t="s">
        <v>31</v>
      </c>
      <c r="H720" s="18">
        <v>12.5</v>
      </c>
      <c r="I720" s="20">
        <v>6</v>
      </c>
      <c r="J720" s="21">
        <v>75</v>
      </c>
    </row>
    <row r="721" spans="1:10">
      <c r="A721" s="19">
        <v>35549</v>
      </c>
      <c r="B721" s="18" t="s">
        <v>39</v>
      </c>
      <c r="C721" s="18" t="s">
        <v>47</v>
      </c>
      <c r="D721" s="18" t="s">
        <v>28</v>
      </c>
      <c r="E721" s="18" t="s">
        <v>33</v>
      </c>
      <c r="F721" s="18" t="s">
        <v>50</v>
      </c>
      <c r="G721" s="18" t="s">
        <v>31</v>
      </c>
      <c r="H721" s="18">
        <v>18</v>
      </c>
      <c r="I721" s="20">
        <v>3</v>
      </c>
      <c r="J721" s="21">
        <v>54</v>
      </c>
    </row>
    <row r="722" spans="1:10">
      <c r="A722" s="19">
        <v>35549</v>
      </c>
      <c r="B722" s="18" t="s">
        <v>26</v>
      </c>
      <c r="C722" s="18" t="s">
        <v>27</v>
      </c>
      <c r="D722" s="18" t="s">
        <v>28</v>
      </c>
      <c r="E722" s="18" t="s">
        <v>35</v>
      </c>
      <c r="F722" s="18" t="s">
        <v>52</v>
      </c>
      <c r="G722" s="18" t="s">
        <v>31</v>
      </c>
      <c r="H722" s="18">
        <v>4.5</v>
      </c>
      <c r="I722" s="20">
        <v>8</v>
      </c>
      <c r="J722" s="21">
        <v>36</v>
      </c>
    </row>
    <row r="723" spans="1:10">
      <c r="A723" s="19">
        <v>35549</v>
      </c>
      <c r="B723" s="18" t="s">
        <v>26</v>
      </c>
      <c r="C723" s="18" t="s">
        <v>32</v>
      </c>
      <c r="D723" s="18" t="s">
        <v>28</v>
      </c>
      <c r="E723" s="18" t="s">
        <v>29</v>
      </c>
      <c r="F723" s="18" t="s">
        <v>50</v>
      </c>
      <c r="G723" s="18" t="s">
        <v>31</v>
      </c>
      <c r="H723" s="18">
        <v>9.65</v>
      </c>
      <c r="I723" s="20">
        <v>10</v>
      </c>
      <c r="J723" s="21">
        <v>96.5</v>
      </c>
    </row>
    <row r="724" spans="1:10">
      <c r="A724" s="19">
        <v>35549</v>
      </c>
      <c r="B724" s="18" t="s">
        <v>26</v>
      </c>
      <c r="C724" s="18" t="s">
        <v>34</v>
      </c>
      <c r="D724" s="18" t="s">
        <v>28</v>
      </c>
      <c r="E724" s="18" t="s">
        <v>29</v>
      </c>
      <c r="F724" s="18" t="s">
        <v>52</v>
      </c>
      <c r="G724" s="18" t="s">
        <v>31</v>
      </c>
      <c r="H724" s="18">
        <v>32.799999999999997</v>
      </c>
      <c r="I724" s="20">
        <v>5</v>
      </c>
      <c r="J724" s="21">
        <v>164</v>
      </c>
    </row>
    <row r="725" spans="1:10">
      <c r="A725" s="19">
        <v>35550</v>
      </c>
      <c r="B725" s="18" t="s">
        <v>26</v>
      </c>
      <c r="C725" s="18" t="s">
        <v>36</v>
      </c>
      <c r="D725" s="18" t="s">
        <v>28</v>
      </c>
      <c r="E725" s="18" t="s">
        <v>33</v>
      </c>
      <c r="F725" s="18" t="s">
        <v>42</v>
      </c>
      <c r="G725" s="18" t="s">
        <v>43</v>
      </c>
      <c r="H725" s="18">
        <v>40</v>
      </c>
      <c r="I725" s="20">
        <v>24</v>
      </c>
      <c r="J725" s="21">
        <v>960</v>
      </c>
    </row>
    <row r="726" spans="1:10">
      <c r="A726" s="19">
        <v>35550</v>
      </c>
      <c r="B726" s="18" t="s">
        <v>39</v>
      </c>
      <c r="C726" s="18" t="s">
        <v>40</v>
      </c>
      <c r="D726" s="18" t="s">
        <v>28</v>
      </c>
      <c r="E726" s="18" t="s">
        <v>35</v>
      </c>
      <c r="F726" s="18" t="s">
        <v>42</v>
      </c>
      <c r="G726" s="18" t="s">
        <v>43</v>
      </c>
      <c r="H726" s="18">
        <v>25.89</v>
      </c>
      <c r="I726" s="20">
        <v>20</v>
      </c>
      <c r="J726" s="21">
        <v>517.79999999999995</v>
      </c>
    </row>
    <row r="727" spans="1:10">
      <c r="A727" s="19">
        <v>35550</v>
      </c>
      <c r="B727" s="18" t="s">
        <v>39</v>
      </c>
      <c r="C727" s="18" t="s">
        <v>41</v>
      </c>
      <c r="D727" s="18" t="s">
        <v>28</v>
      </c>
      <c r="E727" s="18" t="s">
        <v>29</v>
      </c>
      <c r="F727" s="18" t="s">
        <v>42</v>
      </c>
      <c r="G727" s="18" t="s">
        <v>43</v>
      </c>
      <c r="H727" s="18">
        <v>18</v>
      </c>
      <c r="I727" s="20">
        <v>40</v>
      </c>
      <c r="J727" s="21">
        <v>720</v>
      </c>
    </row>
    <row r="728" spans="1:10">
      <c r="A728" s="19">
        <v>35550</v>
      </c>
      <c r="B728" s="18" t="s">
        <v>39</v>
      </c>
      <c r="C728" s="18" t="s">
        <v>44</v>
      </c>
      <c r="D728" s="18" t="s">
        <v>28</v>
      </c>
      <c r="E728" s="18" t="s">
        <v>33</v>
      </c>
      <c r="F728" s="18" t="s">
        <v>42</v>
      </c>
      <c r="G728" s="18" t="s">
        <v>43</v>
      </c>
      <c r="H728" s="18">
        <v>18.399999999999999</v>
      </c>
      <c r="I728" s="20">
        <v>25</v>
      </c>
      <c r="J728" s="21">
        <v>459.99999999999994</v>
      </c>
    </row>
    <row r="729" spans="1:10">
      <c r="A729" s="19">
        <v>35551</v>
      </c>
      <c r="B729" s="18" t="s">
        <v>39</v>
      </c>
      <c r="C729" s="18" t="s">
        <v>46</v>
      </c>
      <c r="D729" s="18" t="s">
        <v>28</v>
      </c>
      <c r="E729" s="18" t="s">
        <v>35</v>
      </c>
      <c r="F729" s="18" t="s">
        <v>52</v>
      </c>
      <c r="G729" s="18" t="s">
        <v>31</v>
      </c>
      <c r="H729" s="18">
        <v>26</v>
      </c>
      <c r="I729" s="20">
        <v>18</v>
      </c>
      <c r="J729" s="21">
        <v>468</v>
      </c>
    </row>
    <row r="730" spans="1:10">
      <c r="A730" s="19">
        <v>35551</v>
      </c>
      <c r="B730" s="18" t="s">
        <v>39</v>
      </c>
      <c r="C730" s="18" t="s">
        <v>47</v>
      </c>
      <c r="D730" s="18" t="s">
        <v>28</v>
      </c>
      <c r="E730" s="18" t="s">
        <v>29</v>
      </c>
      <c r="F730" s="18" t="s">
        <v>52</v>
      </c>
      <c r="G730" s="18" t="s">
        <v>31</v>
      </c>
      <c r="H730" s="18">
        <v>81</v>
      </c>
      <c r="I730" s="20">
        <v>15</v>
      </c>
      <c r="J730" s="21">
        <v>1215</v>
      </c>
    </row>
    <row r="731" spans="1:10">
      <c r="A731" s="19">
        <v>35551</v>
      </c>
      <c r="B731" s="18" t="s">
        <v>26</v>
      </c>
      <c r="C731" s="18" t="s">
        <v>27</v>
      </c>
      <c r="D731" s="18" t="s">
        <v>28</v>
      </c>
      <c r="E731" s="18" t="s">
        <v>33</v>
      </c>
      <c r="F731" s="18" t="s">
        <v>49</v>
      </c>
      <c r="G731" s="18" t="s">
        <v>38</v>
      </c>
      <c r="H731" s="18">
        <v>25.89</v>
      </c>
      <c r="I731" s="20">
        <v>10</v>
      </c>
      <c r="J731" s="21">
        <v>258.89999999999998</v>
      </c>
    </row>
    <row r="732" spans="1:10">
      <c r="A732" s="19">
        <v>35551</v>
      </c>
      <c r="B732" s="18" t="s">
        <v>26</v>
      </c>
      <c r="C732" s="18" t="s">
        <v>32</v>
      </c>
      <c r="D732" s="18" t="s">
        <v>28</v>
      </c>
      <c r="E732" s="18" t="s">
        <v>35</v>
      </c>
      <c r="F732" s="18" t="s">
        <v>49</v>
      </c>
      <c r="G732" s="18" t="s">
        <v>38</v>
      </c>
      <c r="H732" s="18">
        <v>7.45</v>
      </c>
      <c r="I732" s="20">
        <v>15</v>
      </c>
      <c r="J732" s="21">
        <v>111.75</v>
      </c>
    </row>
    <row r="733" spans="1:10">
      <c r="A733" s="19">
        <v>35551</v>
      </c>
      <c r="B733" s="18" t="s">
        <v>26</v>
      </c>
      <c r="C733" s="18" t="s">
        <v>34</v>
      </c>
      <c r="D733" s="18" t="s">
        <v>28</v>
      </c>
      <c r="E733" s="18" t="s">
        <v>29</v>
      </c>
      <c r="F733" s="18" t="s">
        <v>49</v>
      </c>
      <c r="G733" s="18" t="s">
        <v>38</v>
      </c>
      <c r="H733" s="18">
        <v>46</v>
      </c>
      <c r="I733" s="20">
        <v>60</v>
      </c>
      <c r="J733" s="21">
        <v>2760</v>
      </c>
    </row>
    <row r="734" spans="1:10">
      <c r="A734" s="19">
        <v>35551</v>
      </c>
      <c r="B734" s="18" t="s">
        <v>26</v>
      </c>
      <c r="C734" s="18" t="s">
        <v>36</v>
      </c>
      <c r="D734" s="18" t="s">
        <v>28</v>
      </c>
      <c r="E734" s="18" t="s">
        <v>33</v>
      </c>
      <c r="F734" s="18" t="s">
        <v>52</v>
      </c>
      <c r="G734" s="18" t="s">
        <v>31</v>
      </c>
      <c r="H734" s="18">
        <v>9.65</v>
      </c>
      <c r="I734" s="20">
        <v>6</v>
      </c>
      <c r="J734" s="21">
        <v>57.900000000000006</v>
      </c>
    </row>
    <row r="735" spans="1:10">
      <c r="A735" s="19">
        <v>35551</v>
      </c>
      <c r="B735" s="18" t="s">
        <v>39</v>
      </c>
      <c r="C735" s="18" t="s">
        <v>40</v>
      </c>
      <c r="D735" s="18" t="s">
        <v>28</v>
      </c>
      <c r="E735" s="18" t="s">
        <v>35</v>
      </c>
      <c r="F735" s="18" t="s">
        <v>49</v>
      </c>
      <c r="G735" s="18" t="s">
        <v>38</v>
      </c>
      <c r="H735" s="18">
        <v>31</v>
      </c>
      <c r="I735" s="20">
        <v>2</v>
      </c>
      <c r="J735" s="21">
        <v>62</v>
      </c>
    </row>
    <row r="736" spans="1:10">
      <c r="A736" s="19">
        <v>35551</v>
      </c>
      <c r="B736" s="18" t="s">
        <v>39</v>
      </c>
      <c r="C736" s="18" t="s">
        <v>41</v>
      </c>
      <c r="D736" s="18" t="s">
        <v>28</v>
      </c>
      <c r="E736" s="18" t="s">
        <v>29</v>
      </c>
      <c r="F736" s="18" t="s">
        <v>52</v>
      </c>
      <c r="G736" s="18" t="s">
        <v>31</v>
      </c>
      <c r="H736" s="18">
        <v>39</v>
      </c>
      <c r="I736" s="20">
        <v>25</v>
      </c>
      <c r="J736" s="21">
        <v>975</v>
      </c>
    </row>
    <row r="737" spans="1:10">
      <c r="A737" s="19">
        <v>35552</v>
      </c>
      <c r="B737" s="18" t="s">
        <v>39</v>
      </c>
      <c r="C737" s="18" t="s">
        <v>44</v>
      </c>
      <c r="D737" s="18" t="s">
        <v>28</v>
      </c>
      <c r="E737" s="18" t="s">
        <v>33</v>
      </c>
      <c r="F737" s="18" t="s">
        <v>49</v>
      </c>
      <c r="G737" s="18" t="s">
        <v>38</v>
      </c>
      <c r="H737" s="18">
        <v>18.399999999999999</v>
      </c>
      <c r="I737" s="20">
        <v>15</v>
      </c>
      <c r="J737" s="21">
        <v>276</v>
      </c>
    </row>
    <row r="738" spans="1:10">
      <c r="A738" s="19">
        <v>35552</v>
      </c>
      <c r="B738" s="18" t="s">
        <v>39</v>
      </c>
      <c r="C738" s="18" t="s">
        <v>46</v>
      </c>
      <c r="D738" s="18" t="s">
        <v>28</v>
      </c>
      <c r="E738" s="18" t="s">
        <v>35</v>
      </c>
      <c r="F738" s="18" t="s">
        <v>49</v>
      </c>
      <c r="G738" s="18" t="s">
        <v>38</v>
      </c>
      <c r="H738" s="18">
        <v>19</v>
      </c>
      <c r="I738" s="20">
        <v>30</v>
      </c>
      <c r="J738" s="21">
        <v>570</v>
      </c>
    </row>
    <row r="739" spans="1:10">
      <c r="A739" s="19">
        <v>35555</v>
      </c>
      <c r="B739" s="18" t="s">
        <v>39</v>
      </c>
      <c r="C739" s="18" t="s">
        <v>47</v>
      </c>
      <c r="D739" s="18" t="s">
        <v>28</v>
      </c>
      <c r="E739" s="18" t="s">
        <v>29</v>
      </c>
      <c r="F739" s="18" t="s">
        <v>42</v>
      </c>
      <c r="G739" s="18" t="s">
        <v>43</v>
      </c>
      <c r="H739" s="18">
        <v>38</v>
      </c>
      <c r="I739" s="20">
        <v>30</v>
      </c>
      <c r="J739" s="21">
        <v>1140</v>
      </c>
    </row>
    <row r="740" spans="1:10">
      <c r="A740" s="19">
        <v>35555</v>
      </c>
      <c r="B740" s="18" t="s">
        <v>26</v>
      </c>
      <c r="C740" s="18" t="s">
        <v>27</v>
      </c>
      <c r="D740" s="18" t="s">
        <v>28</v>
      </c>
      <c r="E740" s="18" t="s">
        <v>33</v>
      </c>
      <c r="F740" s="18" t="s">
        <v>42</v>
      </c>
      <c r="G740" s="18" t="s">
        <v>43</v>
      </c>
      <c r="H740" s="18">
        <v>6</v>
      </c>
      <c r="I740" s="20">
        <v>10</v>
      </c>
      <c r="J740" s="21">
        <v>60</v>
      </c>
    </row>
    <row r="741" spans="1:10">
      <c r="A741" s="19">
        <v>35555</v>
      </c>
      <c r="B741" s="18" t="s">
        <v>26</v>
      </c>
      <c r="C741" s="18" t="s">
        <v>32</v>
      </c>
      <c r="D741" s="18" t="s">
        <v>28</v>
      </c>
      <c r="E741" s="18" t="s">
        <v>35</v>
      </c>
      <c r="F741" s="18" t="s">
        <v>42</v>
      </c>
      <c r="G741" s="18" t="s">
        <v>43</v>
      </c>
      <c r="H741" s="18">
        <v>18</v>
      </c>
      <c r="I741" s="20">
        <v>8</v>
      </c>
      <c r="J741" s="21">
        <v>144</v>
      </c>
    </row>
    <row r="742" spans="1:10">
      <c r="A742" s="19">
        <v>35555</v>
      </c>
      <c r="B742" s="18" t="s">
        <v>26</v>
      </c>
      <c r="C742" s="18" t="s">
        <v>34</v>
      </c>
      <c r="D742" s="18" t="s">
        <v>28</v>
      </c>
      <c r="E742" s="18" t="s">
        <v>29</v>
      </c>
      <c r="F742" s="18" t="s">
        <v>52</v>
      </c>
      <c r="G742" s="18" t="s">
        <v>31</v>
      </c>
      <c r="H742" s="18">
        <v>22</v>
      </c>
      <c r="I742" s="20">
        <v>50</v>
      </c>
      <c r="J742" s="21">
        <v>1100</v>
      </c>
    </row>
    <row r="743" spans="1:10">
      <c r="A743" s="19">
        <v>35555</v>
      </c>
      <c r="B743" s="18" t="s">
        <v>26</v>
      </c>
      <c r="C743" s="18" t="s">
        <v>36</v>
      </c>
      <c r="D743" s="18" t="s">
        <v>28</v>
      </c>
      <c r="E743" s="18" t="s">
        <v>29</v>
      </c>
      <c r="F743" s="18" t="s">
        <v>52</v>
      </c>
      <c r="G743" s="18" t="s">
        <v>31</v>
      </c>
      <c r="H743" s="18">
        <v>19</v>
      </c>
      <c r="I743" s="20">
        <v>30</v>
      </c>
      <c r="J743" s="21">
        <v>570</v>
      </c>
    </row>
    <row r="744" spans="1:10">
      <c r="A744" s="19">
        <v>35556</v>
      </c>
      <c r="B744" s="18" t="s">
        <v>39</v>
      </c>
      <c r="C744" s="18" t="s">
        <v>40</v>
      </c>
      <c r="D744" s="18" t="s">
        <v>28</v>
      </c>
      <c r="E744" s="18" t="s">
        <v>33</v>
      </c>
      <c r="F744" s="18" t="s">
        <v>37</v>
      </c>
      <c r="G744" s="18" t="s">
        <v>38</v>
      </c>
      <c r="H744" s="18">
        <v>21</v>
      </c>
      <c r="I744" s="20">
        <v>3</v>
      </c>
      <c r="J744" s="21">
        <v>63</v>
      </c>
    </row>
    <row r="745" spans="1:10">
      <c r="A745" s="19">
        <v>35556</v>
      </c>
      <c r="B745" s="18" t="s">
        <v>39</v>
      </c>
      <c r="C745" s="18" t="s">
        <v>41</v>
      </c>
      <c r="D745" s="18" t="s">
        <v>28</v>
      </c>
      <c r="E745" s="18" t="s">
        <v>35</v>
      </c>
      <c r="F745" s="18" t="s">
        <v>37</v>
      </c>
      <c r="G745" s="18" t="s">
        <v>38</v>
      </c>
      <c r="H745" s="18">
        <v>2.5</v>
      </c>
      <c r="I745" s="20">
        <v>8</v>
      </c>
      <c r="J745" s="21">
        <v>20</v>
      </c>
    </row>
    <row r="746" spans="1:10">
      <c r="A746" s="19">
        <v>35556</v>
      </c>
      <c r="B746" s="18" t="s">
        <v>39</v>
      </c>
      <c r="C746" s="18" t="s">
        <v>44</v>
      </c>
      <c r="D746" s="18" t="s">
        <v>28</v>
      </c>
      <c r="E746" s="18" t="s">
        <v>29</v>
      </c>
      <c r="F746" s="18" t="s">
        <v>37</v>
      </c>
      <c r="G746" s="18" t="s">
        <v>38</v>
      </c>
      <c r="H746" s="18">
        <v>34.799999999999997</v>
      </c>
      <c r="I746" s="20">
        <v>9</v>
      </c>
      <c r="J746" s="21">
        <v>313.2</v>
      </c>
    </row>
    <row r="747" spans="1:10">
      <c r="A747" s="19">
        <v>35557</v>
      </c>
      <c r="B747" s="18" t="s">
        <v>39</v>
      </c>
      <c r="C747" s="18" t="s">
        <v>46</v>
      </c>
      <c r="D747" s="18" t="s">
        <v>28</v>
      </c>
      <c r="E747" s="18" t="s">
        <v>33</v>
      </c>
      <c r="F747" s="18" t="s">
        <v>30</v>
      </c>
      <c r="G747" s="18" t="s">
        <v>31</v>
      </c>
      <c r="H747" s="18">
        <v>36</v>
      </c>
      <c r="I747" s="20">
        <v>10</v>
      </c>
      <c r="J747" s="21">
        <v>360</v>
      </c>
    </row>
    <row r="748" spans="1:10">
      <c r="A748" s="19">
        <v>35557</v>
      </c>
      <c r="B748" s="18" t="s">
        <v>39</v>
      </c>
      <c r="C748" s="18" t="s">
        <v>47</v>
      </c>
      <c r="D748" s="18" t="s">
        <v>28</v>
      </c>
      <c r="E748" s="18" t="s">
        <v>35</v>
      </c>
      <c r="F748" s="18" t="s">
        <v>30</v>
      </c>
      <c r="G748" s="18" t="s">
        <v>31</v>
      </c>
      <c r="H748" s="18">
        <v>12.5</v>
      </c>
      <c r="I748" s="20">
        <v>20</v>
      </c>
      <c r="J748" s="21">
        <v>250</v>
      </c>
    </row>
    <row r="749" spans="1:10">
      <c r="A749" s="19">
        <v>35557</v>
      </c>
      <c r="B749" s="18" t="s">
        <v>26</v>
      </c>
      <c r="C749" s="18" t="s">
        <v>27</v>
      </c>
      <c r="D749" s="18" t="s">
        <v>28</v>
      </c>
      <c r="E749" s="18" t="s">
        <v>29</v>
      </c>
      <c r="F749" s="18" t="s">
        <v>30</v>
      </c>
      <c r="G749" s="18" t="s">
        <v>31</v>
      </c>
      <c r="H749" s="18">
        <v>24</v>
      </c>
      <c r="I749" s="20">
        <v>14</v>
      </c>
      <c r="J749" s="21">
        <v>336</v>
      </c>
    </row>
    <row r="750" spans="1:10">
      <c r="A750" s="19">
        <v>35558</v>
      </c>
      <c r="B750" s="18" t="s">
        <v>26</v>
      </c>
      <c r="C750" s="18" t="s">
        <v>32</v>
      </c>
      <c r="D750" s="18" t="s">
        <v>28</v>
      </c>
      <c r="E750" s="18" t="s">
        <v>33</v>
      </c>
      <c r="F750" s="18" t="s">
        <v>52</v>
      </c>
      <c r="G750" s="18" t="s">
        <v>31</v>
      </c>
      <c r="H750" s="18">
        <v>55</v>
      </c>
      <c r="I750" s="20">
        <v>2</v>
      </c>
      <c r="J750" s="21">
        <v>110</v>
      </c>
    </row>
    <row r="751" spans="1:10">
      <c r="A751" s="19">
        <v>35558</v>
      </c>
      <c r="B751" s="18" t="s">
        <v>26</v>
      </c>
      <c r="C751" s="18" t="s">
        <v>34</v>
      </c>
      <c r="D751" s="18" t="s">
        <v>28</v>
      </c>
      <c r="E751" s="18" t="s">
        <v>35</v>
      </c>
      <c r="F751" s="18" t="s">
        <v>45</v>
      </c>
      <c r="G751" s="18" t="s">
        <v>38</v>
      </c>
      <c r="H751" s="18">
        <v>28.5</v>
      </c>
      <c r="I751" s="20">
        <v>20</v>
      </c>
      <c r="J751" s="21">
        <v>570</v>
      </c>
    </row>
    <row r="752" spans="1:10">
      <c r="A752" s="19">
        <v>35558</v>
      </c>
      <c r="B752" s="18" t="s">
        <v>26</v>
      </c>
      <c r="C752" s="18" t="s">
        <v>36</v>
      </c>
      <c r="D752" s="18" t="s">
        <v>28</v>
      </c>
      <c r="E752" s="18" t="s">
        <v>29</v>
      </c>
      <c r="F752" s="18" t="s">
        <v>45</v>
      </c>
      <c r="G752" s="18" t="s">
        <v>38</v>
      </c>
      <c r="H752" s="18">
        <v>46</v>
      </c>
      <c r="I752" s="20">
        <v>25</v>
      </c>
      <c r="J752" s="21">
        <v>1150</v>
      </c>
    </row>
    <row r="753" spans="1:10">
      <c r="A753" s="19">
        <v>35558</v>
      </c>
      <c r="B753" s="18" t="s">
        <v>39</v>
      </c>
      <c r="C753" s="18" t="s">
        <v>40</v>
      </c>
      <c r="D753" s="18" t="s">
        <v>28</v>
      </c>
      <c r="E753" s="18" t="s">
        <v>33</v>
      </c>
      <c r="F753" s="18" t="s">
        <v>45</v>
      </c>
      <c r="G753" s="18" t="s">
        <v>38</v>
      </c>
      <c r="H753" s="18">
        <v>18</v>
      </c>
      <c r="I753" s="20">
        <v>50</v>
      </c>
      <c r="J753" s="21">
        <v>900</v>
      </c>
    </row>
    <row r="754" spans="1:10">
      <c r="A754" s="19">
        <v>35558</v>
      </c>
      <c r="B754" s="18" t="s">
        <v>39</v>
      </c>
      <c r="C754" s="18" t="s">
        <v>41</v>
      </c>
      <c r="D754" s="18" t="s">
        <v>28</v>
      </c>
      <c r="E754" s="18" t="s">
        <v>35</v>
      </c>
      <c r="F754" s="18" t="s">
        <v>45</v>
      </c>
      <c r="G754" s="18" t="s">
        <v>38</v>
      </c>
      <c r="H754" s="18">
        <v>39</v>
      </c>
      <c r="I754" s="20">
        <v>40</v>
      </c>
      <c r="J754" s="21">
        <v>1560</v>
      </c>
    </row>
    <row r="755" spans="1:10">
      <c r="A755" s="19">
        <v>35559</v>
      </c>
      <c r="B755" s="18" t="s">
        <v>39</v>
      </c>
      <c r="C755" s="18" t="s">
        <v>44</v>
      </c>
      <c r="D755" s="18" t="s">
        <v>28</v>
      </c>
      <c r="E755" s="18" t="s">
        <v>29</v>
      </c>
      <c r="F755" s="18" t="s">
        <v>52</v>
      </c>
      <c r="G755" s="18" t="s">
        <v>31</v>
      </c>
      <c r="H755" s="18">
        <v>25.89</v>
      </c>
      <c r="I755" s="20">
        <v>15</v>
      </c>
      <c r="J755" s="21">
        <v>388.35</v>
      </c>
    </row>
    <row r="756" spans="1:10">
      <c r="A756" s="19">
        <v>35559</v>
      </c>
      <c r="B756" s="18" t="s">
        <v>39</v>
      </c>
      <c r="C756" s="18" t="s">
        <v>46</v>
      </c>
      <c r="D756" s="18" t="s">
        <v>28</v>
      </c>
      <c r="E756" s="18" t="s">
        <v>33</v>
      </c>
      <c r="F756" s="18" t="s">
        <v>52</v>
      </c>
      <c r="G756" s="18" t="s">
        <v>31</v>
      </c>
      <c r="H756" s="18">
        <v>17</v>
      </c>
      <c r="I756" s="20">
        <v>24</v>
      </c>
      <c r="J756" s="21">
        <v>408</v>
      </c>
    </row>
    <row r="757" spans="1:10">
      <c r="A757" s="19">
        <v>35562</v>
      </c>
      <c r="B757" s="18" t="s">
        <v>39</v>
      </c>
      <c r="C757" s="18" t="s">
        <v>47</v>
      </c>
      <c r="D757" s="18" t="s">
        <v>28</v>
      </c>
      <c r="E757" s="18" t="s">
        <v>35</v>
      </c>
      <c r="F757" s="18" t="s">
        <v>50</v>
      </c>
      <c r="G757" s="18" t="s">
        <v>31</v>
      </c>
      <c r="H757" s="18">
        <v>15</v>
      </c>
      <c r="I757" s="20">
        <v>24</v>
      </c>
      <c r="J757" s="21">
        <v>360</v>
      </c>
    </row>
    <row r="758" spans="1:10">
      <c r="A758" s="19">
        <v>35562</v>
      </c>
      <c r="B758" s="18" t="s">
        <v>26</v>
      </c>
      <c r="C758" s="18" t="s">
        <v>27</v>
      </c>
      <c r="D758" s="18" t="s">
        <v>28</v>
      </c>
      <c r="E758" s="18" t="s">
        <v>29</v>
      </c>
      <c r="F758" s="18" t="s">
        <v>50</v>
      </c>
      <c r="G758" s="18" t="s">
        <v>31</v>
      </c>
      <c r="H758" s="18">
        <v>25.89</v>
      </c>
      <c r="I758" s="20">
        <v>10</v>
      </c>
      <c r="J758" s="21">
        <v>258.89999999999998</v>
      </c>
    </row>
    <row r="759" spans="1:10">
      <c r="A759" s="19">
        <v>35562</v>
      </c>
      <c r="B759" s="18" t="s">
        <v>26</v>
      </c>
      <c r="C759" s="18" t="s">
        <v>32</v>
      </c>
      <c r="D759" s="18" t="s">
        <v>28</v>
      </c>
      <c r="E759" s="18" t="s">
        <v>33</v>
      </c>
      <c r="F759" s="18" t="s">
        <v>50</v>
      </c>
      <c r="G759" s="18" t="s">
        <v>31</v>
      </c>
      <c r="H759" s="18">
        <v>7.45</v>
      </c>
      <c r="I759" s="20">
        <v>10</v>
      </c>
      <c r="J759" s="21">
        <v>74.5</v>
      </c>
    </row>
    <row r="760" spans="1:10">
      <c r="A760" s="19">
        <v>35562</v>
      </c>
      <c r="B760" s="18" t="s">
        <v>26</v>
      </c>
      <c r="C760" s="18" t="s">
        <v>34</v>
      </c>
      <c r="D760" s="18" t="s">
        <v>28</v>
      </c>
      <c r="E760" s="18" t="s">
        <v>35</v>
      </c>
      <c r="F760" s="18" t="s">
        <v>50</v>
      </c>
      <c r="G760" s="18" t="s">
        <v>31</v>
      </c>
      <c r="H760" s="18">
        <v>34.799999999999997</v>
      </c>
      <c r="I760" s="20">
        <v>24</v>
      </c>
      <c r="J760" s="21">
        <v>835.19999999999993</v>
      </c>
    </row>
    <row r="761" spans="1:10">
      <c r="A761" s="19">
        <v>35562</v>
      </c>
      <c r="B761" s="18" t="s">
        <v>26</v>
      </c>
      <c r="C761" s="18" t="s">
        <v>36</v>
      </c>
      <c r="D761" s="18" t="s">
        <v>28</v>
      </c>
      <c r="E761" s="18" t="s">
        <v>29</v>
      </c>
      <c r="F761" s="18" t="s">
        <v>50</v>
      </c>
      <c r="G761" s="18" t="s">
        <v>31</v>
      </c>
      <c r="H761" s="18">
        <v>18.399999999999999</v>
      </c>
      <c r="I761" s="20">
        <v>10</v>
      </c>
      <c r="J761" s="21">
        <v>184</v>
      </c>
    </row>
    <row r="762" spans="1:10">
      <c r="A762" s="19">
        <v>35562</v>
      </c>
      <c r="B762" s="18" t="s">
        <v>39</v>
      </c>
      <c r="C762" s="18" t="s">
        <v>40</v>
      </c>
      <c r="D762" s="18" t="s">
        <v>28</v>
      </c>
      <c r="E762" s="18" t="s">
        <v>29</v>
      </c>
      <c r="F762" s="18" t="s">
        <v>50</v>
      </c>
      <c r="G762" s="18" t="s">
        <v>31</v>
      </c>
      <c r="H762" s="18">
        <v>22</v>
      </c>
      <c r="I762" s="20">
        <v>50</v>
      </c>
      <c r="J762" s="21">
        <v>1100</v>
      </c>
    </row>
    <row r="763" spans="1:10">
      <c r="A763" s="19">
        <v>35563</v>
      </c>
      <c r="B763" s="18" t="s">
        <v>39</v>
      </c>
      <c r="C763" s="18" t="s">
        <v>41</v>
      </c>
      <c r="D763" s="18" t="s">
        <v>28</v>
      </c>
      <c r="E763" s="18" t="s">
        <v>33</v>
      </c>
      <c r="F763" s="18" t="s">
        <v>42</v>
      </c>
      <c r="G763" s="18" t="s">
        <v>43</v>
      </c>
      <c r="H763" s="18">
        <v>21</v>
      </c>
      <c r="I763" s="20">
        <v>50</v>
      </c>
      <c r="J763" s="21">
        <v>1050</v>
      </c>
    </row>
    <row r="764" spans="1:10">
      <c r="A764" s="19">
        <v>35563</v>
      </c>
      <c r="B764" s="18" t="s">
        <v>39</v>
      </c>
      <c r="C764" s="18" t="s">
        <v>44</v>
      </c>
      <c r="D764" s="18" t="s">
        <v>28</v>
      </c>
      <c r="E764" s="18" t="s">
        <v>35</v>
      </c>
      <c r="F764" s="18" t="s">
        <v>42</v>
      </c>
      <c r="G764" s="18" t="s">
        <v>43</v>
      </c>
      <c r="H764" s="18">
        <v>55</v>
      </c>
      <c r="I764" s="20">
        <v>15</v>
      </c>
      <c r="J764" s="21">
        <v>825</v>
      </c>
    </row>
    <row r="765" spans="1:10">
      <c r="A765" s="19">
        <v>35563</v>
      </c>
      <c r="B765" s="18" t="s">
        <v>39</v>
      </c>
      <c r="C765" s="18" t="s">
        <v>46</v>
      </c>
      <c r="D765" s="18" t="s">
        <v>28</v>
      </c>
      <c r="E765" s="18" t="s">
        <v>29</v>
      </c>
      <c r="F765" s="18" t="s">
        <v>42</v>
      </c>
      <c r="G765" s="18" t="s">
        <v>43</v>
      </c>
      <c r="H765" s="18">
        <v>18.399999999999999</v>
      </c>
      <c r="I765" s="20">
        <v>10</v>
      </c>
      <c r="J765" s="21">
        <v>184</v>
      </c>
    </row>
    <row r="766" spans="1:10">
      <c r="A766" s="19">
        <v>35563</v>
      </c>
      <c r="B766" s="18" t="s">
        <v>39</v>
      </c>
      <c r="C766" s="18" t="s">
        <v>47</v>
      </c>
      <c r="D766" s="18" t="s">
        <v>28</v>
      </c>
      <c r="E766" s="18" t="s">
        <v>33</v>
      </c>
      <c r="F766" s="18" t="s">
        <v>42</v>
      </c>
      <c r="G766" s="18" t="s">
        <v>43</v>
      </c>
      <c r="H766" s="18">
        <v>19.5</v>
      </c>
      <c r="I766" s="20">
        <v>5</v>
      </c>
      <c r="J766" s="21">
        <v>97.5</v>
      </c>
    </row>
    <row r="767" spans="1:10">
      <c r="A767" s="19">
        <v>35564</v>
      </c>
      <c r="B767" s="18" t="s">
        <v>26</v>
      </c>
      <c r="C767" s="18" t="s">
        <v>27</v>
      </c>
      <c r="D767" s="18" t="s">
        <v>28</v>
      </c>
      <c r="E767" s="18" t="s">
        <v>35</v>
      </c>
      <c r="F767" s="18" t="s">
        <v>45</v>
      </c>
      <c r="G767" s="18" t="s">
        <v>38</v>
      </c>
      <c r="H767" s="18">
        <v>38</v>
      </c>
      <c r="I767" s="20">
        <v>15</v>
      </c>
      <c r="J767" s="21">
        <v>570</v>
      </c>
    </row>
    <row r="768" spans="1:10">
      <c r="A768" s="19">
        <v>35564</v>
      </c>
      <c r="B768" s="18" t="s">
        <v>26</v>
      </c>
      <c r="C768" s="18" t="s">
        <v>32</v>
      </c>
      <c r="D768" s="18" t="s">
        <v>28</v>
      </c>
      <c r="E768" s="18" t="s">
        <v>29</v>
      </c>
      <c r="F768" s="18" t="s">
        <v>49</v>
      </c>
      <c r="G768" s="18" t="s">
        <v>38</v>
      </c>
      <c r="H768" s="18">
        <v>13.25</v>
      </c>
      <c r="I768" s="20">
        <v>20</v>
      </c>
      <c r="J768" s="21">
        <v>265</v>
      </c>
    </row>
    <row r="769" spans="1:10">
      <c r="A769" s="19">
        <v>35564</v>
      </c>
      <c r="B769" s="18" t="s">
        <v>26</v>
      </c>
      <c r="C769" s="18" t="s">
        <v>34</v>
      </c>
      <c r="D769" s="18" t="s">
        <v>28</v>
      </c>
      <c r="E769" s="18" t="s">
        <v>33</v>
      </c>
      <c r="F769" s="18" t="s">
        <v>49</v>
      </c>
      <c r="G769" s="18" t="s">
        <v>38</v>
      </c>
      <c r="H769" s="18">
        <v>15</v>
      </c>
      <c r="I769" s="20">
        <v>9</v>
      </c>
      <c r="J769" s="21">
        <v>135</v>
      </c>
    </row>
    <row r="770" spans="1:10">
      <c r="A770" s="19">
        <v>35564</v>
      </c>
      <c r="B770" s="18" t="s">
        <v>26</v>
      </c>
      <c r="C770" s="18" t="s">
        <v>36</v>
      </c>
      <c r="D770" s="18" t="s">
        <v>28</v>
      </c>
      <c r="E770" s="18" t="s">
        <v>35</v>
      </c>
      <c r="F770" s="18" t="s">
        <v>45</v>
      </c>
      <c r="G770" s="18" t="s">
        <v>38</v>
      </c>
      <c r="H770" s="18">
        <v>34</v>
      </c>
      <c r="I770" s="20">
        <v>35</v>
      </c>
      <c r="J770" s="21">
        <v>1190</v>
      </c>
    </row>
    <row r="771" spans="1:10">
      <c r="A771" s="19">
        <v>35564</v>
      </c>
      <c r="B771" s="18" t="s">
        <v>39</v>
      </c>
      <c r="C771" s="18" t="s">
        <v>40</v>
      </c>
      <c r="D771" s="18" t="s">
        <v>28</v>
      </c>
      <c r="E771" s="18" t="s">
        <v>29</v>
      </c>
      <c r="F771" s="18" t="s">
        <v>45</v>
      </c>
      <c r="G771" s="18" t="s">
        <v>38</v>
      </c>
      <c r="H771" s="18">
        <v>2.5</v>
      </c>
      <c r="I771" s="20">
        <v>30</v>
      </c>
      <c r="J771" s="21">
        <v>75</v>
      </c>
    </row>
    <row r="772" spans="1:10">
      <c r="A772" s="19">
        <v>35564</v>
      </c>
      <c r="B772" s="18" t="s">
        <v>39</v>
      </c>
      <c r="C772" s="18" t="s">
        <v>41</v>
      </c>
      <c r="D772" s="18" t="s">
        <v>28</v>
      </c>
      <c r="E772" s="18" t="s">
        <v>33</v>
      </c>
      <c r="F772" s="18" t="s">
        <v>49</v>
      </c>
      <c r="G772" s="18" t="s">
        <v>38</v>
      </c>
      <c r="H772" s="18">
        <v>34.799999999999997</v>
      </c>
      <c r="I772" s="20">
        <v>21</v>
      </c>
      <c r="J772" s="21">
        <v>730.8</v>
      </c>
    </row>
    <row r="773" spans="1:10">
      <c r="A773" s="19">
        <v>35564</v>
      </c>
      <c r="B773" s="18" t="s">
        <v>39</v>
      </c>
      <c r="C773" s="18" t="s">
        <v>44</v>
      </c>
      <c r="D773" s="18" t="s">
        <v>28</v>
      </c>
      <c r="E773" s="18" t="s">
        <v>35</v>
      </c>
      <c r="F773" s="18" t="s">
        <v>45</v>
      </c>
      <c r="G773" s="18" t="s">
        <v>38</v>
      </c>
      <c r="H773" s="18">
        <v>12.5</v>
      </c>
      <c r="I773" s="20">
        <v>20</v>
      </c>
      <c r="J773" s="21">
        <v>250</v>
      </c>
    </row>
    <row r="774" spans="1:10">
      <c r="A774" s="19">
        <v>35564</v>
      </c>
      <c r="B774" s="18" t="s">
        <v>39</v>
      </c>
      <c r="C774" s="18" t="s">
        <v>46</v>
      </c>
      <c r="D774" s="18" t="s">
        <v>28</v>
      </c>
      <c r="E774" s="18" t="s">
        <v>29</v>
      </c>
      <c r="F774" s="18" t="s">
        <v>49</v>
      </c>
      <c r="G774" s="18" t="s">
        <v>38</v>
      </c>
      <c r="H774" s="18">
        <v>12.5</v>
      </c>
      <c r="I774" s="20">
        <v>30</v>
      </c>
      <c r="J774" s="21">
        <v>375</v>
      </c>
    </row>
    <row r="775" spans="1:10">
      <c r="A775" s="19">
        <v>35564</v>
      </c>
      <c r="B775" s="18" t="s">
        <v>39</v>
      </c>
      <c r="C775" s="18" t="s">
        <v>47</v>
      </c>
      <c r="D775" s="18" t="s">
        <v>28</v>
      </c>
      <c r="E775" s="18" t="s">
        <v>33</v>
      </c>
      <c r="F775" s="18" t="s">
        <v>49</v>
      </c>
      <c r="G775" s="18" t="s">
        <v>38</v>
      </c>
      <c r="H775" s="18">
        <v>53</v>
      </c>
      <c r="I775" s="20">
        <v>6</v>
      </c>
      <c r="J775" s="21">
        <v>318</v>
      </c>
    </row>
    <row r="776" spans="1:10">
      <c r="A776" s="19">
        <v>35565</v>
      </c>
      <c r="B776" s="18" t="s">
        <v>26</v>
      </c>
      <c r="C776" s="18" t="s">
        <v>27</v>
      </c>
      <c r="D776" s="18" t="s">
        <v>28</v>
      </c>
      <c r="E776" s="18" t="s">
        <v>35</v>
      </c>
      <c r="F776" s="18" t="s">
        <v>48</v>
      </c>
      <c r="G776" s="18" t="s">
        <v>31</v>
      </c>
      <c r="H776" s="18">
        <v>15</v>
      </c>
      <c r="I776" s="20">
        <v>7</v>
      </c>
      <c r="J776" s="21">
        <v>105</v>
      </c>
    </row>
    <row r="777" spans="1:10">
      <c r="A777" s="19">
        <v>35565</v>
      </c>
      <c r="B777" s="18" t="s">
        <v>26</v>
      </c>
      <c r="C777" s="18" t="s">
        <v>32</v>
      </c>
      <c r="D777" s="18" t="s">
        <v>28</v>
      </c>
      <c r="E777" s="18" t="s">
        <v>29</v>
      </c>
      <c r="F777" s="18" t="s">
        <v>48</v>
      </c>
      <c r="G777" s="18" t="s">
        <v>31</v>
      </c>
      <c r="H777" s="18">
        <v>34.799999999999997</v>
      </c>
      <c r="I777" s="20">
        <v>1</v>
      </c>
      <c r="J777" s="21">
        <v>34.799999999999997</v>
      </c>
    </row>
    <row r="778" spans="1:10">
      <c r="A778" s="19">
        <v>35566</v>
      </c>
      <c r="B778" s="18" t="s">
        <v>26</v>
      </c>
      <c r="C778" s="18" t="s">
        <v>34</v>
      </c>
      <c r="D778" s="18" t="s">
        <v>28</v>
      </c>
      <c r="E778" s="18" t="s">
        <v>33</v>
      </c>
      <c r="F778" s="18" t="s">
        <v>37</v>
      </c>
      <c r="G778" s="18" t="s">
        <v>38</v>
      </c>
      <c r="H778" s="18">
        <v>10</v>
      </c>
      <c r="I778" s="20">
        <v>15</v>
      </c>
      <c r="J778" s="21">
        <v>150</v>
      </c>
    </row>
    <row r="779" spans="1:10">
      <c r="A779" s="19">
        <v>35566</v>
      </c>
      <c r="B779" s="18" t="s">
        <v>26</v>
      </c>
      <c r="C779" s="18" t="s">
        <v>36</v>
      </c>
      <c r="D779" s="18" t="s">
        <v>28</v>
      </c>
      <c r="E779" s="18" t="s">
        <v>35</v>
      </c>
      <c r="F779" s="18" t="s">
        <v>37</v>
      </c>
      <c r="G779" s="18" t="s">
        <v>38</v>
      </c>
      <c r="H779" s="18">
        <v>2.5</v>
      </c>
      <c r="I779" s="20">
        <v>15</v>
      </c>
      <c r="J779" s="21">
        <v>37.5</v>
      </c>
    </row>
    <row r="780" spans="1:10">
      <c r="A780" s="19">
        <v>35566</v>
      </c>
      <c r="B780" s="18" t="s">
        <v>39</v>
      </c>
      <c r="C780" s="18" t="s">
        <v>40</v>
      </c>
      <c r="D780" s="18" t="s">
        <v>28</v>
      </c>
      <c r="E780" s="18" t="s">
        <v>29</v>
      </c>
      <c r="F780" s="18" t="s">
        <v>37</v>
      </c>
      <c r="G780" s="18" t="s">
        <v>38</v>
      </c>
      <c r="H780" s="18">
        <v>6</v>
      </c>
      <c r="I780" s="20">
        <v>8</v>
      </c>
      <c r="J780" s="21">
        <v>48</v>
      </c>
    </row>
    <row r="781" spans="1:10">
      <c r="A781" s="19">
        <v>35566</v>
      </c>
      <c r="B781" s="18" t="s">
        <v>39</v>
      </c>
      <c r="C781" s="18" t="s">
        <v>41</v>
      </c>
      <c r="D781" s="18" t="s">
        <v>28</v>
      </c>
      <c r="E781" s="18" t="s">
        <v>29</v>
      </c>
      <c r="F781" s="18" t="s">
        <v>37</v>
      </c>
      <c r="G781" s="18" t="s">
        <v>38</v>
      </c>
      <c r="H781" s="18">
        <v>20</v>
      </c>
      <c r="I781" s="20">
        <v>6</v>
      </c>
      <c r="J781" s="21">
        <v>120</v>
      </c>
    </row>
    <row r="782" spans="1:10">
      <c r="A782" s="19">
        <v>35569</v>
      </c>
      <c r="B782" s="18" t="s">
        <v>39</v>
      </c>
      <c r="C782" s="18" t="s">
        <v>44</v>
      </c>
      <c r="D782" s="18" t="s">
        <v>28</v>
      </c>
      <c r="E782" s="18" t="s">
        <v>33</v>
      </c>
      <c r="F782" s="18" t="s">
        <v>45</v>
      </c>
      <c r="G782" s="18" t="s">
        <v>38</v>
      </c>
      <c r="H782" s="18">
        <v>10</v>
      </c>
      <c r="I782" s="20">
        <v>60</v>
      </c>
      <c r="J782" s="21">
        <v>600</v>
      </c>
    </row>
    <row r="783" spans="1:10">
      <c r="A783" s="19">
        <v>35569</v>
      </c>
      <c r="B783" s="18" t="s">
        <v>39</v>
      </c>
      <c r="C783" s="18" t="s">
        <v>46</v>
      </c>
      <c r="D783" s="18" t="s">
        <v>28</v>
      </c>
      <c r="E783" s="18" t="s">
        <v>35</v>
      </c>
      <c r="F783" s="18" t="s">
        <v>51</v>
      </c>
      <c r="G783" s="18" t="s">
        <v>43</v>
      </c>
      <c r="H783" s="18">
        <v>21.05</v>
      </c>
      <c r="I783" s="20">
        <v>36</v>
      </c>
      <c r="J783" s="21">
        <v>757.80000000000007</v>
      </c>
    </row>
    <row r="784" spans="1:10">
      <c r="A784" s="19">
        <v>35569</v>
      </c>
      <c r="B784" s="18" t="s">
        <v>39</v>
      </c>
      <c r="C784" s="18" t="s">
        <v>47</v>
      </c>
      <c r="D784" s="18" t="s">
        <v>28</v>
      </c>
      <c r="E784" s="18" t="s">
        <v>29</v>
      </c>
      <c r="F784" s="18" t="s">
        <v>45</v>
      </c>
      <c r="G784" s="18" t="s">
        <v>38</v>
      </c>
      <c r="H784" s="18">
        <v>263.5</v>
      </c>
      <c r="I784" s="20">
        <v>30</v>
      </c>
      <c r="J784" s="21">
        <v>7905</v>
      </c>
    </row>
    <row r="785" spans="1:10">
      <c r="A785" s="19">
        <v>35569</v>
      </c>
      <c r="B785" s="18" t="s">
        <v>26</v>
      </c>
      <c r="C785" s="18" t="s">
        <v>27</v>
      </c>
      <c r="D785" s="18" t="s">
        <v>28</v>
      </c>
      <c r="E785" s="18" t="s">
        <v>33</v>
      </c>
      <c r="F785" s="18" t="s">
        <v>51</v>
      </c>
      <c r="G785" s="18" t="s">
        <v>43</v>
      </c>
      <c r="H785" s="18">
        <v>263.5</v>
      </c>
      <c r="I785" s="20">
        <v>4</v>
      </c>
      <c r="J785" s="21">
        <v>1054</v>
      </c>
    </row>
    <row r="786" spans="1:10">
      <c r="A786" s="19">
        <v>35569</v>
      </c>
      <c r="B786" s="18" t="s">
        <v>26</v>
      </c>
      <c r="C786" s="18" t="s">
        <v>32</v>
      </c>
      <c r="D786" s="18" t="s">
        <v>28</v>
      </c>
      <c r="E786" s="18" t="s">
        <v>35</v>
      </c>
      <c r="F786" s="18" t="s">
        <v>45</v>
      </c>
      <c r="G786" s="18" t="s">
        <v>38</v>
      </c>
      <c r="H786" s="18">
        <v>12.5</v>
      </c>
      <c r="I786" s="20">
        <v>35</v>
      </c>
      <c r="J786" s="21">
        <v>437.5</v>
      </c>
    </row>
    <row r="787" spans="1:10">
      <c r="A787" s="19">
        <v>35569</v>
      </c>
      <c r="B787" s="18" t="s">
        <v>26</v>
      </c>
      <c r="C787" s="18" t="s">
        <v>34</v>
      </c>
      <c r="D787" s="18" t="s">
        <v>28</v>
      </c>
      <c r="E787" s="18" t="s">
        <v>29</v>
      </c>
      <c r="F787" s="18" t="s">
        <v>45</v>
      </c>
      <c r="G787" s="18" t="s">
        <v>38</v>
      </c>
      <c r="H787" s="18">
        <v>31.23</v>
      </c>
      <c r="I787" s="20">
        <v>40</v>
      </c>
      <c r="J787" s="21">
        <v>1249.2</v>
      </c>
    </row>
    <row r="788" spans="1:10">
      <c r="A788" s="19">
        <v>35569</v>
      </c>
      <c r="B788" s="18" t="s">
        <v>26</v>
      </c>
      <c r="C788" s="18" t="s">
        <v>36</v>
      </c>
      <c r="D788" s="18" t="s">
        <v>28</v>
      </c>
      <c r="E788" s="18" t="s">
        <v>33</v>
      </c>
      <c r="F788" s="18" t="s">
        <v>51</v>
      </c>
      <c r="G788" s="18" t="s">
        <v>43</v>
      </c>
      <c r="H788" s="18">
        <v>4.5</v>
      </c>
      <c r="I788" s="20">
        <v>35</v>
      </c>
      <c r="J788" s="21">
        <v>157.5</v>
      </c>
    </row>
    <row r="789" spans="1:10">
      <c r="A789" s="19">
        <v>35569</v>
      </c>
      <c r="B789" s="18" t="s">
        <v>39</v>
      </c>
      <c r="C789" s="18" t="s">
        <v>40</v>
      </c>
      <c r="D789" s="18" t="s">
        <v>28</v>
      </c>
      <c r="E789" s="18" t="s">
        <v>35</v>
      </c>
      <c r="F789" s="18" t="s">
        <v>51</v>
      </c>
      <c r="G789" s="18" t="s">
        <v>43</v>
      </c>
      <c r="H789" s="18">
        <v>21.5</v>
      </c>
      <c r="I789" s="20">
        <v>9</v>
      </c>
      <c r="J789" s="21">
        <v>193.5</v>
      </c>
    </row>
    <row r="790" spans="1:10">
      <c r="A790" s="19">
        <v>35570</v>
      </c>
      <c r="B790" s="18" t="s">
        <v>39</v>
      </c>
      <c r="C790" s="18" t="s">
        <v>41</v>
      </c>
      <c r="D790" s="18" t="s">
        <v>28</v>
      </c>
      <c r="E790" s="18" t="s">
        <v>29</v>
      </c>
      <c r="F790" s="18" t="s">
        <v>49</v>
      </c>
      <c r="G790" s="18" t="s">
        <v>38</v>
      </c>
      <c r="H790" s="18">
        <v>21</v>
      </c>
      <c r="I790" s="20">
        <v>15</v>
      </c>
      <c r="J790" s="21">
        <v>315</v>
      </c>
    </row>
    <row r="791" spans="1:10">
      <c r="A791" s="19">
        <v>35570</v>
      </c>
      <c r="B791" s="18" t="s">
        <v>39</v>
      </c>
      <c r="C791" s="18" t="s">
        <v>44</v>
      </c>
      <c r="D791" s="18" t="s">
        <v>28</v>
      </c>
      <c r="E791" s="18" t="s">
        <v>33</v>
      </c>
      <c r="F791" s="18" t="s">
        <v>49</v>
      </c>
      <c r="G791" s="18" t="s">
        <v>38</v>
      </c>
      <c r="H791" s="18">
        <v>7.45</v>
      </c>
      <c r="I791" s="20">
        <v>24</v>
      </c>
      <c r="J791" s="21">
        <v>178.8</v>
      </c>
    </row>
    <row r="792" spans="1:10">
      <c r="A792" s="19">
        <v>35571</v>
      </c>
      <c r="B792" s="18" t="s">
        <v>39</v>
      </c>
      <c r="C792" s="18" t="s">
        <v>46</v>
      </c>
      <c r="D792" s="18" t="s">
        <v>28</v>
      </c>
      <c r="E792" s="18" t="s">
        <v>35</v>
      </c>
      <c r="F792" s="18" t="s">
        <v>50</v>
      </c>
      <c r="G792" s="18" t="s">
        <v>31</v>
      </c>
      <c r="H792" s="18">
        <v>38</v>
      </c>
      <c r="I792" s="20">
        <v>30</v>
      </c>
      <c r="J792" s="21">
        <v>1140</v>
      </c>
    </row>
    <row r="793" spans="1:10">
      <c r="A793" s="19">
        <v>35571</v>
      </c>
      <c r="B793" s="18" t="s">
        <v>39</v>
      </c>
      <c r="C793" s="18" t="s">
        <v>47</v>
      </c>
      <c r="D793" s="18" t="s">
        <v>28</v>
      </c>
      <c r="E793" s="18" t="s">
        <v>29</v>
      </c>
      <c r="F793" s="18" t="s">
        <v>42</v>
      </c>
      <c r="G793" s="18" t="s">
        <v>43</v>
      </c>
      <c r="H793" s="18">
        <v>45.6</v>
      </c>
      <c r="I793" s="20">
        <v>7</v>
      </c>
      <c r="J793" s="21">
        <v>319.2</v>
      </c>
    </row>
    <row r="794" spans="1:10">
      <c r="A794" s="19">
        <v>35571</v>
      </c>
      <c r="B794" s="18" t="s">
        <v>26</v>
      </c>
      <c r="C794" s="18" t="s">
        <v>27</v>
      </c>
      <c r="D794" s="18" t="s">
        <v>28</v>
      </c>
      <c r="E794" s="18" t="s">
        <v>33</v>
      </c>
      <c r="F794" s="18" t="s">
        <v>42</v>
      </c>
      <c r="G794" s="18" t="s">
        <v>43</v>
      </c>
      <c r="H794" s="18">
        <v>14</v>
      </c>
      <c r="I794" s="20">
        <v>7</v>
      </c>
      <c r="J794" s="21">
        <v>98</v>
      </c>
    </row>
    <row r="795" spans="1:10">
      <c r="A795" s="19">
        <v>35571</v>
      </c>
      <c r="B795" s="18" t="s">
        <v>26</v>
      </c>
      <c r="C795" s="18" t="s">
        <v>32</v>
      </c>
      <c r="D795" s="18" t="s">
        <v>28</v>
      </c>
      <c r="E795" s="18" t="s">
        <v>35</v>
      </c>
      <c r="F795" s="18" t="s">
        <v>50</v>
      </c>
      <c r="G795" s="18" t="s">
        <v>31</v>
      </c>
      <c r="H795" s="18">
        <v>9</v>
      </c>
      <c r="I795" s="20">
        <v>70</v>
      </c>
      <c r="J795" s="21">
        <v>630</v>
      </c>
    </row>
    <row r="796" spans="1:10">
      <c r="A796" s="19">
        <v>35572</v>
      </c>
      <c r="B796" s="18" t="s">
        <v>26</v>
      </c>
      <c r="C796" s="18" t="s">
        <v>34</v>
      </c>
      <c r="D796" s="18" t="s">
        <v>28</v>
      </c>
      <c r="E796" s="18" t="s">
        <v>29</v>
      </c>
      <c r="F796" s="18" t="s">
        <v>50</v>
      </c>
      <c r="G796" s="18" t="s">
        <v>31</v>
      </c>
      <c r="H796" s="18">
        <v>21</v>
      </c>
      <c r="I796" s="20">
        <v>10</v>
      </c>
      <c r="J796" s="21">
        <v>210</v>
      </c>
    </row>
    <row r="797" spans="1:10">
      <c r="A797" s="19">
        <v>35573</v>
      </c>
      <c r="B797" s="18" t="s">
        <v>26</v>
      </c>
      <c r="C797" s="18" t="s">
        <v>36</v>
      </c>
      <c r="D797" s="18" t="s">
        <v>28</v>
      </c>
      <c r="E797" s="18" t="s">
        <v>33</v>
      </c>
      <c r="F797" s="18" t="s">
        <v>45</v>
      </c>
      <c r="G797" s="18" t="s">
        <v>38</v>
      </c>
      <c r="H797" s="18">
        <v>32</v>
      </c>
      <c r="I797" s="20">
        <v>24</v>
      </c>
      <c r="J797" s="21">
        <v>768</v>
      </c>
    </row>
    <row r="798" spans="1:10">
      <c r="A798" s="19">
        <v>35573</v>
      </c>
      <c r="B798" s="18" t="s">
        <v>39</v>
      </c>
      <c r="C798" s="18" t="s">
        <v>40</v>
      </c>
      <c r="D798" s="18" t="s">
        <v>28</v>
      </c>
      <c r="E798" s="18" t="s">
        <v>35</v>
      </c>
      <c r="F798" s="18" t="s">
        <v>49</v>
      </c>
      <c r="G798" s="18" t="s">
        <v>38</v>
      </c>
      <c r="H798" s="18">
        <v>30</v>
      </c>
      <c r="I798" s="20">
        <v>10</v>
      </c>
      <c r="J798" s="21">
        <v>300</v>
      </c>
    </row>
    <row r="799" spans="1:10">
      <c r="A799" s="19">
        <v>35573</v>
      </c>
      <c r="B799" s="18" t="s">
        <v>39</v>
      </c>
      <c r="C799" s="18" t="s">
        <v>41</v>
      </c>
      <c r="D799" s="18" t="s">
        <v>28</v>
      </c>
      <c r="E799" s="18" t="s">
        <v>29</v>
      </c>
      <c r="F799" s="18" t="s">
        <v>49</v>
      </c>
      <c r="G799" s="18" t="s">
        <v>38</v>
      </c>
      <c r="H799" s="18">
        <v>18</v>
      </c>
      <c r="I799" s="20">
        <v>30</v>
      </c>
      <c r="J799" s="21">
        <v>540</v>
      </c>
    </row>
    <row r="800" spans="1:10">
      <c r="A800" s="19">
        <v>35573</v>
      </c>
      <c r="B800" s="18" t="s">
        <v>39</v>
      </c>
      <c r="C800" s="18" t="s">
        <v>44</v>
      </c>
      <c r="D800" s="18" t="s">
        <v>28</v>
      </c>
      <c r="E800" s="18" t="s">
        <v>29</v>
      </c>
      <c r="F800" s="18" t="s">
        <v>49</v>
      </c>
      <c r="G800" s="18" t="s">
        <v>38</v>
      </c>
      <c r="H800" s="18">
        <v>49.3</v>
      </c>
      <c r="I800" s="20">
        <v>40</v>
      </c>
      <c r="J800" s="21">
        <v>1972</v>
      </c>
    </row>
    <row r="801" spans="1:10">
      <c r="A801" s="19">
        <v>35573</v>
      </c>
      <c r="B801" s="18" t="s">
        <v>39</v>
      </c>
      <c r="C801" s="18" t="s">
        <v>46</v>
      </c>
      <c r="D801" s="18" t="s">
        <v>28</v>
      </c>
      <c r="E801" s="18" t="s">
        <v>33</v>
      </c>
      <c r="F801" s="18" t="s">
        <v>45</v>
      </c>
      <c r="G801" s="18" t="s">
        <v>38</v>
      </c>
      <c r="H801" s="18">
        <v>19</v>
      </c>
      <c r="I801" s="20">
        <v>60</v>
      </c>
      <c r="J801" s="21">
        <v>1140</v>
      </c>
    </row>
    <row r="802" spans="1:10">
      <c r="A802" s="19">
        <v>35576</v>
      </c>
      <c r="B802" s="18" t="s">
        <v>39</v>
      </c>
      <c r="C802" s="18" t="s">
        <v>47</v>
      </c>
      <c r="D802" s="18" t="s">
        <v>28</v>
      </c>
      <c r="E802" s="18" t="s">
        <v>35</v>
      </c>
      <c r="F802" s="18" t="s">
        <v>45</v>
      </c>
      <c r="G802" s="18" t="s">
        <v>38</v>
      </c>
      <c r="H802" s="18">
        <v>14</v>
      </c>
      <c r="I802" s="20">
        <v>10</v>
      </c>
      <c r="J802" s="21">
        <v>140</v>
      </c>
    </row>
    <row r="803" spans="1:10">
      <c r="A803" s="19">
        <v>35576</v>
      </c>
      <c r="B803" s="18" t="s">
        <v>26</v>
      </c>
      <c r="C803" s="18" t="s">
        <v>27</v>
      </c>
      <c r="D803" s="18" t="s">
        <v>28</v>
      </c>
      <c r="E803" s="18" t="s">
        <v>29</v>
      </c>
      <c r="F803" s="18" t="s">
        <v>45</v>
      </c>
      <c r="G803" s="18" t="s">
        <v>38</v>
      </c>
      <c r="H803" s="18">
        <v>9.65</v>
      </c>
      <c r="I803" s="20">
        <v>14</v>
      </c>
      <c r="J803" s="21">
        <v>135.1</v>
      </c>
    </row>
    <row r="804" spans="1:10">
      <c r="A804" s="19">
        <v>35577</v>
      </c>
      <c r="B804" s="18" t="s">
        <v>26</v>
      </c>
      <c r="C804" s="18" t="s">
        <v>32</v>
      </c>
      <c r="D804" s="18" t="s">
        <v>28</v>
      </c>
      <c r="E804" s="18" t="s">
        <v>33</v>
      </c>
      <c r="F804" s="18" t="s">
        <v>30</v>
      </c>
      <c r="G804" s="18" t="s">
        <v>31</v>
      </c>
      <c r="H804" s="18">
        <v>12.5</v>
      </c>
      <c r="I804" s="20">
        <v>55</v>
      </c>
      <c r="J804" s="21">
        <v>687.5</v>
      </c>
    </row>
    <row r="805" spans="1:10">
      <c r="A805" s="19">
        <v>35577</v>
      </c>
      <c r="B805" s="18" t="s">
        <v>26</v>
      </c>
      <c r="C805" s="18" t="s">
        <v>34</v>
      </c>
      <c r="D805" s="18" t="s">
        <v>28</v>
      </c>
      <c r="E805" s="18" t="s">
        <v>35</v>
      </c>
      <c r="F805" s="18" t="s">
        <v>30</v>
      </c>
      <c r="G805" s="18" t="s">
        <v>31</v>
      </c>
      <c r="H805" s="18">
        <v>9.5</v>
      </c>
      <c r="I805" s="20">
        <v>100</v>
      </c>
      <c r="J805" s="21">
        <v>950</v>
      </c>
    </row>
    <row r="806" spans="1:10">
      <c r="A806" s="19">
        <v>35577</v>
      </c>
      <c r="B806" s="18" t="s">
        <v>26</v>
      </c>
      <c r="C806" s="18" t="s">
        <v>36</v>
      </c>
      <c r="D806" s="18" t="s">
        <v>28</v>
      </c>
      <c r="E806" s="18" t="s">
        <v>29</v>
      </c>
      <c r="F806" s="18" t="s">
        <v>30</v>
      </c>
      <c r="G806" s="18" t="s">
        <v>31</v>
      </c>
      <c r="H806" s="18">
        <v>53</v>
      </c>
      <c r="I806" s="20">
        <v>48</v>
      </c>
      <c r="J806" s="21">
        <v>2544</v>
      </c>
    </row>
    <row r="807" spans="1:10">
      <c r="A807" s="19">
        <v>35578</v>
      </c>
      <c r="B807" s="18" t="s">
        <v>39</v>
      </c>
      <c r="C807" s="18" t="s">
        <v>40</v>
      </c>
      <c r="D807" s="18" t="s">
        <v>28</v>
      </c>
      <c r="E807" s="18" t="s">
        <v>33</v>
      </c>
      <c r="F807" s="18" t="s">
        <v>42</v>
      </c>
      <c r="G807" s="18" t="s">
        <v>43</v>
      </c>
      <c r="H807" s="18">
        <v>17.45</v>
      </c>
      <c r="I807" s="20">
        <v>40</v>
      </c>
      <c r="J807" s="21">
        <v>698</v>
      </c>
    </row>
    <row r="808" spans="1:10">
      <c r="A808" s="19">
        <v>35578</v>
      </c>
      <c r="B808" s="18" t="s">
        <v>39</v>
      </c>
      <c r="C808" s="18" t="s">
        <v>41</v>
      </c>
      <c r="D808" s="18" t="s">
        <v>28</v>
      </c>
      <c r="E808" s="18" t="s">
        <v>35</v>
      </c>
      <c r="F808" s="18" t="s">
        <v>52</v>
      </c>
      <c r="G808" s="18" t="s">
        <v>31</v>
      </c>
      <c r="H808" s="18">
        <v>28.5</v>
      </c>
      <c r="I808" s="20">
        <v>10</v>
      </c>
      <c r="J808" s="21">
        <v>285</v>
      </c>
    </row>
    <row r="809" spans="1:10">
      <c r="A809" s="19">
        <v>35578</v>
      </c>
      <c r="B809" s="18" t="s">
        <v>39</v>
      </c>
      <c r="C809" s="18" t="s">
        <v>44</v>
      </c>
      <c r="D809" s="18" t="s">
        <v>28</v>
      </c>
      <c r="E809" s="18" t="s">
        <v>29</v>
      </c>
      <c r="F809" s="18" t="s">
        <v>42</v>
      </c>
      <c r="G809" s="18" t="s">
        <v>43</v>
      </c>
      <c r="H809" s="18">
        <v>19.45</v>
      </c>
      <c r="I809" s="20">
        <v>40</v>
      </c>
      <c r="J809" s="21">
        <v>778</v>
      </c>
    </row>
    <row r="810" spans="1:10">
      <c r="A810" s="19">
        <v>35578</v>
      </c>
      <c r="B810" s="18" t="s">
        <v>39</v>
      </c>
      <c r="C810" s="18" t="s">
        <v>46</v>
      </c>
      <c r="D810" s="18" t="s">
        <v>28</v>
      </c>
      <c r="E810" s="18" t="s">
        <v>33</v>
      </c>
      <c r="F810" s="18" t="s">
        <v>52</v>
      </c>
      <c r="G810" s="18" t="s">
        <v>31</v>
      </c>
      <c r="H810" s="18">
        <v>10</v>
      </c>
      <c r="I810" s="20">
        <v>6</v>
      </c>
      <c r="J810" s="21">
        <v>60</v>
      </c>
    </row>
    <row r="811" spans="1:10">
      <c r="A811" s="19">
        <v>35578</v>
      </c>
      <c r="B811" s="18" t="s">
        <v>39</v>
      </c>
      <c r="C811" s="18" t="s">
        <v>47</v>
      </c>
      <c r="D811" s="18" t="s">
        <v>28</v>
      </c>
      <c r="E811" s="18" t="s">
        <v>35</v>
      </c>
      <c r="F811" s="18" t="s">
        <v>42</v>
      </c>
      <c r="G811" s="18" t="s">
        <v>43</v>
      </c>
      <c r="H811" s="18">
        <v>18</v>
      </c>
      <c r="I811" s="20">
        <v>20</v>
      </c>
      <c r="J811" s="21">
        <v>360</v>
      </c>
    </row>
    <row r="812" spans="1:10">
      <c r="A812" s="19">
        <v>35578</v>
      </c>
      <c r="B812" s="18" t="s">
        <v>26</v>
      </c>
      <c r="C812" s="18" t="s">
        <v>27</v>
      </c>
      <c r="D812" s="18" t="s">
        <v>28</v>
      </c>
      <c r="E812" s="18" t="s">
        <v>29</v>
      </c>
      <c r="F812" s="18" t="s">
        <v>52</v>
      </c>
      <c r="G812" s="18" t="s">
        <v>31</v>
      </c>
      <c r="H812" s="18">
        <v>9.1999999999999993</v>
      </c>
      <c r="I812" s="20">
        <v>10</v>
      </c>
      <c r="J812" s="21">
        <v>92</v>
      </c>
    </row>
    <row r="813" spans="1:10">
      <c r="A813" s="19">
        <v>35578</v>
      </c>
      <c r="B813" s="18" t="s">
        <v>26</v>
      </c>
      <c r="C813" s="18" t="s">
        <v>32</v>
      </c>
      <c r="D813" s="18" t="s">
        <v>28</v>
      </c>
      <c r="E813" s="18" t="s">
        <v>33</v>
      </c>
      <c r="F813" s="18" t="s">
        <v>52</v>
      </c>
      <c r="G813" s="18" t="s">
        <v>31</v>
      </c>
      <c r="H813" s="18">
        <v>39</v>
      </c>
      <c r="I813" s="20">
        <v>8</v>
      </c>
      <c r="J813" s="21">
        <v>312</v>
      </c>
    </row>
    <row r="814" spans="1:10">
      <c r="A814" s="19">
        <v>35579</v>
      </c>
      <c r="B814" s="18" t="s">
        <v>26</v>
      </c>
      <c r="C814" s="18" t="s">
        <v>34</v>
      </c>
      <c r="D814" s="18" t="s">
        <v>28</v>
      </c>
      <c r="E814" s="18" t="s">
        <v>35</v>
      </c>
      <c r="F814" s="18" t="s">
        <v>51</v>
      </c>
      <c r="G814" s="18" t="s">
        <v>43</v>
      </c>
      <c r="H814" s="18">
        <v>36</v>
      </c>
      <c r="I814" s="20">
        <v>18</v>
      </c>
      <c r="J814" s="21">
        <v>648</v>
      </c>
    </row>
    <row r="815" spans="1:10">
      <c r="A815" s="19">
        <v>35579</v>
      </c>
      <c r="B815" s="18" t="s">
        <v>26</v>
      </c>
      <c r="C815" s="18" t="s">
        <v>36</v>
      </c>
      <c r="D815" s="18" t="s">
        <v>28</v>
      </c>
      <c r="E815" s="18" t="s">
        <v>29</v>
      </c>
      <c r="F815" s="18" t="s">
        <v>51</v>
      </c>
      <c r="G815" s="18" t="s">
        <v>43</v>
      </c>
      <c r="H815" s="18">
        <v>7.75</v>
      </c>
      <c r="I815" s="20">
        <v>30</v>
      </c>
      <c r="J815" s="21">
        <v>232.5</v>
      </c>
    </row>
    <row r="816" spans="1:10">
      <c r="A816" s="19">
        <v>35580</v>
      </c>
      <c r="B816" s="18" t="s">
        <v>39</v>
      </c>
      <c r="C816" s="18" t="s">
        <v>40</v>
      </c>
      <c r="D816" s="18" t="s">
        <v>28</v>
      </c>
      <c r="E816" s="18" t="s">
        <v>33</v>
      </c>
      <c r="F816" s="18" t="s">
        <v>51</v>
      </c>
      <c r="G816" s="18" t="s">
        <v>43</v>
      </c>
      <c r="H816" s="18">
        <v>17.45</v>
      </c>
      <c r="I816" s="20">
        <v>14</v>
      </c>
      <c r="J816" s="21">
        <v>244.29999999999998</v>
      </c>
    </row>
    <row r="817" spans="1:10">
      <c r="A817" s="19">
        <v>35580</v>
      </c>
      <c r="B817" s="18" t="s">
        <v>39</v>
      </c>
      <c r="C817" s="18" t="s">
        <v>41</v>
      </c>
      <c r="D817" s="18" t="s">
        <v>28</v>
      </c>
      <c r="E817" s="18" t="s">
        <v>35</v>
      </c>
      <c r="F817" s="18" t="s">
        <v>42</v>
      </c>
      <c r="G817" s="18" t="s">
        <v>43</v>
      </c>
      <c r="H817" s="18">
        <v>17.45</v>
      </c>
      <c r="I817" s="20">
        <v>30</v>
      </c>
      <c r="J817" s="21">
        <v>523.5</v>
      </c>
    </row>
    <row r="818" spans="1:10">
      <c r="A818" s="19">
        <v>35580</v>
      </c>
      <c r="B818" s="18" t="s">
        <v>39</v>
      </c>
      <c r="C818" s="18" t="s">
        <v>44</v>
      </c>
      <c r="D818" s="18" t="s">
        <v>28</v>
      </c>
      <c r="E818" s="18" t="s">
        <v>29</v>
      </c>
      <c r="F818" s="18" t="s">
        <v>51</v>
      </c>
      <c r="G818" s="18" t="s">
        <v>43</v>
      </c>
      <c r="H818" s="18">
        <v>21</v>
      </c>
      <c r="I818" s="20">
        <v>15</v>
      </c>
      <c r="J818" s="21">
        <v>315</v>
      </c>
    </row>
    <row r="819" spans="1:10">
      <c r="A819" s="19">
        <v>35580</v>
      </c>
      <c r="B819" s="18" t="s">
        <v>39</v>
      </c>
      <c r="C819" s="18" t="s">
        <v>46</v>
      </c>
      <c r="D819" s="18" t="s">
        <v>28</v>
      </c>
      <c r="E819" s="18" t="s">
        <v>29</v>
      </c>
      <c r="F819" s="18" t="s">
        <v>42</v>
      </c>
      <c r="G819" s="18" t="s">
        <v>43</v>
      </c>
      <c r="H819" s="18">
        <v>13</v>
      </c>
      <c r="I819" s="20">
        <v>10</v>
      </c>
      <c r="J819" s="21">
        <v>130</v>
      </c>
    </row>
    <row r="820" spans="1:10">
      <c r="A820" s="19">
        <v>35580</v>
      </c>
      <c r="B820" s="18" t="s">
        <v>39</v>
      </c>
      <c r="C820" s="18" t="s">
        <v>47</v>
      </c>
      <c r="D820" s="18" t="s">
        <v>28</v>
      </c>
      <c r="E820" s="18" t="s">
        <v>33</v>
      </c>
      <c r="F820" s="18" t="s">
        <v>51</v>
      </c>
      <c r="G820" s="18" t="s">
        <v>43</v>
      </c>
      <c r="H820" s="18">
        <v>18</v>
      </c>
      <c r="I820" s="20">
        <v>6</v>
      </c>
      <c r="J820" s="21">
        <v>108</v>
      </c>
    </row>
    <row r="821" spans="1:10">
      <c r="A821" s="19">
        <v>35580</v>
      </c>
      <c r="B821" s="18" t="s">
        <v>26</v>
      </c>
      <c r="C821" s="18" t="s">
        <v>27</v>
      </c>
      <c r="D821" s="18" t="s">
        <v>28</v>
      </c>
      <c r="E821" s="18" t="s">
        <v>35</v>
      </c>
      <c r="F821" s="18" t="s">
        <v>51</v>
      </c>
      <c r="G821" s="18" t="s">
        <v>43</v>
      </c>
      <c r="H821" s="18">
        <v>21</v>
      </c>
      <c r="I821" s="20">
        <v>24</v>
      </c>
      <c r="J821" s="21">
        <v>504</v>
      </c>
    </row>
    <row r="822" spans="1:10">
      <c r="A822" s="19">
        <v>35580</v>
      </c>
      <c r="B822" s="18" t="s">
        <v>26</v>
      </c>
      <c r="C822" s="18" t="s">
        <v>32</v>
      </c>
      <c r="D822" s="18" t="s">
        <v>28</v>
      </c>
      <c r="E822" s="18" t="s">
        <v>29</v>
      </c>
      <c r="F822" s="18" t="s">
        <v>42</v>
      </c>
      <c r="G822" s="18" t="s">
        <v>43</v>
      </c>
      <c r="H822" s="18">
        <v>49.3</v>
      </c>
      <c r="I822" s="20">
        <v>20</v>
      </c>
      <c r="J822" s="21">
        <v>986</v>
      </c>
    </row>
    <row r="823" spans="1:10">
      <c r="A823" s="19">
        <v>35580</v>
      </c>
      <c r="B823" s="18" t="s">
        <v>26</v>
      </c>
      <c r="C823" s="18" t="s">
        <v>34</v>
      </c>
      <c r="D823" s="18" t="s">
        <v>28</v>
      </c>
      <c r="E823" s="18" t="s">
        <v>33</v>
      </c>
      <c r="F823" s="18" t="s">
        <v>51</v>
      </c>
      <c r="G823" s="18" t="s">
        <v>43</v>
      </c>
      <c r="H823" s="18">
        <v>12.5</v>
      </c>
      <c r="I823" s="20">
        <v>30</v>
      </c>
      <c r="J823" s="21">
        <v>375</v>
      </c>
    </row>
    <row r="824" spans="1:10">
      <c r="A824" s="19">
        <v>35580</v>
      </c>
      <c r="B824" s="18" t="s">
        <v>26</v>
      </c>
      <c r="C824" s="18" t="s">
        <v>36</v>
      </c>
      <c r="D824" s="18" t="s">
        <v>28</v>
      </c>
      <c r="E824" s="18" t="s">
        <v>35</v>
      </c>
      <c r="F824" s="18" t="s">
        <v>42</v>
      </c>
      <c r="G824" s="18" t="s">
        <v>43</v>
      </c>
      <c r="H824" s="18">
        <v>9</v>
      </c>
      <c r="I824" s="20">
        <v>20</v>
      </c>
      <c r="J824" s="21">
        <v>180</v>
      </c>
    </row>
    <row r="825" spans="1:10">
      <c r="A825" s="19">
        <v>35583</v>
      </c>
      <c r="B825" s="18" t="s">
        <v>39</v>
      </c>
      <c r="C825" s="18" t="s">
        <v>40</v>
      </c>
      <c r="D825" s="18" t="s">
        <v>28</v>
      </c>
      <c r="E825" s="18" t="s">
        <v>29</v>
      </c>
      <c r="F825" s="18" t="s">
        <v>37</v>
      </c>
      <c r="G825" s="18" t="s">
        <v>38</v>
      </c>
      <c r="H825" s="18">
        <v>38</v>
      </c>
      <c r="I825" s="20">
        <v>40</v>
      </c>
      <c r="J825" s="21">
        <v>1520</v>
      </c>
    </row>
    <row r="826" spans="1:10">
      <c r="A826" s="19">
        <v>35583</v>
      </c>
      <c r="B826" s="18" t="s">
        <v>39</v>
      </c>
      <c r="C826" s="18" t="s">
        <v>41</v>
      </c>
      <c r="D826" s="18" t="s">
        <v>28</v>
      </c>
      <c r="E826" s="18" t="s">
        <v>33</v>
      </c>
      <c r="F826" s="18" t="s">
        <v>37</v>
      </c>
      <c r="G826" s="18" t="s">
        <v>38</v>
      </c>
      <c r="H826" s="18">
        <v>4.5</v>
      </c>
      <c r="I826" s="20">
        <v>18</v>
      </c>
      <c r="J826" s="21">
        <v>81</v>
      </c>
    </row>
    <row r="827" spans="1:10">
      <c r="A827" s="19">
        <v>35583</v>
      </c>
      <c r="B827" s="18" t="s">
        <v>39</v>
      </c>
      <c r="C827" s="18" t="s">
        <v>44</v>
      </c>
      <c r="D827" s="18" t="s">
        <v>28</v>
      </c>
      <c r="E827" s="18" t="s">
        <v>35</v>
      </c>
      <c r="F827" s="18" t="s">
        <v>37</v>
      </c>
      <c r="G827" s="18" t="s">
        <v>38</v>
      </c>
      <c r="H827" s="18">
        <v>23.25</v>
      </c>
      <c r="I827" s="20">
        <v>30</v>
      </c>
      <c r="J827" s="21">
        <v>697.5</v>
      </c>
    </row>
    <row r="828" spans="1:10">
      <c r="A828" s="19">
        <v>35583</v>
      </c>
      <c r="B828" s="18" t="s">
        <v>39</v>
      </c>
      <c r="C828" s="18" t="s">
        <v>46</v>
      </c>
      <c r="D828" s="18" t="s">
        <v>28</v>
      </c>
      <c r="E828" s="18" t="s">
        <v>29</v>
      </c>
      <c r="F828" s="18" t="s">
        <v>37</v>
      </c>
      <c r="G828" s="18" t="s">
        <v>38</v>
      </c>
      <c r="H828" s="18">
        <v>9.1999999999999993</v>
      </c>
      <c r="I828" s="20">
        <v>35</v>
      </c>
      <c r="J828" s="21">
        <v>322</v>
      </c>
    </row>
    <row r="829" spans="1:10">
      <c r="A829" s="19">
        <v>35583</v>
      </c>
      <c r="B829" s="18" t="s">
        <v>39</v>
      </c>
      <c r="C829" s="18" t="s">
        <v>47</v>
      </c>
      <c r="D829" s="18" t="s">
        <v>28</v>
      </c>
      <c r="E829" s="18" t="s">
        <v>33</v>
      </c>
      <c r="F829" s="18" t="s">
        <v>37</v>
      </c>
      <c r="G829" s="18" t="s">
        <v>38</v>
      </c>
      <c r="H829" s="18">
        <v>53</v>
      </c>
      <c r="I829" s="20">
        <v>20</v>
      </c>
      <c r="J829" s="21">
        <v>1060</v>
      </c>
    </row>
    <row r="830" spans="1:10">
      <c r="A830" s="19">
        <v>35584</v>
      </c>
      <c r="B830" s="18" t="s">
        <v>26</v>
      </c>
      <c r="C830" s="18" t="s">
        <v>27</v>
      </c>
      <c r="D830" s="18" t="s">
        <v>28</v>
      </c>
      <c r="E830" s="18" t="s">
        <v>35</v>
      </c>
      <c r="F830" s="18" t="s">
        <v>48</v>
      </c>
      <c r="G830" s="18" t="s">
        <v>31</v>
      </c>
      <c r="H830" s="18">
        <v>33.25</v>
      </c>
      <c r="I830" s="20">
        <v>30</v>
      </c>
      <c r="J830" s="21">
        <v>997.5</v>
      </c>
    </row>
    <row r="831" spans="1:10">
      <c r="A831" s="19">
        <v>35584</v>
      </c>
      <c r="B831" s="18" t="s">
        <v>26</v>
      </c>
      <c r="C831" s="18" t="s">
        <v>32</v>
      </c>
      <c r="D831" s="18" t="s">
        <v>28</v>
      </c>
      <c r="E831" s="18" t="s">
        <v>29</v>
      </c>
      <c r="F831" s="18" t="s">
        <v>48</v>
      </c>
      <c r="G831" s="18" t="s">
        <v>31</v>
      </c>
      <c r="H831" s="18">
        <v>7.75</v>
      </c>
      <c r="I831" s="20">
        <v>20</v>
      </c>
      <c r="J831" s="21">
        <v>155</v>
      </c>
    </row>
    <row r="832" spans="1:10">
      <c r="A832" s="19">
        <v>35584</v>
      </c>
      <c r="B832" s="18" t="s">
        <v>26</v>
      </c>
      <c r="C832" s="18" t="s">
        <v>34</v>
      </c>
      <c r="D832" s="18" t="s">
        <v>28</v>
      </c>
      <c r="E832" s="18" t="s">
        <v>33</v>
      </c>
      <c r="F832" s="18" t="s">
        <v>51</v>
      </c>
      <c r="G832" s="18" t="s">
        <v>43</v>
      </c>
      <c r="H832" s="18">
        <v>34.799999999999997</v>
      </c>
      <c r="I832" s="20">
        <v>24</v>
      </c>
      <c r="J832" s="21">
        <v>835.19999999999993</v>
      </c>
    </row>
    <row r="833" spans="1:10">
      <c r="A833" s="19">
        <v>35585</v>
      </c>
      <c r="B833" s="18" t="s">
        <v>26</v>
      </c>
      <c r="C833" s="18" t="s">
        <v>36</v>
      </c>
      <c r="D833" s="18" t="s">
        <v>28</v>
      </c>
      <c r="E833" s="18" t="s">
        <v>35</v>
      </c>
      <c r="F833" s="18" t="s">
        <v>49</v>
      </c>
      <c r="G833" s="18" t="s">
        <v>38</v>
      </c>
      <c r="H833" s="18">
        <v>9.5</v>
      </c>
      <c r="I833" s="20">
        <v>25</v>
      </c>
      <c r="J833" s="21">
        <v>237.5</v>
      </c>
    </row>
    <row r="834" spans="1:10">
      <c r="A834" s="19">
        <v>35585</v>
      </c>
      <c r="B834" s="18" t="s">
        <v>39</v>
      </c>
      <c r="C834" s="18" t="s">
        <v>40</v>
      </c>
      <c r="D834" s="18" t="s">
        <v>28</v>
      </c>
      <c r="E834" s="18" t="s">
        <v>29</v>
      </c>
      <c r="F834" s="18" t="s">
        <v>49</v>
      </c>
      <c r="G834" s="18" t="s">
        <v>38</v>
      </c>
      <c r="H834" s="18">
        <v>15</v>
      </c>
      <c r="I834" s="20">
        <v>3</v>
      </c>
      <c r="J834" s="21">
        <v>45</v>
      </c>
    </row>
    <row r="835" spans="1:10">
      <c r="A835" s="19">
        <v>35585</v>
      </c>
      <c r="B835" s="18" t="s">
        <v>39</v>
      </c>
      <c r="C835" s="18" t="s">
        <v>41</v>
      </c>
      <c r="D835" s="18" t="s">
        <v>28</v>
      </c>
      <c r="E835" s="18" t="s">
        <v>33</v>
      </c>
      <c r="F835" s="18" t="s">
        <v>49</v>
      </c>
      <c r="G835" s="18" t="s">
        <v>38</v>
      </c>
      <c r="H835" s="18">
        <v>7</v>
      </c>
      <c r="I835" s="20">
        <v>30</v>
      </c>
      <c r="J835" s="21">
        <v>210</v>
      </c>
    </row>
    <row r="836" spans="1:10">
      <c r="A836" s="19">
        <v>35585</v>
      </c>
      <c r="B836" s="18" t="s">
        <v>39</v>
      </c>
      <c r="C836" s="18" t="s">
        <v>44</v>
      </c>
      <c r="D836" s="18" t="s">
        <v>28</v>
      </c>
      <c r="E836" s="18" t="s">
        <v>35</v>
      </c>
      <c r="F836" s="18" t="s">
        <v>49</v>
      </c>
      <c r="G836" s="18" t="s">
        <v>38</v>
      </c>
      <c r="H836" s="18">
        <v>32.799999999999997</v>
      </c>
      <c r="I836" s="20">
        <v>18</v>
      </c>
      <c r="J836" s="21">
        <v>590.4</v>
      </c>
    </row>
    <row r="837" spans="1:10">
      <c r="A837" s="19">
        <v>35585</v>
      </c>
      <c r="B837" s="18" t="s">
        <v>39</v>
      </c>
      <c r="C837" s="18" t="s">
        <v>46</v>
      </c>
      <c r="D837" s="18" t="s">
        <v>28</v>
      </c>
      <c r="E837" s="18" t="s">
        <v>29</v>
      </c>
      <c r="F837" s="18" t="s">
        <v>49</v>
      </c>
      <c r="G837" s="18" t="s">
        <v>38</v>
      </c>
      <c r="H837" s="18">
        <v>53</v>
      </c>
      <c r="I837" s="20">
        <v>20</v>
      </c>
      <c r="J837" s="21">
        <v>1060</v>
      </c>
    </row>
    <row r="838" spans="1:10">
      <c r="A838" s="19">
        <v>35586</v>
      </c>
      <c r="B838" s="18" t="s">
        <v>39</v>
      </c>
      <c r="C838" s="18" t="s">
        <v>47</v>
      </c>
      <c r="D838" s="18" t="s">
        <v>28</v>
      </c>
      <c r="E838" s="18" t="s">
        <v>29</v>
      </c>
      <c r="F838" s="18" t="s">
        <v>37</v>
      </c>
      <c r="G838" s="18" t="s">
        <v>38</v>
      </c>
      <c r="H838" s="18">
        <v>9.65</v>
      </c>
      <c r="I838" s="20">
        <v>12</v>
      </c>
      <c r="J838" s="21">
        <v>115.80000000000001</v>
      </c>
    </row>
    <row r="839" spans="1:10">
      <c r="A839" s="19">
        <v>35586</v>
      </c>
      <c r="B839" s="18" t="s">
        <v>26</v>
      </c>
      <c r="C839" s="18" t="s">
        <v>27</v>
      </c>
      <c r="D839" s="18" t="s">
        <v>28</v>
      </c>
      <c r="E839" s="18" t="s">
        <v>33</v>
      </c>
      <c r="F839" s="18" t="s">
        <v>37</v>
      </c>
      <c r="G839" s="18" t="s">
        <v>38</v>
      </c>
      <c r="H839" s="18">
        <v>24</v>
      </c>
      <c r="I839" s="20">
        <v>18</v>
      </c>
      <c r="J839" s="21">
        <v>432</v>
      </c>
    </row>
    <row r="840" spans="1:10">
      <c r="A840" s="19">
        <v>35587</v>
      </c>
      <c r="B840" s="18" t="s">
        <v>26</v>
      </c>
      <c r="C840" s="18" t="s">
        <v>32</v>
      </c>
      <c r="D840" s="18" t="s">
        <v>28</v>
      </c>
      <c r="E840" s="18" t="s">
        <v>35</v>
      </c>
      <c r="F840" s="18" t="s">
        <v>51</v>
      </c>
      <c r="G840" s="18" t="s">
        <v>43</v>
      </c>
      <c r="H840" s="18">
        <v>19.45</v>
      </c>
      <c r="I840" s="20">
        <v>10</v>
      </c>
      <c r="J840" s="21">
        <v>194.5</v>
      </c>
    </row>
    <row r="841" spans="1:10">
      <c r="A841" s="19">
        <v>35587</v>
      </c>
      <c r="B841" s="18" t="s">
        <v>26</v>
      </c>
      <c r="C841" s="18" t="s">
        <v>34</v>
      </c>
      <c r="D841" s="18" t="s">
        <v>28</v>
      </c>
      <c r="E841" s="18" t="s">
        <v>29</v>
      </c>
      <c r="F841" s="18" t="s">
        <v>50</v>
      </c>
      <c r="G841" s="18" t="s">
        <v>31</v>
      </c>
      <c r="H841" s="18">
        <v>25.89</v>
      </c>
      <c r="I841" s="20">
        <v>20</v>
      </c>
      <c r="J841" s="21">
        <v>517.79999999999995</v>
      </c>
    </row>
    <row r="842" spans="1:10">
      <c r="A842" s="19">
        <v>35587</v>
      </c>
      <c r="B842" s="18" t="s">
        <v>26</v>
      </c>
      <c r="C842" s="18" t="s">
        <v>36</v>
      </c>
      <c r="D842" s="18" t="s">
        <v>28</v>
      </c>
      <c r="E842" s="18" t="s">
        <v>33</v>
      </c>
      <c r="F842" s="18" t="s">
        <v>50</v>
      </c>
      <c r="G842" s="18" t="s">
        <v>31</v>
      </c>
      <c r="H842" s="18">
        <v>49.3</v>
      </c>
      <c r="I842" s="20">
        <v>15</v>
      </c>
      <c r="J842" s="21">
        <v>739.5</v>
      </c>
    </row>
    <row r="843" spans="1:10">
      <c r="A843" s="19">
        <v>35587</v>
      </c>
      <c r="B843" s="18" t="s">
        <v>39</v>
      </c>
      <c r="C843" s="18" t="s">
        <v>40</v>
      </c>
      <c r="D843" s="18" t="s">
        <v>28</v>
      </c>
      <c r="E843" s="18" t="s">
        <v>35</v>
      </c>
      <c r="F843" s="18" t="s">
        <v>51</v>
      </c>
      <c r="G843" s="18" t="s">
        <v>43</v>
      </c>
      <c r="H843" s="18">
        <v>53</v>
      </c>
      <c r="I843" s="20">
        <v>50</v>
      </c>
      <c r="J843" s="21">
        <v>2650</v>
      </c>
    </row>
    <row r="844" spans="1:10">
      <c r="A844" s="19">
        <v>35590</v>
      </c>
      <c r="B844" s="18" t="s">
        <v>39</v>
      </c>
      <c r="C844" s="18" t="s">
        <v>41</v>
      </c>
      <c r="D844" s="18" t="s">
        <v>28</v>
      </c>
      <c r="E844" s="18" t="s">
        <v>29</v>
      </c>
      <c r="F844" s="18" t="s">
        <v>49</v>
      </c>
      <c r="G844" s="18" t="s">
        <v>38</v>
      </c>
      <c r="H844" s="18">
        <v>2.5</v>
      </c>
      <c r="I844" s="20">
        <v>20</v>
      </c>
      <c r="J844" s="21">
        <v>50</v>
      </c>
    </row>
    <row r="845" spans="1:10">
      <c r="A845" s="19">
        <v>35590</v>
      </c>
      <c r="B845" s="18" t="s">
        <v>39</v>
      </c>
      <c r="C845" s="18" t="s">
        <v>44</v>
      </c>
      <c r="D845" s="18" t="s">
        <v>28</v>
      </c>
      <c r="E845" s="18" t="s">
        <v>33</v>
      </c>
      <c r="F845" s="18" t="s">
        <v>49</v>
      </c>
      <c r="G845" s="18" t="s">
        <v>38</v>
      </c>
      <c r="H845" s="18">
        <v>49.3</v>
      </c>
      <c r="I845" s="20">
        <v>10</v>
      </c>
      <c r="J845" s="21">
        <v>493</v>
      </c>
    </row>
    <row r="846" spans="1:10">
      <c r="A846" s="19">
        <v>35591</v>
      </c>
      <c r="B846" s="18" t="s">
        <v>39</v>
      </c>
      <c r="C846" s="18" t="s">
        <v>46</v>
      </c>
      <c r="D846" s="18" t="s">
        <v>28</v>
      </c>
      <c r="E846" s="18" t="s">
        <v>35</v>
      </c>
      <c r="F846" s="18" t="s">
        <v>51</v>
      </c>
      <c r="G846" s="18" t="s">
        <v>43</v>
      </c>
      <c r="H846" s="18">
        <v>7</v>
      </c>
      <c r="I846" s="20">
        <v>70</v>
      </c>
      <c r="J846" s="21">
        <v>490</v>
      </c>
    </row>
    <row r="847" spans="1:10">
      <c r="A847" s="19">
        <v>35591</v>
      </c>
      <c r="B847" s="18" t="s">
        <v>39</v>
      </c>
      <c r="C847" s="18" t="s">
        <v>47</v>
      </c>
      <c r="D847" s="18" t="s">
        <v>28</v>
      </c>
      <c r="E847" s="18" t="s">
        <v>29</v>
      </c>
      <c r="F847" s="18" t="s">
        <v>42</v>
      </c>
      <c r="G847" s="18" t="s">
        <v>43</v>
      </c>
      <c r="H847" s="18">
        <v>12.5</v>
      </c>
      <c r="I847" s="20">
        <v>6</v>
      </c>
      <c r="J847" s="21">
        <v>75</v>
      </c>
    </row>
    <row r="848" spans="1:10">
      <c r="A848" s="19">
        <v>35591</v>
      </c>
      <c r="B848" s="18" t="s">
        <v>26</v>
      </c>
      <c r="C848" s="18" t="s">
        <v>27</v>
      </c>
      <c r="D848" s="18" t="s">
        <v>28</v>
      </c>
      <c r="E848" s="18" t="s">
        <v>33</v>
      </c>
      <c r="F848" s="18" t="s">
        <v>42</v>
      </c>
      <c r="G848" s="18" t="s">
        <v>43</v>
      </c>
      <c r="H848" s="18">
        <v>24</v>
      </c>
      <c r="I848" s="20">
        <v>25</v>
      </c>
      <c r="J848" s="21">
        <v>600</v>
      </c>
    </row>
    <row r="849" spans="1:10">
      <c r="A849" s="19">
        <v>35591</v>
      </c>
      <c r="B849" s="18" t="s">
        <v>26</v>
      </c>
      <c r="C849" s="18" t="s">
        <v>32</v>
      </c>
      <c r="D849" s="18" t="s">
        <v>28</v>
      </c>
      <c r="E849" s="18" t="s">
        <v>35</v>
      </c>
      <c r="F849" s="18" t="s">
        <v>51</v>
      </c>
      <c r="G849" s="18" t="s">
        <v>43</v>
      </c>
      <c r="H849" s="18">
        <v>19</v>
      </c>
      <c r="I849" s="20">
        <v>25</v>
      </c>
      <c r="J849" s="21">
        <v>475</v>
      </c>
    </row>
    <row r="850" spans="1:10">
      <c r="A850" s="19">
        <v>35591</v>
      </c>
      <c r="B850" s="18" t="s">
        <v>26</v>
      </c>
      <c r="C850" s="18" t="s">
        <v>34</v>
      </c>
      <c r="D850" s="18" t="s">
        <v>28</v>
      </c>
      <c r="E850" s="18" t="s">
        <v>29</v>
      </c>
      <c r="F850" s="18" t="s">
        <v>42</v>
      </c>
      <c r="G850" s="18" t="s">
        <v>43</v>
      </c>
      <c r="H850" s="18">
        <v>39</v>
      </c>
      <c r="I850" s="20">
        <v>16</v>
      </c>
      <c r="J850" s="21">
        <v>624</v>
      </c>
    </row>
    <row r="851" spans="1:10">
      <c r="A851" s="19">
        <v>35592</v>
      </c>
      <c r="B851" s="18" t="s">
        <v>26</v>
      </c>
      <c r="C851" s="18" t="s">
        <v>36</v>
      </c>
      <c r="D851" s="18" t="s">
        <v>28</v>
      </c>
      <c r="E851" s="18" t="s">
        <v>33</v>
      </c>
      <c r="F851" s="18" t="s">
        <v>50</v>
      </c>
      <c r="G851" s="18" t="s">
        <v>31</v>
      </c>
      <c r="H851" s="18">
        <v>33.25</v>
      </c>
      <c r="I851" s="20">
        <v>18</v>
      </c>
      <c r="J851" s="21">
        <v>598.5</v>
      </c>
    </row>
    <row r="852" spans="1:10">
      <c r="A852" s="19">
        <v>35592</v>
      </c>
      <c r="B852" s="18" t="s">
        <v>39</v>
      </c>
      <c r="C852" s="18" t="s">
        <v>40</v>
      </c>
      <c r="D852" s="18" t="s">
        <v>28</v>
      </c>
      <c r="E852" s="18" t="s">
        <v>35</v>
      </c>
      <c r="F852" s="18" t="s">
        <v>50</v>
      </c>
      <c r="G852" s="18" t="s">
        <v>31</v>
      </c>
      <c r="H852" s="18">
        <v>4.5</v>
      </c>
      <c r="I852" s="20">
        <v>25</v>
      </c>
      <c r="J852" s="21">
        <v>112.5</v>
      </c>
    </row>
    <row r="853" spans="1:10">
      <c r="A853" s="19">
        <v>35593</v>
      </c>
      <c r="B853" s="18" t="s">
        <v>39</v>
      </c>
      <c r="C853" s="18" t="s">
        <v>41</v>
      </c>
      <c r="D853" s="18" t="s">
        <v>28</v>
      </c>
      <c r="E853" s="18" t="s">
        <v>29</v>
      </c>
      <c r="F853" s="18" t="s">
        <v>48</v>
      </c>
      <c r="G853" s="18" t="s">
        <v>31</v>
      </c>
      <c r="H853" s="18">
        <v>21</v>
      </c>
      <c r="I853" s="20">
        <v>35</v>
      </c>
      <c r="J853" s="21">
        <v>735</v>
      </c>
    </row>
    <row r="854" spans="1:10">
      <c r="A854" s="19">
        <v>35593</v>
      </c>
      <c r="B854" s="18" t="s">
        <v>39</v>
      </c>
      <c r="C854" s="18" t="s">
        <v>44</v>
      </c>
      <c r="D854" s="18" t="s">
        <v>28</v>
      </c>
      <c r="E854" s="18" t="s">
        <v>33</v>
      </c>
      <c r="F854" s="18" t="s">
        <v>49</v>
      </c>
      <c r="G854" s="18" t="s">
        <v>38</v>
      </c>
      <c r="H854" s="18">
        <v>55</v>
      </c>
      <c r="I854" s="20">
        <v>40</v>
      </c>
      <c r="J854" s="21">
        <v>2200</v>
      </c>
    </row>
    <row r="855" spans="1:10">
      <c r="A855" s="19">
        <v>35593</v>
      </c>
      <c r="B855" s="18" t="s">
        <v>39</v>
      </c>
      <c r="C855" s="18" t="s">
        <v>46</v>
      </c>
      <c r="D855" s="18" t="s">
        <v>28</v>
      </c>
      <c r="E855" s="18" t="s">
        <v>35</v>
      </c>
      <c r="F855" s="18" t="s">
        <v>48</v>
      </c>
      <c r="G855" s="18" t="s">
        <v>31</v>
      </c>
      <c r="H855" s="18">
        <v>62.5</v>
      </c>
      <c r="I855" s="20">
        <v>18</v>
      </c>
      <c r="J855" s="21">
        <v>1125</v>
      </c>
    </row>
    <row r="856" spans="1:10">
      <c r="A856" s="19">
        <v>35593</v>
      </c>
      <c r="B856" s="18" t="s">
        <v>39</v>
      </c>
      <c r="C856" s="18" t="s">
        <v>47</v>
      </c>
      <c r="D856" s="18" t="s">
        <v>28</v>
      </c>
      <c r="E856" s="18" t="s">
        <v>29</v>
      </c>
      <c r="F856" s="18" t="s">
        <v>48</v>
      </c>
      <c r="G856" s="18" t="s">
        <v>31</v>
      </c>
      <c r="H856" s="18">
        <v>18</v>
      </c>
      <c r="I856" s="20">
        <v>10</v>
      </c>
      <c r="J856" s="21">
        <v>180</v>
      </c>
    </row>
    <row r="857" spans="1:10">
      <c r="A857" s="19">
        <v>35593</v>
      </c>
      <c r="B857" s="18" t="s">
        <v>26</v>
      </c>
      <c r="C857" s="18" t="s">
        <v>27</v>
      </c>
      <c r="D857" s="18" t="s">
        <v>28</v>
      </c>
      <c r="E857" s="18" t="s">
        <v>29</v>
      </c>
      <c r="F857" s="18" t="s">
        <v>49</v>
      </c>
      <c r="G857" s="18" t="s">
        <v>38</v>
      </c>
      <c r="H857" s="18">
        <v>12.5</v>
      </c>
      <c r="I857" s="20">
        <v>60</v>
      </c>
      <c r="J857" s="21">
        <v>750</v>
      </c>
    </row>
    <row r="858" spans="1:10">
      <c r="A858" s="19">
        <v>35593</v>
      </c>
      <c r="B858" s="18" t="s">
        <v>26</v>
      </c>
      <c r="C858" s="18" t="s">
        <v>32</v>
      </c>
      <c r="D858" s="18" t="s">
        <v>28</v>
      </c>
      <c r="E858" s="18" t="s">
        <v>33</v>
      </c>
      <c r="F858" s="18" t="s">
        <v>49</v>
      </c>
      <c r="G858" s="18" t="s">
        <v>38</v>
      </c>
      <c r="H858" s="18">
        <v>53</v>
      </c>
      <c r="I858" s="20">
        <v>3</v>
      </c>
      <c r="J858" s="21">
        <v>159</v>
      </c>
    </row>
    <row r="859" spans="1:10">
      <c r="A859" s="19">
        <v>35594</v>
      </c>
      <c r="B859" s="18" t="s">
        <v>26</v>
      </c>
      <c r="C859" s="18" t="s">
        <v>34</v>
      </c>
      <c r="D859" s="18" t="s">
        <v>28</v>
      </c>
      <c r="E859" s="18" t="s">
        <v>35</v>
      </c>
      <c r="F859" s="18" t="s">
        <v>45</v>
      </c>
      <c r="G859" s="18" t="s">
        <v>38</v>
      </c>
      <c r="H859" s="18">
        <v>31</v>
      </c>
      <c r="I859" s="20">
        <v>5</v>
      </c>
      <c r="J859" s="21">
        <v>155</v>
      </c>
    </row>
    <row r="860" spans="1:10">
      <c r="A860" s="19">
        <v>35597</v>
      </c>
      <c r="B860" s="18" t="s">
        <v>26</v>
      </c>
      <c r="C860" s="18" t="s">
        <v>36</v>
      </c>
      <c r="D860" s="18" t="s">
        <v>28</v>
      </c>
      <c r="E860" s="18" t="s">
        <v>29</v>
      </c>
      <c r="F860" s="18" t="s">
        <v>30</v>
      </c>
      <c r="G860" s="18" t="s">
        <v>31</v>
      </c>
      <c r="H860" s="18">
        <v>18</v>
      </c>
      <c r="I860" s="20">
        <v>30</v>
      </c>
      <c r="J860" s="21">
        <v>540</v>
      </c>
    </row>
    <row r="861" spans="1:10">
      <c r="A861" s="19">
        <v>35597</v>
      </c>
      <c r="B861" s="18" t="s">
        <v>39</v>
      </c>
      <c r="C861" s="18" t="s">
        <v>40</v>
      </c>
      <c r="D861" s="18" t="s">
        <v>28</v>
      </c>
      <c r="E861" s="18" t="s">
        <v>33</v>
      </c>
      <c r="F861" s="18" t="s">
        <v>30</v>
      </c>
      <c r="G861" s="18" t="s">
        <v>31</v>
      </c>
      <c r="H861" s="18">
        <v>12.5</v>
      </c>
      <c r="I861" s="20">
        <v>35</v>
      </c>
      <c r="J861" s="21">
        <v>437.5</v>
      </c>
    </row>
    <row r="862" spans="1:10">
      <c r="A862" s="19">
        <v>35598</v>
      </c>
      <c r="B862" s="18" t="s">
        <v>39</v>
      </c>
      <c r="C862" s="18" t="s">
        <v>41</v>
      </c>
      <c r="D862" s="18" t="s">
        <v>28</v>
      </c>
      <c r="E862" s="18" t="s">
        <v>35</v>
      </c>
      <c r="F862" s="18" t="s">
        <v>45</v>
      </c>
      <c r="G862" s="18" t="s">
        <v>38</v>
      </c>
      <c r="H862" s="18">
        <v>38</v>
      </c>
      <c r="I862" s="20">
        <v>60</v>
      </c>
      <c r="J862" s="21">
        <v>2280</v>
      </c>
    </row>
    <row r="863" spans="1:10">
      <c r="A863" s="19">
        <v>35598</v>
      </c>
      <c r="B863" s="18" t="s">
        <v>39</v>
      </c>
      <c r="C863" s="18" t="s">
        <v>44</v>
      </c>
      <c r="D863" s="18" t="s">
        <v>28</v>
      </c>
      <c r="E863" s="18" t="s">
        <v>29</v>
      </c>
      <c r="F863" s="18" t="s">
        <v>50</v>
      </c>
      <c r="G863" s="18" t="s">
        <v>31</v>
      </c>
      <c r="H863" s="18">
        <v>14</v>
      </c>
      <c r="I863" s="20">
        <v>28</v>
      </c>
      <c r="J863" s="21">
        <v>392</v>
      </c>
    </row>
    <row r="864" spans="1:10">
      <c r="A864" s="19">
        <v>35598</v>
      </c>
      <c r="B864" s="18" t="s">
        <v>39</v>
      </c>
      <c r="C864" s="18" t="s">
        <v>46</v>
      </c>
      <c r="D864" s="18" t="s">
        <v>28</v>
      </c>
      <c r="E864" s="18" t="s">
        <v>33</v>
      </c>
      <c r="F864" s="18" t="s">
        <v>45</v>
      </c>
      <c r="G864" s="18" t="s">
        <v>38</v>
      </c>
      <c r="H864" s="18">
        <v>21</v>
      </c>
      <c r="I864" s="20">
        <v>15</v>
      </c>
      <c r="J864" s="21">
        <v>315</v>
      </c>
    </row>
    <row r="865" spans="1:10">
      <c r="A865" s="19">
        <v>35598</v>
      </c>
      <c r="B865" s="18" t="s">
        <v>39</v>
      </c>
      <c r="C865" s="18" t="s">
        <v>47</v>
      </c>
      <c r="D865" s="18" t="s">
        <v>28</v>
      </c>
      <c r="E865" s="18" t="s">
        <v>35</v>
      </c>
      <c r="F865" s="18" t="s">
        <v>50</v>
      </c>
      <c r="G865" s="18" t="s">
        <v>31</v>
      </c>
      <c r="H865" s="18">
        <v>23.25</v>
      </c>
      <c r="I865" s="20">
        <v>11</v>
      </c>
      <c r="J865" s="21">
        <v>255.75</v>
      </c>
    </row>
    <row r="866" spans="1:10">
      <c r="A866" s="19">
        <v>35599</v>
      </c>
      <c r="B866" s="18" t="s">
        <v>26</v>
      </c>
      <c r="C866" s="18" t="s">
        <v>27</v>
      </c>
      <c r="D866" s="18" t="s">
        <v>28</v>
      </c>
      <c r="E866" s="18" t="s">
        <v>29</v>
      </c>
      <c r="F866" s="18" t="s">
        <v>45</v>
      </c>
      <c r="G866" s="18" t="s">
        <v>38</v>
      </c>
      <c r="H866" s="18">
        <v>32</v>
      </c>
      <c r="I866" s="20">
        <v>10</v>
      </c>
      <c r="J866" s="21">
        <v>320</v>
      </c>
    </row>
    <row r="867" spans="1:10">
      <c r="A867" s="19">
        <v>35599</v>
      </c>
      <c r="B867" s="18" t="s">
        <v>26</v>
      </c>
      <c r="C867" s="18" t="s">
        <v>32</v>
      </c>
      <c r="D867" s="18" t="s">
        <v>28</v>
      </c>
      <c r="E867" s="18" t="s">
        <v>33</v>
      </c>
      <c r="F867" s="18" t="s">
        <v>45</v>
      </c>
      <c r="G867" s="18" t="s">
        <v>38</v>
      </c>
      <c r="H867" s="18">
        <v>17.45</v>
      </c>
      <c r="I867" s="20">
        <v>12</v>
      </c>
      <c r="J867" s="21">
        <v>209.39999999999998</v>
      </c>
    </row>
    <row r="868" spans="1:10">
      <c r="A868" s="19">
        <v>35599</v>
      </c>
      <c r="B868" s="18" t="s">
        <v>26</v>
      </c>
      <c r="C868" s="18" t="s">
        <v>34</v>
      </c>
      <c r="D868" s="18" t="s">
        <v>28</v>
      </c>
      <c r="E868" s="18" t="s">
        <v>35</v>
      </c>
      <c r="F868" s="18" t="s">
        <v>45</v>
      </c>
      <c r="G868" s="18" t="s">
        <v>38</v>
      </c>
      <c r="H868" s="18">
        <v>7.75</v>
      </c>
      <c r="I868" s="20">
        <v>15</v>
      </c>
      <c r="J868" s="21">
        <v>116.25</v>
      </c>
    </row>
    <row r="869" spans="1:10">
      <c r="A869" s="19">
        <v>35599</v>
      </c>
      <c r="B869" s="18" t="s">
        <v>26</v>
      </c>
      <c r="C869" s="18" t="s">
        <v>36</v>
      </c>
      <c r="D869" s="18" t="s">
        <v>28</v>
      </c>
      <c r="E869" s="18" t="s">
        <v>29</v>
      </c>
      <c r="F869" s="18" t="s">
        <v>45</v>
      </c>
      <c r="G869" s="18" t="s">
        <v>38</v>
      </c>
      <c r="H869" s="18">
        <v>18.399999999999999</v>
      </c>
      <c r="I869" s="20">
        <v>50</v>
      </c>
      <c r="J869" s="21">
        <v>919.99999999999989</v>
      </c>
    </row>
    <row r="870" spans="1:10">
      <c r="A870" s="19">
        <v>35600</v>
      </c>
      <c r="B870" s="18" t="s">
        <v>39</v>
      </c>
      <c r="C870" s="18" t="s">
        <v>40</v>
      </c>
      <c r="D870" s="18" t="s">
        <v>28</v>
      </c>
      <c r="E870" s="18" t="s">
        <v>33</v>
      </c>
      <c r="F870" s="18" t="s">
        <v>42</v>
      </c>
      <c r="G870" s="18" t="s">
        <v>43</v>
      </c>
      <c r="H870" s="18">
        <v>33.25</v>
      </c>
      <c r="I870" s="20">
        <v>6</v>
      </c>
      <c r="J870" s="21">
        <v>199.5</v>
      </c>
    </row>
    <row r="871" spans="1:10">
      <c r="A871" s="19">
        <v>35600</v>
      </c>
      <c r="B871" s="18" t="s">
        <v>39</v>
      </c>
      <c r="C871" s="18" t="s">
        <v>41</v>
      </c>
      <c r="D871" s="18" t="s">
        <v>28</v>
      </c>
      <c r="E871" s="18" t="s">
        <v>35</v>
      </c>
      <c r="F871" s="18" t="s">
        <v>42</v>
      </c>
      <c r="G871" s="18" t="s">
        <v>43</v>
      </c>
      <c r="H871" s="18">
        <v>2.5</v>
      </c>
      <c r="I871" s="20">
        <v>14</v>
      </c>
      <c r="J871" s="21">
        <v>35</v>
      </c>
    </row>
    <row r="872" spans="1:10">
      <c r="A872" s="19">
        <v>35600</v>
      </c>
      <c r="B872" s="18" t="s">
        <v>39</v>
      </c>
      <c r="C872" s="18" t="s">
        <v>44</v>
      </c>
      <c r="D872" s="18" t="s">
        <v>28</v>
      </c>
      <c r="E872" s="18" t="s">
        <v>29</v>
      </c>
      <c r="F872" s="18" t="s">
        <v>52</v>
      </c>
      <c r="G872" s="18" t="s">
        <v>31</v>
      </c>
      <c r="H872" s="18">
        <v>14</v>
      </c>
      <c r="I872" s="20">
        <v>40</v>
      </c>
      <c r="J872" s="21">
        <v>560</v>
      </c>
    </row>
    <row r="873" spans="1:10">
      <c r="A873" s="19">
        <v>35600</v>
      </c>
      <c r="B873" s="18" t="s">
        <v>39</v>
      </c>
      <c r="C873" s="18" t="s">
        <v>46</v>
      </c>
      <c r="D873" s="18" t="s">
        <v>28</v>
      </c>
      <c r="E873" s="18" t="s">
        <v>33</v>
      </c>
      <c r="F873" s="18" t="s">
        <v>42</v>
      </c>
      <c r="G873" s="18" t="s">
        <v>43</v>
      </c>
      <c r="H873" s="18">
        <v>49.3</v>
      </c>
      <c r="I873" s="20">
        <v>10</v>
      </c>
      <c r="J873" s="21">
        <v>493</v>
      </c>
    </row>
    <row r="874" spans="1:10">
      <c r="A874" s="19">
        <v>35600</v>
      </c>
      <c r="B874" s="18" t="s">
        <v>39</v>
      </c>
      <c r="C874" s="18" t="s">
        <v>47</v>
      </c>
      <c r="D874" s="18" t="s">
        <v>28</v>
      </c>
      <c r="E874" s="18" t="s">
        <v>35</v>
      </c>
      <c r="F874" s="18" t="s">
        <v>42</v>
      </c>
      <c r="G874" s="18" t="s">
        <v>43</v>
      </c>
      <c r="H874" s="18">
        <v>18.399999999999999</v>
      </c>
      <c r="I874" s="20">
        <v>2</v>
      </c>
      <c r="J874" s="21">
        <v>36.799999999999997</v>
      </c>
    </row>
    <row r="875" spans="1:10">
      <c r="A875" s="19">
        <v>35600</v>
      </c>
      <c r="B875" s="18" t="s">
        <v>26</v>
      </c>
      <c r="C875" s="18" t="s">
        <v>27</v>
      </c>
      <c r="D875" s="18" t="s">
        <v>28</v>
      </c>
      <c r="E875" s="18" t="s">
        <v>29</v>
      </c>
      <c r="F875" s="18" t="s">
        <v>52</v>
      </c>
      <c r="G875" s="18" t="s">
        <v>31</v>
      </c>
      <c r="H875" s="18">
        <v>32.799999999999997</v>
      </c>
      <c r="I875" s="20">
        <v>25</v>
      </c>
      <c r="J875" s="21">
        <v>819.99999999999989</v>
      </c>
    </row>
    <row r="876" spans="1:10">
      <c r="A876" s="19">
        <v>35600</v>
      </c>
      <c r="B876" s="18" t="s">
        <v>26</v>
      </c>
      <c r="C876" s="18" t="s">
        <v>32</v>
      </c>
      <c r="D876" s="18" t="s">
        <v>28</v>
      </c>
      <c r="E876" s="18" t="s">
        <v>29</v>
      </c>
      <c r="F876" s="18" t="s">
        <v>52</v>
      </c>
      <c r="G876" s="18" t="s">
        <v>31</v>
      </c>
      <c r="H876" s="18">
        <v>39</v>
      </c>
      <c r="I876" s="20">
        <v>18</v>
      </c>
      <c r="J876" s="21">
        <v>702</v>
      </c>
    </row>
    <row r="877" spans="1:10">
      <c r="A877" s="19">
        <v>35601</v>
      </c>
      <c r="B877" s="18" t="s">
        <v>26</v>
      </c>
      <c r="C877" s="18" t="s">
        <v>34</v>
      </c>
      <c r="D877" s="18" t="s">
        <v>28</v>
      </c>
      <c r="E877" s="18" t="s">
        <v>33</v>
      </c>
      <c r="F877" s="18" t="s">
        <v>30</v>
      </c>
      <c r="G877" s="18" t="s">
        <v>31</v>
      </c>
      <c r="H877" s="18">
        <v>55</v>
      </c>
      <c r="I877" s="20">
        <v>12</v>
      </c>
      <c r="J877" s="21">
        <v>660</v>
      </c>
    </row>
    <row r="878" spans="1:10">
      <c r="A878" s="19">
        <v>35601</v>
      </c>
      <c r="B878" s="18" t="s">
        <v>26</v>
      </c>
      <c r="C878" s="18" t="s">
        <v>36</v>
      </c>
      <c r="D878" s="18" t="s">
        <v>28</v>
      </c>
      <c r="E878" s="18" t="s">
        <v>35</v>
      </c>
      <c r="F878" s="18" t="s">
        <v>30</v>
      </c>
      <c r="G878" s="18" t="s">
        <v>31</v>
      </c>
      <c r="H878" s="18">
        <v>18</v>
      </c>
      <c r="I878" s="20">
        <v>10</v>
      </c>
      <c r="J878" s="21">
        <v>180</v>
      </c>
    </row>
    <row r="879" spans="1:10">
      <c r="A879" s="19">
        <v>35601</v>
      </c>
      <c r="B879" s="18" t="s">
        <v>39</v>
      </c>
      <c r="C879" s="18" t="s">
        <v>40</v>
      </c>
      <c r="D879" s="18" t="s">
        <v>28</v>
      </c>
      <c r="E879" s="18" t="s">
        <v>29</v>
      </c>
      <c r="F879" s="18" t="s">
        <v>30</v>
      </c>
      <c r="G879" s="18" t="s">
        <v>31</v>
      </c>
      <c r="H879" s="18">
        <v>34.799999999999997</v>
      </c>
      <c r="I879" s="20">
        <v>30</v>
      </c>
      <c r="J879" s="21">
        <v>1044</v>
      </c>
    </row>
    <row r="880" spans="1:10">
      <c r="A880" s="19">
        <v>35601</v>
      </c>
      <c r="B880" s="18" t="s">
        <v>39</v>
      </c>
      <c r="C880" s="18" t="s">
        <v>41</v>
      </c>
      <c r="D880" s="18" t="s">
        <v>28</v>
      </c>
      <c r="E880" s="18" t="s">
        <v>33</v>
      </c>
      <c r="F880" s="18" t="s">
        <v>30</v>
      </c>
      <c r="G880" s="18" t="s">
        <v>31</v>
      </c>
      <c r="H880" s="18">
        <v>43.9</v>
      </c>
      <c r="I880" s="20">
        <v>6</v>
      </c>
      <c r="J880" s="21">
        <v>263.39999999999998</v>
      </c>
    </row>
    <row r="881" spans="1:10">
      <c r="A881" s="19">
        <v>35604</v>
      </c>
      <c r="B881" s="18" t="s">
        <v>39</v>
      </c>
      <c r="C881" s="18" t="s">
        <v>44</v>
      </c>
      <c r="D881" s="18" t="s">
        <v>28</v>
      </c>
      <c r="E881" s="18" t="s">
        <v>35</v>
      </c>
      <c r="F881" s="18" t="s">
        <v>45</v>
      </c>
      <c r="G881" s="18" t="s">
        <v>38</v>
      </c>
      <c r="H881" s="18">
        <v>19.45</v>
      </c>
      <c r="I881" s="20">
        <v>21</v>
      </c>
      <c r="J881" s="21">
        <v>408.45</v>
      </c>
    </row>
    <row r="882" spans="1:10">
      <c r="A882" s="19">
        <v>35604</v>
      </c>
      <c r="B882" s="18" t="s">
        <v>39</v>
      </c>
      <c r="C882" s="18" t="s">
        <v>46</v>
      </c>
      <c r="D882" s="18" t="s">
        <v>28</v>
      </c>
      <c r="E882" s="18" t="s">
        <v>29</v>
      </c>
      <c r="F882" s="18" t="s">
        <v>48</v>
      </c>
      <c r="G882" s="18" t="s">
        <v>31</v>
      </c>
      <c r="H882" s="18">
        <v>13</v>
      </c>
      <c r="I882" s="20">
        <v>18</v>
      </c>
      <c r="J882" s="21">
        <v>234</v>
      </c>
    </row>
    <row r="883" spans="1:10">
      <c r="A883" s="19">
        <v>35604</v>
      </c>
      <c r="B883" s="18" t="s">
        <v>39</v>
      </c>
      <c r="C883" s="18" t="s">
        <v>47</v>
      </c>
      <c r="D883" s="18" t="s">
        <v>28</v>
      </c>
      <c r="E883" s="18" t="s">
        <v>33</v>
      </c>
      <c r="F883" s="18" t="s">
        <v>48</v>
      </c>
      <c r="G883" s="18" t="s">
        <v>31</v>
      </c>
      <c r="H883" s="18">
        <v>7.75</v>
      </c>
      <c r="I883" s="20">
        <v>20</v>
      </c>
      <c r="J883" s="21">
        <v>155</v>
      </c>
    </row>
    <row r="884" spans="1:10">
      <c r="A884" s="19">
        <v>35604</v>
      </c>
      <c r="B884" s="18" t="s">
        <v>26</v>
      </c>
      <c r="C884" s="18" t="s">
        <v>27</v>
      </c>
      <c r="D884" s="18" t="s">
        <v>28</v>
      </c>
      <c r="E884" s="18" t="s">
        <v>35</v>
      </c>
      <c r="F884" s="18" t="s">
        <v>45</v>
      </c>
      <c r="G884" s="18" t="s">
        <v>38</v>
      </c>
      <c r="H884" s="18">
        <v>18</v>
      </c>
      <c r="I884" s="20">
        <v>10</v>
      </c>
      <c r="J884" s="21">
        <v>180</v>
      </c>
    </row>
    <row r="885" spans="1:10">
      <c r="A885" s="19">
        <v>35604</v>
      </c>
      <c r="B885" s="18" t="s">
        <v>26</v>
      </c>
      <c r="C885" s="18" t="s">
        <v>32</v>
      </c>
      <c r="D885" s="18" t="s">
        <v>28</v>
      </c>
      <c r="E885" s="18" t="s">
        <v>29</v>
      </c>
      <c r="F885" s="18" t="s">
        <v>45</v>
      </c>
      <c r="G885" s="18" t="s">
        <v>38</v>
      </c>
      <c r="H885" s="18">
        <v>12.5</v>
      </c>
      <c r="I885" s="20">
        <v>20</v>
      </c>
      <c r="J885" s="21">
        <v>250</v>
      </c>
    </row>
    <row r="886" spans="1:10">
      <c r="A886" s="19">
        <v>35604</v>
      </c>
      <c r="B886" s="18" t="s">
        <v>26</v>
      </c>
      <c r="C886" s="18" t="s">
        <v>34</v>
      </c>
      <c r="D886" s="18" t="s">
        <v>28</v>
      </c>
      <c r="E886" s="18" t="s">
        <v>33</v>
      </c>
      <c r="F886" s="18" t="s">
        <v>48</v>
      </c>
      <c r="G886" s="18" t="s">
        <v>31</v>
      </c>
      <c r="H886" s="18">
        <v>18</v>
      </c>
      <c r="I886" s="20">
        <v>10</v>
      </c>
      <c r="J886" s="21">
        <v>180</v>
      </c>
    </row>
    <row r="887" spans="1:10">
      <c r="A887" s="19">
        <v>35605</v>
      </c>
      <c r="B887" s="18" t="s">
        <v>26</v>
      </c>
      <c r="C887" s="18" t="s">
        <v>36</v>
      </c>
      <c r="D887" s="18" t="s">
        <v>28</v>
      </c>
      <c r="E887" s="18" t="s">
        <v>35</v>
      </c>
      <c r="F887" s="18" t="s">
        <v>42</v>
      </c>
      <c r="G887" s="18" t="s">
        <v>43</v>
      </c>
      <c r="H887" s="18">
        <v>18</v>
      </c>
      <c r="I887" s="20">
        <v>20</v>
      </c>
      <c r="J887" s="21">
        <v>360</v>
      </c>
    </row>
    <row r="888" spans="1:10">
      <c r="A888" s="19">
        <v>35605</v>
      </c>
      <c r="B888" s="18" t="s">
        <v>39</v>
      </c>
      <c r="C888" s="18" t="s">
        <v>40</v>
      </c>
      <c r="D888" s="18" t="s">
        <v>28</v>
      </c>
      <c r="E888" s="18" t="s">
        <v>29</v>
      </c>
      <c r="F888" s="18" t="s">
        <v>42</v>
      </c>
      <c r="G888" s="18" t="s">
        <v>43</v>
      </c>
      <c r="H888" s="18">
        <v>19.5</v>
      </c>
      <c r="I888" s="20">
        <v>6</v>
      </c>
      <c r="J888" s="21">
        <v>117</v>
      </c>
    </row>
    <row r="889" spans="1:10">
      <c r="A889" s="19">
        <v>35606</v>
      </c>
      <c r="B889" s="18" t="s">
        <v>39</v>
      </c>
      <c r="C889" s="18" t="s">
        <v>41</v>
      </c>
      <c r="D889" s="18" t="s">
        <v>28</v>
      </c>
      <c r="E889" s="18" t="s">
        <v>33</v>
      </c>
      <c r="F889" s="18" t="s">
        <v>49</v>
      </c>
      <c r="G889" s="18" t="s">
        <v>38</v>
      </c>
      <c r="H889" s="18">
        <v>7.75</v>
      </c>
      <c r="I889" s="20">
        <v>21</v>
      </c>
      <c r="J889" s="21">
        <v>162.75</v>
      </c>
    </row>
    <row r="890" spans="1:10">
      <c r="A890" s="19">
        <v>35606</v>
      </c>
      <c r="B890" s="18" t="s">
        <v>39</v>
      </c>
      <c r="C890" s="18" t="s">
        <v>44</v>
      </c>
      <c r="D890" s="18" t="s">
        <v>28</v>
      </c>
      <c r="E890" s="18" t="s">
        <v>35</v>
      </c>
      <c r="F890" s="18" t="s">
        <v>49</v>
      </c>
      <c r="G890" s="18" t="s">
        <v>38</v>
      </c>
      <c r="H890" s="18">
        <v>15.5</v>
      </c>
      <c r="I890" s="20">
        <v>10</v>
      </c>
      <c r="J890" s="21">
        <v>155</v>
      </c>
    </row>
    <row r="891" spans="1:10">
      <c r="A891" s="19">
        <v>35607</v>
      </c>
      <c r="B891" s="18" t="s">
        <v>39</v>
      </c>
      <c r="C891" s="18" t="s">
        <v>46</v>
      </c>
      <c r="D891" s="18" t="s">
        <v>28</v>
      </c>
      <c r="E891" s="18" t="s">
        <v>29</v>
      </c>
      <c r="F891" s="18" t="s">
        <v>42</v>
      </c>
      <c r="G891" s="18" t="s">
        <v>43</v>
      </c>
      <c r="H891" s="18">
        <v>21.05</v>
      </c>
      <c r="I891" s="20">
        <v>30</v>
      </c>
      <c r="J891" s="21">
        <v>631.5</v>
      </c>
    </row>
    <row r="892" spans="1:10">
      <c r="A892" s="19">
        <v>35607</v>
      </c>
      <c r="B892" s="18" t="s">
        <v>39</v>
      </c>
      <c r="C892" s="18" t="s">
        <v>47</v>
      </c>
      <c r="D892" s="18" t="s">
        <v>28</v>
      </c>
      <c r="E892" s="18" t="s">
        <v>33</v>
      </c>
      <c r="F892" s="18" t="s">
        <v>45</v>
      </c>
      <c r="G892" s="18" t="s">
        <v>38</v>
      </c>
      <c r="H892" s="18">
        <v>7.75</v>
      </c>
      <c r="I892" s="20">
        <v>50</v>
      </c>
      <c r="J892" s="21">
        <v>387.5</v>
      </c>
    </row>
    <row r="893" spans="1:10">
      <c r="A893" s="19">
        <v>35607</v>
      </c>
      <c r="B893" s="18" t="s">
        <v>26</v>
      </c>
      <c r="C893" s="18" t="s">
        <v>27</v>
      </c>
      <c r="D893" s="18" t="s">
        <v>28</v>
      </c>
      <c r="E893" s="18" t="s">
        <v>35</v>
      </c>
      <c r="F893" s="18" t="s">
        <v>42</v>
      </c>
      <c r="G893" s="18" t="s">
        <v>43</v>
      </c>
      <c r="H893" s="18">
        <v>23.25</v>
      </c>
      <c r="I893" s="20">
        <v>15</v>
      </c>
      <c r="J893" s="21">
        <v>348.75</v>
      </c>
    </row>
    <row r="894" spans="1:10">
      <c r="A894" s="19">
        <v>35607</v>
      </c>
      <c r="B894" s="18" t="s">
        <v>26</v>
      </c>
      <c r="C894" s="18" t="s">
        <v>32</v>
      </c>
      <c r="D894" s="18" t="s">
        <v>28</v>
      </c>
      <c r="E894" s="18" t="s">
        <v>29</v>
      </c>
      <c r="F894" s="18" t="s">
        <v>42</v>
      </c>
      <c r="G894" s="18" t="s">
        <v>43</v>
      </c>
      <c r="H894" s="18">
        <v>9.65</v>
      </c>
      <c r="I894" s="20">
        <v>9</v>
      </c>
      <c r="J894" s="21">
        <v>86.850000000000009</v>
      </c>
    </row>
    <row r="895" spans="1:10">
      <c r="A895" s="19">
        <v>35608</v>
      </c>
      <c r="B895" s="18" t="s">
        <v>26</v>
      </c>
      <c r="C895" s="18" t="s">
        <v>34</v>
      </c>
      <c r="D895" s="18" t="s">
        <v>28</v>
      </c>
      <c r="E895" s="18" t="s">
        <v>29</v>
      </c>
      <c r="F895" s="18" t="s">
        <v>45</v>
      </c>
      <c r="G895" s="18" t="s">
        <v>38</v>
      </c>
      <c r="H895" s="18">
        <v>18</v>
      </c>
      <c r="I895" s="20">
        <v>14</v>
      </c>
      <c r="J895" s="21">
        <v>252</v>
      </c>
    </row>
    <row r="896" spans="1:10">
      <c r="A896" s="19">
        <v>35608</v>
      </c>
      <c r="B896" s="18" t="s">
        <v>26</v>
      </c>
      <c r="C896" s="18" t="s">
        <v>36</v>
      </c>
      <c r="D896" s="18" t="s">
        <v>28</v>
      </c>
      <c r="E896" s="18" t="s">
        <v>33</v>
      </c>
      <c r="F896" s="18" t="s">
        <v>45</v>
      </c>
      <c r="G896" s="18" t="s">
        <v>38</v>
      </c>
      <c r="H896" s="18">
        <v>19.5</v>
      </c>
      <c r="I896" s="20">
        <v>4</v>
      </c>
      <c r="J896" s="21">
        <v>78</v>
      </c>
    </row>
    <row r="897" spans="1:10">
      <c r="A897" s="19">
        <v>35611</v>
      </c>
      <c r="B897" s="18" t="s">
        <v>39</v>
      </c>
      <c r="C897" s="18" t="s">
        <v>40</v>
      </c>
      <c r="D897" s="18" t="s">
        <v>28</v>
      </c>
      <c r="E897" s="18" t="s">
        <v>35</v>
      </c>
      <c r="F897" s="18" t="s">
        <v>51</v>
      </c>
      <c r="G897" s="18" t="s">
        <v>43</v>
      </c>
      <c r="H897" s="18">
        <v>36</v>
      </c>
      <c r="I897" s="20">
        <v>10</v>
      </c>
      <c r="J897" s="21">
        <v>360</v>
      </c>
    </row>
    <row r="898" spans="1:10">
      <c r="A898" s="19">
        <v>35611</v>
      </c>
      <c r="B898" s="18" t="s">
        <v>39</v>
      </c>
      <c r="C898" s="18" t="s">
        <v>41</v>
      </c>
      <c r="D898" s="18" t="s">
        <v>28</v>
      </c>
      <c r="E898" s="18" t="s">
        <v>29</v>
      </c>
      <c r="F898" s="18" t="s">
        <v>51</v>
      </c>
      <c r="G898" s="18" t="s">
        <v>43</v>
      </c>
      <c r="H898" s="18">
        <v>34</v>
      </c>
      <c r="I898" s="20">
        <v>24</v>
      </c>
      <c r="J898" s="21">
        <v>816</v>
      </c>
    </row>
    <row r="899" spans="1:10">
      <c r="A899" s="19">
        <v>35611</v>
      </c>
      <c r="B899" s="18" t="s">
        <v>39</v>
      </c>
      <c r="C899" s="18" t="s">
        <v>44</v>
      </c>
      <c r="D899" s="18" t="s">
        <v>28</v>
      </c>
      <c r="E899" s="18" t="s">
        <v>33</v>
      </c>
      <c r="F899" s="18" t="s">
        <v>42</v>
      </c>
      <c r="G899" s="18" t="s">
        <v>43</v>
      </c>
      <c r="H899" s="18">
        <v>12.5</v>
      </c>
      <c r="I899" s="20">
        <v>50</v>
      </c>
      <c r="J899" s="21">
        <v>625</v>
      </c>
    </row>
    <row r="900" spans="1:10">
      <c r="A900" s="19">
        <v>35611</v>
      </c>
      <c r="B900" s="18" t="s">
        <v>39</v>
      </c>
      <c r="C900" s="18" t="s">
        <v>46</v>
      </c>
      <c r="D900" s="18" t="s">
        <v>28</v>
      </c>
      <c r="E900" s="18" t="s">
        <v>35</v>
      </c>
      <c r="F900" s="18" t="s">
        <v>51</v>
      </c>
      <c r="G900" s="18" t="s">
        <v>43</v>
      </c>
      <c r="H900" s="18">
        <v>123.79</v>
      </c>
      <c r="I900" s="20">
        <v>10</v>
      </c>
      <c r="J900" s="21">
        <v>1237.9000000000001</v>
      </c>
    </row>
    <row r="901" spans="1:10">
      <c r="A901" s="19">
        <v>35612</v>
      </c>
      <c r="B901" s="18" t="s">
        <v>39</v>
      </c>
      <c r="C901" s="18" t="s">
        <v>47</v>
      </c>
      <c r="D901" s="18" t="s">
        <v>28</v>
      </c>
      <c r="E901" s="18" t="s">
        <v>29</v>
      </c>
      <c r="F901" s="18" t="s">
        <v>52</v>
      </c>
      <c r="G901" s="18" t="s">
        <v>31</v>
      </c>
      <c r="H901" s="18">
        <v>9.5</v>
      </c>
      <c r="I901" s="20">
        <v>15</v>
      </c>
      <c r="J901" s="21">
        <v>142.5</v>
      </c>
    </row>
    <row r="902" spans="1:10">
      <c r="A902" s="19">
        <v>35613</v>
      </c>
      <c r="B902" s="18" t="s">
        <v>26</v>
      </c>
      <c r="C902" s="18" t="s">
        <v>27</v>
      </c>
      <c r="D902" s="18" t="s">
        <v>28</v>
      </c>
      <c r="E902" s="18" t="s">
        <v>33</v>
      </c>
      <c r="F902" s="18" t="s">
        <v>49</v>
      </c>
      <c r="G902" s="18" t="s">
        <v>38</v>
      </c>
      <c r="H902" s="18">
        <v>13</v>
      </c>
      <c r="I902" s="20">
        <v>20</v>
      </c>
      <c r="J902" s="21">
        <v>260</v>
      </c>
    </row>
    <row r="903" spans="1:10">
      <c r="A903" s="19">
        <v>35613</v>
      </c>
      <c r="B903" s="18" t="s">
        <v>26</v>
      </c>
      <c r="C903" s="18" t="s">
        <v>32</v>
      </c>
      <c r="D903" s="18" t="s">
        <v>28</v>
      </c>
      <c r="E903" s="18" t="s">
        <v>35</v>
      </c>
      <c r="F903" s="18" t="s">
        <v>49</v>
      </c>
      <c r="G903" s="18" t="s">
        <v>38</v>
      </c>
      <c r="H903" s="18">
        <v>18</v>
      </c>
      <c r="I903" s="20">
        <v>20</v>
      </c>
      <c r="J903" s="21">
        <v>360</v>
      </c>
    </row>
    <row r="904" spans="1:10">
      <c r="A904" s="19">
        <v>35613</v>
      </c>
      <c r="B904" s="18" t="s">
        <v>26</v>
      </c>
      <c r="C904" s="18" t="s">
        <v>34</v>
      </c>
      <c r="D904" s="18" t="s">
        <v>28</v>
      </c>
      <c r="E904" s="18" t="s">
        <v>29</v>
      </c>
      <c r="F904" s="18" t="s">
        <v>49</v>
      </c>
      <c r="G904" s="18" t="s">
        <v>38</v>
      </c>
      <c r="H904" s="18">
        <v>31.23</v>
      </c>
      <c r="I904" s="20">
        <v>6</v>
      </c>
      <c r="J904" s="21">
        <v>187.38</v>
      </c>
    </row>
    <row r="905" spans="1:10">
      <c r="A905" s="19">
        <v>35613</v>
      </c>
      <c r="B905" s="18" t="s">
        <v>26</v>
      </c>
      <c r="C905" s="18" t="s">
        <v>36</v>
      </c>
      <c r="D905" s="18" t="s">
        <v>28</v>
      </c>
      <c r="E905" s="18" t="s">
        <v>33</v>
      </c>
      <c r="F905" s="18" t="s">
        <v>48</v>
      </c>
      <c r="G905" s="18" t="s">
        <v>31</v>
      </c>
      <c r="H905" s="18">
        <v>7</v>
      </c>
      <c r="I905" s="20">
        <v>4</v>
      </c>
      <c r="J905" s="21">
        <v>28</v>
      </c>
    </row>
    <row r="906" spans="1:10">
      <c r="A906" s="19">
        <v>35614</v>
      </c>
      <c r="B906" s="18" t="s">
        <v>39</v>
      </c>
      <c r="C906" s="18" t="s">
        <v>40</v>
      </c>
      <c r="D906" s="18" t="s">
        <v>28</v>
      </c>
      <c r="E906" s="18" t="s">
        <v>35</v>
      </c>
      <c r="F906" s="18" t="s">
        <v>51</v>
      </c>
      <c r="G906" s="18" t="s">
        <v>43</v>
      </c>
      <c r="H906" s="18">
        <v>14</v>
      </c>
      <c r="I906" s="20">
        <v>100</v>
      </c>
      <c r="J906" s="21">
        <v>1400</v>
      </c>
    </row>
    <row r="907" spans="1:10">
      <c r="A907" s="19">
        <v>35614</v>
      </c>
      <c r="B907" s="18" t="s">
        <v>39</v>
      </c>
      <c r="C907" s="18" t="s">
        <v>41</v>
      </c>
      <c r="D907" s="18" t="s">
        <v>28</v>
      </c>
      <c r="E907" s="18" t="s">
        <v>29</v>
      </c>
      <c r="F907" s="18" t="s">
        <v>51</v>
      </c>
      <c r="G907" s="18" t="s">
        <v>43</v>
      </c>
      <c r="H907" s="18">
        <v>62.5</v>
      </c>
      <c r="I907" s="20">
        <v>40</v>
      </c>
      <c r="J907" s="21">
        <v>2500</v>
      </c>
    </row>
    <row r="908" spans="1:10">
      <c r="A908" s="19">
        <v>35615</v>
      </c>
      <c r="B908" s="18" t="s">
        <v>39</v>
      </c>
      <c r="C908" s="18" t="s">
        <v>44</v>
      </c>
      <c r="D908" s="18" t="s">
        <v>28</v>
      </c>
      <c r="E908" s="18" t="s">
        <v>33</v>
      </c>
      <c r="F908" s="18" t="s">
        <v>50</v>
      </c>
      <c r="G908" s="18" t="s">
        <v>31</v>
      </c>
      <c r="H908" s="18">
        <v>18</v>
      </c>
      <c r="I908" s="20">
        <v>4</v>
      </c>
      <c r="J908" s="21">
        <v>72</v>
      </c>
    </row>
    <row r="909" spans="1:10">
      <c r="A909" s="19">
        <v>35618</v>
      </c>
      <c r="B909" s="18" t="s">
        <v>39</v>
      </c>
      <c r="C909" s="18" t="s">
        <v>46</v>
      </c>
      <c r="D909" s="18" t="s">
        <v>28</v>
      </c>
      <c r="E909" s="18" t="s">
        <v>35</v>
      </c>
      <c r="F909" s="18" t="s">
        <v>49</v>
      </c>
      <c r="G909" s="18" t="s">
        <v>38</v>
      </c>
      <c r="H909" s="18">
        <v>10</v>
      </c>
      <c r="I909" s="20">
        <v>14</v>
      </c>
      <c r="J909" s="21">
        <v>140</v>
      </c>
    </row>
    <row r="910" spans="1:10">
      <c r="A910" s="19">
        <v>35618</v>
      </c>
      <c r="B910" s="18" t="s">
        <v>39</v>
      </c>
      <c r="C910" s="18" t="s">
        <v>47</v>
      </c>
      <c r="D910" s="18" t="s">
        <v>28</v>
      </c>
      <c r="E910" s="18" t="s">
        <v>29</v>
      </c>
      <c r="F910" s="18" t="s">
        <v>49</v>
      </c>
      <c r="G910" s="18" t="s">
        <v>38</v>
      </c>
      <c r="H910" s="18">
        <v>30</v>
      </c>
      <c r="I910" s="20">
        <v>10</v>
      </c>
      <c r="J910" s="21">
        <v>300</v>
      </c>
    </row>
    <row r="911" spans="1:10">
      <c r="A911" s="19">
        <v>35618</v>
      </c>
      <c r="B911" s="18" t="s">
        <v>26</v>
      </c>
      <c r="C911" s="18" t="s">
        <v>27</v>
      </c>
      <c r="D911" s="18" t="s">
        <v>28</v>
      </c>
      <c r="E911" s="18" t="s">
        <v>33</v>
      </c>
      <c r="F911" s="18" t="s">
        <v>49</v>
      </c>
      <c r="G911" s="18" t="s">
        <v>38</v>
      </c>
      <c r="H911" s="18">
        <v>7.45</v>
      </c>
      <c r="I911" s="20">
        <v>50</v>
      </c>
      <c r="J911" s="21">
        <v>372.5</v>
      </c>
    </row>
    <row r="912" spans="1:10">
      <c r="A912" s="19">
        <v>35618</v>
      </c>
      <c r="B912" s="18" t="s">
        <v>26</v>
      </c>
      <c r="C912" s="18" t="s">
        <v>32</v>
      </c>
      <c r="D912" s="18" t="s">
        <v>28</v>
      </c>
      <c r="E912" s="18" t="s">
        <v>35</v>
      </c>
      <c r="F912" s="18" t="s">
        <v>42</v>
      </c>
      <c r="G912" s="18" t="s">
        <v>43</v>
      </c>
      <c r="H912" s="18">
        <v>13</v>
      </c>
      <c r="I912" s="20">
        <v>60</v>
      </c>
      <c r="J912" s="21">
        <v>780</v>
      </c>
    </row>
    <row r="913" spans="1:10">
      <c r="A913" s="19">
        <v>35618</v>
      </c>
      <c r="B913" s="18" t="s">
        <v>26</v>
      </c>
      <c r="C913" s="18" t="s">
        <v>34</v>
      </c>
      <c r="D913" s="18" t="s">
        <v>28</v>
      </c>
      <c r="E913" s="18" t="s">
        <v>29</v>
      </c>
      <c r="F913" s="18" t="s">
        <v>42</v>
      </c>
      <c r="G913" s="18" t="s">
        <v>43</v>
      </c>
      <c r="H913" s="18">
        <v>18</v>
      </c>
      <c r="I913" s="20">
        <v>20</v>
      </c>
      <c r="J913" s="21">
        <v>360</v>
      </c>
    </row>
    <row r="914" spans="1:10">
      <c r="A914" s="19">
        <v>35619</v>
      </c>
      <c r="B914" s="18" t="s">
        <v>26</v>
      </c>
      <c r="C914" s="18" t="s">
        <v>36</v>
      </c>
      <c r="D914" s="18" t="s">
        <v>28</v>
      </c>
      <c r="E914" s="18" t="s">
        <v>29</v>
      </c>
      <c r="F914" s="18" t="s">
        <v>45</v>
      </c>
      <c r="G914" s="18" t="s">
        <v>38</v>
      </c>
      <c r="H914" s="18">
        <v>31.23</v>
      </c>
      <c r="I914" s="20">
        <v>5</v>
      </c>
      <c r="J914" s="21">
        <v>156.15</v>
      </c>
    </row>
    <row r="915" spans="1:10">
      <c r="A915" s="19">
        <v>35619</v>
      </c>
      <c r="B915" s="18" t="s">
        <v>39</v>
      </c>
      <c r="C915" s="18" t="s">
        <v>40</v>
      </c>
      <c r="D915" s="18" t="s">
        <v>28</v>
      </c>
      <c r="E915" s="18" t="s">
        <v>33</v>
      </c>
      <c r="F915" s="18" t="s">
        <v>45</v>
      </c>
      <c r="G915" s="18" t="s">
        <v>38</v>
      </c>
      <c r="H915" s="18">
        <v>15.5</v>
      </c>
      <c r="I915" s="20">
        <v>25</v>
      </c>
      <c r="J915" s="21">
        <v>387.5</v>
      </c>
    </row>
    <row r="916" spans="1:10">
      <c r="A916" s="19">
        <v>35620</v>
      </c>
      <c r="B916" s="18" t="s">
        <v>39</v>
      </c>
      <c r="C916" s="18" t="s">
        <v>41</v>
      </c>
      <c r="D916" s="18" t="s">
        <v>28</v>
      </c>
      <c r="E916" s="18" t="s">
        <v>35</v>
      </c>
      <c r="F916" s="18" t="s">
        <v>52</v>
      </c>
      <c r="G916" s="18" t="s">
        <v>31</v>
      </c>
      <c r="H916" s="18">
        <v>81</v>
      </c>
      <c r="I916" s="20">
        <v>21</v>
      </c>
      <c r="J916" s="21">
        <v>1701</v>
      </c>
    </row>
    <row r="917" spans="1:10">
      <c r="A917" s="19">
        <v>35620</v>
      </c>
      <c r="B917" s="18" t="s">
        <v>39</v>
      </c>
      <c r="C917" s="18" t="s">
        <v>44</v>
      </c>
      <c r="D917" s="18" t="s">
        <v>28</v>
      </c>
      <c r="E917" s="18" t="s">
        <v>29</v>
      </c>
      <c r="F917" s="18" t="s">
        <v>45</v>
      </c>
      <c r="G917" s="18" t="s">
        <v>38</v>
      </c>
      <c r="H917" s="18">
        <v>13.25</v>
      </c>
      <c r="I917" s="20">
        <v>30</v>
      </c>
      <c r="J917" s="21">
        <v>397.5</v>
      </c>
    </row>
    <row r="918" spans="1:10">
      <c r="A918" s="19">
        <v>35620</v>
      </c>
      <c r="B918" s="18" t="s">
        <v>39</v>
      </c>
      <c r="C918" s="18" t="s">
        <v>46</v>
      </c>
      <c r="D918" s="18" t="s">
        <v>28</v>
      </c>
      <c r="E918" s="18" t="s">
        <v>33</v>
      </c>
      <c r="F918" s="18" t="s">
        <v>52</v>
      </c>
      <c r="G918" s="18" t="s">
        <v>31</v>
      </c>
      <c r="H918" s="18">
        <v>36</v>
      </c>
      <c r="I918" s="20">
        <v>20</v>
      </c>
      <c r="J918" s="21">
        <v>720</v>
      </c>
    </row>
    <row r="919" spans="1:10">
      <c r="A919" s="19">
        <v>35620</v>
      </c>
      <c r="B919" s="18" t="s">
        <v>39</v>
      </c>
      <c r="C919" s="18" t="s">
        <v>47</v>
      </c>
      <c r="D919" s="18" t="s">
        <v>28</v>
      </c>
      <c r="E919" s="18" t="s">
        <v>35</v>
      </c>
      <c r="F919" s="18" t="s">
        <v>52</v>
      </c>
      <c r="G919" s="18" t="s">
        <v>31</v>
      </c>
      <c r="H919" s="18">
        <v>18</v>
      </c>
      <c r="I919" s="20">
        <v>4</v>
      </c>
      <c r="J919" s="21">
        <v>72</v>
      </c>
    </row>
    <row r="920" spans="1:10">
      <c r="A920" s="19">
        <v>35620</v>
      </c>
      <c r="B920" s="18" t="s">
        <v>26</v>
      </c>
      <c r="C920" s="18" t="s">
        <v>27</v>
      </c>
      <c r="D920" s="18" t="s">
        <v>28</v>
      </c>
      <c r="E920" s="18" t="s">
        <v>29</v>
      </c>
      <c r="F920" s="18" t="s">
        <v>45</v>
      </c>
      <c r="G920" s="18" t="s">
        <v>38</v>
      </c>
      <c r="H920" s="18">
        <v>7</v>
      </c>
      <c r="I920" s="20">
        <v>24</v>
      </c>
      <c r="J920" s="21">
        <v>168</v>
      </c>
    </row>
    <row r="921" spans="1:10">
      <c r="A921" s="19">
        <v>35621</v>
      </c>
      <c r="B921" s="18" t="s">
        <v>26</v>
      </c>
      <c r="C921" s="18" t="s">
        <v>32</v>
      </c>
      <c r="D921" s="18" t="s">
        <v>28</v>
      </c>
      <c r="E921" s="18" t="s">
        <v>33</v>
      </c>
      <c r="F921" s="18" t="s">
        <v>51</v>
      </c>
      <c r="G921" s="18" t="s">
        <v>43</v>
      </c>
      <c r="H921" s="18">
        <v>28.5</v>
      </c>
      <c r="I921" s="20">
        <v>120</v>
      </c>
      <c r="J921" s="21">
        <v>3420</v>
      </c>
    </row>
    <row r="922" spans="1:10">
      <c r="A922" s="19">
        <v>35621</v>
      </c>
      <c r="B922" s="18" t="s">
        <v>26</v>
      </c>
      <c r="C922" s="18" t="s">
        <v>34</v>
      </c>
      <c r="D922" s="18" t="s">
        <v>28</v>
      </c>
      <c r="E922" s="18" t="s">
        <v>35</v>
      </c>
      <c r="F922" s="18" t="s">
        <v>51</v>
      </c>
      <c r="G922" s="18" t="s">
        <v>43</v>
      </c>
      <c r="H922" s="18">
        <v>36</v>
      </c>
      <c r="I922" s="20">
        <v>65</v>
      </c>
      <c r="J922" s="21">
        <v>2340</v>
      </c>
    </row>
    <row r="923" spans="1:10">
      <c r="A923" s="19">
        <v>35621</v>
      </c>
      <c r="B923" s="18" t="s">
        <v>26</v>
      </c>
      <c r="C923" s="18" t="s">
        <v>36</v>
      </c>
      <c r="D923" s="18" t="s">
        <v>28</v>
      </c>
      <c r="E923" s="18" t="s">
        <v>29</v>
      </c>
      <c r="F923" s="18" t="s">
        <v>51</v>
      </c>
      <c r="G923" s="18" t="s">
        <v>43</v>
      </c>
      <c r="H923" s="18">
        <v>18</v>
      </c>
      <c r="I923" s="20">
        <v>30</v>
      </c>
      <c r="J923" s="21">
        <v>540</v>
      </c>
    </row>
    <row r="924" spans="1:10">
      <c r="A924" s="19">
        <v>35622</v>
      </c>
      <c r="B924" s="18" t="s">
        <v>39</v>
      </c>
      <c r="C924" s="18" t="s">
        <v>40</v>
      </c>
      <c r="D924" s="18" t="s">
        <v>28</v>
      </c>
      <c r="E924" s="18" t="s">
        <v>33</v>
      </c>
      <c r="F924" s="18" t="s">
        <v>50</v>
      </c>
      <c r="G924" s="18" t="s">
        <v>31</v>
      </c>
      <c r="H924" s="18">
        <v>38</v>
      </c>
      <c r="I924" s="20">
        <v>5</v>
      </c>
      <c r="J924" s="21">
        <v>190</v>
      </c>
    </row>
    <row r="925" spans="1:10">
      <c r="A925" s="19">
        <v>35622</v>
      </c>
      <c r="B925" s="18" t="s">
        <v>39</v>
      </c>
      <c r="C925" s="18" t="s">
        <v>41</v>
      </c>
      <c r="D925" s="18" t="s">
        <v>28</v>
      </c>
      <c r="E925" s="18" t="s">
        <v>35</v>
      </c>
      <c r="F925" s="18" t="s">
        <v>52</v>
      </c>
      <c r="G925" s="18" t="s">
        <v>31</v>
      </c>
      <c r="H925" s="18">
        <v>21.05</v>
      </c>
      <c r="I925" s="20">
        <v>12</v>
      </c>
      <c r="J925" s="21">
        <v>252.60000000000002</v>
      </c>
    </row>
    <row r="926" spans="1:10">
      <c r="A926" s="19">
        <v>35622</v>
      </c>
      <c r="B926" s="18" t="s">
        <v>39</v>
      </c>
      <c r="C926" s="18" t="s">
        <v>44</v>
      </c>
      <c r="D926" s="18" t="s">
        <v>28</v>
      </c>
      <c r="E926" s="18" t="s">
        <v>29</v>
      </c>
      <c r="F926" s="18" t="s">
        <v>50</v>
      </c>
      <c r="G926" s="18" t="s">
        <v>31</v>
      </c>
      <c r="H926" s="18">
        <v>7.75</v>
      </c>
      <c r="I926" s="20">
        <v>30</v>
      </c>
      <c r="J926" s="21">
        <v>232.5</v>
      </c>
    </row>
    <row r="927" spans="1:10">
      <c r="A927" s="19">
        <v>35622</v>
      </c>
      <c r="B927" s="18" t="s">
        <v>39</v>
      </c>
      <c r="C927" s="18" t="s">
        <v>46</v>
      </c>
      <c r="D927" s="18" t="s">
        <v>28</v>
      </c>
      <c r="E927" s="18" t="s">
        <v>33</v>
      </c>
      <c r="F927" s="18" t="s">
        <v>52</v>
      </c>
      <c r="G927" s="18" t="s">
        <v>31</v>
      </c>
      <c r="H927" s="18">
        <v>4.5</v>
      </c>
      <c r="I927" s="20">
        <v>35</v>
      </c>
      <c r="J927" s="21">
        <v>157.5</v>
      </c>
    </row>
    <row r="928" spans="1:10">
      <c r="A928" s="19">
        <v>35622</v>
      </c>
      <c r="B928" s="18" t="s">
        <v>39</v>
      </c>
      <c r="C928" s="18" t="s">
        <v>47</v>
      </c>
      <c r="D928" s="18" t="s">
        <v>28</v>
      </c>
      <c r="E928" s="18" t="s">
        <v>35</v>
      </c>
      <c r="F928" s="18" t="s">
        <v>50</v>
      </c>
      <c r="G928" s="18" t="s">
        <v>31</v>
      </c>
      <c r="H928" s="18">
        <v>43.9</v>
      </c>
      <c r="I928" s="20">
        <v>24</v>
      </c>
      <c r="J928" s="21">
        <v>1053.5999999999999</v>
      </c>
    </row>
    <row r="929" spans="1:10">
      <c r="A929" s="19">
        <v>35622</v>
      </c>
      <c r="B929" s="18" t="s">
        <v>26</v>
      </c>
      <c r="C929" s="18" t="s">
        <v>27</v>
      </c>
      <c r="D929" s="18" t="s">
        <v>28</v>
      </c>
      <c r="E929" s="18" t="s">
        <v>29</v>
      </c>
      <c r="F929" s="18" t="s">
        <v>52</v>
      </c>
      <c r="G929" s="18" t="s">
        <v>31</v>
      </c>
      <c r="H929" s="18">
        <v>19.5</v>
      </c>
      <c r="I929" s="20">
        <v>20</v>
      </c>
      <c r="J929" s="21">
        <v>390</v>
      </c>
    </row>
    <row r="930" spans="1:10">
      <c r="A930" s="19">
        <v>35625</v>
      </c>
      <c r="B930" s="18" t="s">
        <v>26</v>
      </c>
      <c r="C930" s="18" t="s">
        <v>32</v>
      </c>
      <c r="D930" s="18" t="s">
        <v>28</v>
      </c>
      <c r="E930" s="18" t="s">
        <v>33</v>
      </c>
      <c r="F930" s="18" t="s">
        <v>49</v>
      </c>
      <c r="G930" s="18" t="s">
        <v>38</v>
      </c>
      <c r="H930" s="18">
        <v>43.9</v>
      </c>
      <c r="I930" s="20">
        <v>50</v>
      </c>
      <c r="J930" s="21">
        <v>2195</v>
      </c>
    </row>
    <row r="931" spans="1:10">
      <c r="A931" s="19">
        <v>35625</v>
      </c>
      <c r="B931" s="18" t="s">
        <v>26</v>
      </c>
      <c r="C931" s="18" t="s">
        <v>34</v>
      </c>
      <c r="D931" s="18" t="s">
        <v>28</v>
      </c>
      <c r="E931" s="18" t="s">
        <v>35</v>
      </c>
      <c r="F931" s="18" t="s">
        <v>49</v>
      </c>
      <c r="G931" s="18" t="s">
        <v>38</v>
      </c>
      <c r="H931" s="18">
        <v>21.5</v>
      </c>
      <c r="I931" s="20">
        <v>9</v>
      </c>
      <c r="J931" s="21">
        <v>193.5</v>
      </c>
    </row>
    <row r="932" spans="1:10">
      <c r="A932" s="19">
        <v>35626</v>
      </c>
      <c r="B932" s="18" t="s">
        <v>26</v>
      </c>
      <c r="C932" s="18" t="s">
        <v>36</v>
      </c>
      <c r="D932" s="18" t="s">
        <v>28</v>
      </c>
      <c r="E932" s="18" t="s">
        <v>29</v>
      </c>
      <c r="F932" s="18" t="s">
        <v>37</v>
      </c>
      <c r="G932" s="18" t="s">
        <v>38</v>
      </c>
      <c r="H932" s="18">
        <v>49.3</v>
      </c>
      <c r="I932" s="20">
        <v>10</v>
      </c>
      <c r="J932" s="21">
        <v>493</v>
      </c>
    </row>
    <row r="933" spans="1:10">
      <c r="A933" s="19">
        <v>35627</v>
      </c>
      <c r="B933" s="18" t="s">
        <v>39</v>
      </c>
      <c r="C933" s="18" t="s">
        <v>40</v>
      </c>
      <c r="D933" s="18" t="s">
        <v>28</v>
      </c>
      <c r="E933" s="18" t="s">
        <v>29</v>
      </c>
      <c r="F933" s="18" t="s">
        <v>52</v>
      </c>
      <c r="G933" s="18" t="s">
        <v>31</v>
      </c>
      <c r="H933" s="18">
        <v>55</v>
      </c>
      <c r="I933" s="20">
        <v>35</v>
      </c>
      <c r="J933" s="21">
        <v>1925</v>
      </c>
    </row>
    <row r="934" spans="1:10">
      <c r="A934" s="19">
        <v>35627</v>
      </c>
      <c r="B934" s="18" t="s">
        <v>39</v>
      </c>
      <c r="C934" s="18" t="s">
        <v>41</v>
      </c>
      <c r="D934" s="18" t="s">
        <v>28</v>
      </c>
      <c r="E934" s="18" t="s">
        <v>33</v>
      </c>
      <c r="F934" s="18" t="s">
        <v>42</v>
      </c>
      <c r="G934" s="18" t="s">
        <v>43</v>
      </c>
      <c r="H934" s="18">
        <v>15</v>
      </c>
      <c r="I934" s="20">
        <v>30</v>
      </c>
      <c r="J934" s="21">
        <v>450</v>
      </c>
    </row>
    <row r="935" spans="1:10">
      <c r="A935" s="19">
        <v>35627</v>
      </c>
      <c r="B935" s="18" t="s">
        <v>39</v>
      </c>
      <c r="C935" s="18" t="s">
        <v>44</v>
      </c>
      <c r="D935" s="18" t="s">
        <v>28</v>
      </c>
      <c r="E935" s="18" t="s">
        <v>35</v>
      </c>
      <c r="F935" s="18" t="s">
        <v>42</v>
      </c>
      <c r="G935" s="18" t="s">
        <v>43</v>
      </c>
      <c r="H935" s="18">
        <v>7.45</v>
      </c>
      <c r="I935" s="20">
        <v>4</v>
      </c>
      <c r="J935" s="21">
        <v>29.8</v>
      </c>
    </row>
    <row r="936" spans="1:10">
      <c r="A936" s="19">
        <v>35627</v>
      </c>
      <c r="B936" s="18" t="s">
        <v>39</v>
      </c>
      <c r="C936" s="18" t="s">
        <v>46</v>
      </c>
      <c r="D936" s="18" t="s">
        <v>28</v>
      </c>
      <c r="E936" s="18" t="s">
        <v>29</v>
      </c>
      <c r="F936" s="18" t="s">
        <v>52</v>
      </c>
      <c r="G936" s="18" t="s">
        <v>31</v>
      </c>
      <c r="H936" s="18">
        <v>6</v>
      </c>
      <c r="I936" s="20">
        <v>60</v>
      </c>
      <c r="J936" s="21">
        <v>360</v>
      </c>
    </row>
    <row r="937" spans="1:10">
      <c r="A937" s="19">
        <v>35628</v>
      </c>
      <c r="B937" s="18" t="s">
        <v>39</v>
      </c>
      <c r="C937" s="18" t="s">
        <v>47</v>
      </c>
      <c r="D937" s="18" t="s">
        <v>28</v>
      </c>
      <c r="E937" s="18" t="s">
        <v>33</v>
      </c>
      <c r="F937" s="18" t="s">
        <v>50</v>
      </c>
      <c r="G937" s="18" t="s">
        <v>31</v>
      </c>
      <c r="H937" s="18">
        <v>13</v>
      </c>
      <c r="I937" s="20">
        <v>5</v>
      </c>
      <c r="J937" s="21">
        <v>65</v>
      </c>
    </row>
    <row r="938" spans="1:10">
      <c r="A938" s="19">
        <v>35629</v>
      </c>
      <c r="B938" s="18" t="s">
        <v>26</v>
      </c>
      <c r="C938" s="18" t="s">
        <v>27</v>
      </c>
      <c r="D938" s="18" t="s">
        <v>28</v>
      </c>
      <c r="E938" s="18" t="s">
        <v>35</v>
      </c>
      <c r="F938" s="18" t="s">
        <v>49</v>
      </c>
      <c r="G938" s="18" t="s">
        <v>38</v>
      </c>
      <c r="H938" s="18">
        <v>18</v>
      </c>
      <c r="I938" s="20">
        <v>10</v>
      </c>
      <c r="J938" s="21">
        <v>180</v>
      </c>
    </row>
    <row r="939" spans="1:10">
      <c r="A939" s="19">
        <v>35629</v>
      </c>
      <c r="B939" s="18" t="s">
        <v>26</v>
      </c>
      <c r="C939" s="18" t="s">
        <v>32</v>
      </c>
      <c r="D939" s="18" t="s">
        <v>28</v>
      </c>
      <c r="E939" s="18" t="s">
        <v>29</v>
      </c>
      <c r="F939" s="18" t="s">
        <v>50</v>
      </c>
      <c r="G939" s="18" t="s">
        <v>31</v>
      </c>
      <c r="H939" s="18">
        <v>21</v>
      </c>
      <c r="I939" s="20">
        <v>48</v>
      </c>
      <c r="J939" s="21">
        <v>1008</v>
      </c>
    </row>
    <row r="940" spans="1:10">
      <c r="A940" s="19">
        <v>35629</v>
      </c>
      <c r="B940" s="18" t="s">
        <v>26</v>
      </c>
      <c r="C940" s="18" t="s">
        <v>34</v>
      </c>
      <c r="D940" s="18" t="s">
        <v>28</v>
      </c>
      <c r="E940" s="18" t="s">
        <v>33</v>
      </c>
      <c r="F940" s="18" t="s">
        <v>50</v>
      </c>
      <c r="G940" s="18" t="s">
        <v>31</v>
      </c>
      <c r="H940" s="18">
        <v>20</v>
      </c>
      <c r="I940" s="20">
        <v>25</v>
      </c>
      <c r="J940" s="21">
        <v>500</v>
      </c>
    </row>
    <row r="941" spans="1:10">
      <c r="A941" s="19">
        <v>35629</v>
      </c>
      <c r="B941" s="18" t="s">
        <v>26</v>
      </c>
      <c r="C941" s="18" t="s">
        <v>36</v>
      </c>
      <c r="D941" s="18" t="s">
        <v>28</v>
      </c>
      <c r="E941" s="18" t="s">
        <v>35</v>
      </c>
      <c r="F941" s="18" t="s">
        <v>49</v>
      </c>
      <c r="G941" s="18" t="s">
        <v>38</v>
      </c>
      <c r="H941" s="18">
        <v>12.75</v>
      </c>
      <c r="I941" s="20">
        <v>6</v>
      </c>
      <c r="J941" s="21">
        <v>76.5</v>
      </c>
    </row>
    <row r="942" spans="1:10">
      <c r="A942" s="19">
        <v>35632</v>
      </c>
      <c r="B942" s="18" t="s">
        <v>39</v>
      </c>
      <c r="C942" s="18" t="s">
        <v>40</v>
      </c>
      <c r="D942" s="18" t="s">
        <v>28</v>
      </c>
      <c r="E942" s="18" t="s">
        <v>29</v>
      </c>
      <c r="F942" s="18" t="s">
        <v>49</v>
      </c>
      <c r="G942" s="18" t="s">
        <v>38</v>
      </c>
      <c r="H942" s="18">
        <v>17.45</v>
      </c>
      <c r="I942" s="20">
        <v>30</v>
      </c>
      <c r="J942" s="21">
        <v>523.5</v>
      </c>
    </row>
    <row r="943" spans="1:10">
      <c r="A943" s="19">
        <v>35632</v>
      </c>
      <c r="B943" s="18" t="s">
        <v>39</v>
      </c>
      <c r="C943" s="18" t="s">
        <v>41</v>
      </c>
      <c r="D943" s="18" t="s">
        <v>28</v>
      </c>
      <c r="E943" s="18" t="s">
        <v>33</v>
      </c>
      <c r="F943" s="18" t="s">
        <v>49</v>
      </c>
      <c r="G943" s="18" t="s">
        <v>38</v>
      </c>
      <c r="H943" s="18">
        <v>55</v>
      </c>
      <c r="I943" s="20">
        <v>20</v>
      </c>
      <c r="J943" s="21">
        <v>1100</v>
      </c>
    </row>
    <row r="944" spans="1:10">
      <c r="A944" s="19">
        <v>35632</v>
      </c>
      <c r="B944" s="18" t="s">
        <v>39</v>
      </c>
      <c r="C944" s="18" t="s">
        <v>44</v>
      </c>
      <c r="D944" s="18" t="s">
        <v>28</v>
      </c>
      <c r="E944" s="18" t="s">
        <v>35</v>
      </c>
      <c r="F944" s="18" t="s">
        <v>49</v>
      </c>
      <c r="G944" s="18" t="s">
        <v>38</v>
      </c>
      <c r="H944" s="18">
        <v>34</v>
      </c>
      <c r="I944" s="20">
        <v>70</v>
      </c>
      <c r="J944" s="21">
        <v>2380</v>
      </c>
    </row>
    <row r="945" spans="1:10">
      <c r="A945" s="19">
        <v>35632</v>
      </c>
      <c r="B945" s="18" t="s">
        <v>39</v>
      </c>
      <c r="C945" s="18" t="s">
        <v>46</v>
      </c>
      <c r="D945" s="18" t="s">
        <v>28</v>
      </c>
      <c r="E945" s="18" t="s">
        <v>29</v>
      </c>
      <c r="F945" s="18" t="s">
        <v>49</v>
      </c>
      <c r="G945" s="18" t="s">
        <v>38</v>
      </c>
      <c r="H945" s="18">
        <v>21.5</v>
      </c>
      <c r="I945" s="20">
        <v>15</v>
      </c>
      <c r="J945" s="21">
        <v>322.5</v>
      </c>
    </row>
    <row r="946" spans="1:10">
      <c r="A946" s="19">
        <v>35633</v>
      </c>
      <c r="B946" s="18" t="s">
        <v>39</v>
      </c>
      <c r="C946" s="18" t="s">
        <v>47</v>
      </c>
      <c r="D946" s="18" t="s">
        <v>28</v>
      </c>
      <c r="E946" s="18" t="s">
        <v>33</v>
      </c>
      <c r="F946" s="18" t="s">
        <v>30</v>
      </c>
      <c r="G946" s="18" t="s">
        <v>31</v>
      </c>
      <c r="H946" s="18">
        <v>30</v>
      </c>
      <c r="I946" s="20">
        <v>45</v>
      </c>
      <c r="J946" s="21">
        <v>1350</v>
      </c>
    </row>
    <row r="947" spans="1:10">
      <c r="A947" s="19">
        <v>35633</v>
      </c>
      <c r="B947" s="18" t="s">
        <v>26</v>
      </c>
      <c r="C947" s="18" t="s">
        <v>27</v>
      </c>
      <c r="D947" s="18" t="s">
        <v>28</v>
      </c>
      <c r="E947" s="18" t="s">
        <v>35</v>
      </c>
      <c r="F947" s="18" t="s">
        <v>30</v>
      </c>
      <c r="G947" s="18" t="s">
        <v>31</v>
      </c>
      <c r="H947" s="18">
        <v>2.5</v>
      </c>
      <c r="I947" s="20">
        <v>14</v>
      </c>
      <c r="J947" s="21">
        <v>35</v>
      </c>
    </row>
    <row r="948" spans="1:10">
      <c r="A948" s="19">
        <v>35633</v>
      </c>
      <c r="B948" s="18" t="s">
        <v>26</v>
      </c>
      <c r="C948" s="18" t="s">
        <v>32</v>
      </c>
      <c r="D948" s="18" t="s">
        <v>28</v>
      </c>
      <c r="E948" s="18" t="s">
        <v>29</v>
      </c>
      <c r="F948" s="18" t="s">
        <v>42</v>
      </c>
      <c r="G948" s="18" t="s">
        <v>43</v>
      </c>
      <c r="H948" s="18">
        <v>49.3</v>
      </c>
      <c r="I948" s="20">
        <v>10</v>
      </c>
      <c r="J948" s="21">
        <v>493</v>
      </c>
    </row>
    <row r="949" spans="1:10">
      <c r="A949" s="19">
        <v>35633</v>
      </c>
      <c r="B949" s="18" t="s">
        <v>26</v>
      </c>
      <c r="C949" s="18" t="s">
        <v>34</v>
      </c>
      <c r="D949" s="18" t="s">
        <v>28</v>
      </c>
      <c r="E949" s="18" t="s">
        <v>33</v>
      </c>
      <c r="F949" s="18" t="s">
        <v>30</v>
      </c>
      <c r="G949" s="18" t="s">
        <v>31</v>
      </c>
      <c r="H949" s="18">
        <v>34.799999999999997</v>
      </c>
      <c r="I949" s="20">
        <v>12</v>
      </c>
      <c r="J949" s="21">
        <v>417.59999999999997</v>
      </c>
    </row>
    <row r="950" spans="1:10">
      <c r="A950" s="19">
        <v>35633</v>
      </c>
      <c r="B950" s="18" t="s">
        <v>26</v>
      </c>
      <c r="C950" s="18" t="s">
        <v>36</v>
      </c>
      <c r="D950" s="18" t="s">
        <v>28</v>
      </c>
      <c r="E950" s="18" t="s">
        <v>35</v>
      </c>
      <c r="F950" s="18" t="s">
        <v>30</v>
      </c>
      <c r="G950" s="18" t="s">
        <v>31</v>
      </c>
      <c r="H950" s="18">
        <v>18.399999999999999</v>
      </c>
      <c r="I950" s="20">
        <v>42</v>
      </c>
      <c r="J950" s="21">
        <v>772.8</v>
      </c>
    </row>
    <row r="951" spans="1:10">
      <c r="A951" s="19">
        <v>35633</v>
      </c>
      <c r="B951" s="18" t="s">
        <v>39</v>
      </c>
      <c r="C951" s="18" t="s">
        <v>40</v>
      </c>
      <c r="D951" s="18" t="s">
        <v>28</v>
      </c>
      <c r="E951" s="18" t="s">
        <v>29</v>
      </c>
      <c r="F951" s="18" t="s">
        <v>42</v>
      </c>
      <c r="G951" s="18" t="s">
        <v>43</v>
      </c>
      <c r="H951" s="18">
        <v>24</v>
      </c>
      <c r="I951" s="20">
        <v>20</v>
      </c>
      <c r="J951" s="21">
        <v>480</v>
      </c>
    </row>
    <row r="952" spans="1:10">
      <c r="A952" s="19">
        <v>35633</v>
      </c>
      <c r="B952" s="18" t="s">
        <v>39</v>
      </c>
      <c r="C952" s="18" t="s">
        <v>41</v>
      </c>
      <c r="D952" s="18" t="s">
        <v>28</v>
      </c>
      <c r="E952" s="18" t="s">
        <v>29</v>
      </c>
      <c r="F952" s="18" t="s">
        <v>42</v>
      </c>
      <c r="G952" s="18" t="s">
        <v>43</v>
      </c>
      <c r="H952" s="18">
        <v>22</v>
      </c>
      <c r="I952" s="20">
        <v>20</v>
      </c>
      <c r="J952" s="21">
        <v>440</v>
      </c>
    </row>
    <row r="953" spans="1:10">
      <c r="A953" s="19">
        <v>35633</v>
      </c>
      <c r="B953" s="18" t="s">
        <v>39</v>
      </c>
      <c r="C953" s="18" t="s">
        <v>44</v>
      </c>
      <c r="D953" s="18" t="s">
        <v>28</v>
      </c>
      <c r="E953" s="18" t="s">
        <v>33</v>
      </c>
      <c r="F953" s="18" t="s">
        <v>30</v>
      </c>
      <c r="G953" s="18" t="s">
        <v>31</v>
      </c>
      <c r="H953" s="18">
        <v>39</v>
      </c>
      <c r="I953" s="20">
        <v>100</v>
      </c>
      <c r="J953" s="21">
        <v>3900</v>
      </c>
    </row>
    <row r="954" spans="1:10">
      <c r="A954" s="19">
        <v>35634</v>
      </c>
      <c r="B954" s="18" t="s">
        <v>39</v>
      </c>
      <c r="C954" s="18" t="s">
        <v>46</v>
      </c>
      <c r="D954" s="18" t="s">
        <v>28</v>
      </c>
      <c r="E954" s="18" t="s">
        <v>35</v>
      </c>
      <c r="F954" s="18" t="s">
        <v>42</v>
      </c>
      <c r="G954" s="18" t="s">
        <v>43</v>
      </c>
      <c r="H954" s="18">
        <v>38</v>
      </c>
      <c r="I954" s="20">
        <v>28</v>
      </c>
      <c r="J954" s="21">
        <v>1064</v>
      </c>
    </row>
    <row r="955" spans="1:10">
      <c r="A955" s="19">
        <v>35635</v>
      </c>
      <c r="B955" s="18" t="s">
        <v>39</v>
      </c>
      <c r="C955" s="18" t="s">
        <v>47</v>
      </c>
      <c r="D955" s="18" t="s">
        <v>28</v>
      </c>
      <c r="E955" s="18" t="s">
        <v>29</v>
      </c>
      <c r="F955" s="18" t="s">
        <v>52</v>
      </c>
      <c r="G955" s="18" t="s">
        <v>31</v>
      </c>
      <c r="H955" s="18">
        <v>10</v>
      </c>
      <c r="I955" s="20">
        <v>6</v>
      </c>
      <c r="J955" s="21">
        <v>60</v>
      </c>
    </row>
    <row r="956" spans="1:10">
      <c r="A956" s="19">
        <v>35635</v>
      </c>
      <c r="B956" s="18" t="s">
        <v>26</v>
      </c>
      <c r="C956" s="18" t="s">
        <v>27</v>
      </c>
      <c r="D956" s="18" t="s">
        <v>28</v>
      </c>
      <c r="E956" s="18" t="s">
        <v>33</v>
      </c>
      <c r="F956" s="18" t="s">
        <v>52</v>
      </c>
      <c r="G956" s="18" t="s">
        <v>31</v>
      </c>
      <c r="H956" s="18">
        <v>18</v>
      </c>
      <c r="I956" s="20">
        <v>3</v>
      </c>
      <c r="J956" s="21">
        <v>54</v>
      </c>
    </row>
    <row r="957" spans="1:10">
      <c r="A957" s="19">
        <v>35635</v>
      </c>
      <c r="B957" s="18" t="s">
        <v>26</v>
      </c>
      <c r="C957" s="18" t="s">
        <v>32</v>
      </c>
      <c r="D957" s="18" t="s">
        <v>28</v>
      </c>
      <c r="E957" s="18" t="s">
        <v>35</v>
      </c>
      <c r="F957" s="18" t="s">
        <v>52</v>
      </c>
      <c r="G957" s="18" t="s">
        <v>31</v>
      </c>
      <c r="H957" s="18">
        <v>31</v>
      </c>
      <c r="I957" s="20">
        <v>10</v>
      </c>
      <c r="J957" s="21">
        <v>310</v>
      </c>
    </row>
    <row r="958" spans="1:10">
      <c r="A958" s="19">
        <v>35636</v>
      </c>
      <c r="B958" s="18" t="s">
        <v>26</v>
      </c>
      <c r="C958" s="18" t="s">
        <v>34</v>
      </c>
      <c r="D958" s="18" t="s">
        <v>28</v>
      </c>
      <c r="E958" s="18" t="s">
        <v>29</v>
      </c>
      <c r="F958" s="18" t="s">
        <v>37</v>
      </c>
      <c r="G958" s="18" t="s">
        <v>38</v>
      </c>
      <c r="H958" s="18">
        <v>34</v>
      </c>
      <c r="I958" s="20">
        <v>15</v>
      </c>
      <c r="J958" s="21">
        <v>510</v>
      </c>
    </row>
    <row r="959" spans="1:10">
      <c r="A959" s="19">
        <v>35636</v>
      </c>
      <c r="B959" s="18" t="s">
        <v>26</v>
      </c>
      <c r="C959" s="18" t="s">
        <v>36</v>
      </c>
      <c r="D959" s="18" t="s">
        <v>28</v>
      </c>
      <c r="E959" s="18" t="s">
        <v>33</v>
      </c>
      <c r="F959" s="18" t="s">
        <v>37</v>
      </c>
      <c r="G959" s="18" t="s">
        <v>38</v>
      </c>
      <c r="H959" s="18">
        <v>19</v>
      </c>
      <c r="I959" s="20">
        <v>10</v>
      </c>
      <c r="J959" s="21">
        <v>190</v>
      </c>
    </row>
    <row r="960" spans="1:10">
      <c r="A960" s="19">
        <v>35636</v>
      </c>
      <c r="B960" s="18" t="s">
        <v>39</v>
      </c>
      <c r="C960" s="18" t="s">
        <v>40</v>
      </c>
      <c r="D960" s="18" t="s">
        <v>28</v>
      </c>
      <c r="E960" s="18" t="s">
        <v>35</v>
      </c>
      <c r="F960" s="18" t="s">
        <v>37</v>
      </c>
      <c r="G960" s="18" t="s">
        <v>38</v>
      </c>
      <c r="H960" s="18">
        <v>18</v>
      </c>
      <c r="I960" s="20">
        <v>6</v>
      </c>
      <c r="J960" s="21">
        <v>108</v>
      </c>
    </row>
    <row r="961" spans="1:10">
      <c r="A961" s="19">
        <v>35636</v>
      </c>
      <c r="B961" s="18" t="s">
        <v>39</v>
      </c>
      <c r="C961" s="18" t="s">
        <v>41</v>
      </c>
      <c r="D961" s="18" t="s">
        <v>28</v>
      </c>
      <c r="E961" s="18" t="s">
        <v>29</v>
      </c>
      <c r="F961" s="18" t="s">
        <v>50</v>
      </c>
      <c r="G961" s="18" t="s">
        <v>31</v>
      </c>
      <c r="H961" s="18">
        <v>19</v>
      </c>
      <c r="I961" s="20">
        <v>21</v>
      </c>
      <c r="J961" s="21">
        <v>399</v>
      </c>
    </row>
    <row r="962" spans="1:10">
      <c r="A962" s="19">
        <v>35639</v>
      </c>
      <c r="B962" s="18" t="s">
        <v>39</v>
      </c>
      <c r="C962" s="18" t="s">
        <v>44</v>
      </c>
      <c r="D962" s="18" t="s">
        <v>28</v>
      </c>
      <c r="E962" s="18" t="s">
        <v>33</v>
      </c>
      <c r="F962" s="18" t="s">
        <v>49</v>
      </c>
      <c r="G962" s="18" t="s">
        <v>38</v>
      </c>
      <c r="H962" s="18">
        <v>34</v>
      </c>
      <c r="I962" s="20">
        <v>40</v>
      </c>
      <c r="J962" s="21">
        <v>1360</v>
      </c>
    </row>
    <row r="963" spans="1:10">
      <c r="A963" s="19">
        <v>35639</v>
      </c>
      <c r="B963" s="18" t="s">
        <v>39</v>
      </c>
      <c r="C963" s="18" t="s">
        <v>46</v>
      </c>
      <c r="D963" s="18" t="s">
        <v>28</v>
      </c>
      <c r="E963" s="18" t="s">
        <v>35</v>
      </c>
      <c r="F963" s="18" t="s">
        <v>49</v>
      </c>
      <c r="G963" s="18" t="s">
        <v>38</v>
      </c>
      <c r="H963" s="18">
        <v>18</v>
      </c>
      <c r="I963" s="20">
        <v>80</v>
      </c>
      <c r="J963" s="21">
        <v>1440</v>
      </c>
    </row>
    <row r="964" spans="1:10">
      <c r="A964" s="19">
        <v>35639</v>
      </c>
      <c r="B964" s="18" t="s">
        <v>39</v>
      </c>
      <c r="C964" s="18" t="s">
        <v>47</v>
      </c>
      <c r="D964" s="18" t="s">
        <v>28</v>
      </c>
      <c r="E964" s="18" t="s">
        <v>29</v>
      </c>
      <c r="F964" s="18" t="s">
        <v>49</v>
      </c>
      <c r="G964" s="18" t="s">
        <v>38</v>
      </c>
      <c r="H964" s="18">
        <v>20</v>
      </c>
      <c r="I964" s="20">
        <v>18</v>
      </c>
      <c r="J964" s="21">
        <v>360</v>
      </c>
    </row>
    <row r="965" spans="1:10">
      <c r="A965" s="19">
        <v>35639</v>
      </c>
      <c r="B965" s="18" t="s">
        <v>26</v>
      </c>
      <c r="C965" s="18" t="s">
        <v>27</v>
      </c>
      <c r="D965" s="18" t="s">
        <v>28</v>
      </c>
      <c r="E965" s="18" t="s">
        <v>33</v>
      </c>
      <c r="F965" s="18" t="s">
        <v>49</v>
      </c>
      <c r="G965" s="18" t="s">
        <v>38</v>
      </c>
      <c r="H965" s="18">
        <v>31</v>
      </c>
      <c r="I965" s="20">
        <v>70</v>
      </c>
      <c r="J965" s="21">
        <v>2170</v>
      </c>
    </row>
    <row r="966" spans="1:10">
      <c r="A966" s="19">
        <v>35639</v>
      </c>
      <c r="B966" s="18" t="s">
        <v>26</v>
      </c>
      <c r="C966" s="18" t="s">
        <v>32</v>
      </c>
      <c r="D966" s="18" t="s">
        <v>28</v>
      </c>
      <c r="E966" s="18" t="s">
        <v>35</v>
      </c>
      <c r="F966" s="18" t="s">
        <v>49</v>
      </c>
      <c r="G966" s="18" t="s">
        <v>38</v>
      </c>
      <c r="H966" s="18">
        <v>19</v>
      </c>
      <c r="I966" s="20">
        <v>55</v>
      </c>
      <c r="J966" s="21">
        <v>1045</v>
      </c>
    </row>
    <row r="967" spans="1:10">
      <c r="A967" s="19">
        <v>35640</v>
      </c>
      <c r="B967" s="18" t="s">
        <v>26</v>
      </c>
      <c r="C967" s="18" t="s">
        <v>34</v>
      </c>
      <c r="D967" s="18" t="s">
        <v>28</v>
      </c>
      <c r="E967" s="18" t="s">
        <v>29</v>
      </c>
      <c r="F967" s="18" t="s">
        <v>50</v>
      </c>
      <c r="G967" s="18" t="s">
        <v>31</v>
      </c>
      <c r="H967" s="18">
        <v>21</v>
      </c>
      <c r="I967" s="20">
        <v>14</v>
      </c>
      <c r="J967" s="21">
        <v>294</v>
      </c>
    </row>
    <row r="968" spans="1:10">
      <c r="A968" s="19">
        <v>35640</v>
      </c>
      <c r="B968" s="18" t="s">
        <v>26</v>
      </c>
      <c r="C968" s="18" t="s">
        <v>36</v>
      </c>
      <c r="D968" s="18" t="s">
        <v>28</v>
      </c>
      <c r="E968" s="18" t="s">
        <v>33</v>
      </c>
      <c r="F968" s="18" t="s">
        <v>50</v>
      </c>
      <c r="G968" s="18" t="s">
        <v>31</v>
      </c>
      <c r="H968" s="18">
        <v>10</v>
      </c>
      <c r="I968" s="20">
        <v>8</v>
      </c>
      <c r="J968" s="21">
        <v>80</v>
      </c>
    </row>
    <row r="969" spans="1:10">
      <c r="A969" s="19">
        <v>35640</v>
      </c>
      <c r="B969" s="18" t="s">
        <v>39</v>
      </c>
      <c r="C969" s="18" t="s">
        <v>40</v>
      </c>
      <c r="D969" s="18" t="s">
        <v>28</v>
      </c>
      <c r="E969" s="18" t="s">
        <v>35</v>
      </c>
      <c r="F969" s="18" t="s">
        <v>42</v>
      </c>
      <c r="G969" s="18" t="s">
        <v>43</v>
      </c>
      <c r="H969" s="18">
        <v>6</v>
      </c>
      <c r="I969" s="20">
        <v>8</v>
      </c>
      <c r="J969" s="21">
        <v>48</v>
      </c>
    </row>
    <row r="970" spans="1:10">
      <c r="A970" s="19">
        <v>35640</v>
      </c>
      <c r="B970" s="18" t="s">
        <v>39</v>
      </c>
      <c r="C970" s="18" t="s">
        <v>41</v>
      </c>
      <c r="D970" s="18" t="s">
        <v>28</v>
      </c>
      <c r="E970" s="18" t="s">
        <v>29</v>
      </c>
      <c r="F970" s="18" t="s">
        <v>42</v>
      </c>
      <c r="G970" s="18" t="s">
        <v>43</v>
      </c>
      <c r="H970" s="18">
        <v>7.75</v>
      </c>
      <c r="I970" s="20">
        <v>40</v>
      </c>
      <c r="J970" s="21">
        <v>310</v>
      </c>
    </row>
    <row r="971" spans="1:10">
      <c r="A971" s="19">
        <v>35640</v>
      </c>
      <c r="B971" s="18" t="s">
        <v>39</v>
      </c>
      <c r="C971" s="18" t="s">
        <v>44</v>
      </c>
      <c r="D971" s="18" t="s">
        <v>28</v>
      </c>
      <c r="E971" s="18" t="s">
        <v>29</v>
      </c>
      <c r="F971" s="18" t="s">
        <v>50</v>
      </c>
      <c r="G971" s="18" t="s">
        <v>31</v>
      </c>
      <c r="H971" s="18">
        <v>18</v>
      </c>
      <c r="I971" s="20">
        <v>5</v>
      </c>
      <c r="J971" s="21">
        <v>90</v>
      </c>
    </row>
    <row r="972" spans="1:10">
      <c r="A972" s="19">
        <v>35641</v>
      </c>
      <c r="B972" s="18" t="s">
        <v>39</v>
      </c>
      <c r="C972" s="18" t="s">
        <v>46</v>
      </c>
      <c r="D972" s="18" t="s">
        <v>28</v>
      </c>
      <c r="E972" s="18" t="s">
        <v>33</v>
      </c>
      <c r="F972" s="18" t="s">
        <v>51</v>
      </c>
      <c r="G972" s="18" t="s">
        <v>43</v>
      </c>
      <c r="H972" s="18">
        <v>24</v>
      </c>
      <c r="I972" s="20">
        <v>5</v>
      </c>
      <c r="J972" s="21">
        <v>120</v>
      </c>
    </row>
    <row r="973" spans="1:10">
      <c r="A973" s="19">
        <v>35642</v>
      </c>
      <c r="B973" s="18" t="s">
        <v>39</v>
      </c>
      <c r="C973" s="18" t="s">
        <v>47</v>
      </c>
      <c r="D973" s="18" t="s">
        <v>28</v>
      </c>
      <c r="E973" s="18" t="s">
        <v>35</v>
      </c>
      <c r="F973" s="18" t="s">
        <v>49</v>
      </c>
      <c r="G973" s="18" t="s">
        <v>38</v>
      </c>
      <c r="H973" s="18">
        <v>38</v>
      </c>
      <c r="I973" s="20">
        <v>14</v>
      </c>
      <c r="J973" s="21">
        <v>532</v>
      </c>
    </row>
    <row r="974" spans="1:10">
      <c r="A974" s="19">
        <v>35642</v>
      </c>
      <c r="B974" s="18" t="s">
        <v>26</v>
      </c>
      <c r="C974" s="18" t="s">
        <v>27</v>
      </c>
      <c r="D974" s="18" t="s">
        <v>28</v>
      </c>
      <c r="E974" s="18" t="s">
        <v>29</v>
      </c>
      <c r="F974" s="18" t="s">
        <v>42</v>
      </c>
      <c r="G974" s="18" t="s">
        <v>43</v>
      </c>
      <c r="H974" s="18">
        <v>55</v>
      </c>
      <c r="I974" s="20">
        <v>30</v>
      </c>
      <c r="J974" s="21">
        <v>1650</v>
      </c>
    </row>
    <row r="975" spans="1:10">
      <c r="A975" s="19">
        <v>35642</v>
      </c>
      <c r="B975" s="18" t="s">
        <v>26</v>
      </c>
      <c r="C975" s="18" t="s">
        <v>32</v>
      </c>
      <c r="D975" s="18" t="s">
        <v>28</v>
      </c>
      <c r="E975" s="18" t="s">
        <v>33</v>
      </c>
      <c r="F975" s="18" t="s">
        <v>49</v>
      </c>
      <c r="G975" s="18" t="s">
        <v>38</v>
      </c>
      <c r="H975" s="18">
        <v>263.5</v>
      </c>
      <c r="I975" s="20">
        <v>15</v>
      </c>
      <c r="J975" s="21">
        <v>3952.5</v>
      </c>
    </row>
    <row r="976" spans="1:10">
      <c r="A976" s="19">
        <v>35642</v>
      </c>
      <c r="B976" s="18" t="s">
        <v>26</v>
      </c>
      <c r="C976" s="18" t="s">
        <v>34</v>
      </c>
      <c r="D976" s="18" t="s">
        <v>28</v>
      </c>
      <c r="E976" s="18" t="s">
        <v>35</v>
      </c>
      <c r="F976" s="18" t="s">
        <v>49</v>
      </c>
      <c r="G976" s="18" t="s">
        <v>38</v>
      </c>
      <c r="H976" s="18">
        <v>15</v>
      </c>
      <c r="I976" s="20">
        <v>15</v>
      </c>
      <c r="J976" s="21">
        <v>225</v>
      </c>
    </row>
    <row r="977" spans="1:10">
      <c r="A977" s="19">
        <v>35642</v>
      </c>
      <c r="B977" s="18" t="s">
        <v>26</v>
      </c>
      <c r="C977" s="18" t="s">
        <v>36</v>
      </c>
      <c r="D977" s="18" t="s">
        <v>28</v>
      </c>
      <c r="E977" s="18" t="s">
        <v>29</v>
      </c>
      <c r="F977" s="18" t="s">
        <v>49</v>
      </c>
      <c r="G977" s="18" t="s">
        <v>38</v>
      </c>
      <c r="H977" s="18">
        <v>21.5</v>
      </c>
      <c r="I977" s="20">
        <v>15</v>
      </c>
      <c r="J977" s="21">
        <v>322.5</v>
      </c>
    </row>
    <row r="978" spans="1:10">
      <c r="A978" s="19">
        <v>35643</v>
      </c>
      <c r="B978" s="18" t="s">
        <v>39</v>
      </c>
      <c r="C978" s="18" t="s">
        <v>40</v>
      </c>
      <c r="D978" s="18" t="s">
        <v>28</v>
      </c>
      <c r="E978" s="18" t="s">
        <v>33</v>
      </c>
      <c r="F978" s="18" t="s">
        <v>49</v>
      </c>
      <c r="G978" s="18" t="s">
        <v>38</v>
      </c>
      <c r="H978" s="18">
        <v>38</v>
      </c>
      <c r="I978" s="20">
        <v>20</v>
      </c>
      <c r="J978" s="21">
        <v>760</v>
      </c>
    </row>
    <row r="979" spans="1:10">
      <c r="A979" s="19">
        <v>35643</v>
      </c>
      <c r="B979" s="18" t="s">
        <v>39</v>
      </c>
      <c r="C979" s="18" t="s">
        <v>41</v>
      </c>
      <c r="D979" s="18" t="s">
        <v>28</v>
      </c>
      <c r="E979" s="18" t="s">
        <v>35</v>
      </c>
      <c r="F979" s="18" t="s">
        <v>49</v>
      </c>
      <c r="G979" s="18" t="s">
        <v>38</v>
      </c>
      <c r="H979" s="18">
        <v>25</v>
      </c>
      <c r="I979" s="20">
        <v>70</v>
      </c>
      <c r="J979" s="21">
        <v>1750</v>
      </c>
    </row>
    <row r="980" spans="1:10">
      <c r="A980" s="19">
        <v>35643</v>
      </c>
      <c r="B980" s="18" t="s">
        <v>39</v>
      </c>
      <c r="C980" s="18" t="s">
        <v>44</v>
      </c>
      <c r="D980" s="18" t="s">
        <v>28</v>
      </c>
      <c r="E980" s="18" t="s">
        <v>29</v>
      </c>
      <c r="F980" s="18" t="s">
        <v>49</v>
      </c>
      <c r="G980" s="18" t="s">
        <v>38</v>
      </c>
      <c r="H980" s="18">
        <v>12.5</v>
      </c>
      <c r="I980" s="20">
        <v>15</v>
      </c>
      <c r="J980" s="21">
        <v>187.5</v>
      </c>
    </row>
    <row r="981" spans="1:10">
      <c r="A981" s="19">
        <v>35646</v>
      </c>
      <c r="B981" s="18" t="s">
        <v>39</v>
      </c>
      <c r="C981" s="18" t="s">
        <v>46</v>
      </c>
      <c r="D981" s="18" t="s">
        <v>28</v>
      </c>
      <c r="E981" s="18" t="s">
        <v>33</v>
      </c>
      <c r="F981" s="18" t="s">
        <v>45</v>
      </c>
      <c r="G981" s="18" t="s">
        <v>38</v>
      </c>
      <c r="H981" s="18">
        <v>10</v>
      </c>
      <c r="I981" s="20">
        <v>42</v>
      </c>
      <c r="J981" s="21">
        <v>420</v>
      </c>
    </row>
    <row r="982" spans="1:10">
      <c r="A982" s="19">
        <v>35646</v>
      </c>
      <c r="B982" s="18" t="s">
        <v>39</v>
      </c>
      <c r="C982" s="18" t="s">
        <v>47</v>
      </c>
      <c r="D982" s="18" t="s">
        <v>28</v>
      </c>
      <c r="E982" s="18" t="s">
        <v>35</v>
      </c>
      <c r="F982" s="18" t="s">
        <v>45</v>
      </c>
      <c r="G982" s="18" t="s">
        <v>38</v>
      </c>
      <c r="H982" s="18">
        <v>21</v>
      </c>
      <c r="I982" s="20">
        <v>40</v>
      </c>
      <c r="J982" s="21">
        <v>840</v>
      </c>
    </row>
    <row r="983" spans="1:10">
      <c r="A983" s="19">
        <v>35647</v>
      </c>
      <c r="B983" s="18" t="s">
        <v>26</v>
      </c>
      <c r="C983" s="18" t="s">
        <v>27</v>
      </c>
      <c r="D983" s="18" t="s">
        <v>28</v>
      </c>
      <c r="E983" s="18" t="s">
        <v>29</v>
      </c>
      <c r="F983" s="18" t="s">
        <v>51</v>
      </c>
      <c r="G983" s="18" t="s">
        <v>43</v>
      </c>
      <c r="H983" s="18">
        <v>4.5</v>
      </c>
      <c r="I983" s="20">
        <v>5</v>
      </c>
      <c r="J983" s="21">
        <v>22.5</v>
      </c>
    </row>
    <row r="984" spans="1:10">
      <c r="A984" s="19">
        <v>35647</v>
      </c>
      <c r="B984" s="18" t="s">
        <v>26</v>
      </c>
      <c r="C984" s="18" t="s">
        <v>32</v>
      </c>
      <c r="D984" s="18" t="s">
        <v>28</v>
      </c>
      <c r="E984" s="18" t="s">
        <v>33</v>
      </c>
      <c r="F984" s="18" t="s">
        <v>51</v>
      </c>
      <c r="G984" s="18" t="s">
        <v>43</v>
      </c>
      <c r="H984" s="18">
        <v>7</v>
      </c>
      <c r="I984" s="20">
        <v>5</v>
      </c>
      <c r="J984" s="21">
        <v>35</v>
      </c>
    </row>
    <row r="985" spans="1:10">
      <c r="A985" s="19">
        <v>35647</v>
      </c>
      <c r="B985" s="18" t="s">
        <v>26</v>
      </c>
      <c r="C985" s="18" t="s">
        <v>34</v>
      </c>
      <c r="D985" s="18" t="s">
        <v>28</v>
      </c>
      <c r="E985" s="18" t="s">
        <v>35</v>
      </c>
      <c r="F985" s="18" t="s">
        <v>42</v>
      </c>
      <c r="G985" s="18" t="s">
        <v>43</v>
      </c>
      <c r="H985" s="18">
        <v>15</v>
      </c>
      <c r="I985" s="20">
        <v>20</v>
      </c>
      <c r="J985" s="21">
        <v>300</v>
      </c>
    </row>
    <row r="986" spans="1:10">
      <c r="A986" s="19">
        <v>35647</v>
      </c>
      <c r="B986" s="18" t="s">
        <v>26</v>
      </c>
      <c r="C986" s="18" t="s">
        <v>36</v>
      </c>
      <c r="D986" s="18" t="s">
        <v>28</v>
      </c>
      <c r="E986" s="18" t="s">
        <v>29</v>
      </c>
      <c r="F986" s="18" t="s">
        <v>42</v>
      </c>
      <c r="G986" s="18" t="s">
        <v>43</v>
      </c>
      <c r="H986" s="18">
        <v>9.1999999999999993</v>
      </c>
      <c r="I986" s="20">
        <v>5</v>
      </c>
      <c r="J986" s="21">
        <v>46</v>
      </c>
    </row>
    <row r="987" spans="1:10">
      <c r="A987" s="19">
        <v>35647</v>
      </c>
      <c r="B987" s="18" t="s">
        <v>39</v>
      </c>
      <c r="C987" s="18" t="s">
        <v>40</v>
      </c>
      <c r="D987" s="18" t="s">
        <v>28</v>
      </c>
      <c r="E987" s="18" t="s">
        <v>33</v>
      </c>
      <c r="F987" s="18" t="s">
        <v>42</v>
      </c>
      <c r="G987" s="18" t="s">
        <v>43</v>
      </c>
      <c r="H987" s="18">
        <v>9</v>
      </c>
      <c r="I987" s="20">
        <v>10</v>
      </c>
      <c r="J987" s="21">
        <v>90</v>
      </c>
    </row>
    <row r="988" spans="1:10">
      <c r="A988" s="19">
        <v>35647</v>
      </c>
      <c r="B988" s="18" t="s">
        <v>39</v>
      </c>
      <c r="C988" s="18" t="s">
        <v>41</v>
      </c>
      <c r="D988" s="18" t="s">
        <v>28</v>
      </c>
      <c r="E988" s="18" t="s">
        <v>35</v>
      </c>
      <c r="F988" s="18" t="s">
        <v>42</v>
      </c>
      <c r="G988" s="18" t="s">
        <v>43</v>
      </c>
      <c r="H988" s="18">
        <v>21.5</v>
      </c>
      <c r="I988" s="20">
        <v>15</v>
      </c>
      <c r="J988" s="21">
        <v>322.5</v>
      </c>
    </row>
    <row r="989" spans="1:10">
      <c r="A989" s="19">
        <v>35648</v>
      </c>
      <c r="B989" s="18" t="s">
        <v>39</v>
      </c>
      <c r="C989" s="18" t="s">
        <v>44</v>
      </c>
      <c r="D989" s="18" t="s">
        <v>28</v>
      </c>
      <c r="E989" s="18" t="s">
        <v>29</v>
      </c>
      <c r="F989" s="18" t="s">
        <v>42</v>
      </c>
      <c r="G989" s="18" t="s">
        <v>43</v>
      </c>
      <c r="H989" s="18">
        <v>12.5</v>
      </c>
      <c r="I989" s="20">
        <v>18</v>
      </c>
      <c r="J989" s="21">
        <v>225</v>
      </c>
    </row>
    <row r="990" spans="1:10">
      <c r="A990" s="19">
        <v>35648</v>
      </c>
      <c r="B990" s="18" t="s">
        <v>39</v>
      </c>
      <c r="C990" s="18" t="s">
        <v>46</v>
      </c>
      <c r="D990" s="18" t="s">
        <v>28</v>
      </c>
      <c r="E990" s="18" t="s">
        <v>29</v>
      </c>
      <c r="F990" s="18" t="s">
        <v>42</v>
      </c>
      <c r="G990" s="18" t="s">
        <v>43</v>
      </c>
      <c r="H990" s="18">
        <v>19</v>
      </c>
      <c r="I990" s="20">
        <v>20</v>
      </c>
      <c r="J990" s="21">
        <v>380</v>
      </c>
    </row>
    <row r="991" spans="1:10">
      <c r="A991" s="19">
        <v>35649</v>
      </c>
      <c r="B991" s="18" t="s">
        <v>39</v>
      </c>
      <c r="C991" s="18" t="s">
        <v>47</v>
      </c>
      <c r="D991" s="18" t="s">
        <v>28</v>
      </c>
      <c r="E991" s="18" t="s">
        <v>33</v>
      </c>
      <c r="F991" s="18" t="s">
        <v>42</v>
      </c>
      <c r="G991" s="18" t="s">
        <v>43</v>
      </c>
      <c r="H991" s="18">
        <v>19.45</v>
      </c>
      <c r="I991" s="20">
        <v>10</v>
      </c>
      <c r="J991" s="21">
        <v>194.5</v>
      </c>
    </row>
    <row r="992" spans="1:10">
      <c r="A992" s="19">
        <v>35649</v>
      </c>
      <c r="B992" s="18" t="s">
        <v>26</v>
      </c>
      <c r="C992" s="18" t="s">
        <v>27</v>
      </c>
      <c r="D992" s="18" t="s">
        <v>28</v>
      </c>
      <c r="E992" s="18" t="s">
        <v>35</v>
      </c>
      <c r="F992" s="18" t="s">
        <v>50</v>
      </c>
      <c r="G992" s="18" t="s">
        <v>31</v>
      </c>
      <c r="H992" s="18">
        <v>10</v>
      </c>
      <c r="I992" s="20">
        <v>25</v>
      </c>
      <c r="J992" s="21">
        <v>250</v>
      </c>
    </row>
    <row r="993" spans="1:10">
      <c r="A993" s="19">
        <v>35649</v>
      </c>
      <c r="B993" s="18" t="s">
        <v>26</v>
      </c>
      <c r="C993" s="18" t="s">
        <v>32</v>
      </c>
      <c r="D993" s="18" t="s">
        <v>28</v>
      </c>
      <c r="E993" s="18" t="s">
        <v>29</v>
      </c>
      <c r="F993" s="18" t="s">
        <v>42</v>
      </c>
      <c r="G993" s="18" t="s">
        <v>43</v>
      </c>
      <c r="H993" s="18">
        <v>45.6</v>
      </c>
      <c r="I993" s="20">
        <v>10</v>
      </c>
      <c r="J993" s="21">
        <v>456</v>
      </c>
    </row>
    <row r="994" spans="1:10">
      <c r="A994" s="19">
        <v>35649</v>
      </c>
      <c r="B994" s="18" t="s">
        <v>26</v>
      </c>
      <c r="C994" s="18" t="s">
        <v>34</v>
      </c>
      <c r="D994" s="18" t="s">
        <v>28</v>
      </c>
      <c r="E994" s="18" t="s">
        <v>33</v>
      </c>
      <c r="F994" s="18" t="s">
        <v>50</v>
      </c>
      <c r="G994" s="18" t="s">
        <v>31</v>
      </c>
      <c r="H994" s="18">
        <v>18</v>
      </c>
      <c r="I994" s="20">
        <v>30</v>
      </c>
      <c r="J994" s="21">
        <v>540</v>
      </c>
    </row>
    <row r="995" spans="1:10">
      <c r="A995" s="19">
        <v>35649</v>
      </c>
      <c r="B995" s="18" t="s">
        <v>26</v>
      </c>
      <c r="C995" s="18" t="s">
        <v>36</v>
      </c>
      <c r="D995" s="18" t="s">
        <v>28</v>
      </c>
      <c r="E995" s="18" t="s">
        <v>35</v>
      </c>
      <c r="F995" s="18" t="s">
        <v>50</v>
      </c>
      <c r="G995" s="18" t="s">
        <v>31</v>
      </c>
      <c r="H995" s="18">
        <v>4.5</v>
      </c>
      <c r="I995" s="20">
        <v>3</v>
      </c>
      <c r="J995" s="21">
        <v>13.5</v>
      </c>
    </row>
    <row r="996" spans="1:10">
      <c r="A996" s="19">
        <v>35649</v>
      </c>
      <c r="B996" s="18" t="s">
        <v>39</v>
      </c>
      <c r="C996" s="18" t="s">
        <v>40</v>
      </c>
      <c r="D996" s="18" t="s">
        <v>28</v>
      </c>
      <c r="E996" s="18" t="s">
        <v>29</v>
      </c>
      <c r="F996" s="18" t="s">
        <v>50</v>
      </c>
      <c r="G996" s="18" t="s">
        <v>31</v>
      </c>
      <c r="H996" s="18">
        <v>23.25</v>
      </c>
      <c r="I996" s="20">
        <v>21</v>
      </c>
      <c r="J996" s="21">
        <v>488.25</v>
      </c>
    </row>
    <row r="997" spans="1:10">
      <c r="A997" s="19">
        <v>35649</v>
      </c>
      <c r="B997" s="18" t="s">
        <v>39</v>
      </c>
      <c r="C997" s="18" t="s">
        <v>41</v>
      </c>
      <c r="D997" s="18" t="s">
        <v>28</v>
      </c>
      <c r="E997" s="18" t="s">
        <v>33</v>
      </c>
      <c r="F997" s="18" t="s">
        <v>50</v>
      </c>
      <c r="G997" s="18" t="s">
        <v>31</v>
      </c>
      <c r="H997" s="18">
        <v>9.1999999999999993</v>
      </c>
      <c r="I997" s="20">
        <v>15</v>
      </c>
      <c r="J997" s="21">
        <v>138</v>
      </c>
    </row>
    <row r="998" spans="1:10">
      <c r="A998" s="19">
        <v>35649</v>
      </c>
      <c r="B998" s="18" t="s">
        <v>39</v>
      </c>
      <c r="C998" s="18" t="s">
        <v>44</v>
      </c>
      <c r="D998" s="18" t="s">
        <v>28</v>
      </c>
      <c r="E998" s="18" t="s">
        <v>35</v>
      </c>
      <c r="F998" s="18" t="s">
        <v>42</v>
      </c>
      <c r="G998" s="18" t="s">
        <v>43</v>
      </c>
      <c r="H998" s="18">
        <v>123.79</v>
      </c>
      <c r="I998" s="20">
        <v>6</v>
      </c>
      <c r="J998" s="21">
        <v>742.74</v>
      </c>
    </row>
    <row r="999" spans="1:10">
      <c r="A999" s="19">
        <v>35650</v>
      </c>
      <c r="B999" s="18" t="s">
        <v>39</v>
      </c>
      <c r="C999" s="18" t="s">
        <v>46</v>
      </c>
      <c r="D999" s="18" t="s">
        <v>28</v>
      </c>
      <c r="E999" s="18" t="s">
        <v>29</v>
      </c>
      <c r="F999" s="18" t="s">
        <v>45</v>
      </c>
      <c r="G999" s="18" t="s">
        <v>38</v>
      </c>
      <c r="H999" s="18">
        <v>14</v>
      </c>
      <c r="I999" s="20">
        <v>5</v>
      </c>
      <c r="J999" s="21">
        <v>70</v>
      </c>
    </row>
    <row r="1000" spans="1:10">
      <c r="A1000" s="19">
        <v>35650</v>
      </c>
      <c r="B1000" s="18" t="s">
        <v>39</v>
      </c>
      <c r="C1000" s="18" t="s">
        <v>47</v>
      </c>
      <c r="D1000" s="18" t="s">
        <v>28</v>
      </c>
      <c r="E1000" s="18" t="s">
        <v>33</v>
      </c>
      <c r="F1000" s="18" t="s">
        <v>45</v>
      </c>
      <c r="G1000" s="18" t="s">
        <v>38</v>
      </c>
      <c r="H1000" s="18">
        <v>34</v>
      </c>
      <c r="I1000" s="20">
        <v>10</v>
      </c>
      <c r="J1000" s="21">
        <v>340</v>
      </c>
    </row>
    <row r="1001" spans="1:10">
      <c r="A1001" s="19">
        <v>35650</v>
      </c>
      <c r="B1001" s="18" t="s">
        <v>26</v>
      </c>
      <c r="C1001" s="18" t="s">
        <v>27</v>
      </c>
      <c r="D1001" s="18" t="s">
        <v>53</v>
      </c>
      <c r="E1001" s="18" t="s">
        <v>54</v>
      </c>
      <c r="F1001" s="18" t="s">
        <v>45</v>
      </c>
      <c r="G1001" s="18" t="s">
        <v>38</v>
      </c>
      <c r="H1001" s="18">
        <v>23.25</v>
      </c>
      <c r="I1001" s="20">
        <v>3</v>
      </c>
      <c r="J1001" s="21">
        <v>69.75</v>
      </c>
    </row>
    <row r="1002" spans="1:10">
      <c r="A1002" s="19">
        <v>35653</v>
      </c>
      <c r="B1002" s="18" t="s">
        <v>26</v>
      </c>
      <c r="C1002" s="18" t="s">
        <v>32</v>
      </c>
      <c r="D1002" s="18" t="s">
        <v>53</v>
      </c>
      <c r="E1002" s="18" t="s">
        <v>55</v>
      </c>
      <c r="F1002" s="18" t="s">
        <v>50</v>
      </c>
      <c r="G1002" s="18" t="s">
        <v>31</v>
      </c>
      <c r="H1002" s="18">
        <v>15</v>
      </c>
      <c r="I1002" s="20">
        <v>35</v>
      </c>
      <c r="J1002" s="21">
        <v>525</v>
      </c>
    </row>
    <row r="1003" spans="1:10">
      <c r="A1003" s="19">
        <v>35653</v>
      </c>
      <c r="B1003" s="18" t="s">
        <v>26</v>
      </c>
      <c r="C1003" s="18" t="s">
        <v>34</v>
      </c>
      <c r="D1003" s="18" t="s">
        <v>53</v>
      </c>
      <c r="E1003" s="18" t="s">
        <v>56</v>
      </c>
      <c r="F1003" s="18" t="s">
        <v>49</v>
      </c>
      <c r="G1003" s="18" t="s">
        <v>38</v>
      </c>
      <c r="H1003" s="18">
        <v>34</v>
      </c>
      <c r="I1003" s="20">
        <v>20</v>
      </c>
      <c r="J1003" s="21">
        <v>680</v>
      </c>
    </row>
    <row r="1004" spans="1:10">
      <c r="A1004" s="19">
        <v>35653</v>
      </c>
      <c r="B1004" s="18" t="s">
        <v>26</v>
      </c>
      <c r="C1004" s="18" t="s">
        <v>36</v>
      </c>
      <c r="D1004" s="18" t="s">
        <v>53</v>
      </c>
      <c r="E1004" s="18" t="s">
        <v>57</v>
      </c>
      <c r="F1004" s="18" t="s">
        <v>50</v>
      </c>
      <c r="G1004" s="18" t="s">
        <v>31</v>
      </c>
      <c r="H1004" s="18">
        <v>49.3</v>
      </c>
      <c r="I1004" s="20">
        <v>15</v>
      </c>
      <c r="J1004" s="21">
        <v>739.5</v>
      </c>
    </row>
    <row r="1005" spans="1:10">
      <c r="A1005" s="19">
        <v>35653</v>
      </c>
      <c r="B1005" s="18" t="s">
        <v>39</v>
      </c>
      <c r="C1005" s="18" t="s">
        <v>40</v>
      </c>
      <c r="D1005" s="18" t="s">
        <v>53</v>
      </c>
      <c r="E1005" s="18" t="s">
        <v>54</v>
      </c>
      <c r="F1005" s="18" t="s">
        <v>49</v>
      </c>
      <c r="G1005" s="18" t="s">
        <v>38</v>
      </c>
      <c r="H1005" s="18">
        <v>32.799999999999997</v>
      </c>
      <c r="I1005" s="20">
        <v>12</v>
      </c>
      <c r="J1005" s="21">
        <v>393.59999999999997</v>
      </c>
    </row>
    <row r="1006" spans="1:10">
      <c r="A1006" s="19">
        <v>35653</v>
      </c>
      <c r="B1006" s="18" t="s">
        <v>39</v>
      </c>
      <c r="C1006" s="18" t="s">
        <v>41</v>
      </c>
      <c r="D1006" s="18" t="s">
        <v>53</v>
      </c>
      <c r="E1006" s="18" t="s">
        <v>55</v>
      </c>
      <c r="F1006" s="18" t="s">
        <v>49</v>
      </c>
      <c r="G1006" s="18" t="s">
        <v>38</v>
      </c>
      <c r="H1006" s="18">
        <v>21.5</v>
      </c>
      <c r="I1006" s="20">
        <v>20</v>
      </c>
      <c r="J1006" s="21">
        <v>430</v>
      </c>
    </row>
    <row r="1007" spans="1:10">
      <c r="A1007" s="19">
        <v>35654</v>
      </c>
      <c r="B1007" s="18" t="s">
        <v>39</v>
      </c>
      <c r="C1007" s="18" t="s">
        <v>44</v>
      </c>
      <c r="D1007" s="18" t="s">
        <v>53</v>
      </c>
      <c r="E1007" s="18" t="s">
        <v>56</v>
      </c>
      <c r="F1007" s="18" t="s">
        <v>42</v>
      </c>
      <c r="G1007" s="18" t="s">
        <v>43</v>
      </c>
      <c r="H1007" s="18">
        <v>33.25</v>
      </c>
      <c r="I1007" s="20">
        <v>9</v>
      </c>
      <c r="J1007" s="21">
        <v>299.25</v>
      </c>
    </row>
    <row r="1008" spans="1:10">
      <c r="A1008" s="19">
        <v>35654</v>
      </c>
      <c r="B1008" s="18" t="s">
        <v>39</v>
      </c>
      <c r="C1008" s="18" t="s">
        <v>46</v>
      </c>
      <c r="D1008" s="18" t="s">
        <v>53</v>
      </c>
      <c r="E1008" s="18" t="s">
        <v>57</v>
      </c>
      <c r="F1008" s="18" t="s">
        <v>42</v>
      </c>
      <c r="G1008" s="18" t="s">
        <v>43</v>
      </c>
      <c r="H1008" s="18">
        <v>18</v>
      </c>
      <c r="I1008" s="20">
        <v>25</v>
      </c>
      <c r="J1008" s="21">
        <v>450</v>
      </c>
    </row>
    <row r="1009" spans="1:10">
      <c r="A1009" s="19">
        <v>35654</v>
      </c>
      <c r="B1009" s="18" t="s">
        <v>39</v>
      </c>
      <c r="C1009" s="18" t="s">
        <v>47</v>
      </c>
      <c r="D1009" s="18" t="s">
        <v>53</v>
      </c>
      <c r="E1009" s="18" t="s">
        <v>54</v>
      </c>
      <c r="F1009" s="18" t="s">
        <v>42</v>
      </c>
      <c r="G1009" s="18" t="s">
        <v>43</v>
      </c>
      <c r="H1009" s="18">
        <v>123.79</v>
      </c>
      <c r="I1009" s="20">
        <v>20</v>
      </c>
      <c r="J1009" s="21">
        <v>2475.8000000000002</v>
      </c>
    </row>
    <row r="1010" spans="1:10">
      <c r="A1010" s="19">
        <v>35655</v>
      </c>
      <c r="B1010" s="18" t="s">
        <v>26</v>
      </c>
      <c r="C1010" s="18" t="s">
        <v>27</v>
      </c>
      <c r="D1010" s="18" t="s">
        <v>53</v>
      </c>
      <c r="E1010" s="18" t="s">
        <v>55</v>
      </c>
      <c r="F1010" s="18" t="s">
        <v>49</v>
      </c>
      <c r="G1010" s="18" t="s">
        <v>38</v>
      </c>
      <c r="H1010" s="18">
        <v>18</v>
      </c>
      <c r="I1010" s="20">
        <v>35</v>
      </c>
      <c r="J1010" s="21">
        <v>630</v>
      </c>
    </row>
    <row r="1011" spans="1:10">
      <c r="A1011" s="19">
        <v>35655</v>
      </c>
      <c r="B1011" s="18" t="s">
        <v>26</v>
      </c>
      <c r="C1011" s="18" t="s">
        <v>32</v>
      </c>
      <c r="D1011" s="18" t="s">
        <v>53</v>
      </c>
      <c r="E1011" s="18" t="s">
        <v>56</v>
      </c>
      <c r="F1011" s="18" t="s">
        <v>49</v>
      </c>
      <c r="G1011" s="18" t="s">
        <v>38</v>
      </c>
      <c r="H1011" s="18">
        <v>24</v>
      </c>
      <c r="I1011" s="20">
        <v>12</v>
      </c>
      <c r="J1011" s="21">
        <v>288</v>
      </c>
    </row>
    <row r="1012" spans="1:10">
      <c r="A1012" s="19">
        <v>35656</v>
      </c>
      <c r="B1012" s="18" t="s">
        <v>26</v>
      </c>
      <c r="C1012" s="18" t="s">
        <v>34</v>
      </c>
      <c r="D1012" s="18" t="s">
        <v>53</v>
      </c>
      <c r="E1012" s="18" t="s">
        <v>57</v>
      </c>
      <c r="F1012" s="18" t="s">
        <v>50</v>
      </c>
      <c r="G1012" s="18" t="s">
        <v>31</v>
      </c>
      <c r="H1012" s="18">
        <v>2.5</v>
      </c>
      <c r="I1012" s="20">
        <v>20</v>
      </c>
      <c r="J1012" s="21">
        <v>50</v>
      </c>
    </row>
    <row r="1013" spans="1:10">
      <c r="A1013" s="19">
        <v>35656</v>
      </c>
      <c r="B1013" s="18" t="s">
        <v>26</v>
      </c>
      <c r="C1013" s="18" t="s">
        <v>36</v>
      </c>
      <c r="D1013" s="18" t="s">
        <v>53</v>
      </c>
      <c r="E1013" s="18" t="s">
        <v>54</v>
      </c>
      <c r="F1013" s="18" t="s">
        <v>50</v>
      </c>
      <c r="G1013" s="18" t="s">
        <v>31</v>
      </c>
      <c r="H1013" s="18">
        <v>19</v>
      </c>
      <c r="I1013" s="20">
        <v>30</v>
      </c>
      <c r="J1013" s="21">
        <v>570</v>
      </c>
    </row>
    <row r="1014" spans="1:10">
      <c r="A1014" s="19">
        <v>35656</v>
      </c>
      <c r="B1014" s="18" t="s">
        <v>39</v>
      </c>
      <c r="C1014" s="18" t="s">
        <v>40</v>
      </c>
      <c r="D1014" s="18" t="s">
        <v>53</v>
      </c>
      <c r="E1014" s="18" t="s">
        <v>55</v>
      </c>
      <c r="F1014" s="18" t="s">
        <v>50</v>
      </c>
      <c r="G1014" s="18" t="s">
        <v>31</v>
      </c>
      <c r="H1014" s="18">
        <v>7.75</v>
      </c>
      <c r="I1014" s="20">
        <v>8</v>
      </c>
      <c r="J1014" s="21">
        <v>62</v>
      </c>
    </row>
    <row r="1015" spans="1:10">
      <c r="A1015" s="19">
        <v>35657</v>
      </c>
      <c r="B1015" s="18" t="s">
        <v>39</v>
      </c>
      <c r="C1015" s="18" t="s">
        <v>41</v>
      </c>
      <c r="D1015" s="18" t="s">
        <v>53</v>
      </c>
      <c r="E1015" s="18" t="s">
        <v>56</v>
      </c>
      <c r="F1015" s="18" t="s">
        <v>52</v>
      </c>
      <c r="G1015" s="18" t="s">
        <v>31</v>
      </c>
      <c r="H1015" s="18">
        <v>38</v>
      </c>
      <c r="I1015" s="20">
        <v>36</v>
      </c>
      <c r="J1015" s="21">
        <v>1368</v>
      </c>
    </row>
    <row r="1016" spans="1:10">
      <c r="A1016" s="19">
        <v>35657</v>
      </c>
      <c r="B1016" s="18" t="s">
        <v>39</v>
      </c>
      <c r="C1016" s="18" t="s">
        <v>44</v>
      </c>
      <c r="D1016" s="18" t="s">
        <v>53</v>
      </c>
      <c r="E1016" s="18" t="s">
        <v>57</v>
      </c>
      <c r="F1016" s="18" t="s">
        <v>42</v>
      </c>
      <c r="G1016" s="18" t="s">
        <v>43</v>
      </c>
      <c r="H1016" s="18">
        <v>30</v>
      </c>
      <c r="I1016" s="20">
        <v>35</v>
      </c>
      <c r="J1016" s="21">
        <v>1050</v>
      </c>
    </row>
    <row r="1017" spans="1:10">
      <c r="A1017" s="19">
        <v>35657</v>
      </c>
      <c r="B1017" s="18" t="s">
        <v>39</v>
      </c>
      <c r="C1017" s="18" t="s">
        <v>46</v>
      </c>
      <c r="D1017" s="18" t="s">
        <v>53</v>
      </c>
      <c r="E1017" s="18" t="s">
        <v>54</v>
      </c>
      <c r="F1017" s="18" t="s">
        <v>52</v>
      </c>
      <c r="G1017" s="18" t="s">
        <v>31</v>
      </c>
      <c r="H1017" s="18">
        <v>6</v>
      </c>
      <c r="I1017" s="20">
        <v>13</v>
      </c>
      <c r="J1017" s="21">
        <v>78</v>
      </c>
    </row>
    <row r="1018" spans="1:10">
      <c r="A1018" s="19">
        <v>35657</v>
      </c>
      <c r="B1018" s="18" t="s">
        <v>39</v>
      </c>
      <c r="C1018" s="18" t="s">
        <v>47</v>
      </c>
      <c r="D1018" s="18" t="s">
        <v>53</v>
      </c>
      <c r="E1018" s="18" t="s">
        <v>55</v>
      </c>
      <c r="F1018" s="18" t="s">
        <v>52</v>
      </c>
      <c r="G1018" s="18" t="s">
        <v>31</v>
      </c>
      <c r="H1018" s="18">
        <v>31.23</v>
      </c>
      <c r="I1018" s="20">
        <v>35</v>
      </c>
      <c r="J1018" s="21">
        <v>1093.05</v>
      </c>
    </row>
    <row r="1019" spans="1:10">
      <c r="A1019" s="19">
        <v>35657</v>
      </c>
      <c r="B1019" s="18" t="s">
        <v>26</v>
      </c>
      <c r="C1019" s="18" t="s">
        <v>27</v>
      </c>
      <c r="D1019" s="18" t="s">
        <v>53</v>
      </c>
      <c r="E1019" s="18" t="s">
        <v>56</v>
      </c>
      <c r="F1019" s="18" t="s">
        <v>42</v>
      </c>
      <c r="G1019" s="18" t="s">
        <v>43</v>
      </c>
      <c r="H1019" s="18">
        <v>62.5</v>
      </c>
      <c r="I1019" s="20">
        <v>50</v>
      </c>
      <c r="J1019" s="21">
        <v>3125</v>
      </c>
    </row>
    <row r="1020" spans="1:10">
      <c r="A1020" s="19">
        <v>35657</v>
      </c>
      <c r="B1020" s="18" t="s">
        <v>26</v>
      </c>
      <c r="C1020" s="18" t="s">
        <v>32</v>
      </c>
      <c r="D1020" s="18" t="s">
        <v>53</v>
      </c>
      <c r="E1020" s="18" t="s">
        <v>57</v>
      </c>
      <c r="F1020" s="18" t="s">
        <v>42</v>
      </c>
      <c r="G1020" s="18" t="s">
        <v>43</v>
      </c>
      <c r="H1020" s="18">
        <v>7.75</v>
      </c>
      <c r="I1020" s="20">
        <v>2</v>
      </c>
      <c r="J1020" s="21">
        <v>15.5</v>
      </c>
    </row>
    <row r="1021" spans="1:10">
      <c r="A1021" s="19">
        <v>35657</v>
      </c>
      <c r="B1021" s="18" t="s">
        <v>26</v>
      </c>
      <c r="C1021" s="18" t="s">
        <v>34</v>
      </c>
      <c r="D1021" s="18" t="s">
        <v>53</v>
      </c>
      <c r="E1021" s="18" t="s">
        <v>54</v>
      </c>
      <c r="F1021" s="18" t="s">
        <v>52</v>
      </c>
      <c r="G1021" s="18" t="s">
        <v>31</v>
      </c>
      <c r="H1021" s="18">
        <v>49.3</v>
      </c>
      <c r="I1021" s="20">
        <v>80</v>
      </c>
      <c r="J1021" s="21">
        <v>3944</v>
      </c>
    </row>
    <row r="1022" spans="1:10">
      <c r="A1022" s="19">
        <v>35657</v>
      </c>
      <c r="B1022" s="18" t="s">
        <v>26</v>
      </c>
      <c r="C1022" s="18" t="s">
        <v>36</v>
      </c>
      <c r="D1022" s="18" t="s">
        <v>53</v>
      </c>
      <c r="E1022" s="18" t="s">
        <v>55</v>
      </c>
      <c r="F1022" s="18" t="s">
        <v>42</v>
      </c>
      <c r="G1022" s="18" t="s">
        <v>43</v>
      </c>
      <c r="H1022" s="18">
        <v>53</v>
      </c>
      <c r="I1022" s="20">
        <v>15</v>
      </c>
      <c r="J1022" s="21">
        <v>795</v>
      </c>
    </row>
    <row r="1023" spans="1:10">
      <c r="A1023" s="19">
        <v>35660</v>
      </c>
      <c r="B1023" s="18" t="s">
        <v>39</v>
      </c>
      <c r="C1023" s="18" t="s">
        <v>40</v>
      </c>
      <c r="D1023" s="18" t="s">
        <v>53</v>
      </c>
      <c r="E1023" s="18" t="s">
        <v>56</v>
      </c>
      <c r="F1023" s="18" t="s">
        <v>50</v>
      </c>
      <c r="G1023" s="18" t="s">
        <v>31</v>
      </c>
      <c r="H1023" s="18">
        <v>21.35</v>
      </c>
      <c r="I1023" s="20">
        <v>15</v>
      </c>
      <c r="J1023" s="21">
        <v>320.25</v>
      </c>
    </row>
    <row r="1024" spans="1:10">
      <c r="A1024" s="19">
        <v>35660</v>
      </c>
      <c r="B1024" s="18" t="s">
        <v>39</v>
      </c>
      <c r="C1024" s="18" t="s">
        <v>41</v>
      </c>
      <c r="D1024" s="18" t="s">
        <v>53</v>
      </c>
      <c r="E1024" s="18" t="s">
        <v>57</v>
      </c>
      <c r="F1024" s="18" t="s">
        <v>50</v>
      </c>
      <c r="G1024" s="18" t="s">
        <v>31</v>
      </c>
      <c r="H1024" s="18">
        <v>21</v>
      </c>
      <c r="I1024" s="20">
        <v>40</v>
      </c>
      <c r="J1024" s="21">
        <v>840</v>
      </c>
    </row>
    <row r="1025" spans="1:10">
      <c r="A1025" s="19">
        <v>35660</v>
      </c>
      <c r="B1025" s="18" t="s">
        <v>39</v>
      </c>
      <c r="C1025" s="18" t="s">
        <v>44</v>
      </c>
      <c r="D1025" s="18" t="s">
        <v>53</v>
      </c>
      <c r="E1025" s="18" t="s">
        <v>54</v>
      </c>
      <c r="F1025" s="18" t="s">
        <v>50</v>
      </c>
      <c r="G1025" s="18" t="s">
        <v>31</v>
      </c>
      <c r="H1025" s="18">
        <v>22</v>
      </c>
      <c r="I1025" s="20">
        <v>10</v>
      </c>
      <c r="J1025" s="21">
        <v>220</v>
      </c>
    </row>
    <row r="1026" spans="1:10">
      <c r="A1026" s="19">
        <v>35661</v>
      </c>
      <c r="B1026" s="18" t="s">
        <v>39</v>
      </c>
      <c r="C1026" s="18" t="s">
        <v>46</v>
      </c>
      <c r="D1026" s="18" t="s">
        <v>53</v>
      </c>
      <c r="E1026" s="18" t="s">
        <v>55</v>
      </c>
      <c r="F1026" s="18" t="s">
        <v>37</v>
      </c>
      <c r="G1026" s="18" t="s">
        <v>38</v>
      </c>
      <c r="H1026" s="18">
        <v>38</v>
      </c>
      <c r="I1026" s="20">
        <v>60</v>
      </c>
      <c r="J1026" s="21">
        <v>2280</v>
      </c>
    </row>
    <row r="1027" spans="1:10">
      <c r="A1027" s="19">
        <v>35661</v>
      </c>
      <c r="B1027" s="18" t="s">
        <v>39</v>
      </c>
      <c r="C1027" s="18" t="s">
        <v>47</v>
      </c>
      <c r="D1027" s="18" t="s">
        <v>53</v>
      </c>
      <c r="E1027" s="18" t="s">
        <v>56</v>
      </c>
      <c r="F1027" s="18" t="s">
        <v>37</v>
      </c>
      <c r="G1027" s="18" t="s">
        <v>38</v>
      </c>
      <c r="H1027" s="18">
        <v>21</v>
      </c>
      <c r="I1027" s="20">
        <v>10</v>
      </c>
      <c r="J1027" s="21">
        <v>210</v>
      </c>
    </row>
    <row r="1028" spans="1:10">
      <c r="A1028" s="19">
        <v>35661</v>
      </c>
      <c r="B1028" s="18" t="s">
        <v>26</v>
      </c>
      <c r="C1028" s="18" t="s">
        <v>27</v>
      </c>
      <c r="D1028" s="18" t="s">
        <v>53</v>
      </c>
      <c r="E1028" s="18" t="s">
        <v>57</v>
      </c>
      <c r="F1028" s="18" t="s">
        <v>42</v>
      </c>
      <c r="G1028" s="18" t="s">
        <v>43</v>
      </c>
      <c r="H1028" s="18">
        <v>13.25</v>
      </c>
      <c r="I1028" s="20">
        <v>6</v>
      </c>
      <c r="J1028" s="21">
        <v>79.5</v>
      </c>
    </row>
    <row r="1029" spans="1:10">
      <c r="A1029" s="19">
        <v>35661</v>
      </c>
      <c r="B1029" s="18" t="s">
        <v>26</v>
      </c>
      <c r="C1029" s="18" t="s">
        <v>32</v>
      </c>
      <c r="D1029" s="18" t="s">
        <v>53</v>
      </c>
      <c r="E1029" s="18" t="s">
        <v>56</v>
      </c>
      <c r="F1029" s="18" t="s">
        <v>42</v>
      </c>
      <c r="G1029" s="18" t="s">
        <v>43</v>
      </c>
      <c r="H1029" s="18">
        <v>22</v>
      </c>
      <c r="I1029" s="20">
        <v>25</v>
      </c>
      <c r="J1029" s="21">
        <v>550</v>
      </c>
    </row>
    <row r="1030" spans="1:10">
      <c r="A1030" s="19">
        <v>35661</v>
      </c>
      <c r="B1030" s="18" t="s">
        <v>26</v>
      </c>
      <c r="C1030" s="18" t="s">
        <v>34</v>
      </c>
      <c r="D1030" s="18" t="s">
        <v>53</v>
      </c>
      <c r="E1030" s="18" t="s">
        <v>54</v>
      </c>
      <c r="F1030" s="18" t="s">
        <v>37</v>
      </c>
      <c r="G1030" s="18" t="s">
        <v>38</v>
      </c>
      <c r="H1030" s="18">
        <v>16.25</v>
      </c>
      <c r="I1030" s="20">
        <v>25</v>
      </c>
      <c r="J1030" s="21">
        <v>406.25</v>
      </c>
    </row>
    <row r="1031" spans="1:10">
      <c r="A1031" s="19">
        <v>35662</v>
      </c>
      <c r="B1031" s="18" t="s">
        <v>26</v>
      </c>
      <c r="C1031" s="18" t="s">
        <v>36</v>
      </c>
      <c r="D1031" s="18" t="s">
        <v>53</v>
      </c>
      <c r="E1031" s="18" t="s">
        <v>55</v>
      </c>
      <c r="F1031" s="18" t="s">
        <v>45</v>
      </c>
      <c r="G1031" s="18" t="s">
        <v>38</v>
      </c>
      <c r="H1031" s="18">
        <v>21.05</v>
      </c>
      <c r="I1031" s="20">
        <v>21</v>
      </c>
      <c r="J1031" s="21">
        <v>442.05</v>
      </c>
    </row>
    <row r="1032" spans="1:10">
      <c r="A1032" s="19">
        <v>35662</v>
      </c>
      <c r="B1032" s="18" t="s">
        <v>39</v>
      </c>
      <c r="C1032" s="18" t="s">
        <v>40</v>
      </c>
      <c r="D1032" s="18" t="s">
        <v>53</v>
      </c>
      <c r="E1032" s="18" t="s">
        <v>56</v>
      </c>
      <c r="F1032" s="18" t="s">
        <v>52</v>
      </c>
      <c r="G1032" s="18" t="s">
        <v>31</v>
      </c>
      <c r="H1032" s="18">
        <v>62.5</v>
      </c>
      <c r="I1032" s="20">
        <v>8</v>
      </c>
      <c r="J1032" s="21">
        <v>500</v>
      </c>
    </row>
    <row r="1033" spans="1:10">
      <c r="A1033" s="19">
        <v>35662</v>
      </c>
      <c r="B1033" s="18" t="s">
        <v>39</v>
      </c>
      <c r="C1033" s="18" t="s">
        <v>41</v>
      </c>
      <c r="D1033" s="18" t="s">
        <v>53</v>
      </c>
      <c r="E1033" s="18" t="s">
        <v>57</v>
      </c>
      <c r="F1033" s="18" t="s">
        <v>45</v>
      </c>
      <c r="G1033" s="18" t="s">
        <v>38</v>
      </c>
      <c r="H1033" s="18">
        <v>34.799999999999997</v>
      </c>
      <c r="I1033" s="20">
        <v>60</v>
      </c>
      <c r="J1033" s="21">
        <v>2088</v>
      </c>
    </row>
    <row r="1034" spans="1:10">
      <c r="A1034" s="19">
        <v>35662</v>
      </c>
      <c r="B1034" s="18" t="s">
        <v>39</v>
      </c>
      <c r="C1034" s="18" t="s">
        <v>44</v>
      </c>
      <c r="D1034" s="18" t="s">
        <v>53</v>
      </c>
      <c r="E1034" s="18" t="s">
        <v>54</v>
      </c>
      <c r="F1034" s="18" t="s">
        <v>45</v>
      </c>
      <c r="G1034" s="18" t="s">
        <v>38</v>
      </c>
      <c r="H1034" s="18">
        <v>9.5</v>
      </c>
      <c r="I1034" s="20">
        <v>20</v>
      </c>
      <c r="J1034" s="21">
        <v>190</v>
      </c>
    </row>
    <row r="1035" spans="1:10">
      <c r="A1035" s="19">
        <v>35663</v>
      </c>
      <c r="B1035" s="18" t="s">
        <v>39</v>
      </c>
      <c r="C1035" s="18" t="s">
        <v>46</v>
      </c>
      <c r="D1035" s="18" t="s">
        <v>53</v>
      </c>
      <c r="E1035" s="18" t="s">
        <v>55</v>
      </c>
      <c r="F1035" s="18" t="s">
        <v>42</v>
      </c>
      <c r="G1035" s="18" t="s">
        <v>43</v>
      </c>
      <c r="H1035" s="18">
        <v>36</v>
      </c>
      <c r="I1035" s="20">
        <v>20</v>
      </c>
      <c r="J1035" s="21">
        <v>720</v>
      </c>
    </row>
    <row r="1036" spans="1:10">
      <c r="A1036" s="19">
        <v>35663</v>
      </c>
      <c r="B1036" s="18" t="s">
        <v>39</v>
      </c>
      <c r="C1036" s="18" t="s">
        <v>47</v>
      </c>
      <c r="D1036" s="18" t="s">
        <v>53</v>
      </c>
      <c r="E1036" s="18" t="s">
        <v>56</v>
      </c>
      <c r="F1036" s="18" t="s">
        <v>42</v>
      </c>
      <c r="G1036" s="18" t="s">
        <v>43</v>
      </c>
      <c r="H1036" s="18">
        <v>15</v>
      </c>
      <c r="I1036" s="20">
        <v>15</v>
      </c>
      <c r="J1036" s="21">
        <v>225</v>
      </c>
    </row>
    <row r="1037" spans="1:10">
      <c r="A1037" s="19">
        <v>35664</v>
      </c>
      <c r="B1037" s="18" t="s">
        <v>26</v>
      </c>
      <c r="C1037" s="18" t="s">
        <v>27</v>
      </c>
      <c r="D1037" s="18" t="s">
        <v>53</v>
      </c>
      <c r="E1037" s="18" t="s">
        <v>57</v>
      </c>
      <c r="F1037" s="18" t="s">
        <v>52</v>
      </c>
      <c r="G1037" s="18" t="s">
        <v>31</v>
      </c>
      <c r="H1037" s="18">
        <v>28.5</v>
      </c>
      <c r="I1037" s="20">
        <v>20</v>
      </c>
      <c r="J1037" s="21">
        <v>570</v>
      </c>
    </row>
    <row r="1038" spans="1:10">
      <c r="A1038" s="19">
        <v>35664</v>
      </c>
      <c r="B1038" s="18" t="s">
        <v>26</v>
      </c>
      <c r="C1038" s="18" t="s">
        <v>32</v>
      </c>
      <c r="D1038" s="18" t="s">
        <v>53</v>
      </c>
      <c r="E1038" s="18" t="s">
        <v>54</v>
      </c>
      <c r="F1038" s="18" t="s">
        <v>52</v>
      </c>
      <c r="G1038" s="18" t="s">
        <v>31</v>
      </c>
      <c r="H1038" s="18">
        <v>10</v>
      </c>
      <c r="I1038" s="20">
        <v>30</v>
      </c>
      <c r="J1038" s="21">
        <v>300</v>
      </c>
    </row>
    <row r="1039" spans="1:10">
      <c r="A1039" s="19">
        <v>35664</v>
      </c>
      <c r="B1039" s="18" t="s">
        <v>26</v>
      </c>
      <c r="C1039" s="18" t="s">
        <v>34</v>
      </c>
      <c r="D1039" s="18" t="s">
        <v>53</v>
      </c>
      <c r="E1039" s="18" t="s">
        <v>55</v>
      </c>
      <c r="F1039" s="18" t="s">
        <v>42</v>
      </c>
      <c r="G1039" s="18" t="s">
        <v>43</v>
      </c>
      <c r="H1039" s="18">
        <v>19</v>
      </c>
      <c r="I1039" s="20">
        <v>50</v>
      </c>
      <c r="J1039" s="21">
        <v>950</v>
      </c>
    </row>
    <row r="1040" spans="1:10">
      <c r="A1040" s="19">
        <v>35664</v>
      </c>
      <c r="B1040" s="18" t="s">
        <v>26</v>
      </c>
      <c r="C1040" s="18" t="s">
        <v>36</v>
      </c>
      <c r="D1040" s="18" t="s">
        <v>53</v>
      </c>
      <c r="E1040" s="18" t="s">
        <v>56</v>
      </c>
      <c r="F1040" s="18" t="s">
        <v>42</v>
      </c>
      <c r="G1040" s="18" t="s">
        <v>43</v>
      </c>
      <c r="H1040" s="18">
        <v>18.399999999999999</v>
      </c>
      <c r="I1040" s="20">
        <v>60</v>
      </c>
      <c r="J1040" s="21">
        <v>1104</v>
      </c>
    </row>
    <row r="1041" spans="1:10">
      <c r="A1041" s="19">
        <v>35667</v>
      </c>
      <c r="B1041" s="18" t="s">
        <v>39</v>
      </c>
      <c r="C1041" s="18" t="s">
        <v>40</v>
      </c>
      <c r="D1041" s="18" t="s">
        <v>53</v>
      </c>
      <c r="E1041" s="18" t="s">
        <v>57</v>
      </c>
      <c r="F1041" s="18" t="s">
        <v>37</v>
      </c>
      <c r="G1041" s="18" t="s">
        <v>38</v>
      </c>
      <c r="H1041" s="18">
        <v>45.6</v>
      </c>
      <c r="I1041" s="20">
        <v>15</v>
      </c>
      <c r="J1041" s="21">
        <v>684</v>
      </c>
    </row>
    <row r="1042" spans="1:10">
      <c r="A1042" s="19">
        <v>35667</v>
      </c>
      <c r="B1042" s="18" t="s">
        <v>39</v>
      </c>
      <c r="C1042" s="18" t="s">
        <v>41</v>
      </c>
      <c r="D1042" s="18" t="s">
        <v>53</v>
      </c>
      <c r="E1042" s="18" t="s">
        <v>54</v>
      </c>
      <c r="F1042" s="18" t="s">
        <v>37</v>
      </c>
      <c r="G1042" s="18" t="s">
        <v>38</v>
      </c>
      <c r="H1042" s="18">
        <v>12</v>
      </c>
      <c r="I1042" s="20">
        <v>2</v>
      </c>
      <c r="J1042" s="21">
        <v>24</v>
      </c>
    </row>
    <row r="1043" spans="1:10">
      <c r="A1043" s="19">
        <v>35667</v>
      </c>
      <c r="B1043" s="18" t="s">
        <v>39</v>
      </c>
      <c r="C1043" s="18" t="s">
        <v>44</v>
      </c>
      <c r="D1043" s="18" t="s">
        <v>53</v>
      </c>
      <c r="E1043" s="18" t="s">
        <v>55</v>
      </c>
      <c r="F1043" s="18" t="s">
        <v>45</v>
      </c>
      <c r="G1043" s="18" t="s">
        <v>38</v>
      </c>
      <c r="H1043" s="18">
        <v>12</v>
      </c>
      <c r="I1043" s="20">
        <v>21</v>
      </c>
      <c r="J1043" s="21">
        <v>252</v>
      </c>
    </row>
    <row r="1044" spans="1:10">
      <c r="A1044" s="19">
        <v>35667</v>
      </c>
      <c r="B1044" s="18" t="s">
        <v>39</v>
      </c>
      <c r="C1044" s="18" t="s">
        <v>46</v>
      </c>
      <c r="D1044" s="18" t="s">
        <v>53</v>
      </c>
      <c r="E1044" s="18" t="s">
        <v>56</v>
      </c>
      <c r="F1044" s="18" t="s">
        <v>45</v>
      </c>
      <c r="G1044" s="18" t="s">
        <v>38</v>
      </c>
      <c r="H1044" s="18">
        <v>46</v>
      </c>
      <c r="I1044" s="20">
        <v>20</v>
      </c>
      <c r="J1044" s="21">
        <v>920</v>
      </c>
    </row>
    <row r="1045" spans="1:10">
      <c r="A1045" s="19">
        <v>35667</v>
      </c>
      <c r="B1045" s="18" t="s">
        <v>39</v>
      </c>
      <c r="C1045" s="18" t="s">
        <v>47</v>
      </c>
      <c r="D1045" s="18" t="s">
        <v>53</v>
      </c>
      <c r="E1045" s="18" t="s">
        <v>57</v>
      </c>
      <c r="F1045" s="18" t="s">
        <v>45</v>
      </c>
      <c r="G1045" s="18" t="s">
        <v>38</v>
      </c>
      <c r="H1045" s="18">
        <v>62.5</v>
      </c>
      <c r="I1045" s="20">
        <v>4</v>
      </c>
      <c r="J1045" s="21">
        <v>250</v>
      </c>
    </row>
    <row r="1046" spans="1:10">
      <c r="A1046" s="19">
        <v>35667</v>
      </c>
      <c r="B1046" s="18" t="s">
        <v>26</v>
      </c>
      <c r="C1046" s="18" t="s">
        <v>27</v>
      </c>
      <c r="D1046" s="18" t="s">
        <v>53</v>
      </c>
      <c r="E1046" s="18" t="s">
        <v>54</v>
      </c>
      <c r="F1046" s="18" t="s">
        <v>37</v>
      </c>
      <c r="G1046" s="18" t="s">
        <v>38</v>
      </c>
      <c r="H1046" s="18">
        <v>18</v>
      </c>
      <c r="I1046" s="20">
        <v>21</v>
      </c>
      <c r="J1046" s="21">
        <v>378</v>
      </c>
    </row>
    <row r="1047" spans="1:10">
      <c r="A1047" s="19">
        <v>35668</v>
      </c>
      <c r="B1047" s="18" t="s">
        <v>26</v>
      </c>
      <c r="C1047" s="18" t="s">
        <v>32</v>
      </c>
      <c r="D1047" s="18" t="s">
        <v>53</v>
      </c>
      <c r="E1047" s="18" t="s">
        <v>55</v>
      </c>
      <c r="F1047" s="18" t="s">
        <v>42</v>
      </c>
      <c r="G1047" s="18" t="s">
        <v>43</v>
      </c>
      <c r="H1047" s="18">
        <v>62.5</v>
      </c>
      <c r="I1047" s="20">
        <v>20</v>
      </c>
      <c r="J1047" s="21">
        <v>1250</v>
      </c>
    </row>
    <row r="1048" spans="1:10">
      <c r="A1048" s="19">
        <v>35668</v>
      </c>
      <c r="B1048" s="18" t="s">
        <v>26</v>
      </c>
      <c r="C1048" s="18" t="s">
        <v>34</v>
      </c>
      <c r="D1048" s="18" t="s">
        <v>53</v>
      </c>
      <c r="E1048" s="18" t="s">
        <v>56</v>
      </c>
      <c r="F1048" s="18" t="s">
        <v>42</v>
      </c>
      <c r="G1048" s="18" t="s">
        <v>43</v>
      </c>
      <c r="H1048" s="18">
        <v>19</v>
      </c>
      <c r="I1048" s="20">
        <v>15</v>
      </c>
      <c r="J1048" s="21">
        <v>285</v>
      </c>
    </row>
    <row r="1049" spans="1:10">
      <c r="A1049" s="19">
        <v>35669</v>
      </c>
      <c r="B1049" s="18" t="s">
        <v>26</v>
      </c>
      <c r="C1049" s="18" t="s">
        <v>36</v>
      </c>
      <c r="D1049" s="18" t="s">
        <v>53</v>
      </c>
      <c r="E1049" s="18" t="s">
        <v>57</v>
      </c>
      <c r="F1049" s="18" t="s">
        <v>48</v>
      </c>
      <c r="G1049" s="18" t="s">
        <v>31</v>
      </c>
      <c r="H1049" s="18">
        <v>13</v>
      </c>
      <c r="I1049" s="20">
        <v>35</v>
      </c>
      <c r="J1049" s="21">
        <v>455</v>
      </c>
    </row>
    <row r="1050" spans="1:10">
      <c r="A1050" s="19">
        <v>35669</v>
      </c>
      <c r="B1050" s="18" t="s">
        <v>39</v>
      </c>
      <c r="C1050" s="18" t="s">
        <v>40</v>
      </c>
      <c r="D1050" s="18" t="s">
        <v>53</v>
      </c>
      <c r="E1050" s="18" t="s">
        <v>54</v>
      </c>
      <c r="F1050" s="18" t="s">
        <v>48</v>
      </c>
      <c r="G1050" s="18" t="s">
        <v>31</v>
      </c>
      <c r="H1050" s="18">
        <v>18</v>
      </c>
      <c r="I1050" s="20">
        <v>15</v>
      </c>
      <c r="J1050" s="21">
        <v>270</v>
      </c>
    </row>
    <row r="1051" spans="1:10">
      <c r="A1051" s="19">
        <v>35669</v>
      </c>
      <c r="B1051" s="18" t="s">
        <v>39</v>
      </c>
      <c r="C1051" s="18" t="s">
        <v>41</v>
      </c>
      <c r="D1051" s="18" t="s">
        <v>53</v>
      </c>
      <c r="E1051" s="18" t="s">
        <v>55</v>
      </c>
      <c r="F1051" s="18" t="s">
        <v>42</v>
      </c>
      <c r="G1051" s="18" t="s">
        <v>43</v>
      </c>
      <c r="H1051" s="18">
        <v>9.1999999999999993</v>
      </c>
      <c r="I1051" s="20">
        <v>30</v>
      </c>
      <c r="J1051" s="21">
        <v>276</v>
      </c>
    </row>
    <row r="1052" spans="1:10">
      <c r="A1052" s="19">
        <v>35669</v>
      </c>
      <c r="B1052" s="18" t="s">
        <v>39</v>
      </c>
      <c r="C1052" s="18" t="s">
        <v>44</v>
      </c>
      <c r="D1052" s="18" t="s">
        <v>53</v>
      </c>
      <c r="E1052" s="18" t="s">
        <v>56</v>
      </c>
      <c r="F1052" s="18" t="s">
        <v>48</v>
      </c>
      <c r="G1052" s="18" t="s">
        <v>31</v>
      </c>
      <c r="H1052" s="18">
        <v>31</v>
      </c>
      <c r="I1052" s="20">
        <v>18</v>
      </c>
      <c r="J1052" s="21">
        <v>558</v>
      </c>
    </row>
    <row r="1053" spans="1:10">
      <c r="A1053" s="19">
        <v>35669</v>
      </c>
      <c r="B1053" s="18" t="s">
        <v>39</v>
      </c>
      <c r="C1053" s="18" t="s">
        <v>46</v>
      </c>
      <c r="D1053" s="18" t="s">
        <v>53</v>
      </c>
      <c r="E1053" s="18" t="s">
        <v>57</v>
      </c>
      <c r="F1053" s="18" t="s">
        <v>48</v>
      </c>
      <c r="G1053" s="18" t="s">
        <v>31</v>
      </c>
      <c r="H1053" s="18">
        <v>21.5</v>
      </c>
      <c r="I1053" s="20">
        <v>30</v>
      </c>
      <c r="J1053" s="21">
        <v>645</v>
      </c>
    </row>
    <row r="1054" spans="1:10">
      <c r="A1054" s="19">
        <v>35669</v>
      </c>
      <c r="B1054" s="18" t="s">
        <v>39</v>
      </c>
      <c r="C1054" s="18" t="s">
        <v>47</v>
      </c>
      <c r="D1054" s="18" t="s">
        <v>53</v>
      </c>
      <c r="E1054" s="18" t="s">
        <v>54</v>
      </c>
      <c r="F1054" s="18" t="s">
        <v>42</v>
      </c>
      <c r="G1054" s="18" t="s">
        <v>43</v>
      </c>
      <c r="H1054" s="18">
        <v>18</v>
      </c>
      <c r="I1054" s="20">
        <v>20</v>
      </c>
      <c r="J1054" s="21">
        <v>360</v>
      </c>
    </row>
    <row r="1055" spans="1:10">
      <c r="A1055" s="19">
        <v>35670</v>
      </c>
      <c r="B1055" s="18" t="s">
        <v>26</v>
      </c>
      <c r="C1055" s="18" t="s">
        <v>27</v>
      </c>
      <c r="D1055" s="18" t="s">
        <v>53</v>
      </c>
      <c r="E1055" s="18" t="s">
        <v>55</v>
      </c>
      <c r="F1055" s="18" t="s">
        <v>30</v>
      </c>
      <c r="G1055" s="18" t="s">
        <v>31</v>
      </c>
      <c r="H1055" s="18">
        <v>45.6</v>
      </c>
      <c r="I1055" s="20">
        <v>20</v>
      </c>
      <c r="J1055" s="21">
        <v>912</v>
      </c>
    </row>
    <row r="1056" spans="1:10">
      <c r="A1056" s="19">
        <v>35670</v>
      </c>
      <c r="B1056" s="18" t="s">
        <v>26</v>
      </c>
      <c r="C1056" s="18" t="s">
        <v>32</v>
      </c>
      <c r="D1056" s="18" t="s">
        <v>53</v>
      </c>
      <c r="E1056" s="18" t="s">
        <v>56</v>
      </c>
      <c r="F1056" s="18" t="s">
        <v>30</v>
      </c>
      <c r="G1056" s="18" t="s">
        <v>31</v>
      </c>
      <c r="H1056" s="18">
        <v>21</v>
      </c>
      <c r="I1056" s="20">
        <v>15</v>
      </c>
      <c r="J1056" s="21">
        <v>315</v>
      </c>
    </row>
    <row r="1057" spans="1:10">
      <c r="A1057" s="19">
        <v>35670</v>
      </c>
      <c r="B1057" s="18" t="s">
        <v>26</v>
      </c>
      <c r="C1057" s="18" t="s">
        <v>34</v>
      </c>
      <c r="D1057" s="18" t="s">
        <v>53</v>
      </c>
      <c r="E1057" s="18" t="s">
        <v>57</v>
      </c>
      <c r="F1057" s="18" t="s">
        <v>30</v>
      </c>
      <c r="G1057" s="18" t="s">
        <v>31</v>
      </c>
      <c r="H1057" s="18">
        <v>4.5</v>
      </c>
      <c r="I1057" s="20">
        <v>15</v>
      </c>
      <c r="J1057" s="21">
        <v>67.5</v>
      </c>
    </row>
    <row r="1058" spans="1:10">
      <c r="A1058" s="19">
        <v>35670</v>
      </c>
      <c r="B1058" s="18" t="s">
        <v>26</v>
      </c>
      <c r="C1058" s="18" t="s">
        <v>36</v>
      </c>
      <c r="D1058" s="18" t="s">
        <v>53</v>
      </c>
      <c r="E1058" s="18" t="s">
        <v>56</v>
      </c>
      <c r="F1058" s="18" t="s">
        <v>30</v>
      </c>
      <c r="G1058" s="18" t="s">
        <v>31</v>
      </c>
      <c r="H1058" s="18">
        <v>34.799999999999997</v>
      </c>
      <c r="I1058" s="20">
        <v>15</v>
      </c>
      <c r="J1058" s="21">
        <v>522</v>
      </c>
    </row>
    <row r="1059" spans="1:10">
      <c r="A1059" s="19">
        <v>35671</v>
      </c>
      <c r="B1059" s="18" t="s">
        <v>39</v>
      </c>
      <c r="C1059" s="18" t="s">
        <v>40</v>
      </c>
      <c r="D1059" s="18" t="s">
        <v>53</v>
      </c>
      <c r="E1059" s="18" t="s">
        <v>54</v>
      </c>
      <c r="F1059" s="18" t="s">
        <v>30</v>
      </c>
      <c r="G1059" s="18" t="s">
        <v>31</v>
      </c>
      <c r="H1059" s="18">
        <v>25.89</v>
      </c>
      <c r="I1059" s="20">
        <v>30</v>
      </c>
      <c r="J1059" s="21">
        <v>776.7</v>
      </c>
    </row>
    <row r="1060" spans="1:10">
      <c r="A1060" s="19">
        <v>35671</v>
      </c>
      <c r="B1060" s="18" t="s">
        <v>39</v>
      </c>
      <c r="C1060" s="18" t="s">
        <v>41</v>
      </c>
      <c r="D1060" s="18" t="s">
        <v>53</v>
      </c>
      <c r="E1060" s="18" t="s">
        <v>55</v>
      </c>
      <c r="F1060" s="18" t="s">
        <v>30</v>
      </c>
      <c r="G1060" s="18" t="s">
        <v>31</v>
      </c>
      <c r="H1060" s="18">
        <v>7.45</v>
      </c>
      <c r="I1060" s="20">
        <v>30</v>
      </c>
      <c r="J1060" s="21">
        <v>223.5</v>
      </c>
    </row>
    <row r="1061" spans="1:10">
      <c r="A1061" s="19">
        <v>35671</v>
      </c>
      <c r="B1061" s="18" t="s">
        <v>39</v>
      </c>
      <c r="C1061" s="18" t="s">
        <v>44</v>
      </c>
      <c r="D1061" s="18" t="s">
        <v>53</v>
      </c>
      <c r="E1061" s="18" t="s">
        <v>56</v>
      </c>
      <c r="F1061" s="18" t="s">
        <v>30</v>
      </c>
      <c r="G1061" s="18" t="s">
        <v>31</v>
      </c>
      <c r="H1061" s="18">
        <v>32.799999999999997</v>
      </c>
      <c r="I1061" s="20">
        <v>25</v>
      </c>
      <c r="J1061" s="21">
        <v>819.99999999999989</v>
      </c>
    </row>
    <row r="1062" spans="1:10">
      <c r="A1062" s="19">
        <v>35674</v>
      </c>
      <c r="B1062" s="18" t="s">
        <v>39</v>
      </c>
      <c r="C1062" s="18" t="s">
        <v>46</v>
      </c>
      <c r="D1062" s="18" t="s">
        <v>53</v>
      </c>
      <c r="E1062" s="18" t="s">
        <v>57</v>
      </c>
      <c r="F1062" s="18" t="s">
        <v>42</v>
      </c>
      <c r="G1062" s="18" t="s">
        <v>43</v>
      </c>
      <c r="H1062" s="18">
        <v>14</v>
      </c>
      <c r="I1062" s="20">
        <v>20</v>
      </c>
      <c r="J1062" s="21">
        <v>280</v>
      </c>
    </row>
    <row r="1063" spans="1:10">
      <c r="A1063" s="19">
        <v>35674</v>
      </c>
      <c r="B1063" s="18" t="s">
        <v>39</v>
      </c>
      <c r="C1063" s="18" t="s">
        <v>47</v>
      </c>
      <c r="D1063" s="18" t="s">
        <v>53</v>
      </c>
      <c r="E1063" s="18" t="s">
        <v>54</v>
      </c>
      <c r="F1063" s="18" t="s">
        <v>42</v>
      </c>
      <c r="G1063" s="18" t="s">
        <v>43</v>
      </c>
      <c r="H1063" s="18">
        <v>25.89</v>
      </c>
      <c r="I1063" s="20">
        <v>2</v>
      </c>
      <c r="J1063" s="21">
        <v>51.78</v>
      </c>
    </row>
    <row r="1064" spans="1:10">
      <c r="A1064" s="19">
        <v>35674</v>
      </c>
      <c r="B1064" s="18" t="s">
        <v>26</v>
      </c>
      <c r="C1064" s="18" t="s">
        <v>27</v>
      </c>
      <c r="D1064" s="18" t="s">
        <v>53</v>
      </c>
      <c r="E1064" s="18" t="s">
        <v>55</v>
      </c>
      <c r="F1064" s="18" t="s">
        <v>50</v>
      </c>
      <c r="G1064" s="18" t="s">
        <v>31</v>
      </c>
      <c r="H1064" s="18">
        <v>21</v>
      </c>
      <c r="I1064" s="20">
        <v>20</v>
      </c>
      <c r="J1064" s="21">
        <v>420</v>
      </c>
    </row>
    <row r="1065" spans="1:10">
      <c r="A1065" s="19">
        <v>35674</v>
      </c>
      <c r="B1065" s="18" t="s">
        <v>26</v>
      </c>
      <c r="C1065" s="18" t="s">
        <v>32</v>
      </c>
      <c r="D1065" s="18" t="s">
        <v>53</v>
      </c>
      <c r="E1065" s="18" t="s">
        <v>56</v>
      </c>
      <c r="F1065" s="18" t="s">
        <v>50</v>
      </c>
      <c r="G1065" s="18" t="s">
        <v>31</v>
      </c>
      <c r="H1065" s="18">
        <v>9.1999999999999993</v>
      </c>
      <c r="I1065" s="20">
        <v>12</v>
      </c>
      <c r="J1065" s="21">
        <v>110.39999999999999</v>
      </c>
    </row>
    <row r="1066" spans="1:10">
      <c r="A1066" s="19">
        <v>35675</v>
      </c>
      <c r="B1066" s="18" t="s">
        <v>26</v>
      </c>
      <c r="C1066" s="18" t="s">
        <v>34</v>
      </c>
      <c r="D1066" s="18" t="s">
        <v>53</v>
      </c>
      <c r="E1066" s="18" t="s">
        <v>57</v>
      </c>
      <c r="F1066" s="18" t="s">
        <v>49</v>
      </c>
      <c r="G1066" s="18" t="s">
        <v>38</v>
      </c>
      <c r="H1066" s="18">
        <v>17.45</v>
      </c>
      <c r="I1066" s="20">
        <v>30</v>
      </c>
      <c r="J1066" s="21">
        <v>523.5</v>
      </c>
    </row>
    <row r="1067" spans="1:10">
      <c r="A1067" s="19">
        <v>35675</v>
      </c>
      <c r="B1067" s="18" t="s">
        <v>26</v>
      </c>
      <c r="C1067" s="18" t="s">
        <v>36</v>
      </c>
      <c r="D1067" s="18" t="s">
        <v>53</v>
      </c>
      <c r="E1067" s="18" t="s">
        <v>54</v>
      </c>
      <c r="F1067" s="18" t="s">
        <v>49</v>
      </c>
      <c r="G1067" s="18" t="s">
        <v>38</v>
      </c>
      <c r="H1067" s="18">
        <v>34</v>
      </c>
      <c r="I1067" s="20">
        <v>20</v>
      </c>
      <c r="J1067" s="21">
        <v>680</v>
      </c>
    </row>
    <row r="1068" spans="1:10">
      <c r="A1068" s="19">
        <v>35675</v>
      </c>
      <c r="B1068" s="18" t="s">
        <v>39</v>
      </c>
      <c r="C1068" s="18" t="s">
        <v>40</v>
      </c>
      <c r="D1068" s="18" t="s">
        <v>53</v>
      </c>
      <c r="E1068" s="18" t="s">
        <v>55</v>
      </c>
      <c r="F1068" s="18" t="s">
        <v>30</v>
      </c>
      <c r="G1068" s="18" t="s">
        <v>31</v>
      </c>
      <c r="H1068" s="18">
        <v>7.45</v>
      </c>
      <c r="I1068" s="20">
        <v>6</v>
      </c>
      <c r="J1068" s="21">
        <v>44.7</v>
      </c>
    </row>
    <row r="1069" spans="1:10">
      <c r="A1069" s="19">
        <v>35675</v>
      </c>
      <c r="B1069" s="18" t="s">
        <v>39</v>
      </c>
      <c r="C1069" s="18" t="s">
        <v>41</v>
      </c>
      <c r="D1069" s="18" t="s">
        <v>53</v>
      </c>
      <c r="E1069" s="18" t="s">
        <v>56</v>
      </c>
      <c r="F1069" s="18" t="s">
        <v>30</v>
      </c>
      <c r="G1069" s="18" t="s">
        <v>31</v>
      </c>
      <c r="H1069" s="18">
        <v>22</v>
      </c>
      <c r="I1069" s="20">
        <v>12</v>
      </c>
      <c r="J1069" s="21">
        <v>264</v>
      </c>
    </row>
    <row r="1070" spans="1:10">
      <c r="A1070" s="19">
        <v>35675</v>
      </c>
      <c r="B1070" s="18" t="s">
        <v>39</v>
      </c>
      <c r="C1070" s="18" t="s">
        <v>44</v>
      </c>
      <c r="D1070" s="18" t="s">
        <v>53</v>
      </c>
      <c r="E1070" s="18" t="s">
        <v>57</v>
      </c>
      <c r="F1070" s="18" t="s">
        <v>30</v>
      </c>
      <c r="G1070" s="18" t="s">
        <v>31</v>
      </c>
      <c r="H1070" s="18">
        <v>18</v>
      </c>
      <c r="I1070" s="20">
        <v>20</v>
      </c>
      <c r="J1070" s="21">
        <v>360</v>
      </c>
    </row>
    <row r="1071" spans="1:10">
      <c r="A1071" s="19">
        <v>35676</v>
      </c>
      <c r="B1071" s="18" t="s">
        <v>39</v>
      </c>
      <c r="C1071" s="18" t="s">
        <v>46</v>
      </c>
      <c r="D1071" s="18" t="s">
        <v>53</v>
      </c>
      <c r="E1071" s="18" t="s">
        <v>54</v>
      </c>
      <c r="F1071" s="18" t="s">
        <v>49</v>
      </c>
      <c r="G1071" s="18" t="s">
        <v>38</v>
      </c>
      <c r="H1071" s="18">
        <v>9.65</v>
      </c>
      <c r="I1071" s="20">
        <v>20</v>
      </c>
      <c r="J1071" s="21">
        <v>193</v>
      </c>
    </row>
    <row r="1072" spans="1:10">
      <c r="A1072" s="19">
        <v>35677</v>
      </c>
      <c r="B1072" s="18" t="s">
        <v>39</v>
      </c>
      <c r="C1072" s="18" t="s">
        <v>47</v>
      </c>
      <c r="D1072" s="18" t="s">
        <v>53</v>
      </c>
      <c r="E1072" s="18" t="s">
        <v>55</v>
      </c>
      <c r="F1072" s="18" t="s">
        <v>51</v>
      </c>
      <c r="G1072" s="18" t="s">
        <v>43</v>
      </c>
      <c r="H1072" s="18">
        <v>38</v>
      </c>
      <c r="I1072" s="20">
        <v>45</v>
      </c>
      <c r="J1072" s="21">
        <v>1710</v>
      </c>
    </row>
    <row r="1073" spans="1:10">
      <c r="A1073" s="19">
        <v>35677</v>
      </c>
      <c r="B1073" s="18" t="s">
        <v>26</v>
      </c>
      <c r="C1073" s="18" t="s">
        <v>27</v>
      </c>
      <c r="D1073" s="18" t="s">
        <v>53</v>
      </c>
      <c r="E1073" s="18" t="s">
        <v>56</v>
      </c>
      <c r="F1073" s="18" t="s">
        <v>37</v>
      </c>
      <c r="G1073" s="18" t="s">
        <v>38</v>
      </c>
      <c r="H1073" s="18">
        <v>9.5</v>
      </c>
      <c r="I1073" s="20">
        <v>6</v>
      </c>
      <c r="J1073" s="21">
        <v>57</v>
      </c>
    </row>
    <row r="1074" spans="1:10">
      <c r="A1074" s="19">
        <v>35677</v>
      </c>
      <c r="B1074" s="18" t="s">
        <v>26</v>
      </c>
      <c r="C1074" s="18" t="s">
        <v>32</v>
      </c>
      <c r="D1074" s="18" t="s">
        <v>53</v>
      </c>
      <c r="E1074" s="18" t="s">
        <v>57</v>
      </c>
      <c r="F1074" s="18" t="s">
        <v>51</v>
      </c>
      <c r="G1074" s="18" t="s">
        <v>43</v>
      </c>
      <c r="H1074" s="18">
        <v>9.5</v>
      </c>
      <c r="I1074" s="20">
        <v>10</v>
      </c>
      <c r="J1074" s="21">
        <v>95</v>
      </c>
    </row>
    <row r="1075" spans="1:10">
      <c r="A1075" s="19">
        <v>35677</v>
      </c>
      <c r="B1075" s="18" t="s">
        <v>26</v>
      </c>
      <c r="C1075" s="18" t="s">
        <v>34</v>
      </c>
      <c r="D1075" s="18" t="s">
        <v>53</v>
      </c>
      <c r="E1075" s="18" t="s">
        <v>54</v>
      </c>
      <c r="F1075" s="18" t="s">
        <v>37</v>
      </c>
      <c r="G1075" s="18" t="s">
        <v>38</v>
      </c>
      <c r="H1075" s="18">
        <v>19.45</v>
      </c>
      <c r="I1075" s="20">
        <v>28</v>
      </c>
      <c r="J1075" s="21">
        <v>544.6</v>
      </c>
    </row>
    <row r="1076" spans="1:10">
      <c r="A1076" s="19">
        <v>35677</v>
      </c>
      <c r="B1076" s="18" t="s">
        <v>26</v>
      </c>
      <c r="C1076" s="18" t="s">
        <v>36</v>
      </c>
      <c r="D1076" s="18" t="s">
        <v>53</v>
      </c>
      <c r="E1076" s="18" t="s">
        <v>55</v>
      </c>
      <c r="F1076" s="18" t="s">
        <v>51</v>
      </c>
      <c r="G1076" s="18" t="s">
        <v>43</v>
      </c>
      <c r="H1076" s="18">
        <v>34</v>
      </c>
      <c r="I1076" s="20">
        <v>30</v>
      </c>
      <c r="J1076" s="21">
        <v>1020</v>
      </c>
    </row>
    <row r="1077" spans="1:10">
      <c r="A1077" s="19">
        <v>35677</v>
      </c>
      <c r="B1077" s="18" t="s">
        <v>39</v>
      </c>
      <c r="C1077" s="18" t="s">
        <v>40</v>
      </c>
      <c r="D1077" s="18" t="s">
        <v>53</v>
      </c>
      <c r="E1077" s="18" t="s">
        <v>56</v>
      </c>
      <c r="F1077" s="18" t="s">
        <v>51</v>
      </c>
      <c r="G1077" s="18" t="s">
        <v>43</v>
      </c>
      <c r="H1077" s="18">
        <v>12</v>
      </c>
      <c r="I1077" s="20">
        <v>45</v>
      </c>
      <c r="J1077" s="21">
        <v>540</v>
      </c>
    </row>
    <row r="1078" spans="1:10">
      <c r="A1078" s="19">
        <v>35677</v>
      </c>
      <c r="B1078" s="18" t="s">
        <v>39</v>
      </c>
      <c r="C1078" s="18" t="s">
        <v>41</v>
      </c>
      <c r="D1078" s="18" t="s">
        <v>53</v>
      </c>
      <c r="E1078" s="18" t="s">
        <v>57</v>
      </c>
      <c r="F1078" s="18" t="s">
        <v>37</v>
      </c>
      <c r="G1078" s="18" t="s">
        <v>38</v>
      </c>
      <c r="H1078" s="18">
        <v>23.25</v>
      </c>
      <c r="I1078" s="20">
        <v>3</v>
      </c>
      <c r="J1078" s="21">
        <v>69.75</v>
      </c>
    </row>
    <row r="1079" spans="1:10">
      <c r="A1079" s="19">
        <v>35677</v>
      </c>
      <c r="B1079" s="18" t="s">
        <v>39</v>
      </c>
      <c r="C1079" s="18" t="s">
        <v>44</v>
      </c>
      <c r="D1079" s="18" t="s">
        <v>53</v>
      </c>
      <c r="E1079" s="18" t="s">
        <v>54</v>
      </c>
      <c r="F1079" s="18" t="s">
        <v>51</v>
      </c>
      <c r="G1079" s="18" t="s">
        <v>43</v>
      </c>
      <c r="H1079" s="18">
        <v>15.5</v>
      </c>
      <c r="I1079" s="20">
        <v>50</v>
      </c>
      <c r="J1079" s="21">
        <v>775</v>
      </c>
    </row>
    <row r="1080" spans="1:10">
      <c r="A1080" s="19">
        <v>35677</v>
      </c>
      <c r="B1080" s="18" t="s">
        <v>39</v>
      </c>
      <c r="C1080" s="18" t="s">
        <v>46</v>
      </c>
      <c r="D1080" s="18" t="s">
        <v>53</v>
      </c>
      <c r="E1080" s="18" t="s">
        <v>55</v>
      </c>
      <c r="F1080" s="18" t="s">
        <v>51</v>
      </c>
      <c r="G1080" s="18" t="s">
        <v>43</v>
      </c>
      <c r="H1080" s="18">
        <v>9.65</v>
      </c>
      <c r="I1080" s="20">
        <v>24</v>
      </c>
      <c r="J1080" s="21">
        <v>231.60000000000002</v>
      </c>
    </row>
    <row r="1081" spans="1:10">
      <c r="A1081" s="19">
        <v>35678</v>
      </c>
      <c r="B1081" s="18" t="s">
        <v>39</v>
      </c>
      <c r="C1081" s="18" t="s">
        <v>47</v>
      </c>
      <c r="D1081" s="18" t="s">
        <v>53</v>
      </c>
      <c r="E1081" s="18" t="s">
        <v>56</v>
      </c>
      <c r="F1081" s="18" t="s">
        <v>42</v>
      </c>
      <c r="G1081" s="18" t="s">
        <v>43</v>
      </c>
      <c r="H1081" s="18">
        <v>34</v>
      </c>
      <c r="I1081" s="20">
        <v>55</v>
      </c>
      <c r="J1081" s="21">
        <v>1870</v>
      </c>
    </row>
    <row r="1082" spans="1:10">
      <c r="A1082" s="19">
        <v>35678</v>
      </c>
      <c r="B1082" s="18" t="s">
        <v>26</v>
      </c>
      <c r="C1082" s="18" t="s">
        <v>27</v>
      </c>
      <c r="D1082" s="18" t="s">
        <v>53</v>
      </c>
      <c r="E1082" s="18" t="s">
        <v>57</v>
      </c>
      <c r="F1082" s="18" t="s">
        <v>42</v>
      </c>
      <c r="G1082" s="18" t="s">
        <v>43</v>
      </c>
      <c r="H1082" s="18">
        <v>10</v>
      </c>
      <c r="I1082" s="20">
        <v>60</v>
      </c>
      <c r="J1082" s="21">
        <v>600</v>
      </c>
    </row>
    <row r="1083" spans="1:10">
      <c r="A1083" s="19">
        <v>35678</v>
      </c>
      <c r="B1083" s="18" t="s">
        <v>26</v>
      </c>
      <c r="C1083" s="18" t="s">
        <v>32</v>
      </c>
      <c r="D1083" s="18" t="s">
        <v>53</v>
      </c>
      <c r="E1083" s="18" t="s">
        <v>54</v>
      </c>
      <c r="F1083" s="18" t="s">
        <v>42</v>
      </c>
      <c r="G1083" s="18" t="s">
        <v>43</v>
      </c>
      <c r="H1083" s="18">
        <v>13</v>
      </c>
      <c r="I1083" s="20">
        <v>70</v>
      </c>
      <c r="J1083" s="21">
        <v>910</v>
      </c>
    </row>
    <row r="1084" spans="1:10">
      <c r="A1084" s="19">
        <v>35678</v>
      </c>
      <c r="B1084" s="18" t="s">
        <v>26</v>
      </c>
      <c r="C1084" s="18" t="s">
        <v>34</v>
      </c>
      <c r="D1084" s="18" t="s">
        <v>53</v>
      </c>
      <c r="E1084" s="18" t="s">
        <v>55</v>
      </c>
      <c r="F1084" s="18" t="s">
        <v>52</v>
      </c>
      <c r="G1084" s="18" t="s">
        <v>31</v>
      </c>
      <c r="H1084" s="18">
        <v>15</v>
      </c>
      <c r="I1084" s="20">
        <v>40</v>
      </c>
      <c r="J1084" s="21">
        <v>600</v>
      </c>
    </row>
    <row r="1085" spans="1:10">
      <c r="A1085" s="19">
        <v>35678</v>
      </c>
      <c r="B1085" s="18" t="s">
        <v>26</v>
      </c>
      <c r="C1085" s="18" t="s">
        <v>36</v>
      </c>
      <c r="D1085" s="18" t="s">
        <v>53</v>
      </c>
      <c r="E1085" s="18" t="s">
        <v>56</v>
      </c>
      <c r="F1085" s="18" t="s">
        <v>52</v>
      </c>
      <c r="G1085" s="18" t="s">
        <v>31</v>
      </c>
      <c r="H1085" s="18">
        <v>12.5</v>
      </c>
      <c r="I1085" s="20">
        <v>20</v>
      </c>
      <c r="J1085" s="21">
        <v>250</v>
      </c>
    </row>
    <row r="1086" spans="1:10">
      <c r="A1086" s="19">
        <v>35678</v>
      </c>
      <c r="B1086" s="18" t="s">
        <v>39</v>
      </c>
      <c r="C1086" s="18" t="s">
        <v>40</v>
      </c>
      <c r="D1086" s="18" t="s">
        <v>53</v>
      </c>
      <c r="E1086" s="18" t="s">
        <v>57</v>
      </c>
      <c r="F1086" s="18" t="s">
        <v>42</v>
      </c>
      <c r="G1086" s="18" t="s">
        <v>43</v>
      </c>
      <c r="H1086" s="18">
        <v>18.399999999999999</v>
      </c>
      <c r="I1086" s="20">
        <v>70</v>
      </c>
      <c r="J1086" s="21">
        <v>1288</v>
      </c>
    </row>
    <row r="1087" spans="1:10">
      <c r="A1087" s="19">
        <v>35678</v>
      </c>
      <c r="B1087" s="18" t="s">
        <v>39</v>
      </c>
      <c r="C1087" s="18" t="s">
        <v>41</v>
      </c>
      <c r="D1087" s="18" t="s">
        <v>53</v>
      </c>
      <c r="E1087" s="18" t="s">
        <v>56</v>
      </c>
      <c r="F1087" s="18" t="s">
        <v>52</v>
      </c>
      <c r="G1087" s="18" t="s">
        <v>31</v>
      </c>
      <c r="H1087" s="18">
        <v>18.399999999999999</v>
      </c>
      <c r="I1087" s="20">
        <v>24</v>
      </c>
      <c r="J1087" s="21">
        <v>441.59999999999997</v>
      </c>
    </row>
    <row r="1088" spans="1:10">
      <c r="A1088" s="19">
        <v>35681</v>
      </c>
      <c r="B1088" s="18" t="s">
        <v>39</v>
      </c>
      <c r="C1088" s="18" t="s">
        <v>44</v>
      </c>
      <c r="D1088" s="18" t="s">
        <v>53</v>
      </c>
      <c r="E1088" s="18" t="s">
        <v>54</v>
      </c>
      <c r="F1088" s="18" t="s">
        <v>50</v>
      </c>
      <c r="G1088" s="18" t="s">
        <v>31</v>
      </c>
      <c r="H1088" s="18">
        <v>81</v>
      </c>
      <c r="I1088" s="20">
        <v>21</v>
      </c>
      <c r="J1088" s="21">
        <v>1701</v>
      </c>
    </row>
    <row r="1089" spans="1:10">
      <c r="A1089" s="19">
        <v>35682</v>
      </c>
      <c r="B1089" s="18" t="s">
        <v>39</v>
      </c>
      <c r="C1089" s="18" t="s">
        <v>46</v>
      </c>
      <c r="D1089" s="18" t="s">
        <v>53</v>
      </c>
      <c r="E1089" s="18" t="s">
        <v>55</v>
      </c>
      <c r="F1089" s="18" t="s">
        <v>52</v>
      </c>
      <c r="G1089" s="18" t="s">
        <v>31</v>
      </c>
      <c r="H1089" s="18">
        <v>13.25</v>
      </c>
      <c r="I1089" s="20">
        <v>49</v>
      </c>
      <c r="J1089" s="21">
        <v>649.25</v>
      </c>
    </row>
    <row r="1090" spans="1:10">
      <c r="A1090" s="19">
        <v>35682</v>
      </c>
      <c r="B1090" s="18" t="s">
        <v>39</v>
      </c>
      <c r="C1090" s="18" t="s">
        <v>47</v>
      </c>
      <c r="D1090" s="18" t="s">
        <v>53</v>
      </c>
      <c r="E1090" s="18" t="s">
        <v>56</v>
      </c>
      <c r="F1090" s="18" t="s">
        <v>45</v>
      </c>
      <c r="G1090" s="18" t="s">
        <v>38</v>
      </c>
      <c r="H1090" s="18">
        <v>12.5</v>
      </c>
      <c r="I1090" s="20">
        <v>10</v>
      </c>
      <c r="J1090" s="21">
        <v>125</v>
      </c>
    </row>
    <row r="1091" spans="1:10">
      <c r="A1091" s="19">
        <v>35682</v>
      </c>
      <c r="B1091" s="18" t="s">
        <v>26</v>
      </c>
      <c r="C1091" s="18" t="s">
        <v>27</v>
      </c>
      <c r="D1091" s="18" t="s">
        <v>53</v>
      </c>
      <c r="E1091" s="18" t="s">
        <v>57</v>
      </c>
      <c r="F1091" s="18" t="s">
        <v>52</v>
      </c>
      <c r="G1091" s="18" t="s">
        <v>31</v>
      </c>
      <c r="H1091" s="18">
        <v>18</v>
      </c>
      <c r="I1091" s="20">
        <v>3</v>
      </c>
      <c r="J1091" s="21">
        <v>54</v>
      </c>
    </row>
    <row r="1092" spans="1:10">
      <c r="A1092" s="19">
        <v>35683</v>
      </c>
      <c r="B1092" s="18" t="s">
        <v>26</v>
      </c>
      <c r="C1092" s="18" t="s">
        <v>32</v>
      </c>
      <c r="D1092" s="18" t="s">
        <v>53</v>
      </c>
      <c r="E1092" s="18" t="s">
        <v>54</v>
      </c>
      <c r="F1092" s="18" t="s">
        <v>49</v>
      </c>
      <c r="G1092" s="18" t="s">
        <v>38</v>
      </c>
      <c r="H1092" s="18">
        <v>38</v>
      </c>
      <c r="I1092" s="20">
        <v>12</v>
      </c>
      <c r="J1092" s="21">
        <v>456</v>
      </c>
    </row>
    <row r="1093" spans="1:10">
      <c r="A1093" s="19">
        <v>35683</v>
      </c>
      <c r="B1093" s="18" t="s">
        <v>26</v>
      </c>
      <c r="C1093" s="18" t="s">
        <v>34</v>
      </c>
      <c r="D1093" s="18" t="s">
        <v>53</v>
      </c>
      <c r="E1093" s="18" t="s">
        <v>55</v>
      </c>
      <c r="F1093" s="18" t="s">
        <v>51</v>
      </c>
      <c r="G1093" s="18" t="s">
        <v>43</v>
      </c>
      <c r="H1093" s="18">
        <v>14</v>
      </c>
      <c r="I1093" s="20">
        <v>30</v>
      </c>
      <c r="J1093" s="21">
        <v>420</v>
      </c>
    </row>
    <row r="1094" spans="1:10">
      <c r="A1094" s="19">
        <v>35683</v>
      </c>
      <c r="B1094" s="18" t="s">
        <v>26</v>
      </c>
      <c r="C1094" s="18" t="s">
        <v>36</v>
      </c>
      <c r="D1094" s="18" t="s">
        <v>53</v>
      </c>
      <c r="E1094" s="18" t="s">
        <v>56</v>
      </c>
      <c r="F1094" s="18" t="s">
        <v>49</v>
      </c>
      <c r="G1094" s="18" t="s">
        <v>38</v>
      </c>
      <c r="H1094" s="18">
        <v>21.05</v>
      </c>
      <c r="I1094" s="20">
        <v>15</v>
      </c>
      <c r="J1094" s="21">
        <v>315.75</v>
      </c>
    </row>
    <row r="1095" spans="1:10">
      <c r="A1095" s="19">
        <v>35683</v>
      </c>
      <c r="B1095" s="18" t="s">
        <v>39</v>
      </c>
      <c r="C1095" s="18" t="s">
        <v>40</v>
      </c>
      <c r="D1095" s="18" t="s">
        <v>53</v>
      </c>
      <c r="E1095" s="18" t="s">
        <v>57</v>
      </c>
      <c r="F1095" s="18" t="s">
        <v>51</v>
      </c>
      <c r="G1095" s="18" t="s">
        <v>43</v>
      </c>
      <c r="H1095" s="18">
        <v>18.399999999999999</v>
      </c>
      <c r="I1095" s="20">
        <v>30</v>
      </c>
      <c r="J1095" s="21">
        <v>552</v>
      </c>
    </row>
    <row r="1096" spans="1:10">
      <c r="A1096" s="19">
        <v>35683</v>
      </c>
      <c r="B1096" s="18" t="s">
        <v>39</v>
      </c>
      <c r="C1096" s="18" t="s">
        <v>41</v>
      </c>
      <c r="D1096" s="18" t="s">
        <v>53</v>
      </c>
      <c r="E1096" s="18" t="s">
        <v>54</v>
      </c>
      <c r="F1096" s="18" t="s">
        <v>49</v>
      </c>
      <c r="G1096" s="18" t="s">
        <v>38</v>
      </c>
      <c r="H1096" s="18">
        <v>31</v>
      </c>
      <c r="I1096" s="20">
        <v>24</v>
      </c>
      <c r="J1096" s="21">
        <v>744</v>
      </c>
    </row>
    <row r="1097" spans="1:10">
      <c r="A1097" s="19">
        <v>35683</v>
      </c>
      <c r="B1097" s="18" t="s">
        <v>39</v>
      </c>
      <c r="C1097" s="18" t="s">
        <v>44</v>
      </c>
      <c r="D1097" s="18" t="s">
        <v>53</v>
      </c>
      <c r="E1097" s="18" t="s">
        <v>55</v>
      </c>
      <c r="F1097" s="18" t="s">
        <v>51</v>
      </c>
      <c r="G1097" s="18" t="s">
        <v>43</v>
      </c>
      <c r="H1097" s="18">
        <v>53</v>
      </c>
      <c r="I1097" s="20">
        <v>20</v>
      </c>
      <c r="J1097" s="21">
        <v>1060</v>
      </c>
    </row>
    <row r="1098" spans="1:10">
      <c r="A1098" s="19">
        <v>35684</v>
      </c>
      <c r="B1098" s="18" t="s">
        <v>39</v>
      </c>
      <c r="C1098" s="18" t="s">
        <v>46</v>
      </c>
      <c r="D1098" s="18" t="s">
        <v>53</v>
      </c>
      <c r="E1098" s="18" t="s">
        <v>56</v>
      </c>
      <c r="F1098" s="18" t="s">
        <v>49</v>
      </c>
      <c r="G1098" s="18" t="s">
        <v>38</v>
      </c>
      <c r="H1098" s="18">
        <v>55</v>
      </c>
      <c r="I1098" s="20">
        <v>1</v>
      </c>
      <c r="J1098" s="21">
        <v>55</v>
      </c>
    </row>
    <row r="1099" spans="1:10">
      <c r="A1099" s="19">
        <v>35684</v>
      </c>
      <c r="B1099" s="18" t="s">
        <v>39</v>
      </c>
      <c r="C1099" s="18" t="s">
        <v>47</v>
      </c>
      <c r="D1099" s="18" t="s">
        <v>53</v>
      </c>
      <c r="E1099" s="18" t="s">
        <v>57</v>
      </c>
      <c r="F1099" s="18" t="s">
        <v>49</v>
      </c>
      <c r="G1099" s="18" t="s">
        <v>38</v>
      </c>
      <c r="H1099" s="18">
        <v>18</v>
      </c>
      <c r="I1099" s="20">
        <v>10</v>
      </c>
      <c r="J1099" s="21">
        <v>180</v>
      </c>
    </row>
    <row r="1100" spans="1:10">
      <c r="A1100" s="19">
        <v>35684</v>
      </c>
      <c r="B1100" s="18" t="s">
        <v>26</v>
      </c>
      <c r="C1100" s="18" t="s">
        <v>27</v>
      </c>
      <c r="D1100" s="18" t="s">
        <v>53</v>
      </c>
      <c r="E1100" s="18" t="s">
        <v>54</v>
      </c>
      <c r="F1100" s="18" t="s">
        <v>49</v>
      </c>
      <c r="G1100" s="18" t="s">
        <v>38</v>
      </c>
      <c r="H1100" s="18">
        <v>53</v>
      </c>
      <c r="I1100" s="20">
        <v>20</v>
      </c>
      <c r="J1100" s="21">
        <v>1060</v>
      </c>
    </row>
    <row r="1101" spans="1:10">
      <c r="A1101" s="19">
        <v>35685</v>
      </c>
      <c r="B1101" s="18" t="s">
        <v>26</v>
      </c>
      <c r="C1101" s="18" t="s">
        <v>32</v>
      </c>
      <c r="D1101" s="18" t="s">
        <v>53</v>
      </c>
      <c r="E1101" s="18" t="s">
        <v>55</v>
      </c>
      <c r="F1101" s="18" t="s">
        <v>52</v>
      </c>
      <c r="G1101" s="18" t="s">
        <v>31</v>
      </c>
      <c r="H1101" s="18">
        <v>21.05</v>
      </c>
      <c r="I1101" s="20">
        <v>10</v>
      </c>
      <c r="J1101" s="21">
        <v>210.5</v>
      </c>
    </row>
    <row r="1102" spans="1:10">
      <c r="A1102" s="19">
        <v>35685</v>
      </c>
      <c r="B1102" s="18" t="s">
        <v>26</v>
      </c>
      <c r="C1102" s="18" t="s">
        <v>34</v>
      </c>
      <c r="D1102" s="18" t="s">
        <v>53</v>
      </c>
      <c r="E1102" s="18" t="s">
        <v>56</v>
      </c>
      <c r="F1102" s="18" t="s">
        <v>52</v>
      </c>
      <c r="G1102" s="18" t="s">
        <v>31</v>
      </c>
      <c r="H1102" s="18">
        <v>36</v>
      </c>
      <c r="I1102" s="20">
        <v>45</v>
      </c>
      <c r="J1102" s="21">
        <v>1620</v>
      </c>
    </row>
    <row r="1103" spans="1:10">
      <c r="A1103" s="19">
        <v>35685</v>
      </c>
      <c r="B1103" s="18" t="s">
        <v>26</v>
      </c>
      <c r="C1103" s="18" t="s">
        <v>36</v>
      </c>
      <c r="D1103" s="18" t="s">
        <v>53</v>
      </c>
      <c r="E1103" s="18" t="s">
        <v>57</v>
      </c>
      <c r="F1103" s="18" t="s">
        <v>52</v>
      </c>
      <c r="G1103" s="18" t="s">
        <v>31</v>
      </c>
      <c r="H1103" s="18">
        <v>123.79</v>
      </c>
      <c r="I1103" s="20">
        <v>36</v>
      </c>
      <c r="J1103" s="21">
        <v>4456.4400000000005</v>
      </c>
    </row>
    <row r="1104" spans="1:10">
      <c r="A1104" s="19">
        <v>35685</v>
      </c>
      <c r="B1104" s="18" t="s">
        <v>39</v>
      </c>
      <c r="C1104" s="18" t="s">
        <v>40</v>
      </c>
      <c r="D1104" s="18" t="s">
        <v>53</v>
      </c>
      <c r="E1104" s="18" t="s">
        <v>54</v>
      </c>
      <c r="F1104" s="18" t="s">
        <v>52</v>
      </c>
      <c r="G1104" s="18" t="s">
        <v>31</v>
      </c>
      <c r="H1104" s="18">
        <v>21.5</v>
      </c>
      <c r="I1104" s="20">
        <v>14</v>
      </c>
      <c r="J1104" s="21">
        <v>301</v>
      </c>
    </row>
    <row r="1105" spans="1:10">
      <c r="A1105" s="19">
        <v>35688</v>
      </c>
      <c r="B1105" s="18" t="s">
        <v>39</v>
      </c>
      <c r="C1105" s="18" t="s">
        <v>41</v>
      </c>
      <c r="D1105" s="18" t="s">
        <v>53</v>
      </c>
      <c r="E1105" s="18" t="s">
        <v>55</v>
      </c>
      <c r="F1105" s="18" t="s">
        <v>49</v>
      </c>
      <c r="G1105" s="18" t="s">
        <v>38</v>
      </c>
      <c r="H1105" s="18">
        <v>33.25</v>
      </c>
      <c r="I1105" s="20">
        <v>15</v>
      </c>
      <c r="J1105" s="21">
        <v>498.75</v>
      </c>
    </row>
    <row r="1106" spans="1:10">
      <c r="A1106" s="19">
        <v>35688</v>
      </c>
      <c r="B1106" s="18" t="s">
        <v>39</v>
      </c>
      <c r="C1106" s="18" t="s">
        <v>44</v>
      </c>
      <c r="D1106" s="18" t="s">
        <v>53</v>
      </c>
      <c r="E1106" s="18" t="s">
        <v>56</v>
      </c>
      <c r="F1106" s="18" t="s">
        <v>49</v>
      </c>
      <c r="G1106" s="18" t="s">
        <v>38</v>
      </c>
      <c r="H1106" s="18">
        <v>12.5</v>
      </c>
      <c r="I1106" s="20">
        <v>8</v>
      </c>
      <c r="J1106" s="21">
        <v>100</v>
      </c>
    </row>
    <row r="1107" spans="1:10">
      <c r="A1107" s="19">
        <v>35688</v>
      </c>
      <c r="B1107" s="18" t="s">
        <v>39</v>
      </c>
      <c r="C1107" s="18" t="s">
        <v>46</v>
      </c>
      <c r="D1107" s="18" t="s">
        <v>53</v>
      </c>
      <c r="E1107" s="18" t="s">
        <v>57</v>
      </c>
      <c r="F1107" s="18" t="s">
        <v>49</v>
      </c>
      <c r="G1107" s="18" t="s">
        <v>38</v>
      </c>
      <c r="H1107" s="18">
        <v>24</v>
      </c>
      <c r="I1107" s="20">
        <v>4</v>
      </c>
      <c r="J1107" s="21">
        <v>96</v>
      </c>
    </row>
    <row r="1108" spans="1:10">
      <c r="A1108" s="19">
        <v>35688</v>
      </c>
      <c r="B1108" s="18" t="s">
        <v>39</v>
      </c>
      <c r="C1108" s="18" t="s">
        <v>47</v>
      </c>
      <c r="D1108" s="18" t="s">
        <v>53</v>
      </c>
      <c r="E1108" s="18" t="s">
        <v>54</v>
      </c>
      <c r="F1108" s="18" t="s">
        <v>51</v>
      </c>
      <c r="G1108" s="18" t="s">
        <v>43</v>
      </c>
      <c r="H1108" s="18">
        <v>19</v>
      </c>
      <c r="I1108" s="20">
        <v>30</v>
      </c>
      <c r="J1108" s="21">
        <v>570</v>
      </c>
    </row>
    <row r="1109" spans="1:10">
      <c r="A1109" s="19">
        <v>35689</v>
      </c>
      <c r="B1109" s="18" t="s">
        <v>26</v>
      </c>
      <c r="C1109" s="18" t="s">
        <v>27</v>
      </c>
      <c r="D1109" s="18" t="s">
        <v>53</v>
      </c>
      <c r="E1109" s="18" t="s">
        <v>55</v>
      </c>
      <c r="F1109" s="18" t="s">
        <v>42</v>
      </c>
      <c r="G1109" s="18" t="s">
        <v>43</v>
      </c>
      <c r="H1109" s="18">
        <v>15</v>
      </c>
      <c r="I1109" s="20">
        <v>50</v>
      </c>
      <c r="J1109" s="21">
        <v>750</v>
      </c>
    </row>
    <row r="1110" spans="1:10">
      <c r="A1110" s="19">
        <v>35689</v>
      </c>
      <c r="B1110" s="18" t="s">
        <v>26</v>
      </c>
      <c r="C1110" s="18" t="s">
        <v>32</v>
      </c>
      <c r="D1110" s="18" t="s">
        <v>53</v>
      </c>
      <c r="E1110" s="18" t="s">
        <v>56</v>
      </c>
      <c r="F1110" s="18" t="s">
        <v>42</v>
      </c>
      <c r="G1110" s="18" t="s">
        <v>43</v>
      </c>
      <c r="H1110" s="18">
        <v>12</v>
      </c>
      <c r="I1110" s="20">
        <v>60</v>
      </c>
      <c r="J1110" s="21">
        <v>720</v>
      </c>
    </row>
    <row r="1111" spans="1:10">
      <c r="A1111" s="19">
        <v>35689</v>
      </c>
      <c r="B1111" s="18" t="s">
        <v>26</v>
      </c>
      <c r="C1111" s="18" t="s">
        <v>34</v>
      </c>
      <c r="D1111" s="18" t="s">
        <v>53</v>
      </c>
      <c r="E1111" s="18" t="s">
        <v>57</v>
      </c>
      <c r="F1111" s="18" t="s">
        <v>42</v>
      </c>
      <c r="G1111" s="18" t="s">
        <v>43</v>
      </c>
      <c r="H1111" s="18">
        <v>14</v>
      </c>
      <c r="I1111" s="20">
        <v>25</v>
      </c>
      <c r="J1111" s="21">
        <v>350</v>
      </c>
    </row>
    <row r="1112" spans="1:10">
      <c r="A1112" s="19">
        <v>35689</v>
      </c>
      <c r="B1112" s="18" t="s">
        <v>26</v>
      </c>
      <c r="C1112" s="18" t="s">
        <v>36</v>
      </c>
      <c r="D1112" s="18" t="s">
        <v>53</v>
      </c>
      <c r="E1112" s="18" t="s">
        <v>54</v>
      </c>
      <c r="F1112" s="18" t="s">
        <v>42</v>
      </c>
      <c r="G1112" s="18" t="s">
        <v>43</v>
      </c>
      <c r="H1112" s="18">
        <v>7.75</v>
      </c>
      <c r="I1112" s="20">
        <v>25</v>
      </c>
      <c r="J1112" s="21">
        <v>193.75</v>
      </c>
    </row>
    <row r="1113" spans="1:10">
      <c r="A1113" s="19">
        <v>35689</v>
      </c>
      <c r="B1113" s="18" t="s">
        <v>39</v>
      </c>
      <c r="C1113" s="18" t="s">
        <v>40</v>
      </c>
      <c r="D1113" s="18" t="s">
        <v>53</v>
      </c>
      <c r="E1113" s="18" t="s">
        <v>55</v>
      </c>
      <c r="F1113" s="18" t="s">
        <v>42</v>
      </c>
      <c r="G1113" s="18" t="s">
        <v>43</v>
      </c>
      <c r="H1113" s="18">
        <v>9</v>
      </c>
      <c r="I1113" s="20">
        <v>32</v>
      </c>
      <c r="J1113" s="21">
        <v>288</v>
      </c>
    </row>
    <row r="1114" spans="1:10">
      <c r="A1114" s="19">
        <v>35690</v>
      </c>
      <c r="B1114" s="18" t="s">
        <v>39</v>
      </c>
      <c r="C1114" s="18" t="s">
        <v>41</v>
      </c>
      <c r="D1114" s="18" t="s">
        <v>53</v>
      </c>
      <c r="E1114" s="18" t="s">
        <v>56</v>
      </c>
      <c r="F1114" s="18" t="s">
        <v>49</v>
      </c>
      <c r="G1114" s="18" t="s">
        <v>38</v>
      </c>
      <c r="H1114" s="18">
        <v>17.45</v>
      </c>
      <c r="I1114" s="20">
        <v>10</v>
      </c>
      <c r="J1114" s="21">
        <v>174.5</v>
      </c>
    </row>
    <row r="1115" spans="1:10">
      <c r="A1115" s="19">
        <v>35690</v>
      </c>
      <c r="B1115" s="18" t="s">
        <v>39</v>
      </c>
      <c r="C1115" s="18" t="s">
        <v>44</v>
      </c>
      <c r="D1115" s="18" t="s">
        <v>53</v>
      </c>
      <c r="E1115" s="18" t="s">
        <v>57</v>
      </c>
      <c r="F1115" s="18" t="s">
        <v>49</v>
      </c>
      <c r="G1115" s="18" t="s">
        <v>38</v>
      </c>
      <c r="H1115" s="18">
        <v>21.05</v>
      </c>
      <c r="I1115" s="20">
        <v>12</v>
      </c>
      <c r="J1115" s="21">
        <v>252.60000000000002</v>
      </c>
    </row>
    <row r="1116" spans="1:10">
      <c r="A1116" s="19">
        <v>35690</v>
      </c>
      <c r="B1116" s="18" t="s">
        <v>39</v>
      </c>
      <c r="C1116" s="18" t="s">
        <v>46</v>
      </c>
      <c r="D1116" s="18" t="s">
        <v>53</v>
      </c>
      <c r="E1116" s="18" t="s">
        <v>56</v>
      </c>
      <c r="F1116" s="18" t="s">
        <v>48</v>
      </c>
      <c r="G1116" s="18" t="s">
        <v>31</v>
      </c>
      <c r="H1116" s="18">
        <v>263.5</v>
      </c>
      <c r="I1116" s="20">
        <v>15</v>
      </c>
      <c r="J1116" s="21">
        <v>3952.5</v>
      </c>
    </row>
    <row r="1117" spans="1:10">
      <c r="A1117" s="19">
        <v>35690</v>
      </c>
      <c r="B1117" s="18" t="s">
        <v>39</v>
      </c>
      <c r="C1117" s="18" t="s">
        <v>47</v>
      </c>
      <c r="D1117" s="18" t="s">
        <v>53</v>
      </c>
      <c r="E1117" s="18" t="s">
        <v>54</v>
      </c>
      <c r="F1117" s="18" t="s">
        <v>49</v>
      </c>
      <c r="G1117" s="18" t="s">
        <v>38</v>
      </c>
      <c r="H1117" s="18">
        <v>49.3</v>
      </c>
      <c r="I1117" s="20">
        <v>10</v>
      </c>
      <c r="J1117" s="21">
        <v>493</v>
      </c>
    </row>
    <row r="1118" spans="1:10">
      <c r="A1118" s="19">
        <v>35690</v>
      </c>
      <c r="B1118" s="18" t="s">
        <v>26</v>
      </c>
      <c r="C1118" s="18" t="s">
        <v>27</v>
      </c>
      <c r="D1118" s="18" t="s">
        <v>53</v>
      </c>
      <c r="E1118" s="18" t="s">
        <v>55</v>
      </c>
      <c r="F1118" s="18" t="s">
        <v>48</v>
      </c>
      <c r="G1118" s="18" t="s">
        <v>31</v>
      </c>
      <c r="H1118" s="18">
        <v>21.5</v>
      </c>
      <c r="I1118" s="20">
        <v>12</v>
      </c>
      <c r="J1118" s="21">
        <v>258</v>
      </c>
    </row>
    <row r="1119" spans="1:10">
      <c r="A1119" s="19">
        <v>35691</v>
      </c>
      <c r="B1119" s="18" t="s">
        <v>26</v>
      </c>
      <c r="C1119" s="18" t="s">
        <v>32</v>
      </c>
      <c r="D1119" s="18" t="s">
        <v>53</v>
      </c>
      <c r="E1119" s="18" t="s">
        <v>56</v>
      </c>
      <c r="F1119" s="18" t="s">
        <v>51</v>
      </c>
      <c r="G1119" s="18" t="s">
        <v>43</v>
      </c>
      <c r="H1119" s="18">
        <v>17.45</v>
      </c>
      <c r="I1119" s="20">
        <v>3</v>
      </c>
      <c r="J1119" s="21">
        <v>52.349999999999994</v>
      </c>
    </row>
    <row r="1120" spans="1:10">
      <c r="A1120" s="19">
        <v>35691</v>
      </c>
      <c r="B1120" s="18" t="s">
        <v>26</v>
      </c>
      <c r="C1120" s="18" t="s">
        <v>34</v>
      </c>
      <c r="D1120" s="18" t="s">
        <v>53</v>
      </c>
      <c r="E1120" s="18" t="s">
        <v>57</v>
      </c>
      <c r="F1120" s="18" t="s">
        <v>51</v>
      </c>
      <c r="G1120" s="18" t="s">
        <v>43</v>
      </c>
      <c r="H1120" s="18">
        <v>14</v>
      </c>
      <c r="I1120" s="20">
        <v>6</v>
      </c>
      <c r="J1120" s="21">
        <v>84</v>
      </c>
    </row>
    <row r="1121" spans="1:10">
      <c r="A1121" s="19">
        <v>35691</v>
      </c>
      <c r="B1121" s="18" t="s">
        <v>26</v>
      </c>
      <c r="C1121" s="18" t="s">
        <v>36</v>
      </c>
      <c r="D1121" s="18" t="s">
        <v>53</v>
      </c>
      <c r="E1121" s="18" t="s">
        <v>54</v>
      </c>
      <c r="F1121" s="18" t="s">
        <v>51</v>
      </c>
      <c r="G1121" s="18" t="s">
        <v>43</v>
      </c>
      <c r="H1121" s="18">
        <v>46</v>
      </c>
      <c r="I1121" s="20">
        <v>6</v>
      </c>
      <c r="J1121" s="21">
        <v>276</v>
      </c>
    </row>
    <row r="1122" spans="1:10">
      <c r="A1122" s="19">
        <v>35691</v>
      </c>
      <c r="B1122" s="18" t="s">
        <v>39</v>
      </c>
      <c r="C1122" s="18" t="s">
        <v>40</v>
      </c>
      <c r="D1122" s="18" t="s">
        <v>53</v>
      </c>
      <c r="E1122" s="18" t="s">
        <v>55</v>
      </c>
      <c r="F1122" s="18" t="s">
        <v>42</v>
      </c>
      <c r="G1122" s="18" t="s">
        <v>43</v>
      </c>
      <c r="H1122" s="18">
        <v>9</v>
      </c>
      <c r="I1122" s="20">
        <v>5</v>
      </c>
      <c r="J1122" s="21">
        <v>45</v>
      </c>
    </row>
    <row r="1123" spans="1:10">
      <c r="A1123" s="19">
        <v>35692</v>
      </c>
      <c r="B1123" s="18" t="s">
        <v>39</v>
      </c>
      <c r="C1123" s="18" t="s">
        <v>41</v>
      </c>
      <c r="D1123" s="18" t="s">
        <v>53</v>
      </c>
      <c r="E1123" s="18" t="s">
        <v>56</v>
      </c>
      <c r="F1123" s="18" t="s">
        <v>30</v>
      </c>
      <c r="G1123" s="18" t="s">
        <v>31</v>
      </c>
      <c r="H1123" s="18">
        <v>13.25</v>
      </c>
      <c r="I1123" s="20">
        <v>30</v>
      </c>
      <c r="J1123" s="21">
        <v>397.5</v>
      </c>
    </row>
    <row r="1124" spans="1:10">
      <c r="A1124" s="19">
        <v>35692</v>
      </c>
      <c r="B1124" s="18" t="s">
        <v>39</v>
      </c>
      <c r="C1124" s="18" t="s">
        <v>44</v>
      </c>
      <c r="D1124" s="18" t="s">
        <v>53</v>
      </c>
      <c r="E1124" s="18" t="s">
        <v>57</v>
      </c>
      <c r="F1124" s="18" t="s">
        <v>30</v>
      </c>
      <c r="G1124" s="18" t="s">
        <v>31</v>
      </c>
      <c r="H1124" s="18">
        <v>23.25</v>
      </c>
      <c r="I1124" s="20">
        <v>30</v>
      </c>
      <c r="J1124" s="21">
        <v>697.5</v>
      </c>
    </row>
    <row r="1125" spans="1:10">
      <c r="A1125" s="19">
        <v>35692</v>
      </c>
      <c r="B1125" s="18" t="s">
        <v>39</v>
      </c>
      <c r="C1125" s="18" t="s">
        <v>46</v>
      </c>
      <c r="D1125" s="18" t="s">
        <v>53</v>
      </c>
      <c r="E1125" s="18" t="s">
        <v>54</v>
      </c>
      <c r="F1125" s="18" t="s">
        <v>30</v>
      </c>
      <c r="G1125" s="18" t="s">
        <v>31</v>
      </c>
      <c r="H1125" s="18">
        <v>32.799999999999997</v>
      </c>
      <c r="I1125" s="20">
        <v>10</v>
      </c>
      <c r="J1125" s="21">
        <v>328</v>
      </c>
    </row>
    <row r="1126" spans="1:10">
      <c r="A1126" s="19">
        <v>35695</v>
      </c>
      <c r="B1126" s="18" t="s">
        <v>39</v>
      </c>
      <c r="C1126" s="18" t="s">
        <v>47</v>
      </c>
      <c r="D1126" s="18" t="s">
        <v>53</v>
      </c>
      <c r="E1126" s="18" t="s">
        <v>55</v>
      </c>
      <c r="F1126" s="18" t="s">
        <v>51</v>
      </c>
      <c r="G1126" s="18" t="s">
        <v>43</v>
      </c>
      <c r="H1126" s="18">
        <v>19.45</v>
      </c>
      <c r="I1126" s="20">
        <v>21</v>
      </c>
      <c r="J1126" s="21">
        <v>408.45</v>
      </c>
    </row>
    <row r="1127" spans="1:10">
      <c r="A1127" s="19">
        <v>35695</v>
      </c>
      <c r="B1127" s="18" t="s">
        <v>26</v>
      </c>
      <c r="C1127" s="18" t="s">
        <v>27</v>
      </c>
      <c r="D1127" s="18" t="s">
        <v>53</v>
      </c>
      <c r="E1127" s="18" t="s">
        <v>56</v>
      </c>
      <c r="F1127" s="18" t="s">
        <v>49</v>
      </c>
      <c r="G1127" s="18" t="s">
        <v>38</v>
      </c>
      <c r="H1127" s="18">
        <v>2.5</v>
      </c>
      <c r="I1127" s="20">
        <v>8</v>
      </c>
      <c r="J1127" s="21">
        <v>20</v>
      </c>
    </row>
    <row r="1128" spans="1:10">
      <c r="A1128" s="19">
        <v>35695</v>
      </c>
      <c r="B1128" s="18" t="s">
        <v>26</v>
      </c>
      <c r="C1128" s="18" t="s">
        <v>32</v>
      </c>
      <c r="D1128" s="18" t="s">
        <v>53</v>
      </c>
      <c r="E1128" s="18" t="s">
        <v>57</v>
      </c>
      <c r="F1128" s="18" t="s">
        <v>49</v>
      </c>
      <c r="G1128" s="18" t="s">
        <v>38</v>
      </c>
      <c r="H1128" s="18">
        <v>31.23</v>
      </c>
      <c r="I1128" s="20">
        <v>30</v>
      </c>
      <c r="J1128" s="21">
        <v>936.9</v>
      </c>
    </row>
    <row r="1129" spans="1:10">
      <c r="A1129" s="19">
        <v>35695</v>
      </c>
      <c r="B1129" s="18" t="s">
        <v>26</v>
      </c>
      <c r="C1129" s="18" t="s">
        <v>34</v>
      </c>
      <c r="D1129" s="18" t="s">
        <v>53</v>
      </c>
      <c r="E1129" s="18" t="s">
        <v>54</v>
      </c>
      <c r="F1129" s="18" t="s">
        <v>51</v>
      </c>
      <c r="G1129" s="18" t="s">
        <v>43</v>
      </c>
      <c r="H1129" s="18">
        <v>9.1999999999999993</v>
      </c>
      <c r="I1129" s="20">
        <v>7</v>
      </c>
      <c r="J1129" s="21">
        <v>64.399999999999991</v>
      </c>
    </row>
    <row r="1130" spans="1:10">
      <c r="A1130" s="19">
        <v>35695</v>
      </c>
      <c r="B1130" s="18" t="s">
        <v>26</v>
      </c>
      <c r="C1130" s="18" t="s">
        <v>36</v>
      </c>
      <c r="D1130" s="18" t="s">
        <v>53</v>
      </c>
      <c r="E1130" s="18" t="s">
        <v>55</v>
      </c>
      <c r="F1130" s="18" t="s">
        <v>51</v>
      </c>
      <c r="G1130" s="18" t="s">
        <v>43</v>
      </c>
      <c r="H1130" s="18">
        <v>31</v>
      </c>
      <c r="I1130" s="20">
        <v>2</v>
      </c>
      <c r="J1130" s="21">
        <v>62</v>
      </c>
    </row>
    <row r="1131" spans="1:10">
      <c r="A1131" s="19">
        <v>35696</v>
      </c>
      <c r="B1131" s="18" t="s">
        <v>39</v>
      </c>
      <c r="C1131" s="18" t="s">
        <v>40</v>
      </c>
      <c r="D1131" s="18" t="s">
        <v>53</v>
      </c>
      <c r="E1131" s="18" t="s">
        <v>56</v>
      </c>
      <c r="F1131" s="18" t="s">
        <v>52</v>
      </c>
      <c r="G1131" s="18" t="s">
        <v>31</v>
      </c>
      <c r="H1131" s="18">
        <v>38</v>
      </c>
      <c r="I1131" s="20">
        <v>100</v>
      </c>
      <c r="J1131" s="21">
        <v>3800</v>
      </c>
    </row>
    <row r="1132" spans="1:10">
      <c r="A1132" s="19">
        <v>35696</v>
      </c>
      <c r="B1132" s="18" t="s">
        <v>39</v>
      </c>
      <c r="C1132" s="18" t="s">
        <v>41</v>
      </c>
      <c r="D1132" s="18" t="s">
        <v>53</v>
      </c>
      <c r="E1132" s="18" t="s">
        <v>57</v>
      </c>
      <c r="F1132" s="18" t="s">
        <v>50</v>
      </c>
      <c r="G1132" s="18" t="s">
        <v>31</v>
      </c>
      <c r="H1132" s="18">
        <v>55</v>
      </c>
      <c r="I1132" s="20">
        <v>12</v>
      </c>
      <c r="J1132" s="21">
        <v>660</v>
      </c>
    </row>
    <row r="1133" spans="1:10">
      <c r="A1133" s="19">
        <v>35696</v>
      </c>
      <c r="B1133" s="18" t="s">
        <v>39</v>
      </c>
      <c r="C1133" s="18" t="s">
        <v>44</v>
      </c>
      <c r="D1133" s="18" t="s">
        <v>53</v>
      </c>
      <c r="E1133" s="18" t="s">
        <v>54</v>
      </c>
      <c r="F1133" s="18" t="s">
        <v>52</v>
      </c>
      <c r="G1133" s="18" t="s">
        <v>31</v>
      </c>
      <c r="H1133" s="18">
        <v>7.45</v>
      </c>
      <c r="I1133" s="20">
        <v>30</v>
      </c>
      <c r="J1133" s="21">
        <v>223.5</v>
      </c>
    </row>
    <row r="1134" spans="1:10">
      <c r="A1134" s="19">
        <v>35696</v>
      </c>
      <c r="B1134" s="18" t="s">
        <v>39</v>
      </c>
      <c r="C1134" s="18" t="s">
        <v>46</v>
      </c>
      <c r="D1134" s="18" t="s">
        <v>53</v>
      </c>
      <c r="E1134" s="18" t="s">
        <v>55</v>
      </c>
      <c r="F1134" s="18" t="s">
        <v>52</v>
      </c>
      <c r="G1134" s="18" t="s">
        <v>31</v>
      </c>
      <c r="H1134" s="18">
        <v>2.5</v>
      </c>
      <c r="I1134" s="20">
        <v>30</v>
      </c>
      <c r="J1134" s="21">
        <v>75</v>
      </c>
    </row>
    <row r="1135" spans="1:10">
      <c r="A1135" s="19">
        <v>35696</v>
      </c>
      <c r="B1135" s="18" t="s">
        <v>39</v>
      </c>
      <c r="C1135" s="18" t="s">
        <v>47</v>
      </c>
      <c r="D1135" s="18" t="s">
        <v>53</v>
      </c>
      <c r="E1135" s="18" t="s">
        <v>56</v>
      </c>
      <c r="F1135" s="18" t="s">
        <v>52</v>
      </c>
      <c r="G1135" s="18" t="s">
        <v>31</v>
      </c>
      <c r="H1135" s="18">
        <v>9.65</v>
      </c>
      <c r="I1135" s="20">
        <v>120</v>
      </c>
      <c r="J1135" s="21">
        <v>1158</v>
      </c>
    </row>
    <row r="1136" spans="1:10">
      <c r="A1136" s="19">
        <v>35697</v>
      </c>
      <c r="B1136" s="18" t="s">
        <v>26</v>
      </c>
      <c r="C1136" s="18" t="s">
        <v>27</v>
      </c>
      <c r="D1136" s="18" t="s">
        <v>53</v>
      </c>
      <c r="E1136" s="18" t="s">
        <v>57</v>
      </c>
      <c r="F1136" s="18" t="s">
        <v>49</v>
      </c>
      <c r="G1136" s="18" t="s">
        <v>38</v>
      </c>
      <c r="H1136" s="18">
        <v>17.45</v>
      </c>
      <c r="I1136" s="20">
        <v>50</v>
      </c>
      <c r="J1136" s="21">
        <v>872.5</v>
      </c>
    </row>
    <row r="1137" spans="1:10">
      <c r="A1137" s="19">
        <v>35697</v>
      </c>
      <c r="B1137" s="18" t="s">
        <v>26</v>
      </c>
      <c r="C1137" s="18" t="s">
        <v>32</v>
      </c>
      <c r="D1137" s="18" t="s">
        <v>53</v>
      </c>
      <c r="E1137" s="18" t="s">
        <v>54</v>
      </c>
      <c r="F1137" s="18" t="s">
        <v>49</v>
      </c>
      <c r="G1137" s="18" t="s">
        <v>38</v>
      </c>
      <c r="H1137" s="18">
        <v>14</v>
      </c>
      <c r="I1137" s="20">
        <v>40</v>
      </c>
      <c r="J1137" s="21">
        <v>560</v>
      </c>
    </row>
    <row r="1138" spans="1:10">
      <c r="A1138" s="19">
        <v>35697</v>
      </c>
      <c r="B1138" s="18" t="s">
        <v>26</v>
      </c>
      <c r="C1138" s="18" t="s">
        <v>34</v>
      </c>
      <c r="D1138" s="18" t="s">
        <v>53</v>
      </c>
      <c r="E1138" s="18" t="s">
        <v>55</v>
      </c>
      <c r="F1138" s="18" t="s">
        <v>49</v>
      </c>
      <c r="G1138" s="18" t="s">
        <v>38</v>
      </c>
      <c r="H1138" s="18">
        <v>12.5</v>
      </c>
      <c r="I1138" s="20">
        <v>20</v>
      </c>
      <c r="J1138" s="21">
        <v>250</v>
      </c>
    </row>
    <row r="1139" spans="1:10">
      <c r="A1139" s="19">
        <v>35698</v>
      </c>
      <c r="B1139" s="18" t="s">
        <v>26</v>
      </c>
      <c r="C1139" s="18" t="s">
        <v>36</v>
      </c>
      <c r="D1139" s="18" t="s">
        <v>53</v>
      </c>
      <c r="E1139" s="18" t="s">
        <v>56</v>
      </c>
      <c r="F1139" s="18" t="s">
        <v>45</v>
      </c>
      <c r="G1139" s="18" t="s">
        <v>38</v>
      </c>
      <c r="H1139" s="18">
        <v>10</v>
      </c>
      <c r="I1139" s="20">
        <v>12</v>
      </c>
      <c r="J1139" s="21">
        <v>120</v>
      </c>
    </row>
    <row r="1140" spans="1:10">
      <c r="A1140" s="19">
        <v>35698</v>
      </c>
      <c r="B1140" s="18" t="s">
        <v>39</v>
      </c>
      <c r="C1140" s="18" t="s">
        <v>40</v>
      </c>
      <c r="D1140" s="18" t="s">
        <v>53</v>
      </c>
      <c r="E1140" s="18" t="s">
        <v>57</v>
      </c>
      <c r="F1140" s="18" t="s">
        <v>45</v>
      </c>
      <c r="G1140" s="18" t="s">
        <v>38</v>
      </c>
      <c r="H1140" s="18">
        <v>33.25</v>
      </c>
      <c r="I1140" s="20">
        <v>28</v>
      </c>
      <c r="J1140" s="21">
        <v>931</v>
      </c>
    </row>
    <row r="1141" spans="1:10">
      <c r="A1141" s="19">
        <v>35698</v>
      </c>
      <c r="B1141" s="18" t="s">
        <v>39</v>
      </c>
      <c r="C1141" s="18" t="s">
        <v>41</v>
      </c>
      <c r="D1141" s="18" t="s">
        <v>53</v>
      </c>
      <c r="E1141" s="18" t="s">
        <v>54</v>
      </c>
      <c r="F1141" s="18" t="s">
        <v>45</v>
      </c>
      <c r="G1141" s="18" t="s">
        <v>38</v>
      </c>
      <c r="H1141" s="18">
        <v>2.5</v>
      </c>
      <c r="I1141" s="20">
        <v>30</v>
      </c>
      <c r="J1141" s="21">
        <v>75</v>
      </c>
    </row>
    <row r="1142" spans="1:10">
      <c r="A1142" s="19">
        <v>35698</v>
      </c>
      <c r="B1142" s="18" t="s">
        <v>39</v>
      </c>
      <c r="C1142" s="18" t="s">
        <v>44</v>
      </c>
      <c r="D1142" s="18" t="s">
        <v>53</v>
      </c>
      <c r="E1142" s="18" t="s">
        <v>55</v>
      </c>
      <c r="F1142" s="18" t="s">
        <v>45</v>
      </c>
      <c r="G1142" s="18" t="s">
        <v>38</v>
      </c>
      <c r="H1142" s="18">
        <v>7.75</v>
      </c>
      <c r="I1142" s="20">
        <v>30</v>
      </c>
      <c r="J1142" s="21">
        <v>232.5</v>
      </c>
    </row>
    <row r="1143" spans="1:10">
      <c r="A1143" s="19">
        <v>35698</v>
      </c>
      <c r="B1143" s="18" t="s">
        <v>39</v>
      </c>
      <c r="C1143" s="18" t="s">
        <v>46</v>
      </c>
      <c r="D1143" s="18" t="s">
        <v>53</v>
      </c>
      <c r="E1143" s="18" t="s">
        <v>56</v>
      </c>
      <c r="F1143" s="18" t="s">
        <v>45</v>
      </c>
      <c r="G1143" s="18" t="s">
        <v>38</v>
      </c>
      <c r="H1143" s="18">
        <v>17</v>
      </c>
      <c r="I1143" s="20">
        <v>4</v>
      </c>
      <c r="J1143" s="21">
        <v>68</v>
      </c>
    </row>
    <row r="1144" spans="1:10">
      <c r="A1144" s="19">
        <v>35698</v>
      </c>
      <c r="B1144" s="18" t="s">
        <v>39</v>
      </c>
      <c r="C1144" s="18" t="s">
        <v>47</v>
      </c>
      <c r="D1144" s="18" t="s">
        <v>53</v>
      </c>
      <c r="E1144" s="18" t="s">
        <v>57</v>
      </c>
      <c r="F1144" s="18" t="s">
        <v>45</v>
      </c>
      <c r="G1144" s="18" t="s">
        <v>38</v>
      </c>
      <c r="H1144" s="18">
        <v>9.1999999999999993</v>
      </c>
      <c r="I1144" s="20">
        <v>30</v>
      </c>
      <c r="J1144" s="21">
        <v>276</v>
      </c>
    </row>
    <row r="1145" spans="1:10">
      <c r="A1145" s="19">
        <v>35699</v>
      </c>
      <c r="B1145" s="18" t="s">
        <v>26</v>
      </c>
      <c r="C1145" s="18" t="s">
        <v>27</v>
      </c>
      <c r="D1145" s="18" t="s">
        <v>53</v>
      </c>
      <c r="E1145" s="18" t="s">
        <v>56</v>
      </c>
      <c r="F1145" s="18" t="s">
        <v>45</v>
      </c>
      <c r="G1145" s="18" t="s">
        <v>38</v>
      </c>
      <c r="H1145" s="18">
        <v>9.5</v>
      </c>
      <c r="I1145" s="20">
        <v>40</v>
      </c>
      <c r="J1145" s="21">
        <v>380</v>
      </c>
    </row>
    <row r="1146" spans="1:10">
      <c r="A1146" s="19">
        <v>35699</v>
      </c>
      <c r="B1146" s="18" t="s">
        <v>26</v>
      </c>
      <c r="C1146" s="18" t="s">
        <v>32</v>
      </c>
      <c r="D1146" s="18" t="s">
        <v>53</v>
      </c>
      <c r="E1146" s="18" t="s">
        <v>54</v>
      </c>
      <c r="F1146" s="18" t="s">
        <v>45</v>
      </c>
      <c r="G1146" s="18" t="s">
        <v>38</v>
      </c>
      <c r="H1146" s="18">
        <v>34</v>
      </c>
      <c r="I1146" s="20">
        <v>30</v>
      </c>
      <c r="J1146" s="21">
        <v>1020</v>
      </c>
    </row>
    <row r="1147" spans="1:10">
      <c r="A1147" s="19">
        <v>35699</v>
      </c>
      <c r="B1147" s="18" t="s">
        <v>26</v>
      </c>
      <c r="C1147" s="18" t="s">
        <v>34</v>
      </c>
      <c r="D1147" s="18" t="s">
        <v>53</v>
      </c>
      <c r="E1147" s="18" t="s">
        <v>55</v>
      </c>
      <c r="F1147" s="18" t="s">
        <v>51</v>
      </c>
      <c r="G1147" s="18" t="s">
        <v>43</v>
      </c>
      <c r="H1147" s="18">
        <v>7</v>
      </c>
      <c r="I1147" s="20">
        <v>9</v>
      </c>
      <c r="J1147" s="21">
        <v>63</v>
      </c>
    </row>
    <row r="1148" spans="1:10">
      <c r="A1148" s="19">
        <v>35699</v>
      </c>
      <c r="B1148" s="18" t="s">
        <v>26</v>
      </c>
      <c r="C1148" s="18" t="s">
        <v>36</v>
      </c>
      <c r="D1148" s="18" t="s">
        <v>53</v>
      </c>
      <c r="E1148" s="18" t="s">
        <v>56</v>
      </c>
      <c r="F1148" s="18" t="s">
        <v>45</v>
      </c>
      <c r="G1148" s="18" t="s">
        <v>38</v>
      </c>
      <c r="H1148" s="18">
        <v>18.399999999999999</v>
      </c>
      <c r="I1148" s="20">
        <v>20</v>
      </c>
      <c r="J1148" s="21">
        <v>368</v>
      </c>
    </row>
    <row r="1149" spans="1:10">
      <c r="A1149" s="19">
        <v>35702</v>
      </c>
      <c r="B1149" s="18" t="s">
        <v>39</v>
      </c>
      <c r="C1149" s="18" t="s">
        <v>40</v>
      </c>
      <c r="D1149" s="18" t="s">
        <v>53</v>
      </c>
      <c r="E1149" s="18" t="s">
        <v>57</v>
      </c>
      <c r="F1149" s="18" t="s">
        <v>42</v>
      </c>
      <c r="G1149" s="18" t="s">
        <v>43</v>
      </c>
      <c r="H1149" s="18">
        <v>9.5</v>
      </c>
      <c r="I1149" s="20">
        <v>15</v>
      </c>
      <c r="J1149" s="21">
        <v>142.5</v>
      </c>
    </row>
    <row r="1150" spans="1:10">
      <c r="A1150" s="19">
        <v>35702</v>
      </c>
      <c r="B1150" s="18" t="s">
        <v>39</v>
      </c>
      <c r="C1150" s="18" t="s">
        <v>41</v>
      </c>
      <c r="D1150" s="18" t="s">
        <v>53</v>
      </c>
      <c r="E1150" s="18" t="s">
        <v>54</v>
      </c>
      <c r="F1150" s="18" t="s">
        <v>42</v>
      </c>
      <c r="G1150" s="18" t="s">
        <v>43</v>
      </c>
      <c r="H1150" s="18">
        <v>9.65</v>
      </c>
      <c r="I1150" s="20">
        <v>4</v>
      </c>
      <c r="J1150" s="21">
        <v>38.6</v>
      </c>
    </row>
    <row r="1151" spans="1:10">
      <c r="A1151" s="19">
        <v>35702</v>
      </c>
      <c r="B1151" s="18" t="s">
        <v>39</v>
      </c>
      <c r="C1151" s="18" t="s">
        <v>44</v>
      </c>
      <c r="D1151" s="18" t="s">
        <v>53</v>
      </c>
      <c r="E1151" s="18" t="s">
        <v>55</v>
      </c>
      <c r="F1151" s="18" t="s">
        <v>42</v>
      </c>
      <c r="G1151" s="18" t="s">
        <v>43</v>
      </c>
      <c r="H1151" s="18">
        <v>31</v>
      </c>
      <c r="I1151" s="20">
        <v>20</v>
      </c>
      <c r="J1151" s="21">
        <v>620</v>
      </c>
    </row>
    <row r="1152" spans="1:10">
      <c r="A1152" s="19">
        <v>35703</v>
      </c>
      <c r="B1152" s="18" t="s">
        <v>39</v>
      </c>
      <c r="C1152" s="18" t="s">
        <v>46</v>
      </c>
      <c r="D1152" s="18" t="s">
        <v>53</v>
      </c>
      <c r="E1152" s="18" t="s">
        <v>56</v>
      </c>
      <c r="F1152" s="18" t="s">
        <v>48</v>
      </c>
      <c r="G1152" s="18" t="s">
        <v>31</v>
      </c>
      <c r="H1152" s="18">
        <v>97</v>
      </c>
      <c r="I1152" s="20">
        <v>50</v>
      </c>
      <c r="J1152" s="21">
        <v>4850</v>
      </c>
    </row>
    <row r="1153" spans="1:10">
      <c r="A1153" s="19">
        <v>35703</v>
      </c>
      <c r="B1153" s="18" t="s">
        <v>39</v>
      </c>
      <c r="C1153" s="18" t="s">
        <v>47</v>
      </c>
      <c r="D1153" s="18" t="s">
        <v>53</v>
      </c>
      <c r="E1153" s="18" t="s">
        <v>57</v>
      </c>
      <c r="F1153" s="18" t="s">
        <v>51</v>
      </c>
      <c r="G1153" s="18" t="s">
        <v>43</v>
      </c>
      <c r="H1153" s="18">
        <v>31.23</v>
      </c>
      <c r="I1153" s="20">
        <v>15</v>
      </c>
      <c r="J1153" s="21">
        <v>468.45</v>
      </c>
    </row>
    <row r="1154" spans="1:10">
      <c r="A1154" s="19">
        <v>35703</v>
      </c>
      <c r="B1154" s="18" t="s">
        <v>26</v>
      </c>
      <c r="C1154" s="18" t="s">
        <v>27</v>
      </c>
      <c r="D1154" s="18" t="s">
        <v>53</v>
      </c>
      <c r="E1154" s="18" t="s">
        <v>54</v>
      </c>
      <c r="F1154" s="18" t="s">
        <v>48</v>
      </c>
      <c r="G1154" s="18" t="s">
        <v>31</v>
      </c>
      <c r="H1154" s="18">
        <v>123.79</v>
      </c>
      <c r="I1154" s="20">
        <v>10</v>
      </c>
      <c r="J1154" s="21">
        <v>1237.9000000000001</v>
      </c>
    </row>
    <row r="1155" spans="1:10">
      <c r="A1155" s="19">
        <v>35703</v>
      </c>
      <c r="B1155" s="18" t="s">
        <v>26</v>
      </c>
      <c r="C1155" s="18" t="s">
        <v>32</v>
      </c>
      <c r="D1155" s="18" t="s">
        <v>53</v>
      </c>
      <c r="E1155" s="18" t="s">
        <v>55</v>
      </c>
      <c r="F1155" s="18" t="s">
        <v>48</v>
      </c>
      <c r="G1155" s="18" t="s">
        <v>31</v>
      </c>
      <c r="H1155" s="18">
        <v>19</v>
      </c>
      <c r="I1155" s="20">
        <v>6</v>
      </c>
      <c r="J1155" s="21">
        <v>114</v>
      </c>
    </row>
    <row r="1156" spans="1:10">
      <c r="A1156" s="19">
        <v>35703</v>
      </c>
      <c r="B1156" s="18" t="s">
        <v>26</v>
      </c>
      <c r="C1156" s="18" t="s">
        <v>34</v>
      </c>
      <c r="D1156" s="18" t="s">
        <v>53</v>
      </c>
      <c r="E1156" s="18" t="s">
        <v>56</v>
      </c>
      <c r="F1156" s="18" t="s">
        <v>51</v>
      </c>
      <c r="G1156" s="18" t="s">
        <v>43</v>
      </c>
      <c r="H1156" s="18">
        <v>39</v>
      </c>
      <c r="I1156" s="20">
        <v>30</v>
      </c>
      <c r="J1156" s="21">
        <v>1170</v>
      </c>
    </row>
    <row r="1157" spans="1:10">
      <c r="A1157" s="19">
        <v>35704</v>
      </c>
      <c r="B1157" s="18" t="s">
        <v>26</v>
      </c>
      <c r="C1157" s="18" t="s">
        <v>36</v>
      </c>
      <c r="D1157" s="18" t="s">
        <v>53</v>
      </c>
      <c r="E1157" s="18" t="s">
        <v>57</v>
      </c>
      <c r="F1157" s="18" t="s">
        <v>42</v>
      </c>
      <c r="G1157" s="18" t="s">
        <v>43</v>
      </c>
      <c r="H1157" s="18">
        <v>45.6</v>
      </c>
      <c r="I1157" s="20">
        <v>60</v>
      </c>
      <c r="J1157" s="21">
        <v>2736</v>
      </c>
    </row>
    <row r="1158" spans="1:10">
      <c r="A1158" s="19">
        <v>35704</v>
      </c>
      <c r="B1158" s="18" t="s">
        <v>39</v>
      </c>
      <c r="C1158" s="18" t="s">
        <v>40</v>
      </c>
      <c r="D1158" s="18" t="s">
        <v>53</v>
      </c>
      <c r="E1158" s="18" t="s">
        <v>54</v>
      </c>
      <c r="F1158" s="18" t="s">
        <v>42</v>
      </c>
      <c r="G1158" s="18" t="s">
        <v>43</v>
      </c>
      <c r="H1158" s="18">
        <v>14</v>
      </c>
      <c r="I1158" s="20">
        <v>14</v>
      </c>
      <c r="J1158" s="21">
        <v>196</v>
      </c>
    </row>
    <row r="1159" spans="1:10">
      <c r="A1159" s="19">
        <v>35704</v>
      </c>
      <c r="B1159" s="18" t="s">
        <v>39</v>
      </c>
      <c r="C1159" s="18" t="s">
        <v>41</v>
      </c>
      <c r="D1159" s="18" t="s">
        <v>53</v>
      </c>
      <c r="E1159" s="18" t="s">
        <v>55</v>
      </c>
      <c r="F1159" s="18" t="s">
        <v>49</v>
      </c>
      <c r="G1159" s="18" t="s">
        <v>38</v>
      </c>
      <c r="H1159" s="18">
        <v>18</v>
      </c>
      <c r="I1159" s="20">
        <v>35</v>
      </c>
      <c r="J1159" s="21">
        <v>630</v>
      </c>
    </row>
    <row r="1160" spans="1:10">
      <c r="A1160" s="19">
        <v>35704</v>
      </c>
      <c r="B1160" s="18" t="s">
        <v>39</v>
      </c>
      <c r="C1160" s="18" t="s">
        <v>44</v>
      </c>
      <c r="D1160" s="18" t="s">
        <v>53</v>
      </c>
      <c r="E1160" s="18" t="s">
        <v>56</v>
      </c>
      <c r="F1160" s="18" t="s">
        <v>42</v>
      </c>
      <c r="G1160" s="18" t="s">
        <v>43</v>
      </c>
      <c r="H1160" s="18">
        <v>31</v>
      </c>
      <c r="I1160" s="20">
        <v>18</v>
      </c>
      <c r="J1160" s="21">
        <v>558</v>
      </c>
    </row>
    <row r="1161" spans="1:10">
      <c r="A1161" s="19">
        <v>35705</v>
      </c>
      <c r="B1161" s="18" t="s">
        <v>39</v>
      </c>
      <c r="C1161" s="18" t="s">
        <v>46</v>
      </c>
      <c r="D1161" s="18" t="s">
        <v>53</v>
      </c>
      <c r="E1161" s="18" t="s">
        <v>57</v>
      </c>
      <c r="F1161" s="18" t="s">
        <v>49</v>
      </c>
      <c r="G1161" s="18" t="s">
        <v>38</v>
      </c>
      <c r="H1161" s="18">
        <v>38</v>
      </c>
      <c r="I1161" s="20">
        <v>20</v>
      </c>
      <c r="J1161" s="21">
        <v>760</v>
      </c>
    </row>
    <row r="1162" spans="1:10">
      <c r="A1162" s="19">
        <v>35705</v>
      </c>
      <c r="B1162" s="18" t="s">
        <v>39</v>
      </c>
      <c r="C1162" s="18" t="s">
        <v>47</v>
      </c>
      <c r="D1162" s="18" t="s">
        <v>53</v>
      </c>
      <c r="E1162" s="18" t="s">
        <v>54</v>
      </c>
      <c r="F1162" s="18" t="s">
        <v>49</v>
      </c>
      <c r="G1162" s="18" t="s">
        <v>38</v>
      </c>
      <c r="H1162" s="18">
        <v>13</v>
      </c>
      <c r="I1162" s="20">
        <v>30</v>
      </c>
      <c r="J1162" s="21">
        <v>390</v>
      </c>
    </row>
    <row r="1163" spans="1:10">
      <c r="A1163" s="19">
        <v>35706</v>
      </c>
      <c r="B1163" s="18" t="s">
        <v>26</v>
      </c>
      <c r="C1163" s="18" t="s">
        <v>27</v>
      </c>
      <c r="D1163" s="18" t="s">
        <v>53</v>
      </c>
      <c r="E1163" s="18" t="s">
        <v>55</v>
      </c>
      <c r="F1163" s="18" t="s">
        <v>51</v>
      </c>
      <c r="G1163" s="18" t="s">
        <v>43</v>
      </c>
      <c r="H1163" s="18">
        <v>19.45</v>
      </c>
      <c r="I1163" s="20">
        <v>24</v>
      </c>
      <c r="J1163" s="21">
        <v>466.79999999999995</v>
      </c>
    </row>
    <row r="1164" spans="1:10">
      <c r="A1164" s="19">
        <v>35706</v>
      </c>
      <c r="B1164" s="18" t="s">
        <v>26</v>
      </c>
      <c r="C1164" s="18" t="s">
        <v>32</v>
      </c>
      <c r="D1164" s="18" t="s">
        <v>53</v>
      </c>
      <c r="E1164" s="18" t="s">
        <v>56</v>
      </c>
      <c r="F1164" s="18" t="s">
        <v>51</v>
      </c>
      <c r="G1164" s="18" t="s">
        <v>43</v>
      </c>
      <c r="H1164" s="18">
        <v>46</v>
      </c>
      <c r="I1164" s="20">
        <v>40</v>
      </c>
      <c r="J1164" s="21">
        <v>1840</v>
      </c>
    </row>
    <row r="1165" spans="1:10">
      <c r="A1165" s="19">
        <v>35706</v>
      </c>
      <c r="B1165" s="18" t="s">
        <v>26</v>
      </c>
      <c r="C1165" s="18" t="s">
        <v>34</v>
      </c>
      <c r="D1165" s="18" t="s">
        <v>53</v>
      </c>
      <c r="E1165" s="18" t="s">
        <v>57</v>
      </c>
      <c r="F1165" s="18" t="s">
        <v>51</v>
      </c>
      <c r="G1165" s="18" t="s">
        <v>43</v>
      </c>
      <c r="H1165" s="18">
        <v>18</v>
      </c>
      <c r="I1165" s="20">
        <v>30</v>
      </c>
      <c r="J1165" s="21">
        <v>540</v>
      </c>
    </row>
    <row r="1166" spans="1:10">
      <c r="A1166" s="19">
        <v>35706</v>
      </c>
      <c r="B1166" s="18" t="s">
        <v>26</v>
      </c>
      <c r="C1166" s="18" t="s">
        <v>36</v>
      </c>
      <c r="D1166" s="18" t="s">
        <v>53</v>
      </c>
      <c r="E1166" s="18" t="s">
        <v>54</v>
      </c>
      <c r="F1166" s="18" t="s">
        <v>51</v>
      </c>
      <c r="G1166" s="18" t="s">
        <v>43</v>
      </c>
      <c r="H1166" s="18">
        <v>49.3</v>
      </c>
      <c r="I1166" s="20">
        <v>48</v>
      </c>
      <c r="J1166" s="21">
        <v>2366.3999999999996</v>
      </c>
    </row>
    <row r="1167" spans="1:10">
      <c r="A1167" s="19">
        <v>35706</v>
      </c>
      <c r="B1167" s="18" t="s">
        <v>39</v>
      </c>
      <c r="C1167" s="18" t="s">
        <v>40</v>
      </c>
      <c r="D1167" s="18" t="s">
        <v>53</v>
      </c>
      <c r="E1167" s="18" t="s">
        <v>55</v>
      </c>
      <c r="F1167" s="18" t="s">
        <v>51</v>
      </c>
      <c r="G1167" s="18" t="s">
        <v>43</v>
      </c>
      <c r="H1167" s="18">
        <v>123.79</v>
      </c>
      <c r="I1167" s="20">
        <v>40</v>
      </c>
      <c r="J1167" s="21">
        <v>4951.6000000000004</v>
      </c>
    </row>
    <row r="1168" spans="1:10">
      <c r="A1168" s="19">
        <v>35706</v>
      </c>
      <c r="B1168" s="18" t="s">
        <v>39</v>
      </c>
      <c r="C1168" s="18" t="s">
        <v>41</v>
      </c>
      <c r="D1168" s="18" t="s">
        <v>53</v>
      </c>
      <c r="E1168" s="18" t="s">
        <v>56</v>
      </c>
      <c r="F1168" s="18" t="s">
        <v>48</v>
      </c>
      <c r="G1168" s="18" t="s">
        <v>31</v>
      </c>
      <c r="H1168" s="18">
        <v>43.9</v>
      </c>
      <c r="I1168" s="20">
        <v>20</v>
      </c>
      <c r="J1168" s="21">
        <v>878</v>
      </c>
    </row>
    <row r="1169" spans="1:10">
      <c r="A1169" s="19">
        <v>35709</v>
      </c>
      <c r="B1169" s="18" t="s">
        <v>39</v>
      </c>
      <c r="C1169" s="18" t="s">
        <v>44</v>
      </c>
      <c r="D1169" s="18" t="s">
        <v>53</v>
      </c>
      <c r="E1169" s="18" t="s">
        <v>57</v>
      </c>
      <c r="F1169" s="18" t="s">
        <v>50</v>
      </c>
      <c r="G1169" s="18" t="s">
        <v>31</v>
      </c>
      <c r="H1169" s="18">
        <v>55</v>
      </c>
      <c r="I1169" s="20">
        <v>25</v>
      </c>
      <c r="J1169" s="21">
        <v>1375</v>
      </c>
    </row>
    <row r="1170" spans="1:10">
      <c r="A1170" s="19">
        <v>35709</v>
      </c>
      <c r="B1170" s="18" t="s">
        <v>39</v>
      </c>
      <c r="C1170" s="18" t="s">
        <v>46</v>
      </c>
      <c r="D1170" s="18" t="s">
        <v>53</v>
      </c>
      <c r="E1170" s="18" t="s">
        <v>54</v>
      </c>
      <c r="F1170" s="18" t="s">
        <v>50</v>
      </c>
      <c r="G1170" s="18" t="s">
        <v>31</v>
      </c>
      <c r="H1170" s="18">
        <v>30</v>
      </c>
      <c r="I1170" s="20">
        <v>90</v>
      </c>
      <c r="J1170" s="21">
        <v>2700</v>
      </c>
    </row>
    <row r="1171" spans="1:10">
      <c r="A1171" s="19">
        <v>35709</v>
      </c>
      <c r="B1171" s="18" t="s">
        <v>39</v>
      </c>
      <c r="C1171" s="18" t="s">
        <v>47</v>
      </c>
      <c r="D1171" s="18" t="s">
        <v>53</v>
      </c>
      <c r="E1171" s="18" t="s">
        <v>55</v>
      </c>
      <c r="F1171" s="18" t="s">
        <v>45</v>
      </c>
      <c r="G1171" s="18" t="s">
        <v>38</v>
      </c>
      <c r="H1171" s="18">
        <v>15</v>
      </c>
      <c r="I1171" s="20">
        <v>15</v>
      </c>
      <c r="J1171" s="21">
        <v>225</v>
      </c>
    </row>
    <row r="1172" spans="1:10">
      <c r="A1172" s="19">
        <v>35709</v>
      </c>
      <c r="B1172" s="18" t="s">
        <v>26</v>
      </c>
      <c r="C1172" s="18" t="s">
        <v>27</v>
      </c>
      <c r="D1172" s="18" t="s">
        <v>53</v>
      </c>
      <c r="E1172" s="18" t="s">
        <v>56</v>
      </c>
      <c r="F1172" s="18" t="s">
        <v>45</v>
      </c>
      <c r="G1172" s="18" t="s">
        <v>38</v>
      </c>
      <c r="H1172" s="18">
        <v>36</v>
      </c>
      <c r="I1172" s="20">
        <v>30</v>
      </c>
      <c r="J1172" s="21">
        <v>1080</v>
      </c>
    </row>
    <row r="1173" spans="1:10">
      <c r="A1173" s="19">
        <v>35709</v>
      </c>
      <c r="B1173" s="18" t="s">
        <v>26</v>
      </c>
      <c r="C1173" s="18" t="s">
        <v>32</v>
      </c>
      <c r="D1173" s="18" t="s">
        <v>53</v>
      </c>
      <c r="E1173" s="18" t="s">
        <v>57</v>
      </c>
      <c r="F1173" s="18" t="s">
        <v>45</v>
      </c>
      <c r="G1173" s="18" t="s">
        <v>38</v>
      </c>
      <c r="H1173" s="18">
        <v>97</v>
      </c>
      <c r="I1173" s="20">
        <v>6</v>
      </c>
      <c r="J1173" s="21">
        <v>582</v>
      </c>
    </row>
    <row r="1174" spans="1:10">
      <c r="A1174" s="19">
        <v>35709</v>
      </c>
      <c r="B1174" s="18" t="s">
        <v>26</v>
      </c>
      <c r="C1174" s="18" t="s">
        <v>34</v>
      </c>
      <c r="D1174" s="18" t="s">
        <v>53</v>
      </c>
      <c r="E1174" s="18" t="s">
        <v>56</v>
      </c>
      <c r="F1174" s="18" t="s">
        <v>45</v>
      </c>
      <c r="G1174" s="18" t="s">
        <v>38</v>
      </c>
      <c r="H1174" s="18">
        <v>7.45</v>
      </c>
      <c r="I1174" s="20">
        <v>60</v>
      </c>
      <c r="J1174" s="21">
        <v>447</v>
      </c>
    </row>
    <row r="1175" spans="1:10">
      <c r="A1175" s="19">
        <v>35709</v>
      </c>
      <c r="B1175" s="18" t="s">
        <v>26</v>
      </c>
      <c r="C1175" s="18" t="s">
        <v>36</v>
      </c>
      <c r="D1175" s="18" t="s">
        <v>53</v>
      </c>
      <c r="E1175" s="18" t="s">
        <v>54</v>
      </c>
      <c r="F1175" s="18" t="s">
        <v>50</v>
      </c>
      <c r="G1175" s="18" t="s">
        <v>31</v>
      </c>
      <c r="H1175" s="18">
        <v>15</v>
      </c>
      <c r="I1175" s="20">
        <v>50</v>
      </c>
      <c r="J1175" s="21">
        <v>750</v>
      </c>
    </row>
    <row r="1176" spans="1:10">
      <c r="A1176" s="19">
        <v>35710</v>
      </c>
      <c r="B1176" s="18" t="s">
        <v>39</v>
      </c>
      <c r="C1176" s="18" t="s">
        <v>40</v>
      </c>
      <c r="D1176" s="18" t="s">
        <v>53</v>
      </c>
      <c r="E1176" s="18" t="s">
        <v>55</v>
      </c>
      <c r="F1176" s="18" t="s">
        <v>52</v>
      </c>
      <c r="G1176" s="18" t="s">
        <v>31</v>
      </c>
      <c r="H1176" s="18">
        <v>38</v>
      </c>
      <c r="I1176" s="20">
        <v>4</v>
      </c>
      <c r="J1176" s="21">
        <v>152</v>
      </c>
    </row>
    <row r="1177" spans="1:10">
      <c r="A1177" s="19">
        <v>35710</v>
      </c>
      <c r="B1177" s="18" t="s">
        <v>39</v>
      </c>
      <c r="C1177" s="18" t="s">
        <v>41</v>
      </c>
      <c r="D1177" s="18" t="s">
        <v>53</v>
      </c>
      <c r="E1177" s="18" t="s">
        <v>56</v>
      </c>
      <c r="F1177" s="18" t="s">
        <v>52</v>
      </c>
      <c r="G1177" s="18" t="s">
        <v>31</v>
      </c>
      <c r="H1177" s="18">
        <v>40</v>
      </c>
      <c r="I1177" s="20">
        <v>10</v>
      </c>
      <c r="J1177" s="21">
        <v>400</v>
      </c>
    </row>
    <row r="1178" spans="1:10">
      <c r="A1178" s="19">
        <v>35710</v>
      </c>
      <c r="B1178" s="18" t="s">
        <v>39</v>
      </c>
      <c r="C1178" s="18" t="s">
        <v>44</v>
      </c>
      <c r="D1178" s="18" t="s">
        <v>53</v>
      </c>
      <c r="E1178" s="18" t="s">
        <v>57</v>
      </c>
      <c r="F1178" s="18" t="s">
        <v>52</v>
      </c>
      <c r="G1178" s="18" t="s">
        <v>31</v>
      </c>
      <c r="H1178" s="18">
        <v>4.5</v>
      </c>
      <c r="I1178" s="20">
        <v>20</v>
      </c>
      <c r="J1178" s="21">
        <v>90</v>
      </c>
    </row>
    <row r="1179" spans="1:10">
      <c r="A1179" s="19">
        <v>35711</v>
      </c>
      <c r="B1179" s="18" t="s">
        <v>39</v>
      </c>
      <c r="C1179" s="18" t="s">
        <v>46</v>
      </c>
      <c r="D1179" s="18" t="s">
        <v>53</v>
      </c>
      <c r="E1179" s="18" t="s">
        <v>54</v>
      </c>
      <c r="F1179" s="18" t="s">
        <v>45</v>
      </c>
      <c r="G1179" s="18" t="s">
        <v>38</v>
      </c>
      <c r="H1179" s="18">
        <v>13.25</v>
      </c>
      <c r="I1179" s="20">
        <v>30</v>
      </c>
      <c r="J1179" s="21">
        <v>397.5</v>
      </c>
    </row>
    <row r="1180" spans="1:10">
      <c r="A1180" s="19">
        <v>35711</v>
      </c>
      <c r="B1180" s="18" t="s">
        <v>39</v>
      </c>
      <c r="C1180" s="18" t="s">
        <v>47</v>
      </c>
      <c r="D1180" s="18" t="s">
        <v>53</v>
      </c>
      <c r="E1180" s="18" t="s">
        <v>55</v>
      </c>
      <c r="F1180" s="18" t="s">
        <v>50</v>
      </c>
      <c r="G1180" s="18" t="s">
        <v>31</v>
      </c>
      <c r="H1180" s="18">
        <v>12</v>
      </c>
      <c r="I1180" s="20">
        <v>18</v>
      </c>
      <c r="J1180" s="21">
        <v>216</v>
      </c>
    </row>
    <row r="1181" spans="1:10">
      <c r="A1181" s="19">
        <v>35711</v>
      </c>
      <c r="B1181" s="18" t="s">
        <v>26</v>
      </c>
      <c r="C1181" s="18" t="s">
        <v>27</v>
      </c>
      <c r="D1181" s="18" t="s">
        <v>53</v>
      </c>
      <c r="E1181" s="18" t="s">
        <v>56</v>
      </c>
      <c r="F1181" s="18" t="s">
        <v>45</v>
      </c>
      <c r="G1181" s="18" t="s">
        <v>38</v>
      </c>
      <c r="H1181" s="18">
        <v>18</v>
      </c>
      <c r="I1181" s="20">
        <v>9</v>
      </c>
      <c r="J1181" s="21">
        <v>162</v>
      </c>
    </row>
    <row r="1182" spans="1:10">
      <c r="A1182" s="19">
        <v>35711</v>
      </c>
      <c r="B1182" s="18" t="s">
        <v>26</v>
      </c>
      <c r="C1182" s="18" t="s">
        <v>32</v>
      </c>
      <c r="D1182" s="18" t="s">
        <v>53</v>
      </c>
      <c r="E1182" s="18" t="s">
        <v>57</v>
      </c>
      <c r="F1182" s="18" t="s">
        <v>45</v>
      </c>
      <c r="G1182" s="18" t="s">
        <v>38</v>
      </c>
      <c r="H1182" s="18">
        <v>15</v>
      </c>
      <c r="I1182" s="20">
        <v>30</v>
      </c>
      <c r="J1182" s="21">
        <v>450</v>
      </c>
    </row>
    <row r="1183" spans="1:10">
      <c r="A1183" s="19">
        <v>35711</v>
      </c>
      <c r="B1183" s="18" t="s">
        <v>26</v>
      </c>
      <c r="C1183" s="18" t="s">
        <v>34</v>
      </c>
      <c r="D1183" s="18" t="s">
        <v>53</v>
      </c>
      <c r="E1183" s="18" t="s">
        <v>54</v>
      </c>
      <c r="F1183" s="18" t="s">
        <v>45</v>
      </c>
      <c r="G1183" s="18" t="s">
        <v>38</v>
      </c>
      <c r="H1183" s="18">
        <v>9.1999999999999993</v>
      </c>
      <c r="I1183" s="20">
        <v>7</v>
      </c>
      <c r="J1183" s="21">
        <v>64.399999999999991</v>
      </c>
    </row>
    <row r="1184" spans="1:10">
      <c r="A1184" s="19">
        <v>35711</v>
      </c>
      <c r="B1184" s="18" t="s">
        <v>26</v>
      </c>
      <c r="C1184" s="18" t="s">
        <v>36</v>
      </c>
      <c r="D1184" s="18" t="s">
        <v>53</v>
      </c>
      <c r="E1184" s="18" t="s">
        <v>55</v>
      </c>
      <c r="F1184" s="18" t="s">
        <v>50</v>
      </c>
      <c r="G1184" s="18" t="s">
        <v>31</v>
      </c>
      <c r="H1184" s="18">
        <v>39</v>
      </c>
      <c r="I1184" s="20">
        <v>20</v>
      </c>
      <c r="J1184" s="21">
        <v>780</v>
      </c>
    </row>
    <row r="1185" spans="1:10">
      <c r="A1185" s="19">
        <v>35712</v>
      </c>
      <c r="B1185" s="18" t="s">
        <v>39</v>
      </c>
      <c r="C1185" s="18" t="s">
        <v>40</v>
      </c>
      <c r="D1185" s="18" t="s">
        <v>53</v>
      </c>
      <c r="E1185" s="18" t="s">
        <v>56</v>
      </c>
      <c r="F1185" s="18" t="s">
        <v>42</v>
      </c>
      <c r="G1185" s="18" t="s">
        <v>43</v>
      </c>
      <c r="H1185" s="18">
        <v>21</v>
      </c>
      <c r="I1185" s="20">
        <v>15</v>
      </c>
      <c r="J1185" s="21">
        <v>315</v>
      </c>
    </row>
    <row r="1186" spans="1:10">
      <c r="A1186" s="19">
        <v>35712</v>
      </c>
      <c r="B1186" s="18" t="s">
        <v>39</v>
      </c>
      <c r="C1186" s="18" t="s">
        <v>41</v>
      </c>
      <c r="D1186" s="18" t="s">
        <v>53</v>
      </c>
      <c r="E1186" s="18" t="s">
        <v>57</v>
      </c>
      <c r="F1186" s="18" t="s">
        <v>45</v>
      </c>
      <c r="G1186" s="18" t="s">
        <v>38</v>
      </c>
      <c r="H1186" s="18">
        <v>9.5</v>
      </c>
      <c r="I1186" s="20">
        <v>12</v>
      </c>
      <c r="J1186" s="21">
        <v>114</v>
      </c>
    </row>
    <row r="1187" spans="1:10">
      <c r="A1187" s="19">
        <v>35712</v>
      </c>
      <c r="B1187" s="18" t="s">
        <v>39</v>
      </c>
      <c r="C1187" s="18" t="s">
        <v>44</v>
      </c>
      <c r="D1187" s="18" t="s">
        <v>53</v>
      </c>
      <c r="E1187" s="18" t="s">
        <v>54</v>
      </c>
      <c r="F1187" s="18" t="s">
        <v>42</v>
      </c>
      <c r="G1187" s="18" t="s">
        <v>43</v>
      </c>
      <c r="H1187" s="18">
        <v>21.05</v>
      </c>
      <c r="I1187" s="20">
        <v>65</v>
      </c>
      <c r="J1187" s="21">
        <v>1368.25</v>
      </c>
    </row>
    <row r="1188" spans="1:10">
      <c r="A1188" s="19">
        <v>35712</v>
      </c>
      <c r="B1188" s="18" t="s">
        <v>39</v>
      </c>
      <c r="C1188" s="18" t="s">
        <v>46</v>
      </c>
      <c r="D1188" s="18" t="s">
        <v>53</v>
      </c>
      <c r="E1188" s="18" t="s">
        <v>55</v>
      </c>
      <c r="F1188" s="18" t="s">
        <v>42</v>
      </c>
      <c r="G1188" s="18" t="s">
        <v>43</v>
      </c>
      <c r="H1188" s="18">
        <v>15</v>
      </c>
      <c r="I1188" s="20">
        <v>8</v>
      </c>
      <c r="J1188" s="21">
        <v>120</v>
      </c>
    </row>
    <row r="1189" spans="1:10">
      <c r="A1189" s="19">
        <v>35712</v>
      </c>
      <c r="B1189" s="18" t="s">
        <v>39</v>
      </c>
      <c r="C1189" s="18" t="s">
        <v>47</v>
      </c>
      <c r="D1189" s="18" t="s">
        <v>53</v>
      </c>
      <c r="E1189" s="18" t="s">
        <v>56</v>
      </c>
      <c r="F1189" s="18" t="s">
        <v>42</v>
      </c>
      <c r="G1189" s="18" t="s">
        <v>43</v>
      </c>
      <c r="H1189" s="18">
        <v>123.79</v>
      </c>
      <c r="I1189" s="20">
        <v>12</v>
      </c>
      <c r="J1189" s="21">
        <v>1485.48</v>
      </c>
    </row>
    <row r="1190" spans="1:10">
      <c r="A1190" s="19">
        <v>35712</v>
      </c>
      <c r="B1190" s="18" t="s">
        <v>26</v>
      </c>
      <c r="C1190" s="18" t="s">
        <v>27</v>
      </c>
      <c r="D1190" s="18" t="s">
        <v>53</v>
      </c>
      <c r="E1190" s="18" t="s">
        <v>57</v>
      </c>
      <c r="F1190" s="18" t="s">
        <v>42</v>
      </c>
      <c r="G1190" s="18" t="s">
        <v>43</v>
      </c>
      <c r="H1190" s="18">
        <v>39</v>
      </c>
      <c r="I1190" s="20">
        <v>8</v>
      </c>
      <c r="J1190" s="21">
        <v>312</v>
      </c>
    </row>
    <row r="1191" spans="1:10">
      <c r="A1191" s="19">
        <v>35713</v>
      </c>
      <c r="B1191" s="18" t="s">
        <v>26</v>
      </c>
      <c r="C1191" s="18" t="s">
        <v>32</v>
      </c>
      <c r="D1191" s="18" t="s">
        <v>53</v>
      </c>
      <c r="E1191" s="18" t="s">
        <v>54</v>
      </c>
      <c r="F1191" s="18" t="s">
        <v>45</v>
      </c>
      <c r="G1191" s="18" t="s">
        <v>38</v>
      </c>
      <c r="H1191" s="18">
        <v>12.5</v>
      </c>
      <c r="I1191" s="20">
        <v>40</v>
      </c>
      <c r="J1191" s="21">
        <v>500</v>
      </c>
    </row>
    <row r="1192" spans="1:10">
      <c r="A1192" s="19">
        <v>35713</v>
      </c>
      <c r="B1192" s="18" t="s">
        <v>26</v>
      </c>
      <c r="C1192" s="18" t="s">
        <v>34</v>
      </c>
      <c r="D1192" s="18" t="s">
        <v>53</v>
      </c>
      <c r="E1192" s="18" t="s">
        <v>55</v>
      </c>
      <c r="F1192" s="18" t="s">
        <v>45</v>
      </c>
      <c r="G1192" s="18" t="s">
        <v>38</v>
      </c>
      <c r="H1192" s="18">
        <v>14</v>
      </c>
      <c r="I1192" s="20">
        <v>12</v>
      </c>
      <c r="J1192" s="21">
        <v>168</v>
      </c>
    </row>
    <row r="1193" spans="1:10">
      <c r="A1193" s="19">
        <v>35713</v>
      </c>
      <c r="B1193" s="18" t="s">
        <v>26</v>
      </c>
      <c r="C1193" s="18" t="s">
        <v>36</v>
      </c>
      <c r="D1193" s="18" t="s">
        <v>53</v>
      </c>
      <c r="E1193" s="18" t="s">
        <v>56</v>
      </c>
      <c r="F1193" s="18" t="s">
        <v>45</v>
      </c>
      <c r="G1193" s="18" t="s">
        <v>38</v>
      </c>
      <c r="H1193" s="18">
        <v>18</v>
      </c>
      <c r="I1193" s="20">
        <v>5</v>
      </c>
      <c r="J1193" s="21">
        <v>90</v>
      </c>
    </row>
    <row r="1194" spans="1:10">
      <c r="A1194" s="19">
        <v>35713</v>
      </c>
      <c r="B1194" s="18" t="s">
        <v>39</v>
      </c>
      <c r="C1194" s="18" t="s">
        <v>40</v>
      </c>
      <c r="D1194" s="18" t="s">
        <v>53</v>
      </c>
      <c r="E1194" s="18" t="s">
        <v>57</v>
      </c>
      <c r="F1194" s="18" t="s">
        <v>45</v>
      </c>
      <c r="G1194" s="18" t="s">
        <v>38</v>
      </c>
      <c r="H1194" s="18">
        <v>21.5</v>
      </c>
      <c r="I1194" s="20">
        <v>60</v>
      </c>
      <c r="J1194" s="21">
        <v>1290</v>
      </c>
    </row>
    <row r="1195" spans="1:10">
      <c r="A1195" s="19">
        <v>35716</v>
      </c>
      <c r="B1195" s="18" t="s">
        <v>39</v>
      </c>
      <c r="C1195" s="18" t="s">
        <v>41</v>
      </c>
      <c r="D1195" s="18" t="s">
        <v>53</v>
      </c>
      <c r="E1195" s="18" t="s">
        <v>54</v>
      </c>
      <c r="F1195" s="18" t="s">
        <v>49</v>
      </c>
      <c r="G1195" s="18" t="s">
        <v>38</v>
      </c>
      <c r="H1195" s="18">
        <v>10</v>
      </c>
      <c r="I1195" s="20">
        <v>6</v>
      </c>
      <c r="J1195" s="21">
        <v>60</v>
      </c>
    </row>
    <row r="1196" spans="1:10">
      <c r="A1196" s="19">
        <v>35716</v>
      </c>
      <c r="B1196" s="18" t="s">
        <v>39</v>
      </c>
      <c r="C1196" s="18" t="s">
        <v>44</v>
      </c>
      <c r="D1196" s="18" t="s">
        <v>53</v>
      </c>
      <c r="E1196" s="18" t="s">
        <v>55</v>
      </c>
      <c r="F1196" s="18" t="s">
        <v>37</v>
      </c>
      <c r="G1196" s="18" t="s">
        <v>38</v>
      </c>
      <c r="H1196" s="18">
        <v>55</v>
      </c>
      <c r="I1196" s="20">
        <v>42</v>
      </c>
      <c r="J1196" s="21">
        <v>2310</v>
      </c>
    </row>
    <row r="1197" spans="1:10">
      <c r="A1197" s="19">
        <v>35716</v>
      </c>
      <c r="B1197" s="18" t="s">
        <v>39</v>
      </c>
      <c r="C1197" s="18" t="s">
        <v>46</v>
      </c>
      <c r="D1197" s="18" t="s">
        <v>53</v>
      </c>
      <c r="E1197" s="18" t="s">
        <v>56</v>
      </c>
      <c r="F1197" s="18" t="s">
        <v>37</v>
      </c>
      <c r="G1197" s="18" t="s">
        <v>38</v>
      </c>
      <c r="H1197" s="18">
        <v>18</v>
      </c>
      <c r="I1197" s="20">
        <v>35</v>
      </c>
      <c r="J1197" s="21">
        <v>630</v>
      </c>
    </row>
    <row r="1198" spans="1:10">
      <c r="A1198" s="19">
        <v>35716</v>
      </c>
      <c r="B1198" s="18" t="s">
        <v>39</v>
      </c>
      <c r="C1198" s="18" t="s">
        <v>47</v>
      </c>
      <c r="D1198" s="18" t="s">
        <v>53</v>
      </c>
      <c r="E1198" s="18" t="s">
        <v>57</v>
      </c>
      <c r="F1198" s="18" t="s">
        <v>49</v>
      </c>
      <c r="G1198" s="18" t="s">
        <v>38</v>
      </c>
      <c r="H1198" s="18">
        <v>18</v>
      </c>
      <c r="I1198" s="20">
        <v>15</v>
      </c>
      <c r="J1198" s="21">
        <v>270</v>
      </c>
    </row>
    <row r="1199" spans="1:10">
      <c r="A1199" s="19">
        <v>35716</v>
      </c>
      <c r="B1199" s="18" t="s">
        <v>26</v>
      </c>
      <c r="C1199" s="18" t="s">
        <v>27</v>
      </c>
      <c r="D1199" s="18" t="s">
        <v>53</v>
      </c>
      <c r="E1199" s="18" t="s">
        <v>54</v>
      </c>
      <c r="F1199" s="18" t="s">
        <v>37</v>
      </c>
      <c r="G1199" s="18" t="s">
        <v>38</v>
      </c>
      <c r="H1199" s="18">
        <v>21.5</v>
      </c>
      <c r="I1199" s="20">
        <v>20</v>
      </c>
      <c r="J1199" s="21">
        <v>430</v>
      </c>
    </row>
    <row r="1200" spans="1:10">
      <c r="A1200" s="19">
        <v>35717</v>
      </c>
      <c r="B1200" s="18" t="s">
        <v>26</v>
      </c>
      <c r="C1200" s="18" t="s">
        <v>32</v>
      </c>
      <c r="D1200" s="18" t="s">
        <v>53</v>
      </c>
      <c r="E1200" s="18" t="s">
        <v>55</v>
      </c>
      <c r="F1200" s="18" t="s">
        <v>37</v>
      </c>
      <c r="G1200" s="18" t="s">
        <v>38</v>
      </c>
      <c r="H1200" s="18">
        <v>55</v>
      </c>
      <c r="I1200" s="20">
        <v>35</v>
      </c>
      <c r="J1200" s="21">
        <v>1925</v>
      </c>
    </row>
    <row r="1201" spans="1:10">
      <c r="A1201" s="19">
        <v>35717</v>
      </c>
      <c r="B1201" s="18" t="s">
        <v>26</v>
      </c>
      <c r="C1201" s="18" t="s">
        <v>34</v>
      </c>
      <c r="D1201" s="18" t="s">
        <v>53</v>
      </c>
      <c r="E1201" s="18" t="s">
        <v>56</v>
      </c>
      <c r="F1201" s="18" t="s">
        <v>37</v>
      </c>
      <c r="G1201" s="18" t="s">
        <v>38</v>
      </c>
      <c r="H1201" s="18">
        <v>15</v>
      </c>
      <c r="I1201" s="20">
        <v>35</v>
      </c>
      <c r="J1201" s="21">
        <v>525</v>
      </c>
    </row>
    <row r="1202" spans="1:10">
      <c r="A1202" s="19">
        <v>35717</v>
      </c>
      <c r="B1202" s="18" t="s">
        <v>26</v>
      </c>
      <c r="C1202" s="18" t="s">
        <v>36</v>
      </c>
      <c r="D1202" s="18" t="s">
        <v>53</v>
      </c>
      <c r="E1202" s="18" t="s">
        <v>57</v>
      </c>
      <c r="F1202" s="18" t="s">
        <v>37</v>
      </c>
      <c r="G1202" s="18" t="s">
        <v>38</v>
      </c>
      <c r="H1202" s="18">
        <v>19</v>
      </c>
      <c r="I1202" s="20">
        <v>5</v>
      </c>
      <c r="J1202" s="21">
        <v>95</v>
      </c>
    </row>
    <row r="1203" spans="1:10">
      <c r="A1203" s="19">
        <v>35717</v>
      </c>
      <c r="B1203" s="18" t="s">
        <v>39</v>
      </c>
      <c r="C1203" s="18" t="s">
        <v>40</v>
      </c>
      <c r="D1203" s="18" t="s">
        <v>53</v>
      </c>
      <c r="E1203" s="18" t="s">
        <v>56</v>
      </c>
      <c r="F1203" s="18" t="s">
        <v>37</v>
      </c>
      <c r="G1203" s="18" t="s">
        <v>38</v>
      </c>
      <c r="H1203" s="18">
        <v>4.5</v>
      </c>
      <c r="I1203" s="20">
        <v>35</v>
      </c>
      <c r="J1203" s="21">
        <v>157.5</v>
      </c>
    </row>
    <row r="1204" spans="1:10">
      <c r="A1204" s="19">
        <v>35717</v>
      </c>
      <c r="B1204" s="18" t="s">
        <v>39</v>
      </c>
      <c r="C1204" s="18" t="s">
        <v>41</v>
      </c>
      <c r="D1204" s="18" t="s">
        <v>53</v>
      </c>
      <c r="E1204" s="18" t="s">
        <v>54</v>
      </c>
      <c r="F1204" s="18" t="s">
        <v>37</v>
      </c>
      <c r="G1204" s="18" t="s">
        <v>38</v>
      </c>
      <c r="H1204" s="18">
        <v>22</v>
      </c>
      <c r="I1204" s="20">
        <v>6</v>
      </c>
      <c r="J1204" s="21">
        <v>132</v>
      </c>
    </row>
    <row r="1205" spans="1:10">
      <c r="A1205" s="19">
        <v>35717</v>
      </c>
      <c r="B1205" s="18" t="s">
        <v>39</v>
      </c>
      <c r="C1205" s="18" t="s">
        <v>44</v>
      </c>
      <c r="D1205" s="18" t="s">
        <v>53</v>
      </c>
      <c r="E1205" s="18" t="s">
        <v>55</v>
      </c>
      <c r="F1205" s="18" t="s">
        <v>37</v>
      </c>
      <c r="G1205" s="18" t="s">
        <v>38</v>
      </c>
      <c r="H1205" s="18">
        <v>12.75</v>
      </c>
      <c r="I1205" s="20">
        <v>24</v>
      </c>
      <c r="J1205" s="21">
        <v>306</v>
      </c>
    </row>
    <row r="1206" spans="1:10">
      <c r="A1206" s="19">
        <v>35718</v>
      </c>
      <c r="B1206" s="18" t="s">
        <v>39</v>
      </c>
      <c r="C1206" s="18" t="s">
        <v>46</v>
      </c>
      <c r="D1206" s="18" t="s">
        <v>53</v>
      </c>
      <c r="E1206" s="18" t="s">
        <v>56</v>
      </c>
      <c r="F1206" s="18" t="s">
        <v>48</v>
      </c>
      <c r="G1206" s="18" t="s">
        <v>31</v>
      </c>
      <c r="H1206" s="18">
        <v>32</v>
      </c>
      <c r="I1206" s="20">
        <v>4</v>
      </c>
      <c r="J1206" s="21">
        <v>128</v>
      </c>
    </row>
    <row r="1207" spans="1:10">
      <c r="A1207" s="19">
        <v>35718</v>
      </c>
      <c r="B1207" s="18" t="s">
        <v>39</v>
      </c>
      <c r="C1207" s="18" t="s">
        <v>47</v>
      </c>
      <c r="D1207" s="18" t="s">
        <v>53</v>
      </c>
      <c r="E1207" s="18" t="s">
        <v>57</v>
      </c>
      <c r="F1207" s="18" t="s">
        <v>48</v>
      </c>
      <c r="G1207" s="18" t="s">
        <v>31</v>
      </c>
      <c r="H1207" s="18">
        <v>12.5</v>
      </c>
      <c r="I1207" s="20">
        <v>20</v>
      </c>
      <c r="J1207" s="21">
        <v>250</v>
      </c>
    </row>
    <row r="1208" spans="1:10">
      <c r="A1208" s="19">
        <v>35719</v>
      </c>
      <c r="B1208" s="18" t="s">
        <v>26</v>
      </c>
      <c r="C1208" s="18" t="s">
        <v>27</v>
      </c>
      <c r="D1208" s="18" t="s">
        <v>53</v>
      </c>
      <c r="E1208" s="18" t="s">
        <v>54</v>
      </c>
      <c r="F1208" s="18" t="s">
        <v>50</v>
      </c>
      <c r="G1208" s="18" t="s">
        <v>31</v>
      </c>
      <c r="H1208" s="18">
        <v>17.45</v>
      </c>
      <c r="I1208" s="20">
        <v>20</v>
      </c>
      <c r="J1208" s="21">
        <v>349</v>
      </c>
    </row>
    <row r="1209" spans="1:10">
      <c r="A1209" s="19">
        <v>35719</v>
      </c>
      <c r="B1209" s="18" t="s">
        <v>26</v>
      </c>
      <c r="C1209" s="18" t="s">
        <v>32</v>
      </c>
      <c r="D1209" s="18" t="s">
        <v>53</v>
      </c>
      <c r="E1209" s="18" t="s">
        <v>55</v>
      </c>
      <c r="F1209" s="18" t="s">
        <v>50</v>
      </c>
      <c r="G1209" s="18" t="s">
        <v>31</v>
      </c>
      <c r="H1209" s="18">
        <v>55</v>
      </c>
      <c r="I1209" s="20">
        <v>8</v>
      </c>
      <c r="J1209" s="21">
        <v>440</v>
      </c>
    </row>
    <row r="1210" spans="1:10">
      <c r="A1210" s="19">
        <v>35719</v>
      </c>
      <c r="B1210" s="18" t="s">
        <v>26</v>
      </c>
      <c r="C1210" s="18" t="s">
        <v>34</v>
      </c>
      <c r="D1210" s="18" t="s">
        <v>53</v>
      </c>
      <c r="E1210" s="18" t="s">
        <v>56</v>
      </c>
      <c r="F1210" s="18" t="s">
        <v>50</v>
      </c>
      <c r="G1210" s="18" t="s">
        <v>31</v>
      </c>
      <c r="H1210" s="18">
        <v>46</v>
      </c>
      <c r="I1210" s="20">
        <v>24</v>
      </c>
      <c r="J1210" s="21">
        <v>1104</v>
      </c>
    </row>
    <row r="1211" spans="1:10">
      <c r="A1211" s="19">
        <v>35719</v>
      </c>
      <c r="B1211" s="18" t="s">
        <v>26</v>
      </c>
      <c r="C1211" s="18" t="s">
        <v>36</v>
      </c>
      <c r="D1211" s="18" t="s">
        <v>53</v>
      </c>
      <c r="E1211" s="18" t="s">
        <v>57</v>
      </c>
      <c r="F1211" s="18" t="s">
        <v>42</v>
      </c>
      <c r="G1211" s="18" t="s">
        <v>43</v>
      </c>
      <c r="H1211" s="18">
        <v>15</v>
      </c>
      <c r="I1211" s="20">
        <v>28</v>
      </c>
      <c r="J1211" s="21">
        <v>420</v>
      </c>
    </row>
    <row r="1212" spans="1:10">
      <c r="A1212" s="19">
        <v>35719</v>
      </c>
      <c r="B1212" s="18" t="s">
        <v>39</v>
      </c>
      <c r="C1212" s="18" t="s">
        <v>40</v>
      </c>
      <c r="D1212" s="18" t="s">
        <v>53</v>
      </c>
      <c r="E1212" s="18" t="s">
        <v>54</v>
      </c>
      <c r="F1212" s="18" t="s">
        <v>42</v>
      </c>
      <c r="G1212" s="18" t="s">
        <v>43</v>
      </c>
      <c r="H1212" s="18">
        <v>19.5</v>
      </c>
      <c r="I1212" s="20">
        <v>40</v>
      </c>
      <c r="J1212" s="21">
        <v>780</v>
      </c>
    </row>
    <row r="1213" spans="1:10">
      <c r="A1213" s="19">
        <v>35719</v>
      </c>
      <c r="B1213" s="18" t="s">
        <v>39</v>
      </c>
      <c r="C1213" s="18" t="s">
        <v>41</v>
      </c>
      <c r="D1213" s="18" t="s">
        <v>53</v>
      </c>
      <c r="E1213" s="18" t="s">
        <v>55</v>
      </c>
      <c r="F1213" s="18" t="s">
        <v>42</v>
      </c>
      <c r="G1213" s="18" t="s">
        <v>43</v>
      </c>
      <c r="H1213" s="18">
        <v>24</v>
      </c>
      <c r="I1213" s="20">
        <v>21</v>
      </c>
      <c r="J1213" s="21">
        <v>504</v>
      </c>
    </row>
    <row r="1214" spans="1:10">
      <c r="A1214" s="19">
        <v>35720</v>
      </c>
      <c r="B1214" s="18" t="s">
        <v>39</v>
      </c>
      <c r="C1214" s="18" t="s">
        <v>44</v>
      </c>
      <c r="D1214" s="18" t="s">
        <v>53</v>
      </c>
      <c r="E1214" s="18" t="s">
        <v>56</v>
      </c>
      <c r="F1214" s="18" t="s">
        <v>49</v>
      </c>
      <c r="G1214" s="18" t="s">
        <v>38</v>
      </c>
      <c r="H1214" s="18">
        <v>40</v>
      </c>
      <c r="I1214" s="20">
        <v>40</v>
      </c>
      <c r="J1214" s="21">
        <v>1600</v>
      </c>
    </row>
    <row r="1215" spans="1:10">
      <c r="A1215" s="19">
        <v>35720</v>
      </c>
      <c r="B1215" s="18" t="s">
        <v>39</v>
      </c>
      <c r="C1215" s="18" t="s">
        <v>46</v>
      </c>
      <c r="D1215" s="18" t="s">
        <v>53</v>
      </c>
      <c r="E1215" s="18" t="s">
        <v>57</v>
      </c>
      <c r="F1215" s="18" t="s">
        <v>49</v>
      </c>
      <c r="G1215" s="18" t="s">
        <v>38</v>
      </c>
      <c r="H1215" s="18">
        <v>34</v>
      </c>
      <c r="I1215" s="20">
        <v>10</v>
      </c>
      <c r="J1215" s="21">
        <v>340</v>
      </c>
    </row>
    <row r="1216" spans="1:10">
      <c r="A1216" s="19">
        <v>35720</v>
      </c>
      <c r="B1216" s="18" t="s">
        <v>39</v>
      </c>
      <c r="C1216" s="18" t="s">
        <v>47</v>
      </c>
      <c r="D1216" s="18" t="s">
        <v>53</v>
      </c>
      <c r="E1216" s="18" t="s">
        <v>54</v>
      </c>
      <c r="F1216" s="18" t="s">
        <v>37</v>
      </c>
      <c r="G1216" s="18" t="s">
        <v>38</v>
      </c>
      <c r="H1216" s="18">
        <v>21.35</v>
      </c>
      <c r="I1216" s="20">
        <v>4</v>
      </c>
      <c r="J1216" s="21">
        <v>85.4</v>
      </c>
    </row>
    <row r="1217" spans="1:10">
      <c r="A1217" s="19">
        <v>35720</v>
      </c>
      <c r="B1217" s="18" t="s">
        <v>26</v>
      </c>
      <c r="C1217" s="18" t="s">
        <v>27</v>
      </c>
      <c r="D1217" s="18" t="s">
        <v>53</v>
      </c>
      <c r="E1217" s="18" t="s">
        <v>55</v>
      </c>
      <c r="F1217" s="18" t="s">
        <v>37</v>
      </c>
      <c r="G1217" s="18" t="s">
        <v>38</v>
      </c>
      <c r="H1217" s="18">
        <v>19</v>
      </c>
      <c r="I1217" s="20">
        <v>5</v>
      </c>
      <c r="J1217" s="21">
        <v>95</v>
      </c>
    </row>
    <row r="1218" spans="1:10">
      <c r="A1218" s="19">
        <v>35720</v>
      </c>
      <c r="B1218" s="18" t="s">
        <v>26</v>
      </c>
      <c r="C1218" s="18" t="s">
        <v>32</v>
      </c>
      <c r="D1218" s="18" t="s">
        <v>53</v>
      </c>
      <c r="E1218" s="18" t="s">
        <v>56</v>
      </c>
      <c r="F1218" s="18" t="s">
        <v>49</v>
      </c>
      <c r="G1218" s="18" t="s">
        <v>38</v>
      </c>
      <c r="H1218" s="18">
        <v>53</v>
      </c>
      <c r="I1218" s="20">
        <v>28</v>
      </c>
      <c r="J1218" s="21">
        <v>1484</v>
      </c>
    </row>
    <row r="1219" spans="1:10">
      <c r="A1219" s="19">
        <v>35723</v>
      </c>
      <c r="B1219" s="18" t="s">
        <v>26</v>
      </c>
      <c r="C1219" s="18" t="s">
        <v>34</v>
      </c>
      <c r="D1219" s="18" t="s">
        <v>53</v>
      </c>
      <c r="E1219" s="18" t="s">
        <v>57</v>
      </c>
      <c r="F1219" s="18" t="s">
        <v>49</v>
      </c>
      <c r="G1219" s="18" t="s">
        <v>38</v>
      </c>
      <c r="H1219" s="18">
        <v>9.5</v>
      </c>
      <c r="I1219" s="20">
        <v>5</v>
      </c>
      <c r="J1219" s="21">
        <v>47.5</v>
      </c>
    </row>
    <row r="1220" spans="1:10">
      <c r="A1220" s="19">
        <v>35723</v>
      </c>
      <c r="B1220" s="18" t="s">
        <v>26</v>
      </c>
      <c r="C1220" s="18" t="s">
        <v>36</v>
      </c>
      <c r="D1220" s="18" t="s">
        <v>53</v>
      </c>
      <c r="E1220" s="18" t="s">
        <v>54</v>
      </c>
      <c r="F1220" s="18" t="s">
        <v>49</v>
      </c>
      <c r="G1220" s="18" t="s">
        <v>38</v>
      </c>
      <c r="H1220" s="18">
        <v>9.1999999999999993</v>
      </c>
      <c r="I1220" s="20">
        <v>5</v>
      </c>
      <c r="J1220" s="21">
        <v>46</v>
      </c>
    </row>
    <row r="1221" spans="1:10">
      <c r="A1221" s="19">
        <v>35724</v>
      </c>
      <c r="B1221" s="18" t="s">
        <v>39</v>
      </c>
      <c r="C1221" s="18" t="s">
        <v>40</v>
      </c>
      <c r="D1221" s="18" t="s">
        <v>53</v>
      </c>
      <c r="E1221" s="18" t="s">
        <v>55</v>
      </c>
      <c r="F1221" s="18" t="s">
        <v>45</v>
      </c>
      <c r="G1221" s="18" t="s">
        <v>38</v>
      </c>
      <c r="H1221" s="18">
        <v>38</v>
      </c>
      <c r="I1221" s="20">
        <v>30</v>
      </c>
      <c r="J1221" s="21">
        <v>1140</v>
      </c>
    </row>
    <row r="1222" spans="1:10">
      <c r="A1222" s="19">
        <v>35724</v>
      </c>
      <c r="B1222" s="18" t="s">
        <v>39</v>
      </c>
      <c r="C1222" s="18" t="s">
        <v>41</v>
      </c>
      <c r="D1222" s="18" t="s">
        <v>53</v>
      </c>
      <c r="E1222" s="18" t="s">
        <v>56</v>
      </c>
      <c r="F1222" s="18" t="s">
        <v>30</v>
      </c>
      <c r="G1222" s="18" t="s">
        <v>31</v>
      </c>
      <c r="H1222" s="18">
        <v>9.1999999999999993</v>
      </c>
      <c r="I1222" s="20">
        <v>12</v>
      </c>
      <c r="J1222" s="21">
        <v>110.39999999999999</v>
      </c>
    </row>
    <row r="1223" spans="1:10">
      <c r="A1223" s="19">
        <v>35724</v>
      </c>
      <c r="B1223" s="18" t="s">
        <v>39</v>
      </c>
      <c r="C1223" s="18" t="s">
        <v>44</v>
      </c>
      <c r="D1223" s="18" t="s">
        <v>53</v>
      </c>
      <c r="E1223" s="18" t="s">
        <v>57</v>
      </c>
      <c r="F1223" s="18" t="s">
        <v>30</v>
      </c>
      <c r="G1223" s="18" t="s">
        <v>31</v>
      </c>
      <c r="H1223" s="18">
        <v>9.65</v>
      </c>
      <c r="I1223" s="20">
        <v>42</v>
      </c>
      <c r="J1223" s="21">
        <v>405.3</v>
      </c>
    </row>
    <row r="1224" spans="1:10">
      <c r="A1224" s="19">
        <v>35724</v>
      </c>
      <c r="B1224" s="18" t="s">
        <v>39</v>
      </c>
      <c r="C1224" s="18" t="s">
        <v>46</v>
      </c>
      <c r="D1224" s="18" t="s">
        <v>53</v>
      </c>
      <c r="E1224" s="18" t="s">
        <v>54</v>
      </c>
      <c r="F1224" s="18" t="s">
        <v>30</v>
      </c>
      <c r="G1224" s="18" t="s">
        <v>31</v>
      </c>
      <c r="H1224" s="18">
        <v>32.799999999999997</v>
      </c>
      <c r="I1224" s="20">
        <v>120</v>
      </c>
      <c r="J1224" s="21">
        <v>3935.9999999999995</v>
      </c>
    </row>
    <row r="1225" spans="1:10">
      <c r="A1225" s="19">
        <v>35724</v>
      </c>
      <c r="B1225" s="18" t="s">
        <v>39</v>
      </c>
      <c r="C1225" s="18" t="s">
        <v>47</v>
      </c>
      <c r="D1225" s="18" t="s">
        <v>53</v>
      </c>
      <c r="E1225" s="18" t="s">
        <v>55</v>
      </c>
      <c r="F1225" s="18" t="s">
        <v>45</v>
      </c>
      <c r="G1225" s="18" t="s">
        <v>38</v>
      </c>
      <c r="H1225" s="18">
        <v>32.799999999999997</v>
      </c>
      <c r="I1225" s="20">
        <v>3</v>
      </c>
      <c r="J1225" s="21">
        <v>98.399999999999991</v>
      </c>
    </row>
    <row r="1226" spans="1:10">
      <c r="A1226" s="19">
        <v>35725</v>
      </c>
      <c r="B1226" s="18" t="s">
        <v>26</v>
      </c>
      <c r="C1226" s="18" t="s">
        <v>27</v>
      </c>
      <c r="D1226" s="18" t="s">
        <v>53</v>
      </c>
      <c r="E1226" s="18" t="s">
        <v>56</v>
      </c>
      <c r="F1226" s="18" t="s">
        <v>30</v>
      </c>
      <c r="G1226" s="18" t="s">
        <v>31</v>
      </c>
      <c r="H1226" s="18">
        <v>38</v>
      </c>
      <c r="I1226" s="20">
        <v>18</v>
      </c>
      <c r="J1226" s="21">
        <v>684</v>
      </c>
    </row>
    <row r="1227" spans="1:10">
      <c r="A1227" s="19">
        <v>35725</v>
      </c>
      <c r="B1227" s="18" t="s">
        <v>26</v>
      </c>
      <c r="C1227" s="18" t="s">
        <v>32</v>
      </c>
      <c r="D1227" s="18" t="s">
        <v>53</v>
      </c>
      <c r="E1227" s="18" t="s">
        <v>57</v>
      </c>
      <c r="F1227" s="18" t="s">
        <v>30</v>
      </c>
      <c r="G1227" s="18" t="s">
        <v>31</v>
      </c>
      <c r="H1227" s="18">
        <v>9.5</v>
      </c>
      <c r="I1227" s="20">
        <v>50</v>
      </c>
      <c r="J1227" s="21">
        <v>475</v>
      </c>
    </row>
    <row r="1228" spans="1:10">
      <c r="A1228" s="19">
        <v>35725</v>
      </c>
      <c r="B1228" s="18" t="s">
        <v>26</v>
      </c>
      <c r="C1228" s="18" t="s">
        <v>34</v>
      </c>
      <c r="D1228" s="18" t="s">
        <v>53</v>
      </c>
      <c r="E1228" s="18" t="s">
        <v>54</v>
      </c>
      <c r="F1228" s="18" t="s">
        <v>30</v>
      </c>
      <c r="G1228" s="18" t="s">
        <v>31</v>
      </c>
      <c r="H1228" s="18">
        <v>13.25</v>
      </c>
      <c r="I1228" s="20">
        <v>12</v>
      </c>
      <c r="J1228" s="21">
        <v>159</v>
      </c>
    </row>
    <row r="1229" spans="1:10">
      <c r="A1229" s="19">
        <v>35725</v>
      </c>
      <c r="B1229" s="18" t="s">
        <v>26</v>
      </c>
      <c r="C1229" s="18" t="s">
        <v>36</v>
      </c>
      <c r="D1229" s="18" t="s">
        <v>53</v>
      </c>
      <c r="E1229" s="18" t="s">
        <v>55</v>
      </c>
      <c r="F1229" s="18" t="s">
        <v>49</v>
      </c>
      <c r="G1229" s="18" t="s">
        <v>38</v>
      </c>
      <c r="H1229" s="18">
        <v>12</v>
      </c>
      <c r="I1229" s="20">
        <v>24</v>
      </c>
      <c r="J1229" s="21">
        <v>288</v>
      </c>
    </row>
    <row r="1230" spans="1:10">
      <c r="A1230" s="19">
        <v>35725</v>
      </c>
      <c r="B1230" s="18" t="s">
        <v>39</v>
      </c>
      <c r="C1230" s="18" t="s">
        <v>40</v>
      </c>
      <c r="D1230" s="18" t="s">
        <v>53</v>
      </c>
      <c r="E1230" s="18" t="s">
        <v>56</v>
      </c>
      <c r="F1230" s="18" t="s">
        <v>49</v>
      </c>
      <c r="G1230" s="18" t="s">
        <v>38</v>
      </c>
      <c r="H1230" s="18">
        <v>31.23</v>
      </c>
      <c r="I1230" s="20">
        <v>30</v>
      </c>
      <c r="J1230" s="21">
        <v>936.9</v>
      </c>
    </row>
    <row r="1231" spans="1:10">
      <c r="A1231" s="19">
        <v>35725</v>
      </c>
      <c r="B1231" s="18" t="s">
        <v>39</v>
      </c>
      <c r="C1231" s="18" t="s">
        <v>41</v>
      </c>
      <c r="D1231" s="18" t="s">
        <v>53</v>
      </c>
      <c r="E1231" s="18" t="s">
        <v>57</v>
      </c>
      <c r="F1231" s="18" t="s">
        <v>30</v>
      </c>
      <c r="G1231" s="18" t="s">
        <v>31</v>
      </c>
      <c r="H1231" s="18">
        <v>19</v>
      </c>
      <c r="I1231" s="20">
        <v>30</v>
      </c>
      <c r="J1231" s="21">
        <v>570</v>
      </c>
    </row>
    <row r="1232" spans="1:10">
      <c r="A1232" s="19">
        <v>35725</v>
      </c>
      <c r="B1232" s="18" t="s">
        <v>39</v>
      </c>
      <c r="C1232" s="18" t="s">
        <v>44</v>
      </c>
      <c r="D1232" s="18" t="s">
        <v>53</v>
      </c>
      <c r="E1232" s="18" t="s">
        <v>56</v>
      </c>
      <c r="F1232" s="18" t="s">
        <v>49</v>
      </c>
      <c r="G1232" s="18" t="s">
        <v>38</v>
      </c>
      <c r="H1232" s="18">
        <v>31</v>
      </c>
      <c r="I1232" s="20">
        <v>18</v>
      </c>
      <c r="J1232" s="21">
        <v>558</v>
      </c>
    </row>
    <row r="1233" spans="1:10">
      <c r="A1233" s="19">
        <v>35725</v>
      </c>
      <c r="B1233" s="18" t="s">
        <v>39</v>
      </c>
      <c r="C1233" s="18" t="s">
        <v>46</v>
      </c>
      <c r="D1233" s="18" t="s">
        <v>53</v>
      </c>
      <c r="E1233" s="18" t="s">
        <v>54</v>
      </c>
      <c r="F1233" s="18" t="s">
        <v>49</v>
      </c>
      <c r="G1233" s="18" t="s">
        <v>38</v>
      </c>
      <c r="H1233" s="18">
        <v>9.5</v>
      </c>
      <c r="I1233" s="20">
        <v>110</v>
      </c>
      <c r="J1233" s="21">
        <v>1045</v>
      </c>
    </row>
    <row r="1234" spans="1:10">
      <c r="A1234" s="19">
        <v>35725</v>
      </c>
      <c r="B1234" s="18" t="s">
        <v>39</v>
      </c>
      <c r="C1234" s="18" t="s">
        <v>47</v>
      </c>
      <c r="D1234" s="18" t="s">
        <v>53</v>
      </c>
      <c r="E1234" s="18" t="s">
        <v>55</v>
      </c>
      <c r="F1234" s="18" t="s">
        <v>30</v>
      </c>
      <c r="G1234" s="18" t="s">
        <v>31</v>
      </c>
      <c r="H1234" s="18">
        <v>39</v>
      </c>
      <c r="I1234" s="20">
        <v>27</v>
      </c>
      <c r="J1234" s="21">
        <v>1053</v>
      </c>
    </row>
    <row r="1235" spans="1:10">
      <c r="A1235" s="19">
        <v>35726</v>
      </c>
      <c r="B1235" s="18" t="s">
        <v>26</v>
      </c>
      <c r="C1235" s="18" t="s">
        <v>27</v>
      </c>
      <c r="D1235" s="18" t="s">
        <v>53</v>
      </c>
      <c r="E1235" s="18" t="s">
        <v>56</v>
      </c>
      <c r="F1235" s="18" t="s">
        <v>45</v>
      </c>
      <c r="G1235" s="18" t="s">
        <v>38</v>
      </c>
      <c r="H1235" s="18">
        <v>31</v>
      </c>
      <c r="I1235" s="20">
        <v>21</v>
      </c>
      <c r="J1235" s="21">
        <v>651</v>
      </c>
    </row>
    <row r="1236" spans="1:10">
      <c r="A1236" s="19">
        <v>35726</v>
      </c>
      <c r="B1236" s="18" t="s">
        <v>26</v>
      </c>
      <c r="C1236" s="18" t="s">
        <v>32</v>
      </c>
      <c r="D1236" s="18" t="s">
        <v>53</v>
      </c>
      <c r="E1236" s="18" t="s">
        <v>57</v>
      </c>
      <c r="F1236" s="18" t="s">
        <v>45</v>
      </c>
      <c r="G1236" s="18" t="s">
        <v>38</v>
      </c>
      <c r="H1236" s="18">
        <v>21.5</v>
      </c>
      <c r="I1236" s="20">
        <v>30</v>
      </c>
      <c r="J1236" s="21">
        <v>645</v>
      </c>
    </row>
    <row r="1237" spans="1:10">
      <c r="A1237" s="19">
        <v>35727</v>
      </c>
      <c r="B1237" s="18" t="s">
        <v>26</v>
      </c>
      <c r="C1237" s="18" t="s">
        <v>34</v>
      </c>
      <c r="D1237" s="18" t="s">
        <v>53</v>
      </c>
      <c r="E1237" s="18" t="s">
        <v>54</v>
      </c>
      <c r="F1237" s="18" t="s">
        <v>42</v>
      </c>
      <c r="G1237" s="18" t="s">
        <v>43</v>
      </c>
      <c r="H1237" s="18">
        <v>28.5</v>
      </c>
      <c r="I1237" s="20">
        <v>10</v>
      </c>
      <c r="J1237" s="21">
        <v>285</v>
      </c>
    </row>
    <row r="1238" spans="1:10">
      <c r="A1238" s="19">
        <v>35727</v>
      </c>
      <c r="B1238" s="18" t="s">
        <v>26</v>
      </c>
      <c r="C1238" s="18" t="s">
        <v>36</v>
      </c>
      <c r="D1238" s="18" t="s">
        <v>53</v>
      </c>
      <c r="E1238" s="18" t="s">
        <v>55</v>
      </c>
      <c r="F1238" s="18" t="s">
        <v>49</v>
      </c>
      <c r="G1238" s="18" t="s">
        <v>38</v>
      </c>
      <c r="H1238" s="18">
        <v>36</v>
      </c>
      <c r="I1238" s="20">
        <v>25</v>
      </c>
      <c r="J1238" s="21">
        <v>900</v>
      </c>
    </row>
    <row r="1239" spans="1:10">
      <c r="A1239" s="19">
        <v>35727</v>
      </c>
      <c r="B1239" s="18" t="s">
        <v>39</v>
      </c>
      <c r="C1239" s="18" t="s">
        <v>40</v>
      </c>
      <c r="D1239" s="18" t="s">
        <v>53</v>
      </c>
      <c r="E1239" s="18" t="s">
        <v>56</v>
      </c>
      <c r="F1239" s="18" t="s">
        <v>42</v>
      </c>
      <c r="G1239" s="18" t="s">
        <v>43</v>
      </c>
      <c r="H1239" s="18">
        <v>10</v>
      </c>
      <c r="I1239" s="20">
        <v>5</v>
      </c>
      <c r="J1239" s="21">
        <v>50</v>
      </c>
    </row>
    <row r="1240" spans="1:10">
      <c r="A1240" s="19">
        <v>35727</v>
      </c>
      <c r="B1240" s="18" t="s">
        <v>39</v>
      </c>
      <c r="C1240" s="18" t="s">
        <v>41</v>
      </c>
      <c r="D1240" s="18" t="s">
        <v>53</v>
      </c>
      <c r="E1240" s="18" t="s">
        <v>57</v>
      </c>
      <c r="F1240" s="18" t="s">
        <v>49</v>
      </c>
      <c r="G1240" s="18" t="s">
        <v>38</v>
      </c>
      <c r="H1240" s="18">
        <v>10</v>
      </c>
      <c r="I1240" s="20">
        <v>32</v>
      </c>
      <c r="J1240" s="21">
        <v>320</v>
      </c>
    </row>
    <row r="1241" spans="1:10">
      <c r="A1241" s="19">
        <v>35727</v>
      </c>
      <c r="B1241" s="18" t="s">
        <v>39</v>
      </c>
      <c r="C1241" s="18" t="s">
        <v>44</v>
      </c>
      <c r="D1241" s="18" t="s">
        <v>53</v>
      </c>
      <c r="E1241" s="18" t="s">
        <v>54</v>
      </c>
      <c r="F1241" s="18" t="s">
        <v>49</v>
      </c>
      <c r="G1241" s="18" t="s">
        <v>38</v>
      </c>
      <c r="H1241" s="18">
        <v>7.45</v>
      </c>
      <c r="I1241" s="20">
        <v>15</v>
      </c>
      <c r="J1241" s="21">
        <v>111.75</v>
      </c>
    </row>
    <row r="1242" spans="1:10">
      <c r="A1242" s="19">
        <v>35727</v>
      </c>
      <c r="B1242" s="18" t="s">
        <v>39</v>
      </c>
      <c r="C1242" s="18" t="s">
        <v>46</v>
      </c>
      <c r="D1242" s="18" t="s">
        <v>53</v>
      </c>
      <c r="E1242" s="18" t="s">
        <v>55</v>
      </c>
      <c r="F1242" s="18" t="s">
        <v>42</v>
      </c>
      <c r="G1242" s="18" t="s">
        <v>43</v>
      </c>
      <c r="H1242" s="18">
        <v>53</v>
      </c>
      <c r="I1242" s="20">
        <v>7</v>
      </c>
      <c r="J1242" s="21">
        <v>371</v>
      </c>
    </row>
    <row r="1243" spans="1:10">
      <c r="A1243" s="19">
        <v>35730</v>
      </c>
      <c r="B1243" s="18" t="s">
        <v>39</v>
      </c>
      <c r="C1243" s="18" t="s">
        <v>47</v>
      </c>
      <c r="D1243" s="18" t="s">
        <v>53</v>
      </c>
      <c r="E1243" s="18" t="s">
        <v>56</v>
      </c>
      <c r="F1243" s="18" t="s">
        <v>49</v>
      </c>
      <c r="G1243" s="18" t="s">
        <v>38</v>
      </c>
      <c r="H1243" s="18">
        <v>17.45</v>
      </c>
      <c r="I1243" s="20">
        <v>20</v>
      </c>
      <c r="J1243" s="21">
        <v>349</v>
      </c>
    </row>
    <row r="1244" spans="1:10">
      <c r="A1244" s="19">
        <v>35730</v>
      </c>
      <c r="B1244" s="18" t="s">
        <v>26</v>
      </c>
      <c r="C1244" s="18" t="s">
        <v>27</v>
      </c>
      <c r="D1244" s="18" t="s">
        <v>53</v>
      </c>
      <c r="E1244" s="18" t="s">
        <v>57</v>
      </c>
      <c r="F1244" s="18" t="s">
        <v>49</v>
      </c>
      <c r="G1244" s="18" t="s">
        <v>38</v>
      </c>
      <c r="H1244" s="18">
        <v>38</v>
      </c>
      <c r="I1244" s="20">
        <v>36</v>
      </c>
      <c r="J1244" s="21">
        <v>1368</v>
      </c>
    </row>
    <row r="1245" spans="1:10">
      <c r="A1245" s="19">
        <v>35730</v>
      </c>
      <c r="B1245" s="18" t="s">
        <v>26</v>
      </c>
      <c r="C1245" s="18" t="s">
        <v>32</v>
      </c>
      <c r="D1245" s="18" t="s">
        <v>53</v>
      </c>
      <c r="E1245" s="18" t="s">
        <v>54</v>
      </c>
      <c r="F1245" s="18" t="s">
        <v>50</v>
      </c>
      <c r="G1245" s="18" t="s">
        <v>31</v>
      </c>
      <c r="H1245" s="18">
        <v>25.89</v>
      </c>
      <c r="I1245" s="20">
        <v>3</v>
      </c>
      <c r="J1245" s="21">
        <v>77.67</v>
      </c>
    </row>
    <row r="1246" spans="1:10">
      <c r="A1246" s="19">
        <v>35730</v>
      </c>
      <c r="B1246" s="18" t="s">
        <v>26</v>
      </c>
      <c r="C1246" s="18" t="s">
        <v>34</v>
      </c>
      <c r="D1246" s="18" t="s">
        <v>53</v>
      </c>
      <c r="E1246" s="18" t="s">
        <v>55</v>
      </c>
      <c r="F1246" s="18" t="s">
        <v>50</v>
      </c>
      <c r="G1246" s="18" t="s">
        <v>31</v>
      </c>
      <c r="H1246" s="18">
        <v>7.45</v>
      </c>
      <c r="I1246" s="20">
        <v>40</v>
      </c>
      <c r="J1246" s="21">
        <v>298</v>
      </c>
    </row>
    <row r="1247" spans="1:10">
      <c r="A1247" s="19">
        <v>35730</v>
      </c>
      <c r="B1247" s="18" t="s">
        <v>26</v>
      </c>
      <c r="C1247" s="18" t="s">
        <v>36</v>
      </c>
      <c r="D1247" s="18" t="s">
        <v>53</v>
      </c>
      <c r="E1247" s="18" t="s">
        <v>56</v>
      </c>
      <c r="F1247" s="18" t="s">
        <v>50</v>
      </c>
      <c r="G1247" s="18" t="s">
        <v>31</v>
      </c>
      <c r="H1247" s="18">
        <v>62.5</v>
      </c>
      <c r="I1247" s="20">
        <v>12</v>
      </c>
      <c r="J1247" s="21">
        <v>750</v>
      </c>
    </row>
    <row r="1248" spans="1:10">
      <c r="A1248" s="19">
        <v>35730</v>
      </c>
      <c r="B1248" s="18" t="s">
        <v>39</v>
      </c>
      <c r="C1248" s="18" t="s">
        <v>40</v>
      </c>
      <c r="D1248" s="18" t="s">
        <v>53</v>
      </c>
      <c r="E1248" s="18" t="s">
        <v>57</v>
      </c>
      <c r="F1248" s="18" t="s">
        <v>49</v>
      </c>
      <c r="G1248" s="18" t="s">
        <v>38</v>
      </c>
      <c r="H1248" s="18">
        <v>49.3</v>
      </c>
      <c r="I1248" s="20">
        <v>20</v>
      </c>
      <c r="J1248" s="21">
        <v>986</v>
      </c>
    </row>
    <row r="1249" spans="1:10">
      <c r="A1249" s="19">
        <v>35730</v>
      </c>
      <c r="B1249" s="18" t="s">
        <v>39</v>
      </c>
      <c r="C1249" s="18" t="s">
        <v>41</v>
      </c>
      <c r="D1249" s="18" t="s">
        <v>53</v>
      </c>
      <c r="E1249" s="18" t="s">
        <v>54</v>
      </c>
      <c r="F1249" s="18" t="s">
        <v>49</v>
      </c>
      <c r="G1249" s="18" t="s">
        <v>38</v>
      </c>
      <c r="H1249" s="18">
        <v>19</v>
      </c>
      <c r="I1249" s="20">
        <v>40</v>
      </c>
      <c r="J1249" s="21">
        <v>760</v>
      </c>
    </row>
    <row r="1250" spans="1:10">
      <c r="A1250" s="19">
        <v>35731</v>
      </c>
      <c r="B1250" s="18" t="s">
        <v>39</v>
      </c>
      <c r="C1250" s="18" t="s">
        <v>44</v>
      </c>
      <c r="D1250" s="18" t="s">
        <v>53</v>
      </c>
      <c r="E1250" s="18" t="s">
        <v>55</v>
      </c>
      <c r="F1250" s="18" t="s">
        <v>50</v>
      </c>
      <c r="G1250" s="18" t="s">
        <v>31</v>
      </c>
      <c r="H1250" s="18">
        <v>18</v>
      </c>
      <c r="I1250" s="20">
        <v>21</v>
      </c>
      <c r="J1250" s="21">
        <v>378</v>
      </c>
    </row>
    <row r="1251" spans="1:10">
      <c r="A1251" s="19">
        <v>35731</v>
      </c>
      <c r="B1251" s="18" t="s">
        <v>39</v>
      </c>
      <c r="C1251" s="18" t="s">
        <v>46</v>
      </c>
      <c r="D1251" s="18" t="s">
        <v>53</v>
      </c>
      <c r="E1251" s="18" t="s">
        <v>56</v>
      </c>
      <c r="F1251" s="18" t="s">
        <v>50</v>
      </c>
      <c r="G1251" s="18" t="s">
        <v>31</v>
      </c>
      <c r="H1251" s="18">
        <v>21.5</v>
      </c>
      <c r="I1251" s="20">
        <v>8</v>
      </c>
      <c r="J1251" s="21">
        <v>172</v>
      </c>
    </row>
    <row r="1252" spans="1:10">
      <c r="A1252" s="19">
        <v>35732</v>
      </c>
      <c r="B1252" s="18" t="s">
        <v>39</v>
      </c>
      <c r="C1252" s="18" t="s">
        <v>47</v>
      </c>
      <c r="D1252" s="18" t="s">
        <v>53</v>
      </c>
      <c r="E1252" s="18" t="s">
        <v>57</v>
      </c>
      <c r="F1252" s="18" t="s">
        <v>30</v>
      </c>
      <c r="G1252" s="18" t="s">
        <v>31</v>
      </c>
      <c r="H1252" s="18">
        <v>19.45</v>
      </c>
      <c r="I1252" s="20">
        <v>50</v>
      </c>
      <c r="J1252" s="21">
        <v>972.5</v>
      </c>
    </row>
    <row r="1253" spans="1:10">
      <c r="A1253" s="19">
        <v>35732</v>
      </c>
      <c r="B1253" s="18" t="s">
        <v>26</v>
      </c>
      <c r="C1253" s="18" t="s">
        <v>27</v>
      </c>
      <c r="D1253" s="18" t="s">
        <v>53</v>
      </c>
      <c r="E1253" s="18" t="s">
        <v>54</v>
      </c>
      <c r="F1253" s="18" t="s">
        <v>50</v>
      </c>
      <c r="G1253" s="18" t="s">
        <v>31</v>
      </c>
      <c r="H1253" s="18">
        <v>12.5</v>
      </c>
      <c r="I1253" s="20">
        <v>45</v>
      </c>
      <c r="J1253" s="21">
        <v>562.5</v>
      </c>
    </row>
    <row r="1254" spans="1:10">
      <c r="A1254" s="19">
        <v>35732</v>
      </c>
      <c r="B1254" s="18" t="s">
        <v>26</v>
      </c>
      <c r="C1254" s="18" t="s">
        <v>32</v>
      </c>
      <c r="D1254" s="18" t="s">
        <v>53</v>
      </c>
      <c r="E1254" s="18" t="s">
        <v>55</v>
      </c>
      <c r="F1254" s="18" t="s">
        <v>50</v>
      </c>
      <c r="G1254" s="18" t="s">
        <v>31</v>
      </c>
      <c r="H1254" s="18">
        <v>19</v>
      </c>
      <c r="I1254" s="20">
        <v>3</v>
      </c>
      <c r="J1254" s="21">
        <v>57</v>
      </c>
    </row>
    <row r="1255" spans="1:10">
      <c r="A1255" s="19">
        <v>35732</v>
      </c>
      <c r="B1255" s="18" t="s">
        <v>26</v>
      </c>
      <c r="C1255" s="18" t="s">
        <v>34</v>
      </c>
      <c r="D1255" s="18" t="s">
        <v>53</v>
      </c>
      <c r="E1255" s="18" t="s">
        <v>56</v>
      </c>
      <c r="F1255" s="18" t="s">
        <v>50</v>
      </c>
      <c r="G1255" s="18" t="s">
        <v>31</v>
      </c>
      <c r="H1255" s="18">
        <v>7.75</v>
      </c>
      <c r="I1255" s="20">
        <v>42</v>
      </c>
      <c r="J1255" s="21">
        <v>325.5</v>
      </c>
    </row>
    <row r="1256" spans="1:10">
      <c r="A1256" s="19">
        <v>35732</v>
      </c>
      <c r="B1256" s="18" t="s">
        <v>26</v>
      </c>
      <c r="C1256" s="18" t="s">
        <v>36</v>
      </c>
      <c r="D1256" s="18" t="s">
        <v>53</v>
      </c>
      <c r="E1256" s="18" t="s">
        <v>57</v>
      </c>
      <c r="F1256" s="18" t="s">
        <v>50</v>
      </c>
      <c r="G1256" s="18" t="s">
        <v>31</v>
      </c>
      <c r="H1256" s="18">
        <v>12.5</v>
      </c>
      <c r="I1256" s="20">
        <v>50</v>
      </c>
      <c r="J1256" s="21">
        <v>625</v>
      </c>
    </row>
    <row r="1257" spans="1:10">
      <c r="A1257" s="19">
        <v>35733</v>
      </c>
      <c r="B1257" s="18" t="s">
        <v>39</v>
      </c>
      <c r="C1257" s="18" t="s">
        <v>40</v>
      </c>
      <c r="D1257" s="18" t="s">
        <v>53</v>
      </c>
      <c r="E1257" s="18" t="s">
        <v>54</v>
      </c>
      <c r="F1257" s="18" t="s">
        <v>50</v>
      </c>
      <c r="G1257" s="18" t="s">
        <v>31</v>
      </c>
      <c r="H1257" s="18">
        <v>28.5</v>
      </c>
      <c r="I1257" s="20">
        <v>5</v>
      </c>
      <c r="J1257" s="21">
        <v>142.5</v>
      </c>
    </row>
    <row r="1258" spans="1:10">
      <c r="A1258" s="19">
        <v>35733</v>
      </c>
      <c r="B1258" s="18" t="s">
        <v>39</v>
      </c>
      <c r="C1258" s="18" t="s">
        <v>41</v>
      </c>
      <c r="D1258" s="18" t="s">
        <v>53</v>
      </c>
      <c r="E1258" s="18" t="s">
        <v>55</v>
      </c>
      <c r="F1258" s="18" t="s">
        <v>45</v>
      </c>
      <c r="G1258" s="18" t="s">
        <v>38</v>
      </c>
      <c r="H1258" s="18">
        <v>31.23</v>
      </c>
      <c r="I1258" s="20">
        <v>15</v>
      </c>
      <c r="J1258" s="21">
        <v>468.45</v>
      </c>
    </row>
    <row r="1259" spans="1:10">
      <c r="A1259" s="19">
        <v>35733</v>
      </c>
      <c r="B1259" s="18" t="s">
        <v>39</v>
      </c>
      <c r="C1259" s="18" t="s">
        <v>44</v>
      </c>
      <c r="D1259" s="18" t="s">
        <v>53</v>
      </c>
      <c r="E1259" s="18" t="s">
        <v>56</v>
      </c>
      <c r="F1259" s="18" t="s">
        <v>50</v>
      </c>
      <c r="G1259" s="18" t="s">
        <v>31</v>
      </c>
      <c r="H1259" s="18">
        <v>31</v>
      </c>
      <c r="I1259" s="20">
        <v>16</v>
      </c>
      <c r="J1259" s="21">
        <v>496</v>
      </c>
    </row>
    <row r="1260" spans="1:10">
      <c r="A1260" s="19">
        <v>35734</v>
      </c>
      <c r="B1260" s="18" t="s">
        <v>39</v>
      </c>
      <c r="C1260" s="18" t="s">
        <v>46</v>
      </c>
      <c r="D1260" s="18" t="s">
        <v>53</v>
      </c>
      <c r="E1260" s="18" t="s">
        <v>57</v>
      </c>
      <c r="F1260" s="18" t="s">
        <v>42</v>
      </c>
      <c r="G1260" s="18" t="s">
        <v>43</v>
      </c>
      <c r="H1260" s="18">
        <v>7</v>
      </c>
      <c r="I1260" s="20">
        <v>4</v>
      </c>
      <c r="J1260" s="21">
        <v>28</v>
      </c>
    </row>
    <row r="1261" spans="1:10">
      <c r="A1261" s="19">
        <v>35734</v>
      </c>
      <c r="B1261" s="18" t="s">
        <v>39</v>
      </c>
      <c r="C1261" s="18" t="s">
        <v>47</v>
      </c>
      <c r="D1261" s="18" t="s">
        <v>53</v>
      </c>
      <c r="E1261" s="18" t="s">
        <v>56</v>
      </c>
      <c r="F1261" s="18" t="s">
        <v>42</v>
      </c>
      <c r="G1261" s="18" t="s">
        <v>43</v>
      </c>
      <c r="H1261" s="18">
        <v>9.65</v>
      </c>
      <c r="I1261" s="20">
        <v>12</v>
      </c>
      <c r="J1261" s="21">
        <v>115.80000000000001</v>
      </c>
    </row>
    <row r="1262" spans="1:10">
      <c r="A1262" s="19">
        <v>35734</v>
      </c>
      <c r="B1262" s="18" t="s">
        <v>26</v>
      </c>
      <c r="C1262" s="18" t="s">
        <v>27</v>
      </c>
      <c r="D1262" s="18" t="s">
        <v>53</v>
      </c>
      <c r="E1262" s="18" t="s">
        <v>54</v>
      </c>
      <c r="F1262" s="18" t="s">
        <v>42</v>
      </c>
      <c r="G1262" s="18" t="s">
        <v>43</v>
      </c>
      <c r="H1262" s="18">
        <v>24</v>
      </c>
      <c r="I1262" s="20">
        <v>6</v>
      </c>
      <c r="J1262" s="21">
        <v>144</v>
      </c>
    </row>
    <row r="1263" spans="1:10">
      <c r="A1263" s="19">
        <v>35737</v>
      </c>
      <c r="B1263" s="18" t="s">
        <v>26</v>
      </c>
      <c r="C1263" s="18" t="s">
        <v>32</v>
      </c>
      <c r="D1263" s="18" t="s">
        <v>53</v>
      </c>
      <c r="E1263" s="18" t="s">
        <v>55</v>
      </c>
      <c r="F1263" s="18" t="s">
        <v>51</v>
      </c>
      <c r="G1263" s="18" t="s">
        <v>43</v>
      </c>
      <c r="H1263" s="18">
        <v>38</v>
      </c>
      <c r="I1263" s="20">
        <v>10</v>
      </c>
      <c r="J1263" s="21">
        <v>380</v>
      </c>
    </row>
    <row r="1264" spans="1:10">
      <c r="A1264" s="19">
        <v>35737</v>
      </c>
      <c r="B1264" s="18" t="s">
        <v>26</v>
      </c>
      <c r="C1264" s="18" t="s">
        <v>34</v>
      </c>
      <c r="D1264" s="18" t="s">
        <v>53</v>
      </c>
      <c r="E1264" s="18" t="s">
        <v>56</v>
      </c>
      <c r="F1264" s="18" t="s">
        <v>42</v>
      </c>
      <c r="G1264" s="18" t="s">
        <v>43</v>
      </c>
      <c r="H1264" s="18">
        <v>21</v>
      </c>
      <c r="I1264" s="20">
        <v>5</v>
      </c>
      <c r="J1264" s="21">
        <v>105</v>
      </c>
    </row>
    <row r="1265" spans="1:10">
      <c r="A1265" s="19">
        <v>35737</v>
      </c>
      <c r="B1265" s="18" t="s">
        <v>26</v>
      </c>
      <c r="C1265" s="18" t="s">
        <v>36</v>
      </c>
      <c r="D1265" s="18" t="s">
        <v>53</v>
      </c>
      <c r="E1265" s="18" t="s">
        <v>57</v>
      </c>
      <c r="F1265" s="18" t="s">
        <v>51</v>
      </c>
      <c r="G1265" s="18" t="s">
        <v>43</v>
      </c>
      <c r="H1265" s="18">
        <v>55</v>
      </c>
      <c r="I1265" s="20">
        <v>10</v>
      </c>
      <c r="J1265" s="21">
        <v>550</v>
      </c>
    </row>
    <row r="1266" spans="1:10">
      <c r="A1266" s="19">
        <v>35737</v>
      </c>
      <c r="B1266" s="18" t="s">
        <v>39</v>
      </c>
      <c r="C1266" s="18" t="s">
        <v>40</v>
      </c>
      <c r="D1266" s="18" t="s">
        <v>53</v>
      </c>
      <c r="E1266" s="18" t="s">
        <v>54</v>
      </c>
      <c r="F1266" s="18" t="s">
        <v>42</v>
      </c>
      <c r="G1266" s="18" t="s">
        <v>43</v>
      </c>
      <c r="H1266" s="18">
        <v>22</v>
      </c>
      <c r="I1266" s="20">
        <v>25</v>
      </c>
      <c r="J1266" s="21">
        <v>550</v>
      </c>
    </row>
    <row r="1267" spans="1:10">
      <c r="A1267" s="19">
        <v>35737</v>
      </c>
      <c r="B1267" s="18" t="s">
        <v>39</v>
      </c>
      <c r="C1267" s="18" t="s">
        <v>41</v>
      </c>
      <c r="D1267" s="18" t="s">
        <v>53</v>
      </c>
      <c r="E1267" s="18" t="s">
        <v>55</v>
      </c>
      <c r="F1267" s="18" t="s">
        <v>51</v>
      </c>
      <c r="G1267" s="18" t="s">
        <v>43</v>
      </c>
      <c r="H1267" s="18">
        <v>39</v>
      </c>
      <c r="I1267" s="20">
        <v>20</v>
      </c>
      <c r="J1267" s="21">
        <v>780</v>
      </c>
    </row>
    <row r="1268" spans="1:10">
      <c r="A1268" s="19">
        <v>35738</v>
      </c>
      <c r="B1268" s="18" t="s">
        <v>39</v>
      </c>
      <c r="C1268" s="18" t="s">
        <v>44</v>
      </c>
      <c r="D1268" s="18" t="s">
        <v>53</v>
      </c>
      <c r="E1268" s="18" t="s">
        <v>56</v>
      </c>
      <c r="F1268" s="18" t="s">
        <v>42</v>
      </c>
      <c r="G1268" s="18" t="s">
        <v>43</v>
      </c>
      <c r="H1268" s="18">
        <v>34</v>
      </c>
      <c r="I1268" s="20">
        <v>15</v>
      </c>
      <c r="J1268" s="21">
        <v>510</v>
      </c>
    </row>
    <row r="1269" spans="1:10">
      <c r="A1269" s="19">
        <v>35738</v>
      </c>
      <c r="B1269" s="18" t="s">
        <v>39</v>
      </c>
      <c r="C1269" s="18" t="s">
        <v>46</v>
      </c>
      <c r="D1269" s="18" t="s">
        <v>53</v>
      </c>
      <c r="E1269" s="18" t="s">
        <v>57</v>
      </c>
      <c r="F1269" s="18" t="s">
        <v>50</v>
      </c>
      <c r="G1269" s="18" t="s">
        <v>31</v>
      </c>
      <c r="H1269" s="18">
        <v>10</v>
      </c>
      <c r="I1269" s="20">
        <v>30</v>
      </c>
      <c r="J1269" s="21">
        <v>300</v>
      </c>
    </row>
    <row r="1270" spans="1:10">
      <c r="A1270" s="19">
        <v>35738</v>
      </c>
      <c r="B1270" s="18" t="s">
        <v>39</v>
      </c>
      <c r="C1270" s="18" t="s">
        <v>47</v>
      </c>
      <c r="D1270" s="18" t="s">
        <v>53</v>
      </c>
      <c r="E1270" s="18" t="s">
        <v>54</v>
      </c>
      <c r="F1270" s="18" t="s">
        <v>42</v>
      </c>
      <c r="G1270" s="18" t="s">
        <v>43</v>
      </c>
      <c r="H1270" s="18">
        <v>25.89</v>
      </c>
      <c r="I1270" s="20">
        <v>15</v>
      </c>
      <c r="J1270" s="21">
        <v>388.35</v>
      </c>
    </row>
    <row r="1271" spans="1:10">
      <c r="A1271" s="19">
        <v>35738</v>
      </c>
      <c r="B1271" s="18" t="s">
        <v>26</v>
      </c>
      <c r="C1271" s="18" t="s">
        <v>27</v>
      </c>
      <c r="D1271" s="18" t="s">
        <v>53</v>
      </c>
      <c r="E1271" s="18" t="s">
        <v>55</v>
      </c>
      <c r="F1271" s="18" t="s">
        <v>50</v>
      </c>
      <c r="G1271" s="18" t="s">
        <v>31</v>
      </c>
      <c r="H1271" s="18">
        <v>18</v>
      </c>
      <c r="I1271" s="20">
        <v>50</v>
      </c>
      <c r="J1271" s="21">
        <v>900</v>
      </c>
    </row>
    <row r="1272" spans="1:10">
      <c r="A1272" s="19">
        <v>35738</v>
      </c>
      <c r="B1272" s="18" t="s">
        <v>26</v>
      </c>
      <c r="C1272" s="18" t="s">
        <v>32</v>
      </c>
      <c r="D1272" s="18" t="s">
        <v>53</v>
      </c>
      <c r="E1272" s="18" t="s">
        <v>56</v>
      </c>
      <c r="F1272" s="18" t="s">
        <v>42</v>
      </c>
      <c r="G1272" s="18" t="s">
        <v>43</v>
      </c>
      <c r="H1272" s="18">
        <v>18.399999999999999</v>
      </c>
      <c r="I1272" s="20">
        <v>6</v>
      </c>
      <c r="J1272" s="21">
        <v>110.39999999999999</v>
      </c>
    </row>
    <row r="1273" spans="1:10">
      <c r="A1273" s="19">
        <v>35738</v>
      </c>
      <c r="B1273" s="18" t="s">
        <v>26</v>
      </c>
      <c r="C1273" s="18" t="s">
        <v>34</v>
      </c>
      <c r="D1273" s="18" t="s">
        <v>53</v>
      </c>
      <c r="E1273" s="18" t="s">
        <v>57</v>
      </c>
      <c r="F1273" s="18" t="s">
        <v>42</v>
      </c>
      <c r="G1273" s="18" t="s">
        <v>43</v>
      </c>
      <c r="H1273" s="18">
        <v>24</v>
      </c>
      <c r="I1273" s="20">
        <v>12</v>
      </c>
      <c r="J1273" s="21">
        <v>288</v>
      </c>
    </row>
    <row r="1274" spans="1:10">
      <c r="A1274" s="19">
        <v>35738</v>
      </c>
      <c r="B1274" s="18" t="s">
        <v>26</v>
      </c>
      <c r="C1274" s="18" t="s">
        <v>36</v>
      </c>
      <c r="D1274" s="18" t="s">
        <v>53</v>
      </c>
      <c r="E1274" s="18" t="s">
        <v>54</v>
      </c>
      <c r="F1274" s="18" t="s">
        <v>50</v>
      </c>
      <c r="G1274" s="18" t="s">
        <v>31</v>
      </c>
      <c r="H1274" s="18">
        <v>16.25</v>
      </c>
      <c r="I1274" s="20">
        <v>40</v>
      </c>
      <c r="J1274" s="21">
        <v>650</v>
      </c>
    </row>
    <row r="1275" spans="1:10">
      <c r="A1275" s="19">
        <v>35739</v>
      </c>
      <c r="B1275" s="18" t="s">
        <v>39</v>
      </c>
      <c r="C1275" s="18" t="s">
        <v>40</v>
      </c>
      <c r="D1275" s="18" t="s">
        <v>53</v>
      </c>
      <c r="E1275" s="18" t="s">
        <v>55</v>
      </c>
      <c r="F1275" s="18" t="s">
        <v>30</v>
      </c>
      <c r="G1275" s="18" t="s">
        <v>31</v>
      </c>
      <c r="H1275" s="18">
        <v>17.45</v>
      </c>
      <c r="I1275" s="20">
        <v>15</v>
      </c>
      <c r="J1275" s="21">
        <v>261.75</v>
      </c>
    </row>
    <row r="1276" spans="1:10">
      <c r="A1276" s="19">
        <v>35739</v>
      </c>
      <c r="B1276" s="18" t="s">
        <v>39</v>
      </c>
      <c r="C1276" s="18" t="s">
        <v>41</v>
      </c>
      <c r="D1276" s="18" t="s">
        <v>53</v>
      </c>
      <c r="E1276" s="18" t="s">
        <v>56</v>
      </c>
      <c r="F1276" s="18" t="s">
        <v>30</v>
      </c>
      <c r="G1276" s="18" t="s">
        <v>31</v>
      </c>
      <c r="H1276" s="18">
        <v>21.05</v>
      </c>
      <c r="I1276" s="20">
        <v>10</v>
      </c>
      <c r="J1276" s="21">
        <v>210.5</v>
      </c>
    </row>
    <row r="1277" spans="1:10">
      <c r="A1277" s="19">
        <v>35739</v>
      </c>
      <c r="B1277" s="18" t="s">
        <v>39</v>
      </c>
      <c r="C1277" s="18" t="s">
        <v>44</v>
      </c>
      <c r="D1277" s="18" t="s">
        <v>53</v>
      </c>
      <c r="E1277" s="18" t="s">
        <v>57</v>
      </c>
      <c r="F1277" s="18" t="s">
        <v>30</v>
      </c>
      <c r="G1277" s="18" t="s">
        <v>31</v>
      </c>
      <c r="H1277" s="18">
        <v>12.5</v>
      </c>
      <c r="I1277" s="20">
        <v>3</v>
      </c>
      <c r="J1277" s="21">
        <v>37.5</v>
      </c>
    </row>
    <row r="1278" spans="1:10">
      <c r="A1278" s="19">
        <v>35740</v>
      </c>
      <c r="B1278" s="18" t="s">
        <v>39</v>
      </c>
      <c r="C1278" s="18" t="s">
        <v>46</v>
      </c>
      <c r="D1278" s="18" t="s">
        <v>53</v>
      </c>
      <c r="E1278" s="18" t="s">
        <v>54</v>
      </c>
      <c r="F1278" s="18" t="s">
        <v>52</v>
      </c>
      <c r="G1278" s="18" t="s">
        <v>31</v>
      </c>
      <c r="H1278" s="18">
        <v>10</v>
      </c>
      <c r="I1278" s="20">
        <v>40</v>
      </c>
      <c r="J1278" s="21">
        <v>400</v>
      </c>
    </row>
    <row r="1279" spans="1:10">
      <c r="A1279" s="19">
        <v>35740</v>
      </c>
      <c r="B1279" s="18" t="s">
        <v>39</v>
      </c>
      <c r="C1279" s="18" t="s">
        <v>47</v>
      </c>
      <c r="D1279" s="18" t="s">
        <v>53</v>
      </c>
      <c r="E1279" s="18" t="s">
        <v>55</v>
      </c>
      <c r="F1279" s="18" t="s">
        <v>45</v>
      </c>
      <c r="G1279" s="18" t="s">
        <v>38</v>
      </c>
      <c r="H1279" s="18">
        <v>18</v>
      </c>
      <c r="I1279" s="20">
        <v>20</v>
      </c>
      <c r="J1279" s="21">
        <v>360</v>
      </c>
    </row>
    <row r="1280" spans="1:10">
      <c r="A1280" s="19">
        <v>35740</v>
      </c>
      <c r="B1280" s="18" t="s">
        <v>26</v>
      </c>
      <c r="C1280" s="18" t="s">
        <v>27</v>
      </c>
      <c r="D1280" s="18" t="s">
        <v>53</v>
      </c>
      <c r="E1280" s="18" t="s">
        <v>56</v>
      </c>
      <c r="F1280" s="18" t="s">
        <v>52</v>
      </c>
      <c r="G1280" s="18" t="s">
        <v>31</v>
      </c>
      <c r="H1280" s="18">
        <v>53</v>
      </c>
      <c r="I1280" s="20">
        <v>30</v>
      </c>
      <c r="J1280" s="21">
        <v>1590</v>
      </c>
    </row>
    <row r="1281" spans="1:10">
      <c r="A1281" s="19">
        <v>35741</v>
      </c>
      <c r="B1281" s="18" t="s">
        <v>26</v>
      </c>
      <c r="C1281" s="18" t="s">
        <v>32</v>
      </c>
      <c r="D1281" s="18" t="s">
        <v>53</v>
      </c>
      <c r="E1281" s="18" t="s">
        <v>57</v>
      </c>
      <c r="F1281" s="18" t="s">
        <v>51</v>
      </c>
      <c r="G1281" s="18" t="s">
        <v>43</v>
      </c>
      <c r="H1281" s="18">
        <v>25.89</v>
      </c>
      <c r="I1281" s="20">
        <v>15</v>
      </c>
      <c r="J1281" s="21">
        <v>388.35</v>
      </c>
    </row>
    <row r="1282" spans="1:10">
      <c r="A1282" s="19">
        <v>35741</v>
      </c>
      <c r="B1282" s="18" t="s">
        <v>26</v>
      </c>
      <c r="C1282" s="18" t="s">
        <v>34</v>
      </c>
      <c r="D1282" s="18" t="s">
        <v>53</v>
      </c>
      <c r="E1282" s="18" t="s">
        <v>54</v>
      </c>
      <c r="F1282" s="18" t="s">
        <v>51</v>
      </c>
      <c r="G1282" s="18" t="s">
        <v>43</v>
      </c>
      <c r="H1282" s="18">
        <v>25</v>
      </c>
      <c r="I1282" s="20">
        <v>30</v>
      </c>
      <c r="J1282" s="21">
        <v>750</v>
      </c>
    </row>
    <row r="1283" spans="1:10">
      <c r="A1283" s="19">
        <v>35741</v>
      </c>
      <c r="B1283" s="18" t="s">
        <v>26</v>
      </c>
      <c r="C1283" s="18" t="s">
        <v>36</v>
      </c>
      <c r="D1283" s="18" t="s">
        <v>53</v>
      </c>
      <c r="E1283" s="18" t="s">
        <v>55</v>
      </c>
      <c r="F1283" s="18" t="s">
        <v>49</v>
      </c>
      <c r="G1283" s="18" t="s">
        <v>38</v>
      </c>
      <c r="H1283" s="18">
        <v>45.6</v>
      </c>
      <c r="I1283" s="20">
        <v>20</v>
      </c>
      <c r="J1283" s="21">
        <v>912</v>
      </c>
    </row>
    <row r="1284" spans="1:10">
      <c r="A1284" s="19">
        <v>35741</v>
      </c>
      <c r="B1284" s="18" t="s">
        <v>39</v>
      </c>
      <c r="C1284" s="18" t="s">
        <v>40</v>
      </c>
      <c r="D1284" s="18" t="s">
        <v>53</v>
      </c>
      <c r="E1284" s="18" t="s">
        <v>56</v>
      </c>
      <c r="F1284" s="18" t="s">
        <v>51</v>
      </c>
      <c r="G1284" s="18" t="s">
        <v>43</v>
      </c>
      <c r="H1284" s="18">
        <v>18</v>
      </c>
      <c r="I1284" s="20">
        <v>20</v>
      </c>
      <c r="J1284" s="21">
        <v>360</v>
      </c>
    </row>
    <row r="1285" spans="1:10">
      <c r="A1285" s="19">
        <v>35741</v>
      </c>
      <c r="B1285" s="18" t="s">
        <v>39</v>
      </c>
      <c r="C1285" s="18" t="s">
        <v>41</v>
      </c>
      <c r="D1285" s="18" t="s">
        <v>53</v>
      </c>
      <c r="E1285" s="18" t="s">
        <v>57</v>
      </c>
      <c r="F1285" s="18" t="s">
        <v>49</v>
      </c>
      <c r="G1285" s="18" t="s">
        <v>38</v>
      </c>
      <c r="H1285" s="18">
        <v>7</v>
      </c>
      <c r="I1285" s="20">
        <v>25</v>
      </c>
      <c r="J1285" s="21">
        <v>175</v>
      </c>
    </row>
    <row r="1286" spans="1:10">
      <c r="A1286" s="19">
        <v>35741</v>
      </c>
      <c r="B1286" s="18" t="s">
        <v>39</v>
      </c>
      <c r="C1286" s="18" t="s">
        <v>44</v>
      </c>
      <c r="D1286" s="18" t="s">
        <v>53</v>
      </c>
      <c r="E1286" s="18" t="s">
        <v>54</v>
      </c>
      <c r="F1286" s="18" t="s">
        <v>49</v>
      </c>
      <c r="G1286" s="18" t="s">
        <v>38</v>
      </c>
      <c r="H1286" s="18">
        <v>23.25</v>
      </c>
      <c r="I1286" s="20">
        <v>16</v>
      </c>
      <c r="J1286" s="21">
        <v>372</v>
      </c>
    </row>
    <row r="1287" spans="1:10">
      <c r="A1287" s="19">
        <v>35744</v>
      </c>
      <c r="B1287" s="18" t="s">
        <v>39</v>
      </c>
      <c r="C1287" s="18" t="s">
        <v>46</v>
      </c>
      <c r="D1287" s="18" t="s">
        <v>53</v>
      </c>
      <c r="E1287" s="18" t="s">
        <v>55</v>
      </c>
      <c r="F1287" s="18" t="s">
        <v>37</v>
      </c>
      <c r="G1287" s="18" t="s">
        <v>38</v>
      </c>
      <c r="H1287" s="18">
        <v>28.5</v>
      </c>
      <c r="I1287" s="20">
        <v>20</v>
      </c>
      <c r="J1287" s="21">
        <v>570</v>
      </c>
    </row>
    <row r="1288" spans="1:10">
      <c r="A1288" s="19">
        <v>35744</v>
      </c>
      <c r="B1288" s="18" t="s">
        <v>39</v>
      </c>
      <c r="C1288" s="18" t="s">
        <v>47</v>
      </c>
      <c r="D1288" s="18" t="s">
        <v>53</v>
      </c>
      <c r="E1288" s="18" t="s">
        <v>56</v>
      </c>
      <c r="F1288" s="18" t="s">
        <v>37</v>
      </c>
      <c r="G1288" s="18" t="s">
        <v>38</v>
      </c>
      <c r="H1288" s="18">
        <v>13</v>
      </c>
      <c r="I1288" s="20">
        <v>2</v>
      </c>
      <c r="J1288" s="21">
        <v>26</v>
      </c>
    </row>
    <row r="1289" spans="1:10">
      <c r="A1289" s="19">
        <v>35745</v>
      </c>
      <c r="B1289" s="18" t="s">
        <v>26</v>
      </c>
      <c r="C1289" s="18" t="s">
        <v>27</v>
      </c>
      <c r="D1289" s="18" t="s">
        <v>53</v>
      </c>
      <c r="E1289" s="18" t="s">
        <v>57</v>
      </c>
      <c r="F1289" s="18" t="s">
        <v>48</v>
      </c>
      <c r="G1289" s="18" t="s">
        <v>31</v>
      </c>
      <c r="H1289" s="18">
        <v>21.05</v>
      </c>
      <c r="I1289" s="20">
        <v>40</v>
      </c>
      <c r="J1289" s="21">
        <v>842</v>
      </c>
    </row>
    <row r="1290" spans="1:10">
      <c r="A1290" s="19">
        <v>35745</v>
      </c>
      <c r="B1290" s="18" t="s">
        <v>26</v>
      </c>
      <c r="C1290" s="18" t="s">
        <v>32</v>
      </c>
      <c r="D1290" s="18" t="s">
        <v>53</v>
      </c>
      <c r="E1290" s="18" t="s">
        <v>56</v>
      </c>
      <c r="F1290" s="18" t="s">
        <v>51</v>
      </c>
      <c r="G1290" s="18" t="s">
        <v>43</v>
      </c>
      <c r="H1290" s="18">
        <v>6</v>
      </c>
      <c r="I1290" s="20">
        <v>4</v>
      </c>
      <c r="J1290" s="21">
        <v>24</v>
      </c>
    </row>
    <row r="1291" spans="1:10">
      <c r="A1291" s="19">
        <v>35745</v>
      </c>
      <c r="B1291" s="18" t="s">
        <v>26</v>
      </c>
      <c r="C1291" s="18" t="s">
        <v>34</v>
      </c>
      <c r="D1291" s="18" t="s">
        <v>53</v>
      </c>
      <c r="E1291" s="18" t="s">
        <v>54</v>
      </c>
      <c r="F1291" s="18" t="s">
        <v>48</v>
      </c>
      <c r="G1291" s="18" t="s">
        <v>31</v>
      </c>
      <c r="H1291" s="18">
        <v>7.75</v>
      </c>
      <c r="I1291" s="20">
        <v>20</v>
      </c>
      <c r="J1291" s="21">
        <v>155</v>
      </c>
    </row>
    <row r="1292" spans="1:10">
      <c r="A1292" s="19">
        <v>35745</v>
      </c>
      <c r="B1292" s="18" t="s">
        <v>26</v>
      </c>
      <c r="C1292" s="18" t="s">
        <v>36</v>
      </c>
      <c r="D1292" s="18" t="s">
        <v>53</v>
      </c>
      <c r="E1292" s="18" t="s">
        <v>55</v>
      </c>
      <c r="F1292" s="18" t="s">
        <v>51</v>
      </c>
      <c r="G1292" s="18" t="s">
        <v>43</v>
      </c>
      <c r="H1292" s="18">
        <v>9.65</v>
      </c>
      <c r="I1292" s="20">
        <v>12</v>
      </c>
      <c r="J1292" s="21">
        <v>115.80000000000001</v>
      </c>
    </row>
    <row r="1293" spans="1:10">
      <c r="A1293" s="19">
        <v>35746</v>
      </c>
      <c r="B1293" s="18" t="s">
        <v>39</v>
      </c>
      <c r="C1293" s="18" t="s">
        <v>40</v>
      </c>
      <c r="D1293" s="18" t="s">
        <v>53</v>
      </c>
      <c r="E1293" s="18" t="s">
        <v>56</v>
      </c>
      <c r="F1293" s="18" t="s">
        <v>51</v>
      </c>
      <c r="G1293" s="18" t="s">
        <v>43</v>
      </c>
      <c r="H1293" s="18">
        <v>17.45</v>
      </c>
      <c r="I1293" s="20">
        <v>3</v>
      </c>
      <c r="J1293" s="21">
        <v>52.349999999999994</v>
      </c>
    </row>
    <row r="1294" spans="1:10">
      <c r="A1294" s="19">
        <v>35746</v>
      </c>
      <c r="B1294" s="18" t="s">
        <v>39</v>
      </c>
      <c r="C1294" s="18" t="s">
        <v>41</v>
      </c>
      <c r="D1294" s="18" t="s">
        <v>53</v>
      </c>
      <c r="E1294" s="18" t="s">
        <v>57</v>
      </c>
      <c r="F1294" s="18" t="s">
        <v>45</v>
      </c>
      <c r="G1294" s="18" t="s">
        <v>38</v>
      </c>
      <c r="H1294" s="18">
        <v>7</v>
      </c>
      <c r="I1294" s="20">
        <v>18</v>
      </c>
      <c r="J1294" s="21">
        <v>126</v>
      </c>
    </row>
    <row r="1295" spans="1:10">
      <c r="A1295" s="19">
        <v>35746</v>
      </c>
      <c r="B1295" s="18" t="s">
        <v>39</v>
      </c>
      <c r="C1295" s="18" t="s">
        <v>44</v>
      </c>
      <c r="D1295" s="18" t="s">
        <v>53</v>
      </c>
      <c r="E1295" s="18" t="s">
        <v>54</v>
      </c>
      <c r="F1295" s="18" t="s">
        <v>45</v>
      </c>
      <c r="G1295" s="18" t="s">
        <v>38</v>
      </c>
      <c r="H1295" s="18">
        <v>19</v>
      </c>
      <c r="I1295" s="20">
        <v>6</v>
      </c>
      <c r="J1295" s="21">
        <v>114</v>
      </c>
    </row>
    <row r="1296" spans="1:10">
      <c r="A1296" s="19">
        <v>35747</v>
      </c>
      <c r="B1296" s="18" t="s">
        <v>39</v>
      </c>
      <c r="C1296" s="18" t="s">
        <v>46</v>
      </c>
      <c r="D1296" s="18" t="s">
        <v>53</v>
      </c>
      <c r="E1296" s="18" t="s">
        <v>55</v>
      </c>
      <c r="F1296" s="18" t="s">
        <v>42</v>
      </c>
      <c r="G1296" s="18" t="s">
        <v>43</v>
      </c>
      <c r="H1296" s="18">
        <v>38</v>
      </c>
      <c r="I1296" s="20">
        <v>14</v>
      </c>
      <c r="J1296" s="21">
        <v>532</v>
      </c>
    </row>
    <row r="1297" spans="1:10">
      <c r="A1297" s="19">
        <v>35747</v>
      </c>
      <c r="B1297" s="18" t="s">
        <v>39</v>
      </c>
      <c r="C1297" s="18" t="s">
        <v>47</v>
      </c>
      <c r="D1297" s="18" t="s">
        <v>53</v>
      </c>
      <c r="E1297" s="18" t="s">
        <v>56</v>
      </c>
      <c r="F1297" s="18" t="s">
        <v>42</v>
      </c>
      <c r="G1297" s="18" t="s">
        <v>43</v>
      </c>
      <c r="H1297" s="18">
        <v>45.6</v>
      </c>
      <c r="I1297" s="20">
        <v>5</v>
      </c>
      <c r="J1297" s="21">
        <v>228</v>
      </c>
    </row>
    <row r="1298" spans="1:10">
      <c r="A1298" s="19">
        <v>35747</v>
      </c>
      <c r="B1298" s="18" t="s">
        <v>26</v>
      </c>
      <c r="C1298" s="18" t="s">
        <v>27</v>
      </c>
      <c r="D1298" s="18" t="s">
        <v>53</v>
      </c>
      <c r="E1298" s="18" t="s">
        <v>57</v>
      </c>
      <c r="F1298" s="18" t="s">
        <v>42</v>
      </c>
      <c r="G1298" s="18" t="s">
        <v>43</v>
      </c>
      <c r="H1298" s="18">
        <v>18</v>
      </c>
      <c r="I1298" s="20">
        <v>35</v>
      </c>
      <c r="J1298" s="21">
        <v>630</v>
      </c>
    </row>
    <row r="1299" spans="1:10">
      <c r="A1299" s="19">
        <v>35747</v>
      </c>
      <c r="B1299" s="18" t="s">
        <v>26</v>
      </c>
      <c r="C1299" s="18" t="s">
        <v>32</v>
      </c>
      <c r="D1299" s="18" t="s">
        <v>53</v>
      </c>
      <c r="E1299" s="18" t="s">
        <v>54</v>
      </c>
      <c r="F1299" s="18" t="s">
        <v>42</v>
      </c>
      <c r="G1299" s="18" t="s">
        <v>43</v>
      </c>
      <c r="H1299" s="18">
        <v>9.5</v>
      </c>
      <c r="I1299" s="20">
        <v>40</v>
      </c>
      <c r="J1299" s="21">
        <v>380</v>
      </c>
    </row>
    <row r="1300" spans="1:10">
      <c r="A1300" s="19">
        <v>35748</v>
      </c>
      <c r="B1300" s="18" t="s">
        <v>26</v>
      </c>
      <c r="C1300" s="18" t="s">
        <v>34</v>
      </c>
      <c r="D1300" s="18" t="s">
        <v>53</v>
      </c>
      <c r="E1300" s="18" t="s">
        <v>55</v>
      </c>
      <c r="F1300" s="18" t="s">
        <v>45</v>
      </c>
      <c r="G1300" s="18" t="s">
        <v>38</v>
      </c>
      <c r="H1300" s="18">
        <v>10</v>
      </c>
      <c r="I1300" s="20">
        <v>20</v>
      </c>
      <c r="J1300" s="21">
        <v>200</v>
      </c>
    </row>
    <row r="1301" spans="1:10">
      <c r="A1301" s="19">
        <v>35748</v>
      </c>
      <c r="B1301" s="18" t="s">
        <v>26</v>
      </c>
      <c r="C1301" s="18" t="s">
        <v>36</v>
      </c>
      <c r="D1301" s="18" t="s">
        <v>53</v>
      </c>
      <c r="E1301" s="18" t="s">
        <v>56</v>
      </c>
      <c r="F1301" s="18" t="s">
        <v>45</v>
      </c>
      <c r="G1301" s="18" t="s">
        <v>38</v>
      </c>
      <c r="H1301" s="18">
        <v>34</v>
      </c>
      <c r="I1301" s="20">
        <v>50</v>
      </c>
      <c r="J1301" s="21">
        <v>1700</v>
      </c>
    </row>
    <row r="1302" spans="1:10">
      <c r="A1302" s="19">
        <v>35748</v>
      </c>
      <c r="B1302" s="18" t="s">
        <v>39</v>
      </c>
      <c r="C1302" s="18" t="s">
        <v>40</v>
      </c>
      <c r="D1302" s="18" t="s">
        <v>53</v>
      </c>
      <c r="E1302" s="18" t="s">
        <v>57</v>
      </c>
      <c r="F1302" s="18" t="s">
        <v>42</v>
      </c>
      <c r="G1302" s="18" t="s">
        <v>43</v>
      </c>
      <c r="H1302" s="18">
        <v>19</v>
      </c>
      <c r="I1302" s="20">
        <v>15</v>
      </c>
      <c r="J1302" s="21">
        <v>285</v>
      </c>
    </row>
    <row r="1303" spans="1:10">
      <c r="A1303" s="19">
        <v>35748</v>
      </c>
      <c r="B1303" s="18" t="s">
        <v>39</v>
      </c>
      <c r="C1303" s="18" t="s">
        <v>41</v>
      </c>
      <c r="D1303" s="18" t="s">
        <v>53</v>
      </c>
      <c r="E1303" s="18" t="s">
        <v>54</v>
      </c>
      <c r="F1303" s="18" t="s">
        <v>45</v>
      </c>
      <c r="G1303" s="18" t="s">
        <v>38</v>
      </c>
      <c r="H1303" s="18">
        <v>34.799999999999997</v>
      </c>
      <c r="I1303" s="20">
        <v>35</v>
      </c>
      <c r="J1303" s="21">
        <v>1218</v>
      </c>
    </row>
    <row r="1304" spans="1:10">
      <c r="A1304" s="19">
        <v>35751</v>
      </c>
      <c r="B1304" s="18" t="s">
        <v>39</v>
      </c>
      <c r="C1304" s="18" t="s">
        <v>44</v>
      </c>
      <c r="D1304" s="18" t="s">
        <v>53</v>
      </c>
      <c r="E1304" s="18" t="s">
        <v>55</v>
      </c>
      <c r="F1304" s="18" t="s">
        <v>49</v>
      </c>
      <c r="G1304" s="18" t="s">
        <v>38</v>
      </c>
      <c r="H1304" s="18">
        <v>12</v>
      </c>
      <c r="I1304" s="20">
        <v>28</v>
      </c>
      <c r="J1304" s="21">
        <v>336</v>
      </c>
    </row>
    <row r="1305" spans="1:10">
      <c r="A1305" s="19">
        <v>35751</v>
      </c>
      <c r="B1305" s="18" t="s">
        <v>39</v>
      </c>
      <c r="C1305" s="18" t="s">
        <v>46</v>
      </c>
      <c r="D1305" s="18" t="s">
        <v>53</v>
      </c>
      <c r="E1305" s="18" t="s">
        <v>56</v>
      </c>
      <c r="F1305" s="18" t="s">
        <v>37</v>
      </c>
      <c r="G1305" s="18" t="s">
        <v>38</v>
      </c>
      <c r="H1305" s="18">
        <v>18.399999999999999</v>
      </c>
      <c r="I1305" s="20">
        <v>50</v>
      </c>
      <c r="J1305" s="21">
        <v>919.99999999999989</v>
      </c>
    </row>
    <row r="1306" spans="1:10">
      <c r="A1306" s="19">
        <v>35752</v>
      </c>
      <c r="B1306" s="18" t="s">
        <v>39</v>
      </c>
      <c r="C1306" s="18" t="s">
        <v>47</v>
      </c>
      <c r="D1306" s="18" t="s">
        <v>53</v>
      </c>
      <c r="E1306" s="18" t="s">
        <v>57</v>
      </c>
      <c r="F1306" s="18" t="s">
        <v>48</v>
      </c>
      <c r="G1306" s="18" t="s">
        <v>31</v>
      </c>
      <c r="H1306" s="18">
        <v>55</v>
      </c>
      <c r="I1306" s="20">
        <v>45</v>
      </c>
      <c r="J1306" s="21">
        <v>2475</v>
      </c>
    </row>
    <row r="1307" spans="1:10">
      <c r="A1307" s="19">
        <v>35752</v>
      </c>
      <c r="B1307" s="18" t="s">
        <v>26</v>
      </c>
      <c r="C1307" s="18" t="s">
        <v>27</v>
      </c>
      <c r="D1307" s="18" t="s">
        <v>53</v>
      </c>
      <c r="E1307" s="18" t="s">
        <v>54</v>
      </c>
      <c r="F1307" s="18" t="s">
        <v>48</v>
      </c>
      <c r="G1307" s="18" t="s">
        <v>31</v>
      </c>
      <c r="H1307" s="18">
        <v>19.45</v>
      </c>
      <c r="I1307" s="20">
        <v>16</v>
      </c>
      <c r="J1307" s="21">
        <v>311.2</v>
      </c>
    </row>
    <row r="1308" spans="1:10">
      <c r="A1308" s="19">
        <v>35752</v>
      </c>
      <c r="B1308" s="18" t="s">
        <v>26</v>
      </c>
      <c r="C1308" s="18" t="s">
        <v>32</v>
      </c>
      <c r="D1308" s="18" t="s">
        <v>53</v>
      </c>
      <c r="E1308" s="18" t="s">
        <v>55</v>
      </c>
      <c r="F1308" s="18" t="s">
        <v>48</v>
      </c>
      <c r="G1308" s="18" t="s">
        <v>31</v>
      </c>
      <c r="H1308" s="18">
        <v>62.5</v>
      </c>
      <c r="I1308" s="20">
        <v>24</v>
      </c>
      <c r="J1308" s="21">
        <v>1500</v>
      </c>
    </row>
    <row r="1309" spans="1:10">
      <c r="A1309" s="19">
        <v>35752</v>
      </c>
      <c r="B1309" s="18" t="s">
        <v>26</v>
      </c>
      <c r="C1309" s="18" t="s">
        <v>34</v>
      </c>
      <c r="D1309" s="18" t="s">
        <v>53</v>
      </c>
      <c r="E1309" s="18" t="s">
        <v>56</v>
      </c>
      <c r="F1309" s="18" t="s">
        <v>48</v>
      </c>
      <c r="G1309" s="18" t="s">
        <v>31</v>
      </c>
      <c r="H1309" s="18">
        <v>34.799999999999997</v>
      </c>
      <c r="I1309" s="20">
        <v>7</v>
      </c>
      <c r="J1309" s="21">
        <v>243.59999999999997</v>
      </c>
    </row>
    <row r="1310" spans="1:10">
      <c r="A1310" s="19">
        <v>35753</v>
      </c>
      <c r="B1310" s="18" t="s">
        <v>26</v>
      </c>
      <c r="C1310" s="18" t="s">
        <v>36</v>
      </c>
      <c r="D1310" s="18" t="s">
        <v>53</v>
      </c>
      <c r="E1310" s="18" t="s">
        <v>57</v>
      </c>
      <c r="F1310" s="18" t="s">
        <v>49</v>
      </c>
      <c r="G1310" s="18" t="s">
        <v>38</v>
      </c>
      <c r="H1310" s="18">
        <v>14</v>
      </c>
      <c r="I1310" s="20">
        <v>28</v>
      </c>
      <c r="J1310" s="21">
        <v>392</v>
      </c>
    </row>
    <row r="1311" spans="1:10">
      <c r="A1311" s="19">
        <v>35753</v>
      </c>
      <c r="B1311" s="18" t="s">
        <v>39</v>
      </c>
      <c r="C1311" s="18" t="s">
        <v>40</v>
      </c>
      <c r="D1311" s="18" t="s">
        <v>53</v>
      </c>
      <c r="E1311" s="18" t="s">
        <v>54</v>
      </c>
      <c r="F1311" s="18" t="s">
        <v>49</v>
      </c>
      <c r="G1311" s="18" t="s">
        <v>38</v>
      </c>
      <c r="H1311" s="18">
        <v>36</v>
      </c>
      <c r="I1311" s="20">
        <v>40</v>
      </c>
      <c r="J1311" s="21">
        <v>1440</v>
      </c>
    </row>
    <row r="1312" spans="1:10">
      <c r="A1312" s="19">
        <v>35753</v>
      </c>
      <c r="B1312" s="18" t="s">
        <v>39</v>
      </c>
      <c r="C1312" s="18" t="s">
        <v>41</v>
      </c>
      <c r="D1312" s="18" t="s">
        <v>53</v>
      </c>
      <c r="E1312" s="18" t="s">
        <v>55</v>
      </c>
      <c r="F1312" s="18" t="s">
        <v>37</v>
      </c>
      <c r="G1312" s="18" t="s">
        <v>38</v>
      </c>
      <c r="H1312" s="18">
        <v>36</v>
      </c>
      <c r="I1312" s="20">
        <v>30</v>
      </c>
      <c r="J1312" s="21">
        <v>1080</v>
      </c>
    </row>
    <row r="1313" spans="1:10">
      <c r="A1313" s="19">
        <v>35753</v>
      </c>
      <c r="B1313" s="18" t="s">
        <v>39</v>
      </c>
      <c r="C1313" s="18" t="s">
        <v>44</v>
      </c>
      <c r="D1313" s="18" t="s">
        <v>53</v>
      </c>
      <c r="E1313" s="18" t="s">
        <v>56</v>
      </c>
      <c r="F1313" s="18" t="s">
        <v>49</v>
      </c>
      <c r="G1313" s="18" t="s">
        <v>38</v>
      </c>
      <c r="H1313" s="18">
        <v>6</v>
      </c>
      <c r="I1313" s="20">
        <v>6</v>
      </c>
      <c r="J1313" s="21">
        <v>36</v>
      </c>
    </row>
    <row r="1314" spans="1:10">
      <c r="A1314" s="19">
        <v>35753</v>
      </c>
      <c r="B1314" s="18" t="s">
        <v>39</v>
      </c>
      <c r="C1314" s="18" t="s">
        <v>46</v>
      </c>
      <c r="D1314" s="18" t="s">
        <v>53</v>
      </c>
      <c r="E1314" s="18" t="s">
        <v>57</v>
      </c>
      <c r="F1314" s="18" t="s">
        <v>49</v>
      </c>
      <c r="G1314" s="18" t="s">
        <v>38</v>
      </c>
      <c r="H1314" s="18">
        <v>49.3</v>
      </c>
      <c r="I1314" s="20">
        <v>9</v>
      </c>
      <c r="J1314" s="21">
        <v>443.7</v>
      </c>
    </row>
    <row r="1315" spans="1:10">
      <c r="A1315" s="19">
        <v>35753</v>
      </c>
      <c r="B1315" s="18" t="s">
        <v>39</v>
      </c>
      <c r="C1315" s="18" t="s">
        <v>47</v>
      </c>
      <c r="D1315" s="18" t="s">
        <v>53</v>
      </c>
      <c r="E1315" s="18" t="s">
        <v>54</v>
      </c>
      <c r="F1315" s="18" t="s">
        <v>37</v>
      </c>
      <c r="G1315" s="18" t="s">
        <v>38</v>
      </c>
      <c r="H1315" s="18">
        <v>43.9</v>
      </c>
      <c r="I1315" s="20">
        <v>9</v>
      </c>
      <c r="J1315" s="21">
        <v>395.09999999999997</v>
      </c>
    </row>
    <row r="1316" spans="1:10">
      <c r="A1316" s="19">
        <v>35753</v>
      </c>
      <c r="B1316" s="18" t="s">
        <v>26</v>
      </c>
      <c r="C1316" s="18" t="s">
        <v>27</v>
      </c>
      <c r="D1316" s="18" t="s">
        <v>53</v>
      </c>
      <c r="E1316" s="18" t="s">
        <v>55</v>
      </c>
      <c r="F1316" s="18" t="s">
        <v>37</v>
      </c>
      <c r="G1316" s="18" t="s">
        <v>38</v>
      </c>
      <c r="H1316" s="18">
        <v>12.5</v>
      </c>
      <c r="I1316" s="20">
        <v>8</v>
      </c>
      <c r="J1316" s="21">
        <v>100</v>
      </c>
    </row>
    <row r="1317" spans="1:10">
      <c r="A1317" s="19">
        <v>35753</v>
      </c>
      <c r="B1317" s="18" t="s">
        <v>26</v>
      </c>
      <c r="C1317" s="18" t="s">
        <v>32</v>
      </c>
      <c r="D1317" s="18" t="s">
        <v>53</v>
      </c>
      <c r="E1317" s="18" t="s">
        <v>56</v>
      </c>
      <c r="F1317" s="18" t="s">
        <v>37</v>
      </c>
      <c r="G1317" s="18" t="s">
        <v>38</v>
      </c>
      <c r="H1317" s="18">
        <v>9.65</v>
      </c>
      <c r="I1317" s="20">
        <v>35</v>
      </c>
      <c r="J1317" s="21">
        <v>337.75</v>
      </c>
    </row>
    <row r="1318" spans="1:10">
      <c r="A1318" s="19">
        <v>35754</v>
      </c>
      <c r="B1318" s="18" t="s">
        <v>26</v>
      </c>
      <c r="C1318" s="18" t="s">
        <v>34</v>
      </c>
      <c r="D1318" s="18" t="s">
        <v>53</v>
      </c>
      <c r="E1318" s="18" t="s">
        <v>57</v>
      </c>
      <c r="F1318" s="18" t="s">
        <v>45</v>
      </c>
      <c r="G1318" s="18" t="s">
        <v>38</v>
      </c>
      <c r="H1318" s="18">
        <v>38</v>
      </c>
      <c r="I1318" s="20">
        <v>28</v>
      </c>
      <c r="J1318" s="21">
        <v>1064</v>
      </c>
    </row>
    <row r="1319" spans="1:10">
      <c r="A1319" s="19">
        <v>35754</v>
      </c>
      <c r="B1319" s="18" t="s">
        <v>26</v>
      </c>
      <c r="C1319" s="18" t="s">
        <v>36</v>
      </c>
      <c r="D1319" s="18" t="s">
        <v>53</v>
      </c>
      <c r="E1319" s="18" t="s">
        <v>56</v>
      </c>
      <c r="F1319" s="18" t="s">
        <v>42</v>
      </c>
      <c r="G1319" s="18" t="s">
        <v>43</v>
      </c>
      <c r="H1319" s="18">
        <v>38</v>
      </c>
      <c r="I1319" s="20">
        <v>15</v>
      </c>
      <c r="J1319" s="21">
        <v>570</v>
      </c>
    </row>
    <row r="1320" spans="1:10">
      <c r="A1320" s="19">
        <v>35754</v>
      </c>
      <c r="B1320" s="18" t="s">
        <v>39</v>
      </c>
      <c r="C1320" s="18" t="s">
        <v>40</v>
      </c>
      <c r="D1320" s="18" t="s">
        <v>53</v>
      </c>
      <c r="E1320" s="18" t="s">
        <v>54</v>
      </c>
      <c r="F1320" s="18" t="s">
        <v>42</v>
      </c>
      <c r="G1320" s="18" t="s">
        <v>43</v>
      </c>
      <c r="H1320" s="18">
        <v>55</v>
      </c>
      <c r="I1320" s="20">
        <v>6</v>
      </c>
      <c r="J1320" s="21">
        <v>330</v>
      </c>
    </row>
    <row r="1321" spans="1:10">
      <c r="A1321" s="19">
        <v>35754</v>
      </c>
      <c r="B1321" s="18" t="s">
        <v>39</v>
      </c>
      <c r="C1321" s="18" t="s">
        <v>41</v>
      </c>
      <c r="D1321" s="18" t="s">
        <v>53</v>
      </c>
      <c r="E1321" s="18" t="s">
        <v>55</v>
      </c>
      <c r="F1321" s="18" t="s">
        <v>42</v>
      </c>
      <c r="G1321" s="18" t="s">
        <v>43</v>
      </c>
      <c r="H1321" s="18">
        <v>18</v>
      </c>
      <c r="I1321" s="20">
        <v>10</v>
      </c>
      <c r="J1321" s="21">
        <v>180</v>
      </c>
    </row>
    <row r="1322" spans="1:10">
      <c r="A1322" s="19">
        <v>35754</v>
      </c>
      <c r="B1322" s="18" t="s">
        <v>39</v>
      </c>
      <c r="C1322" s="18" t="s">
        <v>44</v>
      </c>
      <c r="D1322" s="18" t="s">
        <v>53</v>
      </c>
      <c r="E1322" s="18" t="s">
        <v>56</v>
      </c>
      <c r="F1322" s="18" t="s">
        <v>45</v>
      </c>
      <c r="G1322" s="18" t="s">
        <v>38</v>
      </c>
      <c r="H1322" s="18">
        <v>18.399999999999999</v>
      </c>
      <c r="I1322" s="20">
        <v>40</v>
      </c>
      <c r="J1322" s="21">
        <v>736</v>
      </c>
    </row>
    <row r="1323" spans="1:10">
      <c r="A1323" s="19">
        <v>35754</v>
      </c>
      <c r="B1323" s="18" t="s">
        <v>39</v>
      </c>
      <c r="C1323" s="18" t="s">
        <v>46</v>
      </c>
      <c r="D1323" s="18" t="s">
        <v>53</v>
      </c>
      <c r="E1323" s="18" t="s">
        <v>57</v>
      </c>
      <c r="F1323" s="18" t="s">
        <v>45</v>
      </c>
      <c r="G1323" s="18" t="s">
        <v>38</v>
      </c>
      <c r="H1323" s="18">
        <v>9</v>
      </c>
      <c r="I1323" s="20">
        <v>44</v>
      </c>
      <c r="J1323" s="21">
        <v>396</v>
      </c>
    </row>
    <row r="1324" spans="1:10">
      <c r="A1324" s="19">
        <v>35755</v>
      </c>
      <c r="B1324" s="18" t="s">
        <v>39</v>
      </c>
      <c r="C1324" s="18" t="s">
        <v>47</v>
      </c>
      <c r="D1324" s="18" t="s">
        <v>53</v>
      </c>
      <c r="E1324" s="18" t="s">
        <v>54</v>
      </c>
      <c r="F1324" s="18" t="s">
        <v>48</v>
      </c>
      <c r="G1324" s="18" t="s">
        <v>31</v>
      </c>
      <c r="H1324" s="18">
        <v>55</v>
      </c>
      <c r="I1324" s="20">
        <v>25</v>
      </c>
      <c r="J1324" s="21">
        <v>1375</v>
      </c>
    </row>
    <row r="1325" spans="1:10">
      <c r="A1325" s="19">
        <v>35755</v>
      </c>
      <c r="B1325" s="18" t="s">
        <v>26</v>
      </c>
      <c r="C1325" s="18" t="s">
        <v>27</v>
      </c>
      <c r="D1325" s="18" t="s">
        <v>53</v>
      </c>
      <c r="E1325" s="18" t="s">
        <v>55</v>
      </c>
      <c r="F1325" s="18" t="s">
        <v>48</v>
      </c>
      <c r="G1325" s="18" t="s">
        <v>31</v>
      </c>
      <c r="H1325" s="18">
        <v>23.25</v>
      </c>
      <c r="I1325" s="20">
        <v>5</v>
      </c>
      <c r="J1325" s="21">
        <v>116.25</v>
      </c>
    </row>
    <row r="1326" spans="1:10">
      <c r="A1326" s="19">
        <v>35755</v>
      </c>
      <c r="B1326" s="18" t="s">
        <v>26</v>
      </c>
      <c r="C1326" s="18" t="s">
        <v>32</v>
      </c>
      <c r="D1326" s="18" t="s">
        <v>53</v>
      </c>
      <c r="E1326" s="18" t="s">
        <v>56</v>
      </c>
      <c r="F1326" s="18" t="s">
        <v>48</v>
      </c>
      <c r="G1326" s="18" t="s">
        <v>31</v>
      </c>
      <c r="H1326" s="18">
        <v>9.5</v>
      </c>
      <c r="I1326" s="20">
        <v>40</v>
      </c>
      <c r="J1326" s="21">
        <v>380</v>
      </c>
    </row>
    <row r="1327" spans="1:10">
      <c r="A1327" s="19">
        <v>35758</v>
      </c>
      <c r="B1327" s="18" t="s">
        <v>26</v>
      </c>
      <c r="C1327" s="18" t="s">
        <v>34</v>
      </c>
      <c r="D1327" s="18" t="s">
        <v>53</v>
      </c>
      <c r="E1327" s="18" t="s">
        <v>57</v>
      </c>
      <c r="F1327" s="18" t="s">
        <v>45</v>
      </c>
      <c r="G1327" s="18" t="s">
        <v>38</v>
      </c>
      <c r="H1327" s="18">
        <v>15</v>
      </c>
      <c r="I1327" s="20">
        <v>15</v>
      </c>
      <c r="J1327" s="21">
        <v>225</v>
      </c>
    </row>
    <row r="1328" spans="1:10">
      <c r="A1328" s="19">
        <v>35758</v>
      </c>
      <c r="B1328" s="18" t="s">
        <v>26</v>
      </c>
      <c r="C1328" s="18" t="s">
        <v>36</v>
      </c>
      <c r="D1328" s="18" t="s">
        <v>53</v>
      </c>
      <c r="E1328" s="18" t="s">
        <v>54</v>
      </c>
      <c r="F1328" s="18" t="s">
        <v>51</v>
      </c>
      <c r="G1328" s="18" t="s">
        <v>43</v>
      </c>
      <c r="H1328" s="18">
        <v>36</v>
      </c>
      <c r="I1328" s="20">
        <v>3</v>
      </c>
      <c r="J1328" s="21">
        <v>108</v>
      </c>
    </row>
    <row r="1329" spans="1:10">
      <c r="A1329" s="19">
        <v>35758</v>
      </c>
      <c r="B1329" s="18" t="s">
        <v>39</v>
      </c>
      <c r="C1329" s="18" t="s">
        <v>40</v>
      </c>
      <c r="D1329" s="18" t="s">
        <v>53</v>
      </c>
      <c r="E1329" s="18" t="s">
        <v>55</v>
      </c>
      <c r="F1329" s="18" t="s">
        <v>45</v>
      </c>
      <c r="G1329" s="18" t="s">
        <v>38</v>
      </c>
      <c r="H1329" s="18">
        <v>25.89</v>
      </c>
      <c r="I1329" s="20">
        <v>30</v>
      </c>
      <c r="J1329" s="21">
        <v>776.7</v>
      </c>
    </row>
    <row r="1330" spans="1:10">
      <c r="A1330" s="19">
        <v>35758</v>
      </c>
      <c r="B1330" s="18" t="s">
        <v>39</v>
      </c>
      <c r="C1330" s="18" t="s">
        <v>41</v>
      </c>
      <c r="D1330" s="18" t="s">
        <v>53</v>
      </c>
      <c r="E1330" s="18" t="s">
        <v>56</v>
      </c>
      <c r="F1330" s="18" t="s">
        <v>45</v>
      </c>
      <c r="G1330" s="18" t="s">
        <v>38</v>
      </c>
      <c r="H1330" s="18">
        <v>31.23</v>
      </c>
      <c r="I1330" s="20">
        <v>12</v>
      </c>
      <c r="J1330" s="21">
        <v>374.76</v>
      </c>
    </row>
    <row r="1331" spans="1:10">
      <c r="A1331" s="19">
        <v>35758</v>
      </c>
      <c r="B1331" s="18" t="s">
        <v>39</v>
      </c>
      <c r="C1331" s="18" t="s">
        <v>44</v>
      </c>
      <c r="D1331" s="18" t="s">
        <v>53</v>
      </c>
      <c r="E1331" s="18" t="s">
        <v>57</v>
      </c>
      <c r="F1331" s="18" t="s">
        <v>51</v>
      </c>
      <c r="G1331" s="18" t="s">
        <v>43</v>
      </c>
      <c r="H1331" s="18">
        <v>18</v>
      </c>
      <c r="I1331" s="20">
        <v>8</v>
      </c>
      <c r="J1331" s="21">
        <v>144</v>
      </c>
    </row>
    <row r="1332" spans="1:10">
      <c r="A1332" s="19">
        <v>35758</v>
      </c>
      <c r="B1332" s="18" t="s">
        <v>39</v>
      </c>
      <c r="C1332" s="18" t="s">
        <v>46</v>
      </c>
      <c r="D1332" s="18" t="s">
        <v>53</v>
      </c>
      <c r="E1332" s="18" t="s">
        <v>54</v>
      </c>
      <c r="F1332" s="18" t="s">
        <v>45</v>
      </c>
      <c r="G1332" s="18" t="s">
        <v>38</v>
      </c>
      <c r="H1332" s="18">
        <v>16.25</v>
      </c>
      <c r="I1332" s="20">
        <v>20</v>
      </c>
      <c r="J1332" s="21">
        <v>325</v>
      </c>
    </row>
    <row r="1333" spans="1:10">
      <c r="A1333" s="19">
        <v>35759</v>
      </c>
      <c r="B1333" s="18" t="s">
        <v>39</v>
      </c>
      <c r="C1333" s="18" t="s">
        <v>47</v>
      </c>
      <c r="D1333" s="18" t="s">
        <v>53</v>
      </c>
      <c r="E1333" s="18" t="s">
        <v>55</v>
      </c>
      <c r="F1333" s="18" t="s">
        <v>45</v>
      </c>
      <c r="G1333" s="18" t="s">
        <v>38</v>
      </c>
      <c r="H1333" s="18">
        <v>10</v>
      </c>
      <c r="I1333" s="20">
        <v>5</v>
      </c>
      <c r="J1333" s="21">
        <v>50</v>
      </c>
    </row>
    <row r="1334" spans="1:10">
      <c r="A1334" s="19">
        <v>35759</v>
      </c>
      <c r="B1334" s="18" t="s">
        <v>26</v>
      </c>
      <c r="C1334" s="18" t="s">
        <v>27</v>
      </c>
      <c r="D1334" s="18" t="s">
        <v>53</v>
      </c>
      <c r="E1334" s="18" t="s">
        <v>56</v>
      </c>
      <c r="F1334" s="18" t="s">
        <v>37</v>
      </c>
      <c r="G1334" s="18" t="s">
        <v>38</v>
      </c>
      <c r="H1334" s="18">
        <v>18.399999999999999</v>
      </c>
      <c r="I1334" s="20">
        <v>3</v>
      </c>
      <c r="J1334" s="21">
        <v>55.199999999999996</v>
      </c>
    </row>
    <row r="1335" spans="1:10">
      <c r="A1335" s="19">
        <v>35759</v>
      </c>
      <c r="B1335" s="18" t="s">
        <v>26</v>
      </c>
      <c r="C1335" s="18" t="s">
        <v>32</v>
      </c>
      <c r="D1335" s="18" t="s">
        <v>53</v>
      </c>
      <c r="E1335" s="18" t="s">
        <v>57</v>
      </c>
      <c r="F1335" s="18" t="s">
        <v>45</v>
      </c>
      <c r="G1335" s="18" t="s">
        <v>38</v>
      </c>
      <c r="H1335" s="18">
        <v>9.5</v>
      </c>
      <c r="I1335" s="20">
        <v>4</v>
      </c>
      <c r="J1335" s="21">
        <v>38</v>
      </c>
    </row>
    <row r="1336" spans="1:10">
      <c r="A1336" s="19">
        <v>35760</v>
      </c>
      <c r="B1336" s="18" t="s">
        <v>26</v>
      </c>
      <c r="C1336" s="18" t="s">
        <v>34</v>
      </c>
      <c r="D1336" s="18" t="s">
        <v>53</v>
      </c>
      <c r="E1336" s="18" t="s">
        <v>54</v>
      </c>
      <c r="F1336" s="18" t="s">
        <v>42</v>
      </c>
      <c r="G1336" s="18" t="s">
        <v>43</v>
      </c>
      <c r="H1336" s="18">
        <v>38</v>
      </c>
      <c r="I1336" s="20">
        <v>30</v>
      </c>
      <c r="J1336" s="21">
        <v>1140</v>
      </c>
    </row>
    <row r="1337" spans="1:10">
      <c r="A1337" s="19">
        <v>35760</v>
      </c>
      <c r="B1337" s="18" t="s">
        <v>26</v>
      </c>
      <c r="C1337" s="18" t="s">
        <v>36</v>
      </c>
      <c r="D1337" s="18" t="s">
        <v>53</v>
      </c>
      <c r="E1337" s="18" t="s">
        <v>55</v>
      </c>
      <c r="F1337" s="18" t="s">
        <v>42</v>
      </c>
      <c r="G1337" s="18" t="s">
        <v>43</v>
      </c>
      <c r="H1337" s="18">
        <v>9.5</v>
      </c>
      <c r="I1337" s="20">
        <v>30</v>
      </c>
      <c r="J1337" s="21">
        <v>285</v>
      </c>
    </row>
    <row r="1338" spans="1:10">
      <c r="A1338" s="19">
        <v>35760</v>
      </c>
      <c r="B1338" s="18" t="s">
        <v>39</v>
      </c>
      <c r="C1338" s="18" t="s">
        <v>40</v>
      </c>
      <c r="D1338" s="18" t="s">
        <v>53</v>
      </c>
      <c r="E1338" s="18" t="s">
        <v>56</v>
      </c>
      <c r="F1338" s="18" t="s">
        <v>42</v>
      </c>
      <c r="G1338" s="18" t="s">
        <v>43</v>
      </c>
      <c r="H1338" s="18">
        <v>36</v>
      </c>
      <c r="I1338" s="20">
        <v>25</v>
      </c>
      <c r="J1338" s="21">
        <v>900</v>
      </c>
    </row>
    <row r="1339" spans="1:10">
      <c r="A1339" s="19">
        <v>35760</v>
      </c>
      <c r="B1339" s="18" t="s">
        <v>39</v>
      </c>
      <c r="C1339" s="18" t="s">
        <v>41</v>
      </c>
      <c r="D1339" s="18" t="s">
        <v>53</v>
      </c>
      <c r="E1339" s="18" t="s">
        <v>57</v>
      </c>
      <c r="F1339" s="18" t="s">
        <v>42</v>
      </c>
      <c r="G1339" s="18" t="s">
        <v>43</v>
      </c>
      <c r="H1339" s="18">
        <v>19.5</v>
      </c>
      <c r="I1339" s="20">
        <v>14</v>
      </c>
      <c r="J1339" s="21">
        <v>273</v>
      </c>
    </row>
    <row r="1340" spans="1:10">
      <c r="A1340" s="19">
        <v>35761</v>
      </c>
      <c r="B1340" s="18" t="s">
        <v>39</v>
      </c>
      <c r="C1340" s="18" t="s">
        <v>44</v>
      </c>
      <c r="D1340" s="18" t="s">
        <v>53</v>
      </c>
      <c r="E1340" s="18" t="s">
        <v>54</v>
      </c>
      <c r="F1340" s="18" t="s">
        <v>37</v>
      </c>
      <c r="G1340" s="18" t="s">
        <v>38</v>
      </c>
      <c r="H1340" s="18">
        <v>55</v>
      </c>
      <c r="I1340" s="20">
        <v>7</v>
      </c>
      <c r="J1340" s="21">
        <v>385</v>
      </c>
    </row>
    <row r="1341" spans="1:10">
      <c r="A1341" s="19">
        <v>35761</v>
      </c>
      <c r="B1341" s="18" t="s">
        <v>39</v>
      </c>
      <c r="C1341" s="18" t="s">
        <v>46</v>
      </c>
      <c r="D1341" s="18" t="s">
        <v>53</v>
      </c>
      <c r="E1341" s="18" t="s">
        <v>55</v>
      </c>
      <c r="F1341" s="18" t="s">
        <v>50</v>
      </c>
      <c r="G1341" s="18" t="s">
        <v>31</v>
      </c>
      <c r="H1341" s="18">
        <v>36</v>
      </c>
      <c r="I1341" s="20">
        <v>20</v>
      </c>
      <c r="J1341" s="21">
        <v>720</v>
      </c>
    </row>
    <row r="1342" spans="1:10">
      <c r="A1342" s="19">
        <v>35761</v>
      </c>
      <c r="B1342" s="18" t="s">
        <v>39</v>
      </c>
      <c r="C1342" s="18" t="s">
        <v>47</v>
      </c>
      <c r="D1342" s="18" t="s">
        <v>53</v>
      </c>
      <c r="E1342" s="18" t="s">
        <v>56</v>
      </c>
      <c r="F1342" s="18" t="s">
        <v>37</v>
      </c>
      <c r="G1342" s="18" t="s">
        <v>38</v>
      </c>
      <c r="H1342" s="18">
        <v>33.25</v>
      </c>
      <c r="I1342" s="20">
        <v>24</v>
      </c>
      <c r="J1342" s="21">
        <v>798</v>
      </c>
    </row>
    <row r="1343" spans="1:10">
      <c r="A1343" s="19">
        <v>35761</v>
      </c>
      <c r="B1343" s="18" t="s">
        <v>26</v>
      </c>
      <c r="C1343" s="18" t="s">
        <v>27</v>
      </c>
      <c r="D1343" s="18" t="s">
        <v>53</v>
      </c>
      <c r="E1343" s="18" t="s">
        <v>57</v>
      </c>
      <c r="F1343" s="18" t="s">
        <v>50</v>
      </c>
      <c r="G1343" s="18" t="s">
        <v>31</v>
      </c>
      <c r="H1343" s="18">
        <v>12.5</v>
      </c>
      <c r="I1343" s="20">
        <v>6</v>
      </c>
      <c r="J1343" s="21">
        <v>75</v>
      </c>
    </row>
    <row r="1344" spans="1:10">
      <c r="A1344" s="19">
        <v>35761</v>
      </c>
      <c r="B1344" s="18" t="s">
        <v>26</v>
      </c>
      <c r="C1344" s="18" t="s">
        <v>32</v>
      </c>
      <c r="D1344" s="18" t="s">
        <v>53</v>
      </c>
      <c r="E1344" s="18" t="s">
        <v>54</v>
      </c>
      <c r="F1344" s="18" t="s">
        <v>50</v>
      </c>
      <c r="G1344" s="18" t="s">
        <v>31</v>
      </c>
      <c r="H1344" s="18">
        <v>62.5</v>
      </c>
      <c r="I1344" s="20">
        <v>21</v>
      </c>
      <c r="J1344" s="21">
        <v>1312.5</v>
      </c>
    </row>
    <row r="1345" spans="1:10">
      <c r="A1345" s="19">
        <v>35761</v>
      </c>
      <c r="B1345" s="18" t="s">
        <v>26</v>
      </c>
      <c r="C1345" s="18" t="s">
        <v>34</v>
      </c>
      <c r="D1345" s="18" t="s">
        <v>53</v>
      </c>
      <c r="E1345" s="18" t="s">
        <v>55</v>
      </c>
      <c r="F1345" s="18" t="s">
        <v>37</v>
      </c>
      <c r="G1345" s="18" t="s">
        <v>38</v>
      </c>
      <c r="H1345" s="18">
        <v>14</v>
      </c>
      <c r="I1345" s="20">
        <v>30</v>
      </c>
      <c r="J1345" s="21">
        <v>420</v>
      </c>
    </row>
    <row r="1346" spans="1:10">
      <c r="A1346" s="19">
        <v>35761</v>
      </c>
      <c r="B1346" s="18" t="s">
        <v>26</v>
      </c>
      <c r="C1346" s="18" t="s">
        <v>36</v>
      </c>
      <c r="D1346" s="18" t="s">
        <v>53</v>
      </c>
      <c r="E1346" s="18" t="s">
        <v>56</v>
      </c>
      <c r="F1346" s="18" t="s">
        <v>37</v>
      </c>
      <c r="G1346" s="18" t="s">
        <v>38</v>
      </c>
      <c r="H1346" s="18">
        <v>49.3</v>
      </c>
      <c r="I1346" s="20">
        <v>30</v>
      </c>
      <c r="J1346" s="21">
        <v>1479</v>
      </c>
    </row>
    <row r="1347" spans="1:10">
      <c r="A1347" s="19">
        <v>35761</v>
      </c>
      <c r="B1347" s="18" t="s">
        <v>39</v>
      </c>
      <c r="C1347" s="18" t="s">
        <v>40</v>
      </c>
      <c r="D1347" s="18" t="s">
        <v>53</v>
      </c>
      <c r="E1347" s="18" t="s">
        <v>57</v>
      </c>
      <c r="F1347" s="18" t="s">
        <v>50</v>
      </c>
      <c r="G1347" s="18" t="s">
        <v>31</v>
      </c>
      <c r="H1347" s="18">
        <v>19</v>
      </c>
      <c r="I1347" s="20">
        <v>20</v>
      </c>
      <c r="J1347" s="21">
        <v>380</v>
      </c>
    </row>
    <row r="1348" spans="1:10">
      <c r="A1348" s="19">
        <v>35762</v>
      </c>
      <c r="B1348" s="18" t="s">
        <v>39</v>
      </c>
      <c r="C1348" s="18" t="s">
        <v>41</v>
      </c>
      <c r="D1348" s="18" t="s">
        <v>53</v>
      </c>
      <c r="E1348" s="18" t="s">
        <v>56</v>
      </c>
      <c r="F1348" s="18" t="s">
        <v>45</v>
      </c>
      <c r="G1348" s="18" t="s">
        <v>38</v>
      </c>
      <c r="H1348" s="18">
        <v>32</v>
      </c>
      <c r="I1348" s="20">
        <v>10</v>
      </c>
      <c r="J1348" s="21">
        <v>320</v>
      </c>
    </row>
    <row r="1349" spans="1:10">
      <c r="A1349" s="19">
        <v>35762</v>
      </c>
      <c r="B1349" s="18" t="s">
        <v>39</v>
      </c>
      <c r="C1349" s="18" t="s">
        <v>44</v>
      </c>
      <c r="D1349" s="18" t="s">
        <v>53</v>
      </c>
      <c r="E1349" s="18" t="s">
        <v>54</v>
      </c>
      <c r="F1349" s="18" t="s">
        <v>45</v>
      </c>
      <c r="G1349" s="18" t="s">
        <v>38</v>
      </c>
      <c r="H1349" s="18">
        <v>31.23</v>
      </c>
      <c r="I1349" s="20">
        <v>20</v>
      </c>
      <c r="J1349" s="21">
        <v>624.6</v>
      </c>
    </row>
    <row r="1350" spans="1:10">
      <c r="A1350" s="19">
        <v>35762</v>
      </c>
      <c r="B1350" s="18" t="s">
        <v>39</v>
      </c>
      <c r="C1350" s="18" t="s">
        <v>46</v>
      </c>
      <c r="D1350" s="18" t="s">
        <v>53</v>
      </c>
      <c r="E1350" s="18" t="s">
        <v>55</v>
      </c>
      <c r="F1350" s="18" t="s">
        <v>45</v>
      </c>
      <c r="G1350" s="18" t="s">
        <v>38</v>
      </c>
      <c r="H1350" s="18">
        <v>7</v>
      </c>
      <c r="I1350" s="20">
        <v>60</v>
      </c>
      <c r="J1350" s="21">
        <v>420</v>
      </c>
    </row>
    <row r="1351" spans="1:10">
      <c r="A1351" s="19">
        <v>35762</v>
      </c>
      <c r="B1351" s="18" t="s">
        <v>39</v>
      </c>
      <c r="C1351" s="18" t="s">
        <v>47</v>
      </c>
      <c r="D1351" s="18" t="s">
        <v>53</v>
      </c>
      <c r="E1351" s="18" t="s">
        <v>56</v>
      </c>
      <c r="F1351" s="18" t="s">
        <v>45</v>
      </c>
      <c r="G1351" s="18" t="s">
        <v>38</v>
      </c>
      <c r="H1351" s="18">
        <v>15</v>
      </c>
      <c r="I1351" s="20">
        <v>40</v>
      </c>
      <c r="J1351" s="21">
        <v>600</v>
      </c>
    </row>
    <row r="1352" spans="1:10">
      <c r="A1352" s="19">
        <v>35765</v>
      </c>
      <c r="B1352" s="18" t="s">
        <v>26</v>
      </c>
      <c r="C1352" s="18" t="s">
        <v>27</v>
      </c>
      <c r="D1352" s="18" t="s">
        <v>53</v>
      </c>
      <c r="E1352" s="18" t="s">
        <v>57</v>
      </c>
      <c r="F1352" s="18" t="s">
        <v>42</v>
      </c>
      <c r="G1352" s="18" t="s">
        <v>43</v>
      </c>
      <c r="H1352" s="18">
        <v>46</v>
      </c>
      <c r="I1352" s="20">
        <v>30</v>
      </c>
      <c r="J1352" s="21">
        <v>1380</v>
      </c>
    </row>
    <row r="1353" spans="1:10">
      <c r="A1353" s="19">
        <v>35765</v>
      </c>
      <c r="B1353" s="18" t="s">
        <v>26</v>
      </c>
      <c r="C1353" s="18" t="s">
        <v>32</v>
      </c>
      <c r="D1353" s="18" t="s">
        <v>53</v>
      </c>
      <c r="E1353" s="18" t="s">
        <v>54</v>
      </c>
      <c r="F1353" s="18" t="s">
        <v>42</v>
      </c>
      <c r="G1353" s="18" t="s">
        <v>43</v>
      </c>
      <c r="H1353" s="18">
        <v>43.9</v>
      </c>
      <c r="I1353" s="20">
        <v>40</v>
      </c>
      <c r="J1353" s="21">
        <v>1756</v>
      </c>
    </row>
    <row r="1354" spans="1:10">
      <c r="A1354" s="19">
        <v>35765</v>
      </c>
      <c r="B1354" s="18" t="s">
        <v>26</v>
      </c>
      <c r="C1354" s="18" t="s">
        <v>34</v>
      </c>
      <c r="D1354" s="18" t="s">
        <v>53</v>
      </c>
      <c r="E1354" s="18" t="s">
        <v>55</v>
      </c>
      <c r="F1354" s="18" t="s">
        <v>42</v>
      </c>
      <c r="G1354" s="18" t="s">
        <v>43</v>
      </c>
      <c r="H1354" s="18">
        <v>14</v>
      </c>
      <c r="I1354" s="20">
        <v>12</v>
      </c>
      <c r="J1354" s="21">
        <v>168</v>
      </c>
    </row>
    <row r="1355" spans="1:10">
      <c r="A1355" s="19">
        <v>35766</v>
      </c>
      <c r="B1355" s="18" t="s">
        <v>26</v>
      </c>
      <c r="C1355" s="18" t="s">
        <v>36</v>
      </c>
      <c r="D1355" s="18" t="s">
        <v>53</v>
      </c>
      <c r="E1355" s="18" t="s">
        <v>56</v>
      </c>
      <c r="F1355" s="18" t="s">
        <v>45</v>
      </c>
      <c r="G1355" s="18" t="s">
        <v>38</v>
      </c>
      <c r="H1355" s="18">
        <v>38</v>
      </c>
      <c r="I1355" s="20">
        <v>60</v>
      </c>
      <c r="J1355" s="21">
        <v>2280</v>
      </c>
    </row>
    <row r="1356" spans="1:10">
      <c r="A1356" s="19">
        <v>35766</v>
      </c>
      <c r="B1356" s="18" t="s">
        <v>39</v>
      </c>
      <c r="C1356" s="18" t="s">
        <v>40</v>
      </c>
      <c r="D1356" s="18" t="s">
        <v>53</v>
      </c>
      <c r="E1356" s="18" t="s">
        <v>57</v>
      </c>
      <c r="F1356" s="18" t="s">
        <v>45</v>
      </c>
      <c r="G1356" s="18" t="s">
        <v>38</v>
      </c>
      <c r="H1356" s="18">
        <v>9.5</v>
      </c>
      <c r="I1356" s="20">
        <v>30</v>
      </c>
      <c r="J1356" s="21">
        <v>285</v>
      </c>
    </row>
    <row r="1357" spans="1:10">
      <c r="A1357" s="19">
        <v>35766</v>
      </c>
      <c r="B1357" s="18" t="s">
        <v>39</v>
      </c>
      <c r="C1357" s="18" t="s">
        <v>41</v>
      </c>
      <c r="D1357" s="18" t="s">
        <v>53</v>
      </c>
      <c r="E1357" s="18" t="s">
        <v>54</v>
      </c>
      <c r="F1357" s="18" t="s">
        <v>30</v>
      </c>
      <c r="G1357" s="18" t="s">
        <v>31</v>
      </c>
      <c r="H1357" s="18">
        <v>7.75</v>
      </c>
      <c r="I1357" s="20">
        <v>18</v>
      </c>
      <c r="J1357" s="21">
        <v>139.5</v>
      </c>
    </row>
    <row r="1358" spans="1:10">
      <c r="A1358" s="19">
        <v>35766</v>
      </c>
      <c r="B1358" s="18" t="s">
        <v>39</v>
      </c>
      <c r="C1358" s="18" t="s">
        <v>44</v>
      </c>
      <c r="D1358" s="18" t="s">
        <v>53</v>
      </c>
      <c r="E1358" s="18" t="s">
        <v>55</v>
      </c>
      <c r="F1358" s="18" t="s">
        <v>30</v>
      </c>
      <c r="G1358" s="18" t="s">
        <v>31</v>
      </c>
      <c r="H1358" s="18">
        <v>14</v>
      </c>
      <c r="I1358" s="20">
        <v>35</v>
      </c>
      <c r="J1358" s="21">
        <v>490</v>
      </c>
    </row>
    <row r="1359" spans="1:10">
      <c r="A1359" s="19">
        <v>35766</v>
      </c>
      <c r="B1359" s="18" t="s">
        <v>39</v>
      </c>
      <c r="C1359" s="18" t="s">
        <v>46</v>
      </c>
      <c r="D1359" s="18" t="s">
        <v>53</v>
      </c>
      <c r="E1359" s="18" t="s">
        <v>56</v>
      </c>
      <c r="F1359" s="18" t="s">
        <v>45</v>
      </c>
      <c r="G1359" s="18" t="s">
        <v>38</v>
      </c>
      <c r="H1359" s="18">
        <v>18</v>
      </c>
      <c r="I1359" s="20">
        <v>16</v>
      </c>
      <c r="J1359" s="21">
        <v>288</v>
      </c>
    </row>
    <row r="1360" spans="1:10">
      <c r="A1360" s="19">
        <v>35766</v>
      </c>
      <c r="B1360" s="18" t="s">
        <v>39</v>
      </c>
      <c r="C1360" s="18" t="s">
        <v>47</v>
      </c>
      <c r="D1360" s="18" t="s">
        <v>53</v>
      </c>
      <c r="E1360" s="18" t="s">
        <v>57</v>
      </c>
      <c r="F1360" s="18" t="s">
        <v>45</v>
      </c>
      <c r="G1360" s="18" t="s">
        <v>38</v>
      </c>
      <c r="H1360" s="18">
        <v>53</v>
      </c>
      <c r="I1360" s="20">
        <v>28</v>
      </c>
      <c r="J1360" s="21">
        <v>1484</v>
      </c>
    </row>
    <row r="1361" spans="1:10">
      <c r="A1361" s="19">
        <v>35767</v>
      </c>
      <c r="B1361" s="18" t="s">
        <v>26</v>
      </c>
      <c r="C1361" s="18" t="s">
        <v>27</v>
      </c>
      <c r="D1361" s="18" t="s">
        <v>53</v>
      </c>
      <c r="E1361" s="18" t="s">
        <v>54</v>
      </c>
      <c r="F1361" s="18" t="s">
        <v>37</v>
      </c>
      <c r="G1361" s="18" t="s">
        <v>38</v>
      </c>
      <c r="H1361" s="18">
        <v>10</v>
      </c>
      <c r="I1361" s="20">
        <v>20</v>
      </c>
      <c r="J1361" s="21">
        <v>200</v>
      </c>
    </row>
    <row r="1362" spans="1:10">
      <c r="A1362" s="19">
        <v>35767</v>
      </c>
      <c r="B1362" s="18" t="s">
        <v>26</v>
      </c>
      <c r="C1362" s="18" t="s">
        <v>32</v>
      </c>
      <c r="D1362" s="18" t="s">
        <v>53</v>
      </c>
      <c r="E1362" s="18" t="s">
        <v>55</v>
      </c>
      <c r="F1362" s="18" t="s">
        <v>45</v>
      </c>
      <c r="G1362" s="18" t="s">
        <v>38</v>
      </c>
      <c r="H1362" s="18">
        <v>10</v>
      </c>
      <c r="I1362" s="20">
        <v>40</v>
      </c>
      <c r="J1362" s="21">
        <v>400</v>
      </c>
    </row>
    <row r="1363" spans="1:10">
      <c r="A1363" s="19">
        <v>35767</v>
      </c>
      <c r="B1363" s="18" t="s">
        <v>26</v>
      </c>
      <c r="C1363" s="18" t="s">
        <v>34</v>
      </c>
      <c r="D1363" s="18" t="s">
        <v>53</v>
      </c>
      <c r="E1363" s="18" t="s">
        <v>56</v>
      </c>
      <c r="F1363" s="18" t="s">
        <v>45</v>
      </c>
      <c r="G1363" s="18" t="s">
        <v>38</v>
      </c>
      <c r="H1363" s="18">
        <v>21</v>
      </c>
      <c r="I1363" s="20">
        <v>6</v>
      </c>
      <c r="J1363" s="21">
        <v>126</v>
      </c>
    </row>
    <row r="1364" spans="1:10">
      <c r="A1364" s="19">
        <v>35767</v>
      </c>
      <c r="B1364" s="18" t="s">
        <v>26</v>
      </c>
      <c r="C1364" s="18" t="s">
        <v>36</v>
      </c>
      <c r="D1364" s="18" t="s">
        <v>53</v>
      </c>
      <c r="E1364" s="18" t="s">
        <v>57</v>
      </c>
      <c r="F1364" s="18" t="s">
        <v>45</v>
      </c>
      <c r="G1364" s="18" t="s">
        <v>38</v>
      </c>
      <c r="H1364" s="18">
        <v>4.5</v>
      </c>
      <c r="I1364" s="20">
        <v>20</v>
      </c>
      <c r="J1364" s="21">
        <v>90</v>
      </c>
    </row>
    <row r="1365" spans="1:10">
      <c r="A1365" s="19">
        <v>35767</v>
      </c>
      <c r="B1365" s="18" t="s">
        <v>39</v>
      </c>
      <c r="C1365" s="18" t="s">
        <v>40</v>
      </c>
      <c r="D1365" s="18" t="s">
        <v>53</v>
      </c>
      <c r="E1365" s="18" t="s">
        <v>54</v>
      </c>
      <c r="F1365" s="18" t="s">
        <v>37</v>
      </c>
      <c r="G1365" s="18" t="s">
        <v>38</v>
      </c>
      <c r="H1365" s="18">
        <v>18</v>
      </c>
      <c r="I1365" s="20">
        <v>130</v>
      </c>
      <c r="J1365" s="21">
        <v>2340</v>
      </c>
    </row>
    <row r="1366" spans="1:10">
      <c r="A1366" s="19">
        <v>35768</v>
      </c>
      <c r="B1366" s="18" t="s">
        <v>39</v>
      </c>
      <c r="C1366" s="18" t="s">
        <v>41</v>
      </c>
      <c r="D1366" s="18" t="s">
        <v>53</v>
      </c>
      <c r="E1366" s="18" t="s">
        <v>55</v>
      </c>
      <c r="F1366" s="18" t="s">
        <v>45</v>
      </c>
      <c r="G1366" s="18" t="s">
        <v>38</v>
      </c>
      <c r="H1366" s="18">
        <v>21.05</v>
      </c>
      <c r="I1366" s="20">
        <v>80</v>
      </c>
      <c r="J1366" s="21">
        <v>1684</v>
      </c>
    </row>
    <row r="1367" spans="1:10">
      <c r="A1367" s="19">
        <v>35769</v>
      </c>
      <c r="B1367" s="18" t="s">
        <v>39</v>
      </c>
      <c r="C1367" s="18" t="s">
        <v>44</v>
      </c>
      <c r="D1367" s="18" t="s">
        <v>53</v>
      </c>
      <c r="E1367" s="18" t="s">
        <v>56</v>
      </c>
      <c r="F1367" s="18" t="s">
        <v>42</v>
      </c>
      <c r="G1367" s="18" t="s">
        <v>43</v>
      </c>
      <c r="H1367" s="18">
        <v>14</v>
      </c>
      <c r="I1367" s="20">
        <v>2</v>
      </c>
      <c r="J1367" s="21">
        <v>28</v>
      </c>
    </row>
    <row r="1368" spans="1:10">
      <c r="A1368" s="19">
        <v>35769</v>
      </c>
      <c r="B1368" s="18" t="s">
        <v>39</v>
      </c>
      <c r="C1368" s="18" t="s">
        <v>46</v>
      </c>
      <c r="D1368" s="18" t="s">
        <v>53</v>
      </c>
      <c r="E1368" s="18" t="s">
        <v>57</v>
      </c>
      <c r="F1368" s="18" t="s">
        <v>42</v>
      </c>
      <c r="G1368" s="18" t="s">
        <v>43</v>
      </c>
      <c r="H1368" s="18">
        <v>30</v>
      </c>
      <c r="I1368" s="20">
        <v>35</v>
      </c>
      <c r="J1368" s="21">
        <v>1050</v>
      </c>
    </row>
    <row r="1369" spans="1:10">
      <c r="A1369" s="19">
        <v>35769</v>
      </c>
      <c r="B1369" s="18" t="s">
        <v>39</v>
      </c>
      <c r="C1369" s="18" t="s">
        <v>47</v>
      </c>
      <c r="D1369" s="18" t="s">
        <v>53</v>
      </c>
      <c r="E1369" s="18" t="s">
        <v>54</v>
      </c>
      <c r="F1369" s="18" t="s">
        <v>42</v>
      </c>
      <c r="G1369" s="18" t="s">
        <v>43</v>
      </c>
      <c r="H1369" s="18">
        <v>12.5</v>
      </c>
      <c r="I1369" s="20">
        <v>40</v>
      </c>
      <c r="J1369" s="21">
        <v>500</v>
      </c>
    </row>
    <row r="1370" spans="1:10">
      <c r="A1370" s="19">
        <v>35769</v>
      </c>
      <c r="B1370" s="18" t="s">
        <v>26</v>
      </c>
      <c r="C1370" s="18" t="s">
        <v>27</v>
      </c>
      <c r="D1370" s="18" t="s">
        <v>53</v>
      </c>
      <c r="E1370" s="18" t="s">
        <v>55</v>
      </c>
      <c r="F1370" s="18" t="s">
        <v>42</v>
      </c>
      <c r="G1370" s="18" t="s">
        <v>43</v>
      </c>
      <c r="H1370" s="18">
        <v>19</v>
      </c>
      <c r="I1370" s="20">
        <v>40</v>
      </c>
      <c r="J1370" s="21">
        <v>760</v>
      </c>
    </row>
    <row r="1371" spans="1:10">
      <c r="A1371" s="19">
        <v>35772</v>
      </c>
      <c r="B1371" s="18" t="s">
        <v>26</v>
      </c>
      <c r="C1371" s="18" t="s">
        <v>32</v>
      </c>
      <c r="D1371" s="18" t="s">
        <v>53</v>
      </c>
      <c r="E1371" s="18" t="s">
        <v>56</v>
      </c>
      <c r="F1371" s="18" t="s">
        <v>45</v>
      </c>
      <c r="G1371" s="18" t="s">
        <v>38</v>
      </c>
      <c r="H1371" s="18">
        <v>28.5</v>
      </c>
      <c r="I1371" s="20">
        <v>20</v>
      </c>
      <c r="J1371" s="21">
        <v>570</v>
      </c>
    </row>
    <row r="1372" spans="1:10">
      <c r="A1372" s="19">
        <v>35772</v>
      </c>
      <c r="B1372" s="18" t="s">
        <v>26</v>
      </c>
      <c r="C1372" s="18" t="s">
        <v>34</v>
      </c>
      <c r="D1372" s="18" t="s">
        <v>53</v>
      </c>
      <c r="E1372" s="18" t="s">
        <v>57</v>
      </c>
      <c r="F1372" s="18" t="s">
        <v>45</v>
      </c>
      <c r="G1372" s="18" t="s">
        <v>38</v>
      </c>
      <c r="H1372" s="18">
        <v>34</v>
      </c>
      <c r="I1372" s="20">
        <v>15</v>
      </c>
      <c r="J1372" s="21">
        <v>510</v>
      </c>
    </row>
    <row r="1373" spans="1:10">
      <c r="A1373" s="19">
        <v>35772</v>
      </c>
      <c r="B1373" s="18" t="s">
        <v>26</v>
      </c>
      <c r="C1373" s="18" t="s">
        <v>36</v>
      </c>
      <c r="D1373" s="18" t="s">
        <v>53</v>
      </c>
      <c r="E1373" s="18" t="s">
        <v>54</v>
      </c>
      <c r="F1373" s="18" t="s">
        <v>45</v>
      </c>
      <c r="G1373" s="18" t="s">
        <v>38</v>
      </c>
      <c r="H1373" s="18">
        <v>21</v>
      </c>
      <c r="I1373" s="20">
        <v>4</v>
      </c>
      <c r="J1373" s="21">
        <v>84</v>
      </c>
    </row>
    <row r="1374" spans="1:10">
      <c r="A1374" s="19">
        <v>35772</v>
      </c>
      <c r="B1374" s="18" t="s">
        <v>39</v>
      </c>
      <c r="C1374" s="18" t="s">
        <v>40</v>
      </c>
      <c r="D1374" s="18" t="s">
        <v>53</v>
      </c>
      <c r="E1374" s="18" t="s">
        <v>55</v>
      </c>
      <c r="F1374" s="18" t="s">
        <v>45</v>
      </c>
      <c r="G1374" s="18" t="s">
        <v>38</v>
      </c>
      <c r="H1374" s="18">
        <v>7</v>
      </c>
      <c r="I1374" s="20">
        <v>15</v>
      </c>
      <c r="J1374" s="21">
        <v>105</v>
      </c>
    </row>
    <row r="1375" spans="1:10">
      <c r="A1375" s="19">
        <v>35772</v>
      </c>
      <c r="B1375" s="18" t="s">
        <v>39</v>
      </c>
      <c r="C1375" s="18" t="s">
        <v>41</v>
      </c>
      <c r="D1375" s="18" t="s">
        <v>53</v>
      </c>
      <c r="E1375" s="18" t="s">
        <v>56</v>
      </c>
      <c r="F1375" s="18" t="s">
        <v>45</v>
      </c>
      <c r="G1375" s="18" t="s">
        <v>38</v>
      </c>
      <c r="H1375" s="18">
        <v>49.3</v>
      </c>
      <c r="I1375" s="20">
        <v>15</v>
      </c>
      <c r="J1375" s="21">
        <v>739.5</v>
      </c>
    </row>
    <row r="1376" spans="1:10">
      <c r="A1376" s="19">
        <v>35772</v>
      </c>
      <c r="B1376" s="18" t="s">
        <v>39</v>
      </c>
      <c r="C1376" s="18" t="s">
        <v>44</v>
      </c>
      <c r="D1376" s="18" t="s">
        <v>53</v>
      </c>
      <c r="E1376" s="18" t="s">
        <v>57</v>
      </c>
      <c r="F1376" s="18" t="s">
        <v>45</v>
      </c>
      <c r="G1376" s="18" t="s">
        <v>38</v>
      </c>
      <c r="H1376" s="18">
        <v>12.5</v>
      </c>
      <c r="I1376" s="20">
        <v>50</v>
      </c>
      <c r="J1376" s="21">
        <v>625</v>
      </c>
    </row>
    <row r="1377" spans="1:10">
      <c r="A1377" s="19">
        <v>35772</v>
      </c>
      <c r="B1377" s="18" t="s">
        <v>39</v>
      </c>
      <c r="C1377" s="18" t="s">
        <v>46</v>
      </c>
      <c r="D1377" s="18" t="s">
        <v>53</v>
      </c>
      <c r="E1377" s="18" t="s">
        <v>56</v>
      </c>
      <c r="F1377" s="18" t="s">
        <v>45</v>
      </c>
      <c r="G1377" s="18" t="s">
        <v>38</v>
      </c>
      <c r="H1377" s="18">
        <v>9.65</v>
      </c>
      <c r="I1377" s="20">
        <v>30</v>
      </c>
      <c r="J1377" s="21">
        <v>289.5</v>
      </c>
    </row>
    <row r="1378" spans="1:10">
      <c r="A1378" s="19">
        <v>35772</v>
      </c>
      <c r="B1378" s="18" t="s">
        <v>39</v>
      </c>
      <c r="C1378" s="18" t="s">
        <v>47</v>
      </c>
      <c r="D1378" s="18" t="s">
        <v>53</v>
      </c>
      <c r="E1378" s="18" t="s">
        <v>54</v>
      </c>
      <c r="F1378" s="18" t="s">
        <v>45</v>
      </c>
      <c r="G1378" s="18" t="s">
        <v>38</v>
      </c>
      <c r="H1378" s="18">
        <v>21.5</v>
      </c>
      <c r="I1378" s="20">
        <v>12</v>
      </c>
      <c r="J1378" s="21">
        <v>258</v>
      </c>
    </row>
    <row r="1379" spans="1:10">
      <c r="A1379" s="19">
        <v>35773</v>
      </c>
      <c r="B1379" s="18" t="s">
        <v>26</v>
      </c>
      <c r="C1379" s="18" t="s">
        <v>27</v>
      </c>
      <c r="D1379" s="18" t="s">
        <v>53</v>
      </c>
      <c r="E1379" s="18" t="s">
        <v>55</v>
      </c>
      <c r="F1379" s="18" t="s">
        <v>50</v>
      </c>
      <c r="G1379" s="18" t="s">
        <v>31</v>
      </c>
      <c r="H1379" s="18">
        <v>21</v>
      </c>
      <c r="I1379" s="20">
        <v>15</v>
      </c>
      <c r="J1379" s="21">
        <v>315</v>
      </c>
    </row>
    <row r="1380" spans="1:10">
      <c r="A1380" s="19">
        <v>35774</v>
      </c>
      <c r="B1380" s="18" t="s">
        <v>26</v>
      </c>
      <c r="C1380" s="18" t="s">
        <v>32</v>
      </c>
      <c r="D1380" s="18" t="s">
        <v>53</v>
      </c>
      <c r="E1380" s="18" t="s">
        <v>56</v>
      </c>
      <c r="F1380" s="18" t="s">
        <v>45</v>
      </c>
      <c r="G1380" s="18" t="s">
        <v>38</v>
      </c>
      <c r="H1380" s="18">
        <v>55</v>
      </c>
      <c r="I1380" s="20">
        <v>25</v>
      </c>
      <c r="J1380" s="21">
        <v>1375</v>
      </c>
    </row>
    <row r="1381" spans="1:10">
      <c r="A1381" s="19">
        <v>35774</v>
      </c>
      <c r="B1381" s="18" t="s">
        <v>26</v>
      </c>
      <c r="C1381" s="18" t="s">
        <v>34</v>
      </c>
      <c r="D1381" s="18" t="s">
        <v>53</v>
      </c>
      <c r="E1381" s="18" t="s">
        <v>57</v>
      </c>
      <c r="F1381" s="18" t="s">
        <v>45</v>
      </c>
      <c r="G1381" s="18" t="s">
        <v>38</v>
      </c>
      <c r="H1381" s="18">
        <v>123.79</v>
      </c>
      <c r="I1381" s="20">
        <v>18</v>
      </c>
      <c r="J1381" s="21">
        <v>2228.2200000000003</v>
      </c>
    </row>
    <row r="1382" spans="1:10">
      <c r="A1382" s="19">
        <v>35774</v>
      </c>
      <c r="B1382" s="18" t="s">
        <v>26</v>
      </c>
      <c r="C1382" s="18" t="s">
        <v>36</v>
      </c>
      <c r="D1382" s="18" t="s">
        <v>53</v>
      </c>
      <c r="E1382" s="18" t="s">
        <v>54</v>
      </c>
      <c r="F1382" s="18" t="s">
        <v>48</v>
      </c>
      <c r="G1382" s="18" t="s">
        <v>31</v>
      </c>
      <c r="H1382" s="18">
        <v>21.5</v>
      </c>
      <c r="I1382" s="20">
        <v>16</v>
      </c>
      <c r="J1382" s="21">
        <v>344</v>
      </c>
    </row>
    <row r="1383" spans="1:10">
      <c r="A1383" s="19">
        <v>35775</v>
      </c>
      <c r="B1383" s="18" t="s">
        <v>39</v>
      </c>
      <c r="C1383" s="18" t="s">
        <v>40</v>
      </c>
      <c r="D1383" s="18" t="s">
        <v>53</v>
      </c>
      <c r="E1383" s="18" t="s">
        <v>55</v>
      </c>
      <c r="F1383" s="18" t="s">
        <v>49</v>
      </c>
      <c r="G1383" s="18" t="s">
        <v>38</v>
      </c>
      <c r="H1383" s="18">
        <v>7.75</v>
      </c>
      <c r="I1383" s="20">
        <v>7</v>
      </c>
      <c r="J1383" s="21">
        <v>54.25</v>
      </c>
    </row>
    <row r="1384" spans="1:10">
      <c r="A1384" s="19">
        <v>35775</v>
      </c>
      <c r="B1384" s="18" t="s">
        <v>39</v>
      </c>
      <c r="C1384" s="18" t="s">
        <v>41</v>
      </c>
      <c r="D1384" s="18" t="s">
        <v>53</v>
      </c>
      <c r="E1384" s="18" t="s">
        <v>56</v>
      </c>
      <c r="F1384" s="18" t="s">
        <v>42</v>
      </c>
      <c r="G1384" s="18" t="s">
        <v>43</v>
      </c>
      <c r="H1384" s="18">
        <v>17</v>
      </c>
      <c r="I1384" s="20">
        <v>50</v>
      </c>
      <c r="J1384" s="21">
        <v>850</v>
      </c>
    </row>
    <row r="1385" spans="1:10">
      <c r="A1385" s="19">
        <v>35775</v>
      </c>
      <c r="B1385" s="18" t="s">
        <v>39</v>
      </c>
      <c r="C1385" s="18" t="s">
        <v>44</v>
      </c>
      <c r="D1385" s="18" t="s">
        <v>53</v>
      </c>
      <c r="E1385" s="18" t="s">
        <v>57</v>
      </c>
      <c r="F1385" s="18" t="s">
        <v>49</v>
      </c>
      <c r="G1385" s="18" t="s">
        <v>38</v>
      </c>
      <c r="H1385" s="18">
        <v>12.5</v>
      </c>
      <c r="I1385" s="20">
        <v>70</v>
      </c>
      <c r="J1385" s="21">
        <v>875</v>
      </c>
    </row>
    <row r="1386" spans="1:10">
      <c r="A1386" s="19">
        <v>35775</v>
      </c>
      <c r="B1386" s="18" t="s">
        <v>39</v>
      </c>
      <c r="C1386" s="18" t="s">
        <v>46</v>
      </c>
      <c r="D1386" s="18" t="s">
        <v>53</v>
      </c>
      <c r="E1386" s="18" t="s">
        <v>54</v>
      </c>
      <c r="F1386" s="18" t="s">
        <v>42</v>
      </c>
      <c r="G1386" s="18" t="s">
        <v>43</v>
      </c>
      <c r="H1386" s="18">
        <v>12.5</v>
      </c>
      <c r="I1386" s="20">
        <v>2</v>
      </c>
      <c r="J1386" s="21">
        <v>25</v>
      </c>
    </row>
    <row r="1387" spans="1:10">
      <c r="A1387" s="19">
        <v>35775</v>
      </c>
      <c r="B1387" s="18" t="s">
        <v>39</v>
      </c>
      <c r="C1387" s="18" t="s">
        <v>47</v>
      </c>
      <c r="D1387" s="18" t="s">
        <v>53</v>
      </c>
      <c r="E1387" s="18" t="s">
        <v>55</v>
      </c>
      <c r="F1387" s="18" t="s">
        <v>49</v>
      </c>
      <c r="G1387" s="18" t="s">
        <v>38</v>
      </c>
      <c r="H1387" s="18">
        <v>39</v>
      </c>
      <c r="I1387" s="20">
        <v>33</v>
      </c>
      <c r="J1387" s="21">
        <v>1287</v>
      </c>
    </row>
    <row r="1388" spans="1:10">
      <c r="A1388" s="19">
        <v>35776</v>
      </c>
      <c r="B1388" s="18" t="s">
        <v>26</v>
      </c>
      <c r="C1388" s="18" t="s">
        <v>27</v>
      </c>
      <c r="D1388" s="18" t="s">
        <v>53</v>
      </c>
      <c r="E1388" s="18" t="s">
        <v>56</v>
      </c>
      <c r="F1388" s="18" t="s">
        <v>52</v>
      </c>
      <c r="G1388" s="18" t="s">
        <v>31</v>
      </c>
      <c r="H1388" s="18">
        <v>14</v>
      </c>
      <c r="I1388" s="20">
        <v>3</v>
      </c>
      <c r="J1388" s="21">
        <v>42</v>
      </c>
    </row>
    <row r="1389" spans="1:10">
      <c r="A1389" s="19">
        <v>35776</v>
      </c>
      <c r="B1389" s="18" t="s">
        <v>26</v>
      </c>
      <c r="C1389" s="18" t="s">
        <v>32</v>
      </c>
      <c r="D1389" s="18" t="s">
        <v>53</v>
      </c>
      <c r="E1389" s="18" t="s">
        <v>57</v>
      </c>
      <c r="F1389" s="18" t="s">
        <v>52</v>
      </c>
      <c r="G1389" s="18" t="s">
        <v>31</v>
      </c>
      <c r="H1389" s="18">
        <v>31</v>
      </c>
      <c r="I1389" s="20">
        <v>6</v>
      </c>
      <c r="J1389" s="21">
        <v>186</v>
      </c>
    </row>
    <row r="1390" spans="1:10">
      <c r="A1390" s="19">
        <v>35779</v>
      </c>
      <c r="B1390" s="18" t="s">
        <v>26</v>
      </c>
      <c r="C1390" s="18" t="s">
        <v>34</v>
      </c>
      <c r="D1390" s="18" t="s">
        <v>53</v>
      </c>
      <c r="E1390" s="18" t="s">
        <v>54</v>
      </c>
      <c r="F1390" s="18" t="s">
        <v>49</v>
      </c>
      <c r="G1390" s="18" t="s">
        <v>38</v>
      </c>
      <c r="H1390" s="18">
        <v>14</v>
      </c>
      <c r="I1390" s="20">
        <v>12</v>
      </c>
      <c r="J1390" s="21">
        <v>168</v>
      </c>
    </row>
    <row r="1391" spans="1:10">
      <c r="A1391" s="19">
        <v>35779</v>
      </c>
      <c r="B1391" s="18" t="s">
        <v>26</v>
      </c>
      <c r="C1391" s="18" t="s">
        <v>36</v>
      </c>
      <c r="D1391" s="18" t="s">
        <v>53</v>
      </c>
      <c r="E1391" s="18" t="s">
        <v>55</v>
      </c>
      <c r="F1391" s="18" t="s">
        <v>52</v>
      </c>
      <c r="G1391" s="18" t="s">
        <v>31</v>
      </c>
      <c r="H1391" s="18">
        <v>14</v>
      </c>
      <c r="I1391" s="20">
        <v>20</v>
      </c>
      <c r="J1391" s="21">
        <v>280</v>
      </c>
    </row>
    <row r="1392" spans="1:10">
      <c r="A1392" s="19">
        <v>35779</v>
      </c>
      <c r="B1392" s="18" t="s">
        <v>39</v>
      </c>
      <c r="C1392" s="18" t="s">
        <v>40</v>
      </c>
      <c r="D1392" s="18" t="s">
        <v>53</v>
      </c>
      <c r="E1392" s="18" t="s">
        <v>56</v>
      </c>
      <c r="F1392" s="18" t="s">
        <v>49</v>
      </c>
      <c r="G1392" s="18" t="s">
        <v>38</v>
      </c>
      <c r="H1392" s="18">
        <v>12.5</v>
      </c>
      <c r="I1392" s="20">
        <v>16</v>
      </c>
      <c r="J1392" s="21">
        <v>200</v>
      </c>
    </row>
    <row r="1393" spans="1:10">
      <c r="A1393" s="19">
        <v>35779</v>
      </c>
      <c r="B1393" s="18" t="s">
        <v>39</v>
      </c>
      <c r="C1393" s="18" t="s">
        <v>41</v>
      </c>
      <c r="D1393" s="18" t="s">
        <v>53</v>
      </c>
      <c r="E1393" s="18" t="s">
        <v>57</v>
      </c>
      <c r="F1393" s="18" t="s">
        <v>49</v>
      </c>
      <c r="G1393" s="18" t="s">
        <v>38</v>
      </c>
      <c r="H1393" s="18">
        <v>9.5</v>
      </c>
      <c r="I1393" s="20">
        <v>27</v>
      </c>
      <c r="J1393" s="21">
        <v>256.5</v>
      </c>
    </row>
    <row r="1394" spans="1:10">
      <c r="A1394" s="19">
        <v>35779</v>
      </c>
      <c r="B1394" s="18" t="s">
        <v>39</v>
      </c>
      <c r="C1394" s="18" t="s">
        <v>44</v>
      </c>
      <c r="D1394" s="18" t="s">
        <v>53</v>
      </c>
      <c r="E1394" s="18" t="s">
        <v>54</v>
      </c>
      <c r="F1394" s="18" t="s">
        <v>49</v>
      </c>
      <c r="G1394" s="18" t="s">
        <v>38</v>
      </c>
      <c r="H1394" s="18">
        <v>53</v>
      </c>
      <c r="I1394" s="20">
        <v>120</v>
      </c>
      <c r="J1394" s="21">
        <v>6360</v>
      </c>
    </row>
    <row r="1395" spans="1:10">
      <c r="A1395" s="19">
        <v>35780</v>
      </c>
      <c r="B1395" s="18" t="s">
        <v>39</v>
      </c>
      <c r="C1395" s="18" t="s">
        <v>46</v>
      </c>
      <c r="D1395" s="18" t="s">
        <v>53</v>
      </c>
      <c r="E1395" s="18" t="s">
        <v>55</v>
      </c>
      <c r="F1395" s="18" t="s">
        <v>45</v>
      </c>
      <c r="G1395" s="18" t="s">
        <v>38</v>
      </c>
      <c r="H1395" s="18">
        <v>17.45</v>
      </c>
      <c r="I1395" s="20">
        <v>20</v>
      </c>
      <c r="J1395" s="21">
        <v>349</v>
      </c>
    </row>
    <row r="1396" spans="1:10">
      <c r="A1396" s="19">
        <v>35780</v>
      </c>
      <c r="B1396" s="18" t="s">
        <v>39</v>
      </c>
      <c r="C1396" s="18" t="s">
        <v>47</v>
      </c>
      <c r="D1396" s="18" t="s">
        <v>53</v>
      </c>
      <c r="E1396" s="18" t="s">
        <v>56</v>
      </c>
      <c r="F1396" s="18" t="s">
        <v>51</v>
      </c>
      <c r="G1396" s="18" t="s">
        <v>43</v>
      </c>
      <c r="H1396" s="18">
        <v>13</v>
      </c>
      <c r="I1396" s="20">
        <v>15</v>
      </c>
      <c r="J1396" s="21">
        <v>195</v>
      </c>
    </row>
    <row r="1397" spans="1:10">
      <c r="A1397" s="19">
        <v>35780</v>
      </c>
      <c r="B1397" s="18" t="s">
        <v>26</v>
      </c>
      <c r="C1397" s="18" t="s">
        <v>27</v>
      </c>
      <c r="D1397" s="18" t="s">
        <v>53</v>
      </c>
      <c r="E1397" s="18" t="s">
        <v>57</v>
      </c>
      <c r="F1397" s="18" t="s">
        <v>45</v>
      </c>
      <c r="G1397" s="18" t="s">
        <v>38</v>
      </c>
      <c r="H1397" s="18">
        <v>49.3</v>
      </c>
      <c r="I1397" s="20">
        <v>20</v>
      </c>
      <c r="J1397" s="21">
        <v>986</v>
      </c>
    </row>
    <row r="1398" spans="1:10">
      <c r="A1398" s="19">
        <v>35780</v>
      </c>
      <c r="B1398" s="18" t="s">
        <v>26</v>
      </c>
      <c r="C1398" s="18" t="s">
        <v>32</v>
      </c>
      <c r="D1398" s="18" t="s">
        <v>53</v>
      </c>
      <c r="E1398" s="18" t="s">
        <v>54</v>
      </c>
      <c r="F1398" s="18" t="s">
        <v>51</v>
      </c>
      <c r="G1398" s="18" t="s">
        <v>43</v>
      </c>
      <c r="H1398" s="18">
        <v>15</v>
      </c>
      <c r="I1398" s="20">
        <v>35</v>
      </c>
      <c r="J1398" s="21">
        <v>525</v>
      </c>
    </row>
    <row r="1399" spans="1:10">
      <c r="A1399" s="19">
        <v>35780</v>
      </c>
      <c r="B1399" s="18" t="s">
        <v>26</v>
      </c>
      <c r="C1399" s="18" t="s">
        <v>34</v>
      </c>
      <c r="D1399" s="18" t="s">
        <v>53</v>
      </c>
      <c r="E1399" s="18" t="s">
        <v>55</v>
      </c>
      <c r="F1399" s="18" t="s">
        <v>45</v>
      </c>
      <c r="G1399" s="18" t="s">
        <v>38</v>
      </c>
      <c r="H1399" s="18">
        <v>9.65</v>
      </c>
      <c r="I1399" s="20">
        <v>10</v>
      </c>
      <c r="J1399" s="21">
        <v>96.5</v>
      </c>
    </row>
    <row r="1400" spans="1:10">
      <c r="A1400" s="19">
        <v>35781</v>
      </c>
      <c r="B1400" s="18" t="s">
        <v>26</v>
      </c>
      <c r="C1400" s="18" t="s">
        <v>36</v>
      </c>
      <c r="D1400" s="18" t="s">
        <v>53</v>
      </c>
      <c r="E1400" s="18" t="s">
        <v>56</v>
      </c>
      <c r="F1400" s="18" t="s">
        <v>51</v>
      </c>
      <c r="G1400" s="18" t="s">
        <v>43</v>
      </c>
      <c r="H1400" s="18">
        <v>38</v>
      </c>
      <c r="I1400" s="20">
        <v>20</v>
      </c>
      <c r="J1400" s="21">
        <v>760</v>
      </c>
    </row>
    <row r="1401" spans="1:10">
      <c r="A1401" s="19">
        <v>35781</v>
      </c>
      <c r="B1401" s="18" t="s">
        <v>39</v>
      </c>
      <c r="C1401" s="18" t="s">
        <v>40</v>
      </c>
      <c r="D1401" s="18" t="s">
        <v>53</v>
      </c>
      <c r="E1401" s="18" t="s">
        <v>57</v>
      </c>
      <c r="F1401" s="18" t="s">
        <v>51</v>
      </c>
      <c r="G1401" s="18" t="s">
        <v>43</v>
      </c>
      <c r="H1401" s="18">
        <v>10</v>
      </c>
      <c r="I1401" s="20">
        <v>35</v>
      </c>
      <c r="J1401" s="21">
        <v>350</v>
      </c>
    </row>
    <row r="1402" spans="1:10">
      <c r="A1402" s="19">
        <v>35781</v>
      </c>
      <c r="B1402" s="18" t="s">
        <v>39</v>
      </c>
      <c r="C1402" s="18" t="s">
        <v>41</v>
      </c>
      <c r="D1402" s="18" t="s">
        <v>53</v>
      </c>
      <c r="E1402" s="18" t="s">
        <v>54</v>
      </c>
      <c r="F1402" s="18" t="s">
        <v>51</v>
      </c>
      <c r="G1402" s="18" t="s">
        <v>43</v>
      </c>
      <c r="H1402" s="18">
        <v>7.45</v>
      </c>
      <c r="I1402" s="20">
        <v>3</v>
      </c>
      <c r="J1402" s="21">
        <v>22.35</v>
      </c>
    </row>
    <row r="1403" spans="1:10">
      <c r="A1403" s="19">
        <v>35781</v>
      </c>
      <c r="B1403" s="18" t="s">
        <v>39</v>
      </c>
      <c r="C1403" s="18" t="s">
        <v>44</v>
      </c>
      <c r="D1403" s="18" t="s">
        <v>53</v>
      </c>
      <c r="E1403" s="18" t="s">
        <v>55</v>
      </c>
      <c r="F1403" s="18" t="s">
        <v>48</v>
      </c>
      <c r="G1403" s="18" t="s">
        <v>31</v>
      </c>
      <c r="H1403" s="18">
        <v>12.5</v>
      </c>
      <c r="I1403" s="20">
        <v>1</v>
      </c>
      <c r="J1403" s="21">
        <v>12.5</v>
      </c>
    </row>
    <row r="1404" spans="1:10">
      <c r="A1404" s="19">
        <v>35782</v>
      </c>
      <c r="B1404" s="18" t="s">
        <v>39</v>
      </c>
      <c r="C1404" s="18" t="s">
        <v>46</v>
      </c>
      <c r="D1404" s="18" t="s">
        <v>53</v>
      </c>
      <c r="E1404" s="18" t="s">
        <v>56</v>
      </c>
      <c r="F1404" s="18" t="s">
        <v>42</v>
      </c>
      <c r="G1404" s="18" t="s">
        <v>43</v>
      </c>
      <c r="H1404" s="18">
        <v>263.5</v>
      </c>
      <c r="I1404" s="20">
        <v>5</v>
      </c>
      <c r="J1404" s="21">
        <v>1317.5</v>
      </c>
    </row>
    <row r="1405" spans="1:10">
      <c r="A1405" s="19">
        <v>35782</v>
      </c>
      <c r="B1405" s="18" t="s">
        <v>39</v>
      </c>
      <c r="C1405" s="18" t="s">
        <v>47</v>
      </c>
      <c r="D1405" s="18" t="s">
        <v>53</v>
      </c>
      <c r="E1405" s="18" t="s">
        <v>57</v>
      </c>
      <c r="F1405" s="18" t="s">
        <v>49</v>
      </c>
      <c r="G1405" s="18" t="s">
        <v>38</v>
      </c>
      <c r="H1405" s="18">
        <v>7.75</v>
      </c>
      <c r="I1405" s="20">
        <v>10</v>
      </c>
      <c r="J1405" s="21">
        <v>77.5</v>
      </c>
    </row>
    <row r="1406" spans="1:10">
      <c r="A1406" s="19">
        <v>35782</v>
      </c>
      <c r="B1406" s="18" t="s">
        <v>26</v>
      </c>
      <c r="C1406" s="18" t="s">
        <v>27</v>
      </c>
      <c r="D1406" s="18" t="s">
        <v>53</v>
      </c>
      <c r="E1406" s="18" t="s">
        <v>56</v>
      </c>
      <c r="F1406" s="18" t="s">
        <v>42</v>
      </c>
      <c r="G1406" s="18" t="s">
        <v>43</v>
      </c>
      <c r="H1406" s="18">
        <v>34.799999999999997</v>
      </c>
      <c r="I1406" s="20">
        <v>30</v>
      </c>
      <c r="J1406" s="21">
        <v>1044</v>
      </c>
    </row>
    <row r="1407" spans="1:10">
      <c r="A1407" s="19">
        <v>35782</v>
      </c>
      <c r="B1407" s="18" t="s">
        <v>26</v>
      </c>
      <c r="C1407" s="18" t="s">
        <v>32</v>
      </c>
      <c r="D1407" s="18" t="s">
        <v>53</v>
      </c>
      <c r="E1407" s="18" t="s">
        <v>54</v>
      </c>
      <c r="F1407" s="18" t="s">
        <v>42</v>
      </c>
      <c r="G1407" s="18" t="s">
        <v>43</v>
      </c>
      <c r="H1407" s="18">
        <v>12.5</v>
      </c>
      <c r="I1407" s="20">
        <v>10</v>
      </c>
      <c r="J1407" s="21">
        <v>125</v>
      </c>
    </row>
    <row r="1408" spans="1:10">
      <c r="A1408" s="19">
        <v>35782</v>
      </c>
      <c r="B1408" s="18" t="s">
        <v>26</v>
      </c>
      <c r="C1408" s="18" t="s">
        <v>34</v>
      </c>
      <c r="D1408" s="18" t="s">
        <v>53</v>
      </c>
      <c r="E1408" s="18" t="s">
        <v>55</v>
      </c>
      <c r="F1408" s="18" t="s">
        <v>49</v>
      </c>
      <c r="G1408" s="18" t="s">
        <v>38</v>
      </c>
      <c r="H1408" s="18">
        <v>31</v>
      </c>
      <c r="I1408" s="20">
        <v>10</v>
      </c>
      <c r="J1408" s="21">
        <v>310</v>
      </c>
    </row>
    <row r="1409" spans="1:10">
      <c r="A1409" s="19">
        <v>35782</v>
      </c>
      <c r="B1409" s="18" t="s">
        <v>26</v>
      </c>
      <c r="C1409" s="18" t="s">
        <v>36</v>
      </c>
      <c r="D1409" s="18" t="s">
        <v>53</v>
      </c>
      <c r="E1409" s="18" t="s">
        <v>56</v>
      </c>
      <c r="F1409" s="18" t="s">
        <v>42</v>
      </c>
      <c r="G1409" s="18" t="s">
        <v>43</v>
      </c>
      <c r="H1409" s="18">
        <v>19</v>
      </c>
      <c r="I1409" s="20">
        <v>30</v>
      </c>
      <c r="J1409" s="21">
        <v>570</v>
      </c>
    </row>
    <row r="1410" spans="1:10">
      <c r="A1410" s="19">
        <v>35782</v>
      </c>
      <c r="B1410" s="18" t="s">
        <v>39</v>
      </c>
      <c r="C1410" s="18" t="s">
        <v>40</v>
      </c>
      <c r="D1410" s="18" t="s">
        <v>53</v>
      </c>
      <c r="E1410" s="18" t="s">
        <v>57</v>
      </c>
      <c r="F1410" s="18" t="s">
        <v>42</v>
      </c>
      <c r="G1410" s="18" t="s">
        <v>43</v>
      </c>
      <c r="H1410" s="18">
        <v>18</v>
      </c>
      <c r="I1410" s="20">
        <v>2</v>
      </c>
      <c r="J1410" s="21">
        <v>36</v>
      </c>
    </row>
    <row r="1411" spans="1:10">
      <c r="A1411" s="19">
        <v>35783</v>
      </c>
      <c r="B1411" s="18" t="s">
        <v>39</v>
      </c>
      <c r="C1411" s="18" t="s">
        <v>41</v>
      </c>
      <c r="D1411" s="18" t="s">
        <v>53</v>
      </c>
      <c r="E1411" s="18" t="s">
        <v>54</v>
      </c>
      <c r="F1411" s="18" t="s">
        <v>50</v>
      </c>
      <c r="G1411" s="18" t="s">
        <v>31</v>
      </c>
      <c r="H1411" s="18">
        <v>40</v>
      </c>
      <c r="I1411" s="20">
        <v>30</v>
      </c>
      <c r="J1411" s="21">
        <v>1200</v>
      </c>
    </row>
    <row r="1412" spans="1:10">
      <c r="A1412" s="19">
        <v>35783</v>
      </c>
      <c r="B1412" s="18" t="s">
        <v>39</v>
      </c>
      <c r="C1412" s="18" t="s">
        <v>44</v>
      </c>
      <c r="D1412" s="18" t="s">
        <v>53</v>
      </c>
      <c r="E1412" s="18" t="s">
        <v>55</v>
      </c>
      <c r="F1412" s="18" t="s">
        <v>50</v>
      </c>
      <c r="G1412" s="18" t="s">
        <v>31</v>
      </c>
      <c r="H1412" s="18">
        <v>25.89</v>
      </c>
      <c r="I1412" s="20">
        <v>15</v>
      </c>
      <c r="J1412" s="21">
        <v>388.35</v>
      </c>
    </row>
    <row r="1413" spans="1:10">
      <c r="A1413" s="19">
        <v>35783</v>
      </c>
      <c r="B1413" s="18" t="s">
        <v>39</v>
      </c>
      <c r="C1413" s="18" t="s">
        <v>46</v>
      </c>
      <c r="D1413" s="18" t="s">
        <v>53</v>
      </c>
      <c r="E1413" s="18" t="s">
        <v>56</v>
      </c>
      <c r="F1413" s="18" t="s">
        <v>51</v>
      </c>
      <c r="G1413" s="18" t="s">
        <v>43</v>
      </c>
      <c r="H1413" s="18">
        <v>19</v>
      </c>
      <c r="I1413" s="20">
        <v>15</v>
      </c>
      <c r="J1413" s="21">
        <v>285</v>
      </c>
    </row>
    <row r="1414" spans="1:10">
      <c r="A1414" s="19">
        <v>35783</v>
      </c>
      <c r="B1414" s="18" t="s">
        <v>39</v>
      </c>
      <c r="C1414" s="18" t="s">
        <v>47</v>
      </c>
      <c r="D1414" s="18" t="s">
        <v>53</v>
      </c>
      <c r="E1414" s="18" t="s">
        <v>57</v>
      </c>
      <c r="F1414" s="18" t="s">
        <v>50</v>
      </c>
      <c r="G1414" s="18" t="s">
        <v>31</v>
      </c>
      <c r="H1414" s="18">
        <v>7.75</v>
      </c>
      <c r="I1414" s="20">
        <v>42</v>
      </c>
      <c r="J1414" s="21">
        <v>325.5</v>
      </c>
    </row>
    <row r="1415" spans="1:10">
      <c r="A1415" s="19">
        <v>35783</v>
      </c>
      <c r="B1415" s="18" t="s">
        <v>26</v>
      </c>
      <c r="C1415" s="18" t="s">
        <v>27</v>
      </c>
      <c r="D1415" s="18" t="s">
        <v>53</v>
      </c>
      <c r="E1415" s="18" t="s">
        <v>54</v>
      </c>
      <c r="F1415" s="18" t="s">
        <v>51</v>
      </c>
      <c r="G1415" s="18" t="s">
        <v>43</v>
      </c>
      <c r="H1415" s="18">
        <v>123.79</v>
      </c>
      <c r="I1415" s="20">
        <v>20</v>
      </c>
      <c r="J1415" s="21">
        <v>2475.8000000000002</v>
      </c>
    </row>
    <row r="1416" spans="1:10">
      <c r="A1416" s="19">
        <v>35786</v>
      </c>
      <c r="B1416" s="18" t="s">
        <v>26</v>
      </c>
      <c r="C1416" s="18" t="s">
        <v>32</v>
      </c>
      <c r="D1416" s="18" t="s">
        <v>53</v>
      </c>
      <c r="E1416" s="18" t="s">
        <v>55</v>
      </c>
      <c r="F1416" s="18" t="s">
        <v>37</v>
      </c>
      <c r="G1416" s="18" t="s">
        <v>38</v>
      </c>
      <c r="H1416" s="18">
        <v>38</v>
      </c>
      <c r="I1416" s="20">
        <v>20</v>
      </c>
      <c r="J1416" s="21">
        <v>760</v>
      </c>
    </row>
    <row r="1417" spans="1:10">
      <c r="A1417" s="19">
        <v>35786</v>
      </c>
      <c r="B1417" s="18" t="s">
        <v>26</v>
      </c>
      <c r="C1417" s="18" t="s">
        <v>34</v>
      </c>
      <c r="D1417" s="18" t="s">
        <v>53</v>
      </c>
      <c r="E1417" s="18" t="s">
        <v>56</v>
      </c>
      <c r="F1417" s="18" t="s">
        <v>37</v>
      </c>
      <c r="G1417" s="18" t="s">
        <v>38</v>
      </c>
      <c r="H1417" s="18">
        <v>30</v>
      </c>
      <c r="I1417" s="20">
        <v>3</v>
      </c>
      <c r="J1417" s="21">
        <v>90</v>
      </c>
    </row>
    <row r="1418" spans="1:10">
      <c r="A1418" s="19">
        <v>35786</v>
      </c>
      <c r="B1418" s="18" t="s">
        <v>26</v>
      </c>
      <c r="C1418" s="18" t="s">
        <v>36</v>
      </c>
      <c r="D1418" s="18" t="s">
        <v>53</v>
      </c>
      <c r="E1418" s="18" t="s">
        <v>57</v>
      </c>
      <c r="F1418" s="18" t="s">
        <v>49</v>
      </c>
      <c r="G1418" s="18" t="s">
        <v>38</v>
      </c>
      <c r="H1418" s="18">
        <v>12.5</v>
      </c>
      <c r="I1418" s="20">
        <v>18</v>
      </c>
      <c r="J1418" s="21">
        <v>225</v>
      </c>
    </row>
    <row r="1419" spans="1:10">
      <c r="A1419" s="19">
        <v>35786</v>
      </c>
      <c r="B1419" s="18" t="s">
        <v>39</v>
      </c>
      <c r="C1419" s="18" t="s">
        <v>40</v>
      </c>
      <c r="D1419" s="18" t="s">
        <v>53</v>
      </c>
      <c r="E1419" s="18" t="s">
        <v>54</v>
      </c>
      <c r="F1419" s="18" t="s">
        <v>49</v>
      </c>
      <c r="G1419" s="18" t="s">
        <v>38</v>
      </c>
      <c r="H1419" s="18">
        <v>18</v>
      </c>
      <c r="I1419" s="20">
        <v>15</v>
      </c>
      <c r="J1419" s="21">
        <v>270</v>
      </c>
    </row>
    <row r="1420" spans="1:10">
      <c r="A1420" s="19">
        <v>35786</v>
      </c>
      <c r="B1420" s="18" t="s">
        <v>39</v>
      </c>
      <c r="C1420" s="18" t="s">
        <v>41</v>
      </c>
      <c r="D1420" s="18" t="s">
        <v>53</v>
      </c>
      <c r="E1420" s="18" t="s">
        <v>55</v>
      </c>
      <c r="F1420" s="18" t="s">
        <v>49</v>
      </c>
      <c r="G1420" s="18" t="s">
        <v>38</v>
      </c>
      <c r="H1420" s="18">
        <v>62.5</v>
      </c>
      <c r="I1420" s="20">
        <v>30</v>
      </c>
      <c r="J1420" s="21">
        <v>1875</v>
      </c>
    </row>
    <row r="1421" spans="1:10">
      <c r="A1421" s="19">
        <v>35786</v>
      </c>
      <c r="B1421" s="18" t="s">
        <v>39</v>
      </c>
      <c r="C1421" s="18" t="s">
        <v>44</v>
      </c>
      <c r="D1421" s="18" t="s">
        <v>53</v>
      </c>
      <c r="E1421" s="18" t="s">
        <v>56</v>
      </c>
      <c r="F1421" s="18" t="s">
        <v>49</v>
      </c>
      <c r="G1421" s="18" t="s">
        <v>38</v>
      </c>
      <c r="H1421" s="18">
        <v>7.75</v>
      </c>
      <c r="I1421" s="20">
        <v>40</v>
      </c>
      <c r="J1421" s="21">
        <v>310</v>
      </c>
    </row>
    <row r="1422" spans="1:10">
      <c r="A1422" s="19">
        <v>35786</v>
      </c>
      <c r="B1422" s="18" t="s">
        <v>39</v>
      </c>
      <c r="C1422" s="18" t="s">
        <v>46</v>
      </c>
      <c r="D1422" s="18" t="s">
        <v>53</v>
      </c>
      <c r="E1422" s="18" t="s">
        <v>57</v>
      </c>
      <c r="F1422" s="18" t="s">
        <v>49</v>
      </c>
      <c r="G1422" s="18" t="s">
        <v>38</v>
      </c>
      <c r="H1422" s="18">
        <v>9.1999999999999993</v>
      </c>
      <c r="I1422" s="20">
        <v>50</v>
      </c>
      <c r="J1422" s="21">
        <v>459.99999999999994</v>
      </c>
    </row>
    <row r="1423" spans="1:10">
      <c r="A1423" s="19">
        <v>35786</v>
      </c>
      <c r="B1423" s="18" t="s">
        <v>39</v>
      </c>
      <c r="C1423" s="18" t="s">
        <v>47</v>
      </c>
      <c r="D1423" s="18" t="s">
        <v>53</v>
      </c>
      <c r="E1423" s="18" t="s">
        <v>54</v>
      </c>
      <c r="F1423" s="18" t="s">
        <v>49</v>
      </c>
      <c r="G1423" s="18" t="s">
        <v>38</v>
      </c>
      <c r="H1423" s="18">
        <v>43.9</v>
      </c>
      <c r="I1423" s="20">
        <v>30</v>
      </c>
      <c r="J1423" s="21">
        <v>1317</v>
      </c>
    </row>
    <row r="1424" spans="1:10">
      <c r="A1424" s="19">
        <v>35787</v>
      </c>
      <c r="B1424" s="18" t="s">
        <v>26</v>
      </c>
      <c r="C1424" s="18" t="s">
        <v>27</v>
      </c>
      <c r="D1424" s="18" t="s">
        <v>53</v>
      </c>
      <c r="E1424" s="18" t="s">
        <v>55</v>
      </c>
      <c r="F1424" s="18" t="s">
        <v>49</v>
      </c>
      <c r="G1424" s="18" t="s">
        <v>38</v>
      </c>
      <c r="H1424" s="18">
        <v>7.45</v>
      </c>
      <c r="I1424" s="20">
        <v>3</v>
      </c>
      <c r="J1424" s="21">
        <v>22.35</v>
      </c>
    </row>
    <row r="1425" spans="1:10">
      <c r="A1425" s="19">
        <v>35787</v>
      </c>
      <c r="B1425" s="18" t="s">
        <v>26</v>
      </c>
      <c r="C1425" s="18" t="s">
        <v>32</v>
      </c>
      <c r="D1425" s="18" t="s">
        <v>53</v>
      </c>
      <c r="E1425" s="18" t="s">
        <v>56</v>
      </c>
      <c r="F1425" s="18" t="s">
        <v>49</v>
      </c>
      <c r="G1425" s="18" t="s">
        <v>38</v>
      </c>
      <c r="H1425" s="18">
        <v>12.5</v>
      </c>
      <c r="I1425" s="20">
        <v>15</v>
      </c>
      <c r="J1425" s="21">
        <v>187.5</v>
      </c>
    </row>
    <row r="1426" spans="1:10">
      <c r="A1426" s="19">
        <v>35787</v>
      </c>
      <c r="B1426" s="18" t="s">
        <v>26</v>
      </c>
      <c r="C1426" s="18" t="s">
        <v>34</v>
      </c>
      <c r="D1426" s="18" t="s">
        <v>53</v>
      </c>
      <c r="E1426" s="18" t="s">
        <v>57</v>
      </c>
      <c r="F1426" s="18" t="s">
        <v>49</v>
      </c>
      <c r="G1426" s="18" t="s">
        <v>38</v>
      </c>
      <c r="H1426" s="18">
        <v>19</v>
      </c>
      <c r="I1426" s="20">
        <v>10</v>
      </c>
      <c r="J1426" s="21">
        <v>190</v>
      </c>
    </row>
    <row r="1427" spans="1:10">
      <c r="A1427" s="19">
        <v>35787</v>
      </c>
      <c r="B1427" s="18" t="s">
        <v>26</v>
      </c>
      <c r="C1427" s="18" t="s">
        <v>36</v>
      </c>
      <c r="D1427" s="18" t="s">
        <v>53</v>
      </c>
      <c r="E1427" s="18" t="s">
        <v>54</v>
      </c>
      <c r="F1427" s="18" t="s">
        <v>37</v>
      </c>
      <c r="G1427" s="18" t="s">
        <v>38</v>
      </c>
      <c r="H1427" s="18">
        <v>9.65</v>
      </c>
      <c r="I1427" s="20">
        <v>20</v>
      </c>
      <c r="J1427" s="21">
        <v>193</v>
      </c>
    </row>
    <row r="1428" spans="1:10">
      <c r="A1428" s="19">
        <v>35787</v>
      </c>
      <c r="B1428" s="18" t="s">
        <v>39</v>
      </c>
      <c r="C1428" s="18" t="s">
        <v>40</v>
      </c>
      <c r="D1428" s="18" t="s">
        <v>53</v>
      </c>
      <c r="E1428" s="18" t="s">
        <v>55</v>
      </c>
      <c r="F1428" s="18" t="s">
        <v>37</v>
      </c>
      <c r="G1428" s="18" t="s">
        <v>38</v>
      </c>
      <c r="H1428" s="18">
        <v>123.79</v>
      </c>
      <c r="I1428" s="20">
        <v>14</v>
      </c>
      <c r="J1428" s="21">
        <v>1733.0600000000002</v>
      </c>
    </row>
    <row r="1429" spans="1:10">
      <c r="A1429" s="19">
        <v>35788</v>
      </c>
      <c r="B1429" s="18" t="s">
        <v>39</v>
      </c>
      <c r="C1429" s="18" t="s">
        <v>41</v>
      </c>
      <c r="D1429" s="18" t="s">
        <v>53</v>
      </c>
      <c r="E1429" s="18" t="s">
        <v>56</v>
      </c>
      <c r="F1429" s="18" t="s">
        <v>50</v>
      </c>
      <c r="G1429" s="18" t="s">
        <v>31</v>
      </c>
      <c r="H1429" s="18">
        <v>17.45</v>
      </c>
      <c r="I1429" s="20">
        <v>65</v>
      </c>
      <c r="J1429" s="21">
        <v>1134.25</v>
      </c>
    </row>
    <row r="1430" spans="1:10">
      <c r="A1430" s="19">
        <v>35788</v>
      </c>
      <c r="B1430" s="18" t="s">
        <v>39</v>
      </c>
      <c r="C1430" s="18" t="s">
        <v>44</v>
      </c>
      <c r="D1430" s="18" t="s">
        <v>53</v>
      </c>
      <c r="E1430" s="18" t="s">
        <v>57</v>
      </c>
      <c r="F1430" s="18" t="s">
        <v>37</v>
      </c>
      <c r="G1430" s="18" t="s">
        <v>38</v>
      </c>
      <c r="H1430" s="18">
        <v>7.45</v>
      </c>
      <c r="I1430" s="20">
        <v>6</v>
      </c>
      <c r="J1430" s="21">
        <v>44.7</v>
      </c>
    </row>
    <row r="1431" spans="1:10">
      <c r="A1431" s="19">
        <v>35788</v>
      </c>
      <c r="B1431" s="18" t="s">
        <v>39</v>
      </c>
      <c r="C1431" s="18" t="s">
        <v>46</v>
      </c>
      <c r="D1431" s="18" t="s">
        <v>53</v>
      </c>
      <c r="E1431" s="18" t="s">
        <v>54</v>
      </c>
      <c r="F1431" s="18" t="s">
        <v>45</v>
      </c>
      <c r="G1431" s="18" t="s">
        <v>38</v>
      </c>
      <c r="H1431" s="18">
        <v>7</v>
      </c>
      <c r="I1431" s="20">
        <v>8</v>
      </c>
      <c r="J1431" s="21">
        <v>56</v>
      </c>
    </row>
    <row r="1432" spans="1:10">
      <c r="A1432" s="19">
        <v>35788</v>
      </c>
      <c r="B1432" s="18" t="s">
        <v>39</v>
      </c>
      <c r="C1432" s="18" t="s">
        <v>47</v>
      </c>
      <c r="D1432" s="18" t="s">
        <v>53</v>
      </c>
      <c r="E1432" s="18" t="s">
        <v>55</v>
      </c>
      <c r="F1432" s="18" t="s">
        <v>37</v>
      </c>
      <c r="G1432" s="18" t="s">
        <v>38</v>
      </c>
      <c r="H1432" s="18">
        <v>23.25</v>
      </c>
      <c r="I1432" s="20">
        <v>15</v>
      </c>
      <c r="J1432" s="21">
        <v>348.75</v>
      </c>
    </row>
    <row r="1433" spans="1:10">
      <c r="A1433" s="19">
        <v>35788</v>
      </c>
      <c r="B1433" s="18" t="s">
        <v>26</v>
      </c>
      <c r="C1433" s="18" t="s">
        <v>27</v>
      </c>
      <c r="D1433" s="18" t="s">
        <v>53</v>
      </c>
      <c r="E1433" s="18" t="s">
        <v>56</v>
      </c>
      <c r="F1433" s="18" t="s">
        <v>45</v>
      </c>
      <c r="G1433" s="18" t="s">
        <v>38</v>
      </c>
      <c r="H1433" s="18">
        <v>9.65</v>
      </c>
      <c r="I1433" s="20">
        <v>14</v>
      </c>
      <c r="J1433" s="21">
        <v>135.1</v>
      </c>
    </row>
    <row r="1434" spans="1:10">
      <c r="A1434" s="19">
        <v>35788</v>
      </c>
      <c r="B1434" s="18" t="s">
        <v>26</v>
      </c>
      <c r="C1434" s="18" t="s">
        <v>32</v>
      </c>
      <c r="D1434" s="18" t="s">
        <v>53</v>
      </c>
      <c r="E1434" s="18" t="s">
        <v>57</v>
      </c>
      <c r="F1434" s="18" t="s">
        <v>50</v>
      </c>
      <c r="G1434" s="18" t="s">
        <v>31</v>
      </c>
      <c r="H1434" s="18">
        <v>39</v>
      </c>
      <c r="I1434" s="20">
        <v>35</v>
      </c>
      <c r="J1434" s="21">
        <v>1365</v>
      </c>
    </row>
    <row r="1435" spans="1:10">
      <c r="A1435" s="19">
        <v>35789</v>
      </c>
      <c r="B1435" s="18" t="s">
        <v>26</v>
      </c>
      <c r="C1435" s="18" t="s">
        <v>34</v>
      </c>
      <c r="D1435" s="18" t="s">
        <v>53</v>
      </c>
      <c r="E1435" s="18" t="s">
        <v>56</v>
      </c>
      <c r="F1435" s="18" t="s">
        <v>52</v>
      </c>
      <c r="G1435" s="18" t="s">
        <v>31</v>
      </c>
      <c r="H1435" s="18">
        <v>21</v>
      </c>
      <c r="I1435" s="20">
        <v>20</v>
      </c>
      <c r="J1435" s="21">
        <v>420</v>
      </c>
    </row>
    <row r="1436" spans="1:10">
      <c r="A1436" s="19">
        <v>35789</v>
      </c>
      <c r="B1436" s="18" t="s">
        <v>26</v>
      </c>
      <c r="C1436" s="18" t="s">
        <v>36</v>
      </c>
      <c r="D1436" s="18" t="s">
        <v>53</v>
      </c>
      <c r="E1436" s="18" t="s">
        <v>54</v>
      </c>
      <c r="F1436" s="18" t="s">
        <v>45</v>
      </c>
      <c r="G1436" s="18" t="s">
        <v>38</v>
      </c>
      <c r="H1436" s="18">
        <v>19.45</v>
      </c>
      <c r="I1436" s="20">
        <v>10</v>
      </c>
      <c r="J1436" s="21">
        <v>194.5</v>
      </c>
    </row>
    <row r="1437" spans="1:10">
      <c r="A1437" s="19">
        <v>35789</v>
      </c>
      <c r="B1437" s="18" t="s">
        <v>39</v>
      </c>
      <c r="C1437" s="18" t="s">
        <v>40</v>
      </c>
      <c r="D1437" s="18" t="s">
        <v>53</v>
      </c>
      <c r="E1437" s="18" t="s">
        <v>55</v>
      </c>
      <c r="F1437" s="18" t="s">
        <v>45</v>
      </c>
      <c r="G1437" s="18" t="s">
        <v>38</v>
      </c>
      <c r="H1437" s="18">
        <v>36</v>
      </c>
      <c r="I1437" s="20">
        <v>24</v>
      </c>
      <c r="J1437" s="21">
        <v>864</v>
      </c>
    </row>
    <row r="1438" spans="1:10">
      <c r="A1438" s="19">
        <v>35789</v>
      </c>
      <c r="B1438" s="18" t="s">
        <v>39</v>
      </c>
      <c r="C1438" s="18" t="s">
        <v>41</v>
      </c>
      <c r="D1438" s="18" t="s">
        <v>53</v>
      </c>
      <c r="E1438" s="18" t="s">
        <v>56</v>
      </c>
      <c r="F1438" s="18" t="s">
        <v>45</v>
      </c>
      <c r="G1438" s="18" t="s">
        <v>38</v>
      </c>
      <c r="H1438" s="18">
        <v>33.25</v>
      </c>
      <c r="I1438" s="20">
        <v>35</v>
      </c>
      <c r="J1438" s="21">
        <v>1163.75</v>
      </c>
    </row>
    <row r="1439" spans="1:10">
      <c r="A1439" s="19">
        <v>35789</v>
      </c>
      <c r="B1439" s="18" t="s">
        <v>39</v>
      </c>
      <c r="C1439" s="18" t="s">
        <v>44</v>
      </c>
      <c r="D1439" s="18" t="s">
        <v>53</v>
      </c>
      <c r="E1439" s="18" t="s">
        <v>57</v>
      </c>
      <c r="F1439" s="18" t="s">
        <v>45</v>
      </c>
      <c r="G1439" s="18" t="s">
        <v>38</v>
      </c>
      <c r="H1439" s="18">
        <v>31.23</v>
      </c>
      <c r="I1439" s="20">
        <v>21</v>
      </c>
      <c r="J1439" s="21">
        <v>655.83</v>
      </c>
    </row>
    <row r="1440" spans="1:10">
      <c r="A1440" s="19">
        <v>35790</v>
      </c>
      <c r="B1440" s="18" t="s">
        <v>39</v>
      </c>
      <c r="C1440" s="18" t="s">
        <v>46</v>
      </c>
      <c r="D1440" s="18" t="s">
        <v>53</v>
      </c>
      <c r="E1440" s="18" t="s">
        <v>54</v>
      </c>
      <c r="F1440" s="18" t="s">
        <v>49</v>
      </c>
      <c r="G1440" s="18" t="s">
        <v>38</v>
      </c>
      <c r="H1440" s="18">
        <v>21</v>
      </c>
      <c r="I1440" s="20">
        <v>50</v>
      </c>
      <c r="J1440" s="21">
        <v>1050</v>
      </c>
    </row>
    <row r="1441" spans="1:10">
      <c r="A1441" s="19">
        <v>35790</v>
      </c>
      <c r="B1441" s="18" t="s">
        <v>39</v>
      </c>
      <c r="C1441" s="18" t="s">
        <v>47</v>
      </c>
      <c r="D1441" s="18" t="s">
        <v>53</v>
      </c>
      <c r="E1441" s="18" t="s">
        <v>55</v>
      </c>
      <c r="F1441" s="18" t="s">
        <v>48</v>
      </c>
      <c r="G1441" s="18" t="s">
        <v>31</v>
      </c>
      <c r="H1441" s="18">
        <v>55</v>
      </c>
      <c r="I1441" s="20">
        <v>25</v>
      </c>
      <c r="J1441" s="21">
        <v>1375</v>
      </c>
    </row>
    <row r="1442" spans="1:10">
      <c r="A1442" s="19">
        <v>35790</v>
      </c>
      <c r="B1442" s="18" t="s">
        <v>26</v>
      </c>
      <c r="C1442" s="18" t="s">
        <v>27</v>
      </c>
      <c r="D1442" s="18" t="s">
        <v>53</v>
      </c>
      <c r="E1442" s="18" t="s">
        <v>56</v>
      </c>
      <c r="F1442" s="18" t="s">
        <v>49</v>
      </c>
      <c r="G1442" s="18" t="s">
        <v>38</v>
      </c>
      <c r="H1442" s="18">
        <v>7.45</v>
      </c>
      <c r="I1442" s="20">
        <v>7</v>
      </c>
      <c r="J1442" s="21">
        <v>52.15</v>
      </c>
    </row>
    <row r="1443" spans="1:10">
      <c r="A1443" s="19">
        <v>35790</v>
      </c>
      <c r="B1443" s="18" t="s">
        <v>26</v>
      </c>
      <c r="C1443" s="18" t="s">
        <v>32</v>
      </c>
      <c r="D1443" s="18" t="s">
        <v>53</v>
      </c>
      <c r="E1443" s="18" t="s">
        <v>57</v>
      </c>
      <c r="F1443" s="18" t="s">
        <v>48</v>
      </c>
      <c r="G1443" s="18" t="s">
        <v>31</v>
      </c>
      <c r="H1443" s="18">
        <v>6</v>
      </c>
      <c r="I1443" s="20">
        <v>20</v>
      </c>
      <c r="J1443" s="21">
        <v>120</v>
      </c>
    </row>
    <row r="1444" spans="1:10">
      <c r="A1444" s="19">
        <v>35790</v>
      </c>
      <c r="B1444" s="18" t="s">
        <v>26</v>
      </c>
      <c r="C1444" s="18" t="s">
        <v>34</v>
      </c>
      <c r="D1444" s="18" t="s">
        <v>53</v>
      </c>
      <c r="E1444" s="18" t="s">
        <v>54</v>
      </c>
      <c r="F1444" s="18" t="s">
        <v>48</v>
      </c>
      <c r="G1444" s="18" t="s">
        <v>31</v>
      </c>
      <c r="H1444" s="18">
        <v>4.5</v>
      </c>
      <c r="I1444" s="20">
        <v>20</v>
      </c>
      <c r="J1444" s="21">
        <v>90</v>
      </c>
    </row>
    <row r="1445" spans="1:10">
      <c r="A1445" s="19">
        <v>35790</v>
      </c>
      <c r="B1445" s="18" t="s">
        <v>26</v>
      </c>
      <c r="C1445" s="18" t="s">
        <v>36</v>
      </c>
      <c r="D1445" s="18" t="s">
        <v>53</v>
      </c>
      <c r="E1445" s="18" t="s">
        <v>55</v>
      </c>
      <c r="F1445" s="18" t="s">
        <v>51</v>
      </c>
      <c r="G1445" s="18" t="s">
        <v>43</v>
      </c>
      <c r="H1445" s="18">
        <v>49.3</v>
      </c>
      <c r="I1445" s="20">
        <v>2</v>
      </c>
      <c r="J1445" s="21">
        <v>98.6</v>
      </c>
    </row>
    <row r="1446" spans="1:10">
      <c r="A1446" s="19">
        <v>35790</v>
      </c>
      <c r="B1446" s="18" t="s">
        <v>39</v>
      </c>
      <c r="C1446" s="18" t="s">
        <v>40</v>
      </c>
      <c r="D1446" s="18" t="s">
        <v>53</v>
      </c>
      <c r="E1446" s="18" t="s">
        <v>56</v>
      </c>
      <c r="F1446" s="18" t="s">
        <v>51</v>
      </c>
      <c r="G1446" s="18" t="s">
        <v>43</v>
      </c>
      <c r="H1446" s="18">
        <v>34.799999999999997</v>
      </c>
      <c r="I1446" s="20">
        <v>10</v>
      </c>
      <c r="J1446" s="21">
        <v>348</v>
      </c>
    </row>
    <row r="1447" spans="1:10">
      <c r="A1447" s="19">
        <v>35790</v>
      </c>
      <c r="B1447" s="18" t="s">
        <v>39</v>
      </c>
      <c r="C1447" s="18" t="s">
        <v>41</v>
      </c>
      <c r="D1447" s="18" t="s">
        <v>53</v>
      </c>
      <c r="E1447" s="18" t="s">
        <v>57</v>
      </c>
      <c r="F1447" s="18" t="s">
        <v>49</v>
      </c>
      <c r="G1447" s="18" t="s">
        <v>38</v>
      </c>
      <c r="H1447" s="18">
        <v>53</v>
      </c>
      <c r="I1447" s="20">
        <v>10</v>
      </c>
      <c r="J1447" s="21">
        <v>530</v>
      </c>
    </row>
    <row r="1448" spans="1:10">
      <c r="A1448" s="19">
        <v>35793</v>
      </c>
      <c r="B1448" s="18" t="s">
        <v>39</v>
      </c>
      <c r="C1448" s="18" t="s">
        <v>44</v>
      </c>
      <c r="D1448" s="18" t="s">
        <v>53</v>
      </c>
      <c r="E1448" s="18" t="s">
        <v>54</v>
      </c>
      <c r="F1448" s="18" t="s">
        <v>42</v>
      </c>
      <c r="G1448" s="18" t="s">
        <v>43</v>
      </c>
      <c r="H1448" s="18">
        <v>25.89</v>
      </c>
      <c r="I1448" s="20">
        <v>25</v>
      </c>
      <c r="J1448" s="21">
        <v>647.25</v>
      </c>
    </row>
    <row r="1449" spans="1:10">
      <c r="A1449" s="19">
        <v>35793</v>
      </c>
      <c r="B1449" s="18" t="s">
        <v>39</v>
      </c>
      <c r="C1449" s="18" t="s">
        <v>46</v>
      </c>
      <c r="D1449" s="18" t="s">
        <v>53</v>
      </c>
      <c r="E1449" s="18" t="s">
        <v>55</v>
      </c>
      <c r="F1449" s="18" t="s">
        <v>42</v>
      </c>
      <c r="G1449" s="18" t="s">
        <v>43</v>
      </c>
      <c r="H1449" s="18">
        <v>49.3</v>
      </c>
      <c r="I1449" s="20">
        <v>5</v>
      </c>
      <c r="J1449" s="21">
        <v>246.5</v>
      </c>
    </row>
    <row r="1450" spans="1:10">
      <c r="A1450" s="19">
        <v>35793</v>
      </c>
      <c r="B1450" s="18" t="s">
        <v>39</v>
      </c>
      <c r="C1450" s="18" t="s">
        <v>47</v>
      </c>
      <c r="D1450" s="18" t="s">
        <v>53</v>
      </c>
      <c r="E1450" s="18" t="s">
        <v>56</v>
      </c>
      <c r="F1450" s="18" t="s">
        <v>42</v>
      </c>
      <c r="G1450" s="18" t="s">
        <v>43</v>
      </c>
      <c r="H1450" s="18">
        <v>123.79</v>
      </c>
      <c r="I1450" s="20">
        <v>20</v>
      </c>
      <c r="J1450" s="21">
        <v>2475.8000000000002</v>
      </c>
    </row>
    <row r="1451" spans="1:10">
      <c r="A1451" s="19">
        <v>35793</v>
      </c>
      <c r="B1451" s="18" t="s">
        <v>26</v>
      </c>
      <c r="C1451" s="18" t="s">
        <v>27</v>
      </c>
      <c r="D1451" s="18" t="s">
        <v>53</v>
      </c>
      <c r="E1451" s="18" t="s">
        <v>57</v>
      </c>
      <c r="F1451" s="18" t="s">
        <v>42</v>
      </c>
      <c r="G1451" s="18" t="s">
        <v>43</v>
      </c>
      <c r="H1451" s="18">
        <v>24</v>
      </c>
      <c r="I1451" s="20">
        <v>60</v>
      </c>
      <c r="J1451" s="21">
        <v>1440</v>
      </c>
    </row>
    <row r="1452" spans="1:10">
      <c r="A1452" s="19">
        <v>35793</v>
      </c>
      <c r="B1452" s="18" t="s">
        <v>26</v>
      </c>
      <c r="C1452" s="18" t="s">
        <v>32</v>
      </c>
      <c r="D1452" s="18" t="s">
        <v>53</v>
      </c>
      <c r="E1452" s="18" t="s">
        <v>54</v>
      </c>
      <c r="F1452" s="18" t="s">
        <v>42</v>
      </c>
      <c r="G1452" s="18" t="s">
        <v>43</v>
      </c>
      <c r="H1452" s="18">
        <v>39</v>
      </c>
      <c r="I1452" s="20">
        <v>40</v>
      </c>
      <c r="J1452" s="21">
        <v>1560</v>
      </c>
    </row>
    <row r="1453" spans="1:10">
      <c r="A1453" s="19">
        <v>35793</v>
      </c>
      <c r="B1453" s="18" t="s">
        <v>26</v>
      </c>
      <c r="C1453" s="18" t="s">
        <v>34</v>
      </c>
      <c r="D1453" s="18" t="s">
        <v>53</v>
      </c>
      <c r="E1453" s="18" t="s">
        <v>55</v>
      </c>
      <c r="F1453" s="18" t="s">
        <v>42</v>
      </c>
      <c r="G1453" s="18" t="s">
        <v>43</v>
      </c>
      <c r="H1453" s="18">
        <v>53</v>
      </c>
      <c r="I1453" s="20">
        <v>30</v>
      </c>
      <c r="J1453" s="21">
        <v>1590</v>
      </c>
    </row>
    <row r="1454" spans="1:10">
      <c r="A1454" s="19">
        <v>35794</v>
      </c>
      <c r="B1454" s="18" t="s">
        <v>26</v>
      </c>
      <c r="C1454" s="18" t="s">
        <v>36</v>
      </c>
      <c r="D1454" s="18" t="s">
        <v>53</v>
      </c>
      <c r="E1454" s="18" t="s">
        <v>56</v>
      </c>
      <c r="F1454" s="18" t="s">
        <v>42</v>
      </c>
      <c r="G1454" s="18" t="s">
        <v>43</v>
      </c>
      <c r="H1454" s="18">
        <v>55</v>
      </c>
      <c r="I1454" s="20">
        <v>15</v>
      </c>
      <c r="J1454" s="21">
        <v>825</v>
      </c>
    </row>
    <row r="1455" spans="1:10">
      <c r="A1455" s="19">
        <v>35794</v>
      </c>
      <c r="B1455" s="18" t="s">
        <v>39</v>
      </c>
      <c r="C1455" s="18" t="s">
        <v>40</v>
      </c>
      <c r="D1455" s="18" t="s">
        <v>53</v>
      </c>
      <c r="E1455" s="18" t="s">
        <v>57</v>
      </c>
      <c r="F1455" s="18" t="s">
        <v>37</v>
      </c>
      <c r="G1455" s="18" t="s">
        <v>38</v>
      </c>
      <c r="H1455" s="18">
        <v>45.6</v>
      </c>
      <c r="I1455" s="20">
        <v>24</v>
      </c>
      <c r="J1455" s="21">
        <v>1094.4000000000001</v>
      </c>
    </row>
    <row r="1456" spans="1:10">
      <c r="A1456" s="19">
        <v>35794</v>
      </c>
      <c r="B1456" s="18" t="s">
        <v>39</v>
      </c>
      <c r="C1456" s="18" t="s">
        <v>41</v>
      </c>
      <c r="D1456" s="18" t="s">
        <v>53</v>
      </c>
      <c r="E1456" s="18" t="s">
        <v>54</v>
      </c>
      <c r="F1456" s="18" t="s">
        <v>51</v>
      </c>
      <c r="G1456" s="18" t="s">
        <v>43</v>
      </c>
      <c r="H1456" s="18">
        <v>263.5</v>
      </c>
      <c r="I1456" s="20">
        <v>10</v>
      </c>
      <c r="J1456" s="21">
        <v>2635</v>
      </c>
    </row>
    <row r="1457" spans="1:10">
      <c r="A1457" s="19">
        <v>35794</v>
      </c>
      <c r="B1457" s="18" t="s">
        <v>39</v>
      </c>
      <c r="C1457" s="18" t="s">
        <v>44</v>
      </c>
      <c r="D1457" s="18" t="s">
        <v>53</v>
      </c>
      <c r="E1457" s="18" t="s">
        <v>55</v>
      </c>
      <c r="F1457" s="18" t="s">
        <v>51</v>
      </c>
      <c r="G1457" s="18" t="s">
        <v>43</v>
      </c>
      <c r="H1457" s="18">
        <v>14</v>
      </c>
      <c r="I1457" s="20">
        <v>10</v>
      </c>
      <c r="J1457" s="21">
        <v>140</v>
      </c>
    </row>
    <row r="1458" spans="1:10">
      <c r="A1458" s="19">
        <v>35794</v>
      </c>
      <c r="B1458" s="18" t="s">
        <v>39</v>
      </c>
      <c r="C1458" s="18" t="s">
        <v>46</v>
      </c>
      <c r="D1458" s="18" t="s">
        <v>53</v>
      </c>
      <c r="E1458" s="18" t="s">
        <v>56</v>
      </c>
      <c r="F1458" s="18" t="s">
        <v>42</v>
      </c>
      <c r="G1458" s="18" t="s">
        <v>43</v>
      </c>
      <c r="H1458" s="18">
        <v>14</v>
      </c>
      <c r="I1458" s="20">
        <v>15</v>
      </c>
      <c r="J1458" s="21">
        <v>210</v>
      </c>
    </row>
    <row r="1459" spans="1:10">
      <c r="A1459" s="19">
        <v>35794</v>
      </c>
      <c r="B1459" s="18" t="s">
        <v>39</v>
      </c>
      <c r="C1459" s="18" t="s">
        <v>47</v>
      </c>
      <c r="D1459" s="18" t="s">
        <v>53</v>
      </c>
      <c r="E1459" s="18" t="s">
        <v>57</v>
      </c>
      <c r="F1459" s="18" t="s">
        <v>37</v>
      </c>
      <c r="G1459" s="18" t="s">
        <v>38</v>
      </c>
      <c r="H1459" s="18">
        <v>20</v>
      </c>
      <c r="I1459" s="20">
        <v>4</v>
      </c>
      <c r="J1459" s="21">
        <v>80</v>
      </c>
    </row>
    <row r="1460" spans="1:10">
      <c r="A1460" s="19">
        <v>35794</v>
      </c>
      <c r="B1460" s="18" t="s">
        <v>26</v>
      </c>
      <c r="C1460" s="18" t="s">
        <v>27</v>
      </c>
      <c r="D1460" s="18" t="s">
        <v>53</v>
      </c>
      <c r="E1460" s="18" t="s">
        <v>54</v>
      </c>
      <c r="F1460" s="18" t="s">
        <v>42</v>
      </c>
      <c r="G1460" s="18" t="s">
        <v>43</v>
      </c>
      <c r="H1460" s="18">
        <v>9.1999999999999993</v>
      </c>
      <c r="I1460" s="20">
        <v>24</v>
      </c>
      <c r="J1460" s="21">
        <v>220.79999999999998</v>
      </c>
    </row>
    <row r="1461" spans="1:10">
      <c r="A1461" s="19">
        <v>35794</v>
      </c>
      <c r="B1461" s="18" t="s">
        <v>26</v>
      </c>
      <c r="C1461" s="18" t="s">
        <v>32</v>
      </c>
      <c r="D1461" s="18" t="s">
        <v>53</v>
      </c>
      <c r="E1461" s="18" t="s">
        <v>55</v>
      </c>
      <c r="F1461" s="18" t="s">
        <v>37</v>
      </c>
      <c r="G1461" s="18" t="s">
        <v>38</v>
      </c>
      <c r="H1461" s="18">
        <v>31</v>
      </c>
      <c r="I1461" s="20">
        <v>36</v>
      </c>
      <c r="J1461" s="21">
        <v>1116</v>
      </c>
    </row>
    <row r="1462" spans="1:10">
      <c r="A1462" s="19">
        <v>35795</v>
      </c>
      <c r="B1462" s="18" t="s">
        <v>26</v>
      </c>
      <c r="C1462" s="18" t="s">
        <v>34</v>
      </c>
      <c r="D1462" s="18" t="s">
        <v>53</v>
      </c>
      <c r="E1462" s="18" t="s">
        <v>56</v>
      </c>
      <c r="F1462" s="18" t="s">
        <v>45</v>
      </c>
      <c r="G1462" s="18" t="s">
        <v>38</v>
      </c>
      <c r="H1462" s="18">
        <v>21.05</v>
      </c>
      <c r="I1462" s="20">
        <v>2</v>
      </c>
      <c r="J1462" s="21">
        <v>42.1</v>
      </c>
    </row>
    <row r="1463" spans="1:10">
      <c r="A1463" s="19">
        <v>35795</v>
      </c>
      <c r="B1463" s="18" t="s">
        <v>26</v>
      </c>
      <c r="C1463" s="18" t="s">
        <v>36</v>
      </c>
      <c r="D1463" s="18" t="s">
        <v>53</v>
      </c>
      <c r="E1463" s="18" t="s">
        <v>57</v>
      </c>
      <c r="F1463" s="18" t="s">
        <v>45</v>
      </c>
      <c r="G1463" s="18" t="s">
        <v>38</v>
      </c>
      <c r="H1463" s="18">
        <v>10</v>
      </c>
      <c r="I1463" s="20">
        <v>15</v>
      </c>
      <c r="J1463" s="21">
        <v>150</v>
      </c>
    </row>
    <row r="1464" spans="1:10">
      <c r="A1464" s="19">
        <v>35795</v>
      </c>
      <c r="B1464" s="18" t="s">
        <v>39</v>
      </c>
      <c r="C1464" s="18" t="s">
        <v>40</v>
      </c>
      <c r="D1464" s="18" t="s">
        <v>53</v>
      </c>
      <c r="E1464" s="18" t="s">
        <v>56</v>
      </c>
      <c r="F1464" s="18" t="s">
        <v>45</v>
      </c>
      <c r="G1464" s="18" t="s">
        <v>38</v>
      </c>
      <c r="H1464" s="18">
        <v>19</v>
      </c>
      <c r="I1464" s="20">
        <v>20</v>
      </c>
      <c r="J1464" s="21">
        <v>380</v>
      </c>
    </row>
    <row r="1465" spans="1:10">
      <c r="A1465" s="19">
        <v>35795</v>
      </c>
      <c r="B1465" s="18" t="s">
        <v>39</v>
      </c>
      <c r="C1465" s="18" t="s">
        <v>41</v>
      </c>
      <c r="D1465" s="18" t="s">
        <v>53</v>
      </c>
      <c r="E1465" s="18" t="s">
        <v>54</v>
      </c>
      <c r="F1465" s="18" t="s">
        <v>42</v>
      </c>
      <c r="G1465" s="18" t="s">
        <v>43</v>
      </c>
      <c r="H1465" s="18">
        <v>18.399999999999999</v>
      </c>
      <c r="I1465" s="20">
        <v>1</v>
      </c>
      <c r="J1465" s="21">
        <v>18.399999999999999</v>
      </c>
    </row>
    <row r="1466" spans="1:10">
      <c r="A1466" s="19">
        <v>35796</v>
      </c>
      <c r="B1466" s="18" t="s">
        <v>39</v>
      </c>
      <c r="C1466" s="18" t="s">
        <v>44</v>
      </c>
      <c r="D1466" s="18" t="s">
        <v>53</v>
      </c>
      <c r="E1466" s="18" t="s">
        <v>55</v>
      </c>
      <c r="F1466" s="18" t="s">
        <v>51</v>
      </c>
      <c r="G1466" s="18" t="s">
        <v>43</v>
      </c>
      <c r="H1466" s="18">
        <v>38</v>
      </c>
      <c r="I1466" s="20">
        <v>20</v>
      </c>
      <c r="J1466" s="21">
        <v>760</v>
      </c>
    </row>
    <row r="1467" spans="1:10">
      <c r="A1467" s="19">
        <v>35796</v>
      </c>
      <c r="B1467" s="18" t="s">
        <v>39</v>
      </c>
      <c r="C1467" s="18" t="s">
        <v>46</v>
      </c>
      <c r="D1467" s="18" t="s">
        <v>53</v>
      </c>
      <c r="E1467" s="18" t="s">
        <v>56</v>
      </c>
      <c r="F1467" s="18" t="s">
        <v>51</v>
      </c>
      <c r="G1467" s="18" t="s">
        <v>43</v>
      </c>
      <c r="H1467" s="18">
        <v>6</v>
      </c>
      <c r="I1467" s="20">
        <v>7</v>
      </c>
      <c r="J1467" s="21">
        <v>42</v>
      </c>
    </row>
    <row r="1468" spans="1:10">
      <c r="A1468" s="19">
        <v>35796</v>
      </c>
      <c r="B1468" s="18" t="s">
        <v>39</v>
      </c>
      <c r="C1468" s="18" t="s">
        <v>47</v>
      </c>
      <c r="D1468" s="18" t="s">
        <v>53</v>
      </c>
      <c r="E1468" s="18" t="s">
        <v>57</v>
      </c>
      <c r="F1468" s="18" t="s">
        <v>51</v>
      </c>
      <c r="G1468" s="18" t="s">
        <v>43</v>
      </c>
      <c r="H1468" s="18">
        <v>18</v>
      </c>
      <c r="I1468" s="20">
        <v>50</v>
      </c>
      <c r="J1468" s="21">
        <v>900</v>
      </c>
    </row>
    <row r="1469" spans="1:10">
      <c r="A1469" s="19">
        <v>35796</v>
      </c>
      <c r="B1469" s="18" t="s">
        <v>26</v>
      </c>
      <c r="C1469" s="18" t="s">
        <v>27</v>
      </c>
      <c r="D1469" s="18" t="s">
        <v>53</v>
      </c>
      <c r="E1469" s="18" t="s">
        <v>54</v>
      </c>
      <c r="F1469" s="18" t="s">
        <v>51</v>
      </c>
      <c r="G1469" s="18" t="s">
        <v>43</v>
      </c>
      <c r="H1469" s="18">
        <v>14</v>
      </c>
      <c r="I1469" s="20">
        <v>5</v>
      </c>
      <c r="J1469" s="21">
        <v>70</v>
      </c>
    </row>
    <row r="1470" spans="1:10">
      <c r="A1470" s="19">
        <v>35796</v>
      </c>
      <c r="B1470" s="18" t="s">
        <v>26</v>
      </c>
      <c r="C1470" s="18" t="s">
        <v>32</v>
      </c>
      <c r="D1470" s="18" t="s">
        <v>53</v>
      </c>
      <c r="E1470" s="18" t="s">
        <v>55</v>
      </c>
      <c r="F1470" s="18" t="s">
        <v>52</v>
      </c>
      <c r="G1470" s="18" t="s">
        <v>31</v>
      </c>
      <c r="H1470" s="18">
        <v>7</v>
      </c>
      <c r="I1470" s="20">
        <v>20</v>
      </c>
      <c r="J1470" s="21">
        <v>140</v>
      </c>
    </row>
    <row r="1471" spans="1:10">
      <c r="A1471" s="19">
        <v>35796</v>
      </c>
      <c r="B1471" s="18" t="s">
        <v>26</v>
      </c>
      <c r="C1471" s="18" t="s">
        <v>34</v>
      </c>
      <c r="D1471" s="18" t="s">
        <v>53</v>
      </c>
      <c r="E1471" s="18" t="s">
        <v>56</v>
      </c>
      <c r="F1471" s="18" t="s">
        <v>51</v>
      </c>
      <c r="G1471" s="18" t="s">
        <v>43</v>
      </c>
      <c r="H1471" s="18">
        <v>15</v>
      </c>
      <c r="I1471" s="20">
        <v>5</v>
      </c>
      <c r="J1471" s="21">
        <v>75</v>
      </c>
    </row>
    <row r="1472" spans="1:10">
      <c r="A1472" s="19">
        <v>35797</v>
      </c>
      <c r="B1472" s="18" t="s">
        <v>26</v>
      </c>
      <c r="C1472" s="18" t="s">
        <v>36</v>
      </c>
      <c r="D1472" s="18" t="s">
        <v>53</v>
      </c>
      <c r="E1472" s="18" t="s">
        <v>57</v>
      </c>
      <c r="F1472" s="18" t="s">
        <v>30</v>
      </c>
      <c r="G1472" s="18" t="s">
        <v>31</v>
      </c>
      <c r="H1472" s="18">
        <v>13</v>
      </c>
      <c r="I1472" s="20">
        <v>20</v>
      </c>
      <c r="J1472" s="21">
        <v>260</v>
      </c>
    </row>
    <row r="1473" spans="1:10">
      <c r="A1473" s="19">
        <v>35797</v>
      </c>
      <c r="B1473" s="18" t="s">
        <v>39</v>
      </c>
      <c r="C1473" s="18" t="s">
        <v>40</v>
      </c>
      <c r="D1473" s="18" t="s">
        <v>53</v>
      </c>
      <c r="E1473" s="18" t="s">
        <v>54</v>
      </c>
      <c r="F1473" s="18" t="s">
        <v>30</v>
      </c>
      <c r="G1473" s="18" t="s">
        <v>31</v>
      </c>
      <c r="H1473" s="18">
        <v>34.799999999999997</v>
      </c>
      <c r="I1473" s="20">
        <v>40</v>
      </c>
      <c r="J1473" s="21">
        <v>1392</v>
      </c>
    </row>
    <row r="1474" spans="1:10">
      <c r="A1474" s="19">
        <v>35797</v>
      </c>
      <c r="B1474" s="18" t="s">
        <v>39</v>
      </c>
      <c r="C1474" s="18" t="s">
        <v>41</v>
      </c>
      <c r="D1474" s="18" t="s">
        <v>53</v>
      </c>
      <c r="E1474" s="18" t="s">
        <v>55</v>
      </c>
      <c r="F1474" s="18" t="s">
        <v>50</v>
      </c>
      <c r="G1474" s="18" t="s">
        <v>31</v>
      </c>
      <c r="H1474" s="18">
        <v>9.1999999999999993</v>
      </c>
      <c r="I1474" s="20">
        <v>15</v>
      </c>
      <c r="J1474" s="21">
        <v>138</v>
      </c>
    </row>
    <row r="1475" spans="1:10">
      <c r="A1475" s="19">
        <v>35797</v>
      </c>
      <c r="B1475" s="18" t="s">
        <v>39</v>
      </c>
      <c r="C1475" s="18" t="s">
        <v>44</v>
      </c>
      <c r="D1475" s="18" t="s">
        <v>53</v>
      </c>
      <c r="E1475" s="18" t="s">
        <v>56</v>
      </c>
      <c r="F1475" s="18" t="s">
        <v>30</v>
      </c>
      <c r="G1475" s="18" t="s">
        <v>31</v>
      </c>
      <c r="H1475" s="18">
        <v>12.5</v>
      </c>
      <c r="I1475" s="20">
        <v>16</v>
      </c>
      <c r="J1475" s="21">
        <v>200</v>
      </c>
    </row>
    <row r="1476" spans="1:10">
      <c r="A1476" s="19">
        <v>35797</v>
      </c>
      <c r="B1476" s="18" t="s">
        <v>39</v>
      </c>
      <c r="C1476" s="18" t="s">
        <v>46</v>
      </c>
      <c r="D1476" s="18" t="s">
        <v>53</v>
      </c>
      <c r="E1476" s="18" t="s">
        <v>57</v>
      </c>
      <c r="F1476" s="18" t="s">
        <v>50</v>
      </c>
      <c r="G1476" s="18" t="s">
        <v>31</v>
      </c>
      <c r="H1476" s="18">
        <v>18.399999999999999</v>
      </c>
      <c r="I1476" s="20">
        <v>30</v>
      </c>
      <c r="J1476" s="21">
        <v>552</v>
      </c>
    </row>
    <row r="1477" spans="1:10">
      <c r="A1477" s="19">
        <v>35797</v>
      </c>
      <c r="B1477" s="18" t="s">
        <v>39</v>
      </c>
      <c r="C1477" s="18" t="s">
        <v>47</v>
      </c>
      <c r="D1477" s="18" t="s">
        <v>53</v>
      </c>
      <c r="E1477" s="18" t="s">
        <v>54</v>
      </c>
      <c r="F1477" s="18" t="s">
        <v>50</v>
      </c>
      <c r="G1477" s="18" t="s">
        <v>31</v>
      </c>
      <c r="H1477" s="18">
        <v>9</v>
      </c>
      <c r="I1477" s="20">
        <v>18</v>
      </c>
      <c r="J1477" s="21">
        <v>162</v>
      </c>
    </row>
    <row r="1478" spans="1:10">
      <c r="A1478" s="19">
        <v>35800</v>
      </c>
      <c r="B1478" s="18" t="s">
        <v>26</v>
      </c>
      <c r="C1478" s="18" t="s">
        <v>27</v>
      </c>
      <c r="D1478" s="18" t="s">
        <v>53</v>
      </c>
      <c r="E1478" s="18" t="s">
        <v>55</v>
      </c>
      <c r="F1478" s="18" t="s">
        <v>45</v>
      </c>
      <c r="G1478" s="18" t="s">
        <v>38</v>
      </c>
      <c r="H1478" s="18">
        <v>28.5</v>
      </c>
      <c r="I1478" s="20">
        <v>30</v>
      </c>
      <c r="J1478" s="21">
        <v>855</v>
      </c>
    </row>
    <row r="1479" spans="1:10">
      <c r="A1479" s="19">
        <v>35800</v>
      </c>
      <c r="B1479" s="18" t="s">
        <v>26</v>
      </c>
      <c r="C1479" s="18" t="s">
        <v>32</v>
      </c>
      <c r="D1479" s="18" t="s">
        <v>53</v>
      </c>
      <c r="E1479" s="18" t="s">
        <v>56</v>
      </c>
      <c r="F1479" s="18" t="s">
        <v>49</v>
      </c>
      <c r="G1479" s="18" t="s">
        <v>38</v>
      </c>
      <c r="H1479" s="18">
        <v>12</v>
      </c>
      <c r="I1479" s="20">
        <v>35</v>
      </c>
      <c r="J1479" s="21">
        <v>420</v>
      </c>
    </row>
    <row r="1480" spans="1:10">
      <c r="A1480" s="19">
        <v>35800</v>
      </c>
      <c r="B1480" s="18" t="s">
        <v>26</v>
      </c>
      <c r="C1480" s="18" t="s">
        <v>34</v>
      </c>
      <c r="D1480" s="18" t="s">
        <v>53</v>
      </c>
      <c r="E1480" s="18" t="s">
        <v>57</v>
      </c>
      <c r="F1480" s="18" t="s">
        <v>51</v>
      </c>
      <c r="G1480" s="18" t="s">
        <v>43</v>
      </c>
      <c r="H1480" s="18">
        <v>2.5</v>
      </c>
      <c r="I1480" s="20">
        <v>16</v>
      </c>
      <c r="J1480" s="21">
        <v>40</v>
      </c>
    </row>
    <row r="1481" spans="1:10">
      <c r="A1481" s="19">
        <v>35800</v>
      </c>
      <c r="B1481" s="18" t="s">
        <v>26</v>
      </c>
      <c r="C1481" s="18" t="s">
        <v>36</v>
      </c>
      <c r="D1481" s="18" t="s">
        <v>53</v>
      </c>
      <c r="E1481" s="18" t="s">
        <v>54</v>
      </c>
      <c r="F1481" s="18" t="s">
        <v>45</v>
      </c>
      <c r="G1481" s="18" t="s">
        <v>38</v>
      </c>
      <c r="H1481" s="18">
        <v>46</v>
      </c>
      <c r="I1481" s="20">
        <v>20</v>
      </c>
      <c r="J1481" s="21">
        <v>920</v>
      </c>
    </row>
    <row r="1482" spans="1:10">
      <c r="A1482" s="19">
        <v>35800</v>
      </c>
      <c r="B1482" s="18" t="s">
        <v>39</v>
      </c>
      <c r="C1482" s="18" t="s">
        <v>40</v>
      </c>
      <c r="D1482" s="18" t="s">
        <v>53</v>
      </c>
      <c r="E1482" s="18" t="s">
        <v>55</v>
      </c>
      <c r="F1482" s="18" t="s">
        <v>49</v>
      </c>
      <c r="G1482" s="18" t="s">
        <v>38</v>
      </c>
      <c r="H1482" s="18">
        <v>19</v>
      </c>
      <c r="I1482" s="20">
        <v>12</v>
      </c>
      <c r="J1482" s="21">
        <v>228</v>
      </c>
    </row>
    <row r="1483" spans="1:10">
      <c r="A1483" s="19">
        <v>35800</v>
      </c>
      <c r="B1483" s="18" t="s">
        <v>39</v>
      </c>
      <c r="C1483" s="18" t="s">
        <v>41</v>
      </c>
      <c r="D1483" s="18" t="s">
        <v>53</v>
      </c>
      <c r="E1483" s="18" t="s">
        <v>56</v>
      </c>
      <c r="F1483" s="18" t="s">
        <v>45</v>
      </c>
      <c r="G1483" s="18" t="s">
        <v>38</v>
      </c>
      <c r="H1483" s="18">
        <v>9.65</v>
      </c>
      <c r="I1483" s="20">
        <v>20</v>
      </c>
      <c r="J1483" s="21">
        <v>193</v>
      </c>
    </row>
    <row r="1484" spans="1:10">
      <c r="A1484" s="19">
        <v>35800</v>
      </c>
      <c r="B1484" s="18" t="s">
        <v>39</v>
      </c>
      <c r="C1484" s="18" t="s">
        <v>44</v>
      </c>
      <c r="D1484" s="18" t="s">
        <v>53</v>
      </c>
      <c r="E1484" s="18" t="s">
        <v>57</v>
      </c>
      <c r="F1484" s="18" t="s">
        <v>45</v>
      </c>
      <c r="G1484" s="18" t="s">
        <v>38</v>
      </c>
      <c r="H1484" s="18">
        <v>12.75</v>
      </c>
      <c r="I1484" s="20">
        <v>8</v>
      </c>
      <c r="J1484" s="21">
        <v>102</v>
      </c>
    </row>
    <row r="1485" spans="1:10">
      <c r="A1485" s="19">
        <v>35801</v>
      </c>
      <c r="B1485" s="18" t="s">
        <v>39</v>
      </c>
      <c r="C1485" s="18" t="s">
        <v>46</v>
      </c>
      <c r="D1485" s="18" t="s">
        <v>53</v>
      </c>
      <c r="E1485" s="18" t="s">
        <v>54</v>
      </c>
      <c r="F1485" s="18" t="s">
        <v>42</v>
      </c>
      <c r="G1485" s="18" t="s">
        <v>43</v>
      </c>
      <c r="H1485" s="18">
        <v>263.5</v>
      </c>
      <c r="I1485" s="20">
        <v>30</v>
      </c>
      <c r="J1485" s="21">
        <v>7905</v>
      </c>
    </row>
    <row r="1486" spans="1:10">
      <c r="A1486" s="19">
        <v>35801</v>
      </c>
      <c r="B1486" s="18" t="s">
        <v>39</v>
      </c>
      <c r="C1486" s="18" t="s">
        <v>47</v>
      </c>
      <c r="D1486" s="18" t="s">
        <v>53</v>
      </c>
      <c r="E1486" s="18" t="s">
        <v>55</v>
      </c>
      <c r="F1486" s="18" t="s">
        <v>45</v>
      </c>
      <c r="G1486" s="18" t="s">
        <v>38</v>
      </c>
      <c r="H1486" s="18">
        <v>263.5</v>
      </c>
      <c r="I1486" s="20">
        <v>30</v>
      </c>
      <c r="J1486" s="21">
        <v>7905</v>
      </c>
    </row>
    <row r="1487" spans="1:10">
      <c r="A1487" s="19">
        <v>35801</v>
      </c>
      <c r="B1487" s="18" t="s">
        <v>26</v>
      </c>
      <c r="C1487" s="18" t="s">
        <v>27</v>
      </c>
      <c r="D1487" s="18" t="s">
        <v>53</v>
      </c>
      <c r="E1487" s="18" t="s">
        <v>56</v>
      </c>
      <c r="F1487" s="18" t="s">
        <v>45</v>
      </c>
      <c r="G1487" s="18" t="s">
        <v>38</v>
      </c>
      <c r="H1487" s="18">
        <v>31.23</v>
      </c>
      <c r="I1487" s="20">
        <v>40</v>
      </c>
      <c r="J1487" s="21">
        <v>1249.2</v>
      </c>
    </row>
    <row r="1488" spans="1:10">
      <c r="A1488" s="19">
        <v>35801</v>
      </c>
      <c r="B1488" s="18" t="s">
        <v>26</v>
      </c>
      <c r="C1488" s="18" t="s">
        <v>32</v>
      </c>
      <c r="D1488" s="18" t="s">
        <v>53</v>
      </c>
      <c r="E1488" s="18" t="s">
        <v>57</v>
      </c>
      <c r="F1488" s="18" t="s">
        <v>42</v>
      </c>
      <c r="G1488" s="18" t="s">
        <v>43</v>
      </c>
      <c r="H1488" s="18">
        <v>49.3</v>
      </c>
      <c r="I1488" s="20">
        <v>20</v>
      </c>
      <c r="J1488" s="21">
        <v>986</v>
      </c>
    </row>
    <row r="1489" spans="1:10">
      <c r="A1489" s="19">
        <v>35801</v>
      </c>
      <c r="B1489" s="18" t="s">
        <v>26</v>
      </c>
      <c r="C1489" s="18" t="s">
        <v>34</v>
      </c>
      <c r="D1489" s="18" t="s">
        <v>53</v>
      </c>
      <c r="E1489" s="18" t="s">
        <v>54</v>
      </c>
      <c r="F1489" s="18" t="s">
        <v>45</v>
      </c>
      <c r="G1489" s="18" t="s">
        <v>38</v>
      </c>
      <c r="H1489" s="18">
        <v>49.3</v>
      </c>
      <c r="I1489" s="20">
        <v>25</v>
      </c>
      <c r="J1489" s="21">
        <v>1232.5</v>
      </c>
    </row>
    <row r="1490" spans="1:10">
      <c r="A1490" s="19">
        <v>35801</v>
      </c>
      <c r="B1490" s="18" t="s">
        <v>26</v>
      </c>
      <c r="C1490" s="18" t="s">
        <v>36</v>
      </c>
      <c r="D1490" s="18" t="s">
        <v>53</v>
      </c>
      <c r="E1490" s="18" t="s">
        <v>55</v>
      </c>
      <c r="F1490" s="18" t="s">
        <v>45</v>
      </c>
      <c r="G1490" s="18" t="s">
        <v>38</v>
      </c>
      <c r="H1490" s="18">
        <v>18.399999999999999</v>
      </c>
      <c r="I1490" s="20">
        <v>60</v>
      </c>
      <c r="J1490" s="21">
        <v>1104</v>
      </c>
    </row>
    <row r="1491" spans="1:10">
      <c r="A1491" s="19">
        <v>35802</v>
      </c>
      <c r="B1491" s="18" t="s">
        <v>39</v>
      </c>
      <c r="C1491" s="18" t="s">
        <v>40</v>
      </c>
      <c r="D1491" s="18" t="s">
        <v>53</v>
      </c>
      <c r="E1491" s="18" t="s">
        <v>56</v>
      </c>
      <c r="F1491" s="18" t="s">
        <v>45</v>
      </c>
      <c r="G1491" s="18" t="s">
        <v>38</v>
      </c>
      <c r="H1491" s="18">
        <v>38</v>
      </c>
      <c r="I1491" s="20">
        <v>30</v>
      </c>
      <c r="J1491" s="21">
        <v>1140</v>
      </c>
    </row>
    <row r="1492" spans="1:10">
      <c r="A1492" s="19">
        <v>35802</v>
      </c>
      <c r="B1492" s="18" t="s">
        <v>39</v>
      </c>
      <c r="C1492" s="18" t="s">
        <v>41</v>
      </c>
      <c r="D1492" s="18" t="s">
        <v>53</v>
      </c>
      <c r="E1492" s="18" t="s">
        <v>57</v>
      </c>
      <c r="F1492" s="18" t="s">
        <v>52</v>
      </c>
      <c r="G1492" s="18" t="s">
        <v>31</v>
      </c>
      <c r="H1492" s="18">
        <v>32</v>
      </c>
      <c r="I1492" s="20">
        <v>20</v>
      </c>
      <c r="J1492" s="21">
        <v>640</v>
      </c>
    </row>
    <row r="1493" spans="1:10">
      <c r="A1493" s="19">
        <v>35802</v>
      </c>
      <c r="B1493" s="18" t="s">
        <v>39</v>
      </c>
      <c r="C1493" s="18" t="s">
        <v>44</v>
      </c>
      <c r="D1493" s="18" t="s">
        <v>53</v>
      </c>
      <c r="E1493" s="18" t="s">
        <v>56</v>
      </c>
      <c r="F1493" s="18" t="s">
        <v>51</v>
      </c>
      <c r="G1493" s="18" t="s">
        <v>43</v>
      </c>
      <c r="H1493" s="18">
        <v>46</v>
      </c>
      <c r="I1493" s="20">
        <v>7</v>
      </c>
      <c r="J1493" s="21">
        <v>322</v>
      </c>
    </row>
    <row r="1494" spans="1:10">
      <c r="A1494" s="19">
        <v>35802</v>
      </c>
      <c r="B1494" s="18" t="s">
        <v>39</v>
      </c>
      <c r="C1494" s="18" t="s">
        <v>46</v>
      </c>
      <c r="D1494" s="18" t="s">
        <v>53</v>
      </c>
      <c r="E1494" s="18" t="s">
        <v>54</v>
      </c>
      <c r="F1494" s="18" t="s">
        <v>51</v>
      </c>
      <c r="G1494" s="18" t="s">
        <v>43</v>
      </c>
      <c r="H1494" s="18">
        <v>7.75</v>
      </c>
      <c r="I1494" s="20">
        <v>20</v>
      </c>
      <c r="J1494" s="21">
        <v>155</v>
      </c>
    </row>
    <row r="1495" spans="1:10">
      <c r="A1495" s="19">
        <v>35802</v>
      </c>
      <c r="B1495" s="18" t="s">
        <v>39</v>
      </c>
      <c r="C1495" s="18" t="s">
        <v>47</v>
      </c>
      <c r="D1495" s="18" t="s">
        <v>53</v>
      </c>
      <c r="E1495" s="18" t="s">
        <v>55</v>
      </c>
      <c r="F1495" s="18" t="s">
        <v>52</v>
      </c>
      <c r="G1495" s="18" t="s">
        <v>31</v>
      </c>
      <c r="H1495" s="18">
        <v>9.65</v>
      </c>
      <c r="I1495" s="20">
        <v>20</v>
      </c>
      <c r="J1495" s="21">
        <v>193</v>
      </c>
    </row>
    <row r="1496" spans="1:10">
      <c r="A1496" s="19">
        <v>35803</v>
      </c>
      <c r="B1496" s="18" t="s">
        <v>26</v>
      </c>
      <c r="C1496" s="18" t="s">
        <v>27</v>
      </c>
      <c r="D1496" s="18" t="s">
        <v>53</v>
      </c>
      <c r="E1496" s="18" t="s">
        <v>56</v>
      </c>
      <c r="F1496" s="18" t="s">
        <v>49</v>
      </c>
      <c r="G1496" s="18" t="s">
        <v>38</v>
      </c>
      <c r="H1496" s="18">
        <v>18</v>
      </c>
      <c r="I1496" s="20">
        <v>20</v>
      </c>
      <c r="J1496" s="21">
        <v>360</v>
      </c>
    </row>
    <row r="1497" spans="1:10">
      <c r="A1497" s="19">
        <v>35803</v>
      </c>
      <c r="B1497" s="18" t="s">
        <v>26</v>
      </c>
      <c r="C1497" s="18" t="s">
        <v>32</v>
      </c>
      <c r="D1497" s="18" t="s">
        <v>53</v>
      </c>
      <c r="E1497" s="18" t="s">
        <v>57</v>
      </c>
      <c r="F1497" s="18" t="s">
        <v>37</v>
      </c>
      <c r="G1497" s="18" t="s">
        <v>38</v>
      </c>
      <c r="H1497" s="18">
        <v>49.3</v>
      </c>
      <c r="I1497" s="20">
        <v>3</v>
      </c>
      <c r="J1497" s="21">
        <v>147.89999999999998</v>
      </c>
    </row>
    <row r="1498" spans="1:10">
      <c r="A1498" s="19">
        <v>35803</v>
      </c>
      <c r="B1498" s="18" t="s">
        <v>26</v>
      </c>
      <c r="C1498" s="18" t="s">
        <v>34</v>
      </c>
      <c r="D1498" s="18" t="s">
        <v>53</v>
      </c>
      <c r="E1498" s="18" t="s">
        <v>54</v>
      </c>
      <c r="F1498" s="18" t="s">
        <v>37</v>
      </c>
      <c r="G1498" s="18" t="s">
        <v>38</v>
      </c>
      <c r="H1498" s="18">
        <v>15</v>
      </c>
      <c r="I1498" s="20">
        <v>6</v>
      </c>
      <c r="J1498" s="21">
        <v>90</v>
      </c>
    </row>
    <row r="1499" spans="1:10">
      <c r="A1499" s="19">
        <v>35803</v>
      </c>
      <c r="B1499" s="18" t="s">
        <v>26</v>
      </c>
      <c r="C1499" s="18" t="s">
        <v>36</v>
      </c>
      <c r="D1499" s="18" t="s">
        <v>53</v>
      </c>
      <c r="E1499" s="18" t="s">
        <v>55</v>
      </c>
      <c r="F1499" s="18" t="s">
        <v>49</v>
      </c>
      <c r="G1499" s="18" t="s">
        <v>38</v>
      </c>
      <c r="H1499" s="18">
        <v>53</v>
      </c>
      <c r="I1499" s="20">
        <v>6</v>
      </c>
      <c r="J1499" s="21">
        <v>318</v>
      </c>
    </row>
    <row r="1500" spans="1:10">
      <c r="A1500" s="19">
        <v>35804</v>
      </c>
      <c r="B1500" s="18" t="s">
        <v>39</v>
      </c>
      <c r="C1500" s="18" t="s">
        <v>40</v>
      </c>
      <c r="D1500" s="18" t="s">
        <v>53</v>
      </c>
      <c r="E1500" s="18" t="s">
        <v>56</v>
      </c>
      <c r="F1500" s="18" t="s">
        <v>30</v>
      </c>
      <c r="G1500" s="18" t="s">
        <v>31</v>
      </c>
      <c r="H1500" s="18">
        <v>21</v>
      </c>
      <c r="I1500" s="20">
        <v>20</v>
      </c>
      <c r="J1500" s="21">
        <v>420</v>
      </c>
    </row>
    <row r="1501" spans="1:10">
      <c r="A1501" s="19">
        <v>35804</v>
      </c>
      <c r="B1501" s="18" t="s">
        <v>39</v>
      </c>
      <c r="C1501" s="18" t="s">
        <v>41</v>
      </c>
      <c r="D1501" s="18" t="s">
        <v>53</v>
      </c>
      <c r="E1501" s="18" t="s">
        <v>57</v>
      </c>
      <c r="F1501" s="18" t="s">
        <v>30</v>
      </c>
      <c r="G1501" s="18" t="s">
        <v>31</v>
      </c>
      <c r="H1501" s="18">
        <v>55</v>
      </c>
      <c r="I1501" s="20">
        <v>40</v>
      </c>
      <c r="J1501" s="21">
        <v>2200</v>
      </c>
    </row>
    <row r="1502" spans="1:10">
      <c r="A1502" s="19">
        <v>35804</v>
      </c>
      <c r="B1502" s="18" t="s">
        <v>39</v>
      </c>
      <c r="C1502" s="18" t="s">
        <v>44</v>
      </c>
      <c r="D1502" s="18" t="s">
        <v>53</v>
      </c>
      <c r="E1502" s="18" t="s">
        <v>54</v>
      </c>
      <c r="F1502" s="18" t="s">
        <v>30</v>
      </c>
      <c r="G1502" s="18" t="s">
        <v>31</v>
      </c>
      <c r="H1502" s="18">
        <v>13</v>
      </c>
      <c r="I1502" s="20">
        <v>15</v>
      </c>
      <c r="J1502" s="21">
        <v>195</v>
      </c>
    </row>
    <row r="1503" spans="1:10">
      <c r="A1503" s="19">
        <v>35804</v>
      </c>
      <c r="B1503" s="18" t="s">
        <v>39</v>
      </c>
      <c r="C1503" s="18" t="s">
        <v>46</v>
      </c>
      <c r="D1503" s="18" t="s">
        <v>53</v>
      </c>
      <c r="E1503" s="18" t="s">
        <v>55</v>
      </c>
      <c r="F1503" s="18" t="s">
        <v>49</v>
      </c>
      <c r="G1503" s="18" t="s">
        <v>38</v>
      </c>
      <c r="H1503" s="18">
        <v>31.23</v>
      </c>
      <c r="I1503" s="20">
        <v>12</v>
      </c>
      <c r="J1503" s="21">
        <v>374.76</v>
      </c>
    </row>
    <row r="1504" spans="1:10">
      <c r="A1504" s="19">
        <v>35804</v>
      </c>
      <c r="B1504" s="18" t="s">
        <v>39</v>
      </c>
      <c r="C1504" s="18" t="s">
        <v>47</v>
      </c>
      <c r="D1504" s="18" t="s">
        <v>53</v>
      </c>
      <c r="E1504" s="18" t="s">
        <v>56</v>
      </c>
      <c r="F1504" s="18" t="s">
        <v>50</v>
      </c>
      <c r="G1504" s="18" t="s">
        <v>31</v>
      </c>
      <c r="H1504" s="18">
        <v>15</v>
      </c>
      <c r="I1504" s="20">
        <v>9</v>
      </c>
      <c r="J1504" s="21">
        <v>135</v>
      </c>
    </row>
    <row r="1505" spans="1:10">
      <c r="A1505" s="19">
        <v>35804</v>
      </c>
      <c r="B1505" s="18" t="s">
        <v>26</v>
      </c>
      <c r="C1505" s="18" t="s">
        <v>27</v>
      </c>
      <c r="D1505" s="18" t="s">
        <v>53</v>
      </c>
      <c r="E1505" s="18" t="s">
        <v>57</v>
      </c>
      <c r="F1505" s="18" t="s">
        <v>50</v>
      </c>
      <c r="G1505" s="18" t="s">
        <v>31</v>
      </c>
      <c r="H1505" s="18">
        <v>9.65</v>
      </c>
      <c r="I1505" s="20">
        <v>12</v>
      </c>
      <c r="J1505" s="21">
        <v>115.80000000000001</v>
      </c>
    </row>
    <row r="1506" spans="1:10">
      <c r="A1506" s="19">
        <v>35804</v>
      </c>
      <c r="B1506" s="18" t="s">
        <v>26</v>
      </c>
      <c r="C1506" s="18" t="s">
        <v>32</v>
      </c>
      <c r="D1506" s="18" t="s">
        <v>53</v>
      </c>
      <c r="E1506" s="18" t="s">
        <v>54</v>
      </c>
      <c r="F1506" s="18" t="s">
        <v>30</v>
      </c>
      <c r="G1506" s="18" t="s">
        <v>31</v>
      </c>
      <c r="H1506" s="18">
        <v>19.5</v>
      </c>
      <c r="I1506" s="20">
        <v>15</v>
      </c>
      <c r="J1506" s="21">
        <v>292.5</v>
      </c>
    </row>
    <row r="1507" spans="1:10">
      <c r="A1507" s="19">
        <v>35804</v>
      </c>
      <c r="B1507" s="18" t="s">
        <v>26</v>
      </c>
      <c r="C1507" s="18" t="s">
        <v>34</v>
      </c>
      <c r="D1507" s="18" t="s">
        <v>53</v>
      </c>
      <c r="E1507" s="18" t="s">
        <v>55</v>
      </c>
      <c r="F1507" s="18" t="s">
        <v>49</v>
      </c>
      <c r="G1507" s="18" t="s">
        <v>38</v>
      </c>
      <c r="H1507" s="18">
        <v>32.799999999999997</v>
      </c>
      <c r="I1507" s="20">
        <v>20</v>
      </c>
      <c r="J1507" s="21">
        <v>656</v>
      </c>
    </row>
    <row r="1508" spans="1:10">
      <c r="A1508" s="19">
        <v>35807</v>
      </c>
      <c r="B1508" s="18" t="s">
        <v>26</v>
      </c>
      <c r="C1508" s="18" t="s">
        <v>36</v>
      </c>
      <c r="D1508" s="18" t="s">
        <v>53</v>
      </c>
      <c r="E1508" s="18" t="s">
        <v>56</v>
      </c>
      <c r="F1508" s="18" t="s">
        <v>37</v>
      </c>
      <c r="G1508" s="18" t="s">
        <v>38</v>
      </c>
      <c r="H1508" s="18">
        <v>12.5</v>
      </c>
      <c r="I1508" s="20">
        <v>35</v>
      </c>
      <c r="J1508" s="21">
        <v>437.5</v>
      </c>
    </row>
    <row r="1509" spans="1:10">
      <c r="A1509" s="19">
        <v>35807</v>
      </c>
      <c r="B1509" s="18" t="s">
        <v>39</v>
      </c>
      <c r="C1509" s="18" t="s">
        <v>40</v>
      </c>
      <c r="D1509" s="18" t="s">
        <v>53</v>
      </c>
      <c r="E1509" s="18" t="s">
        <v>57</v>
      </c>
      <c r="F1509" s="18" t="s">
        <v>37</v>
      </c>
      <c r="G1509" s="18" t="s">
        <v>38</v>
      </c>
      <c r="H1509" s="18">
        <v>19.5</v>
      </c>
      <c r="I1509" s="20">
        <v>15</v>
      </c>
      <c r="J1509" s="21">
        <v>292.5</v>
      </c>
    </row>
    <row r="1510" spans="1:10">
      <c r="A1510" s="19">
        <v>35807</v>
      </c>
      <c r="B1510" s="18" t="s">
        <v>39</v>
      </c>
      <c r="C1510" s="18" t="s">
        <v>41</v>
      </c>
      <c r="D1510" s="18" t="s">
        <v>53</v>
      </c>
      <c r="E1510" s="18" t="s">
        <v>54</v>
      </c>
      <c r="F1510" s="18" t="s">
        <v>49</v>
      </c>
      <c r="G1510" s="18" t="s">
        <v>38</v>
      </c>
      <c r="H1510" s="18">
        <v>31</v>
      </c>
      <c r="I1510" s="20">
        <v>15</v>
      </c>
      <c r="J1510" s="21">
        <v>465</v>
      </c>
    </row>
    <row r="1511" spans="1:10">
      <c r="A1511" s="19">
        <v>35807</v>
      </c>
      <c r="B1511" s="18" t="s">
        <v>39</v>
      </c>
      <c r="C1511" s="18" t="s">
        <v>44</v>
      </c>
      <c r="D1511" s="18" t="s">
        <v>53</v>
      </c>
      <c r="E1511" s="18" t="s">
        <v>55</v>
      </c>
      <c r="F1511" s="18" t="s">
        <v>49</v>
      </c>
      <c r="G1511" s="18" t="s">
        <v>38</v>
      </c>
      <c r="H1511" s="18">
        <v>18</v>
      </c>
      <c r="I1511" s="20">
        <v>21</v>
      </c>
      <c r="J1511" s="21">
        <v>378</v>
      </c>
    </row>
    <row r="1512" spans="1:10">
      <c r="A1512" s="19">
        <v>35808</v>
      </c>
      <c r="B1512" s="18" t="s">
        <v>39</v>
      </c>
      <c r="C1512" s="18" t="s">
        <v>46</v>
      </c>
      <c r="D1512" s="18" t="s">
        <v>53</v>
      </c>
      <c r="E1512" s="18" t="s">
        <v>56</v>
      </c>
      <c r="F1512" s="18" t="s">
        <v>48</v>
      </c>
      <c r="G1512" s="18" t="s">
        <v>31</v>
      </c>
      <c r="H1512" s="18">
        <v>81</v>
      </c>
      <c r="I1512" s="20">
        <v>5</v>
      </c>
      <c r="J1512" s="21">
        <v>405</v>
      </c>
    </row>
    <row r="1513" spans="1:10">
      <c r="A1513" s="19">
        <v>35808</v>
      </c>
      <c r="B1513" s="18" t="s">
        <v>39</v>
      </c>
      <c r="C1513" s="18" t="s">
        <v>47</v>
      </c>
      <c r="D1513" s="18" t="s">
        <v>53</v>
      </c>
      <c r="E1513" s="18" t="s">
        <v>57</v>
      </c>
      <c r="F1513" s="18" t="s">
        <v>48</v>
      </c>
      <c r="G1513" s="18" t="s">
        <v>31</v>
      </c>
      <c r="H1513" s="18">
        <v>40</v>
      </c>
      <c r="I1513" s="20">
        <v>20</v>
      </c>
      <c r="J1513" s="21">
        <v>800</v>
      </c>
    </row>
    <row r="1514" spans="1:10">
      <c r="A1514" s="19">
        <v>35808</v>
      </c>
      <c r="B1514" s="18" t="s">
        <v>26</v>
      </c>
      <c r="C1514" s="18" t="s">
        <v>27</v>
      </c>
      <c r="D1514" s="18" t="s">
        <v>53</v>
      </c>
      <c r="E1514" s="18" t="s">
        <v>54</v>
      </c>
      <c r="F1514" s="18" t="s">
        <v>48</v>
      </c>
      <c r="G1514" s="18" t="s">
        <v>31</v>
      </c>
      <c r="H1514" s="18">
        <v>34</v>
      </c>
      <c r="I1514" s="20">
        <v>21</v>
      </c>
      <c r="J1514" s="21">
        <v>714</v>
      </c>
    </row>
    <row r="1515" spans="1:10">
      <c r="A1515" s="19">
        <v>35808</v>
      </c>
      <c r="B1515" s="18" t="s">
        <v>26</v>
      </c>
      <c r="C1515" s="18" t="s">
        <v>32</v>
      </c>
      <c r="D1515" s="18" t="s">
        <v>53</v>
      </c>
      <c r="E1515" s="18" t="s">
        <v>55</v>
      </c>
      <c r="F1515" s="18" t="s">
        <v>42</v>
      </c>
      <c r="G1515" s="18" t="s">
        <v>43</v>
      </c>
      <c r="H1515" s="18">
        <v>34</v>
      </c>
      <c r="I1515" s="20">
        <v>30</v>
      </c>
      <c r="J1515" s="21">
        <v>1020</v>
      </c>
    </row>
    <row r="1516" spans="1:10">
      <c r="A1516" s="19">
        <v>35808</v>
      </c>
      <c r="B1516" s="18" t="s">
        <v>26</v>
      </c>
      <c r="C1516" s="18" t="s">
        <v>34</v>
      </c>
      <c r="D1516" s="18" t="s">
        <v>53</v>
      </c>
      <c r="E1516" s="18" t="s">
        <v>56</v>
      </c>
      <c r="F1516" s="18" t="s">
        <v>42</v>
      </c>
      <c r="G1516" s="18" t="s">
        <v>43</v>
      </c>
      <c r="H1516" s="18">
        <v>25</v>
      </c>
      <c r="I1516" s="20">
        <v>6</v>
      </c>
      <c r="J1516" s="21">
        <v>150</v>
      </c>
    </row>
    <row r="1517" spans="1:10">
      <c r="A1517" s="19">
        <v>35808</v>
      </c>
      <c r="B1517" s="18" t="s">
        <v>26</v>
      </c>
      <c r="C1517" s="18" t="s">
        <v>36</v>
      </c>
      <c r="D1517" s="18" t="s">
        <v>53</v>
      </c>
      <c r="E1517" s="18" t="s">
        <v>57</v>
      </c>
      <c r="F1517" s="18" t="s">
        <v>48</v>
      </c>
      <c r="G1517" s="18" t="s">
        <v>31</v>
      </c>
      <c r="H1517" s="18">
        <v>6</v>
      </c>
      <c r="I1517" s="20">
        <v>10</v>
      </c>
      <c r="J1517" s="21">
        <v>60</v>
      </c>
    </row>
    <row r="1518" spans="1:10">
      <c r="A1518" s="19">
        <v>35808</v>
      </c>
      <c r="B1518" s="18" t="s">
        <v>39</v>
      </c>
      <c r="C1518" s="18" t="s">
        <v>40</v>
      </c>
      <c r="D1518" s="18" t="s">
        <v>53</v>
      </c>
      <c r="E1518" s="18" t="s">
        <v>54</v>
      </c>
      <c r="F1518" s="18" t="s">
        <v>48</v>
      </c>
      <c r="G1518" s="18" t="s">
        <v>31</v>
      </c>
      <c r="H1518" s="18">
        <v>263.5</v>
      </c>
      <c r="I1518" s="20">
        <v>2</v>
      </c>
      <c r="J1518" s="21">
        <v>527</v>
      </c>
    </row>
    <row r="1519" spans="1:10">
      <c r="A1519" s="19">
        <v>35808</v>
      </c>
      <c r="B1519" s="18" t="s">
        <v>39</v>
      </c>
      <c r="C1519" s="18" t="s">
        <v>41</v>
      </c>
      <c r="D1519" s="18" t="s">
        <v>53</v>
      </c>
      <c r="E1519" s="18" t="s">
        <v>55</v>
      </c>
      <c r="F1519" s="18" t="s">
        <v>42</v>
      </c>
      <c r="G1519" s="18" t="s">
        <v>43</v>
      </c>
      <c r="H1519" s="18">
        <v>12.5</v>
      </c>
      <c r="I1519" s="20">
        <v>24</v>
      </c>
      <c r="J1519" s="21">
        <v>300</v>
      </c>
    </row>
    <row r="1520" spans="1:10">
      <c r="A1520" s="19">
        <v>35808</v>
      </c>
      <c r="B1520" s="18" t="s">
        <v>39</v>
      </c>
      <c r="C1520" s="18" t="s">
        <v>44</v>
      </c>
      <c r="D1520" s="18" t="s">
        <v>53</v>
      </c>
      <c r="E1520" s="18" t="s">
        <v>56</v>
      </c>
      <c r="F1520" s="18" t="s">
        <v>48</v>
      </c>
      <c r="G1520" s="18" t="s">
        <v>31</v>
      </c>
      <c r="H1520" s="18">
        <v>19</v>
      </c>
      <c r="I1520" s="20">
        <v>10</v>
      </c>
      <c r="J1520" s="21">
        <v>190</v>
      </c>
    </row>
    <row r="1521" spans="1:10">
      <c r="A1521" s="19">
        <v>35808</v>
      </c>
      <c r="B1521" s="18" t="s">
        <v>39</v>
      </c>
      <c r="C1521" s="18" t="s">
        <v>46</v>
      </c>
      <c r="D1521" s="18" t="s">
        <v>53</v>
      </c>
      <c r="E1521" s="18" t="s">
        <v>57</v>
      </c>
      <c r="F1521" s="18" t="s">
        <v>42</v>
      </c>
      <c r="G1521" s="18" t="s">
        <v>43</v>
      </c>
      <c r="H1521" s="18">
        <v>18</v>
      </c>
      <c r="I1521" s="20">
        <v>28</v>
      </c>
      <c r="J1521" s="21">
        <v>504</v>
      </c>
    </row>
    <row r="1522" spans="1:10">
      <c r="A1522" s="19">
        <v>35809</v>
      </c>
      <c r="B1522" s="18" t="s">
        <v>39</v>
      </c>
      <c r="C1522" s="18" t="s">
        <v>47</v>
      </c>
      <c r="D1522" s="18" t="s">
        <v>53</v>
      </c>
      <c r="E1522" s="18" t="s">
        <v>56</v>
      </c>
      <c r="F1522" s="18" t="s">
        <v>51</v>
      </c>
      <c r="G1522" s="18" t="s">
        <v>43</v>
      </c>
      <c r="H1522" s="18">
        <v>19.45</v>
      </c>
      <c r="I1522" s="20">
        <v>16</v>
      </c>
      <c r="J1522" s="21">
        <v>311.2</v>
      </c>
    </row>
    <row r="1523" spans="1:10">
      <c r="A1523" s="19">
        <v>35809</v>
      </c>
      <c r="B1523" s="18" t="s">
        <v>26</v>
      </c>
      <c r="C1523" s="18" t="s">
        <v>27</v>
      </c>
      <c r="D1523" s="18" t="s">
        <v>53</v>
      </c>
      <c r="E1523" s="18" t="s">
        <v>54</v>
      </c>
      <c r="F1523" s="18" t="s">
        <v>51</v>
      </c>
      <c r="G1523" s="18" t="s">
        <v>43</v>
      </c>
      <c r="H1523" s="18">
        <v>33.25</v>
      </c>
      <c r="I1523" s="20">
        <v>3</v>
      </c>
      <c r="J1523" s="21">
        <v>99.75</v>
      </c>
    </row>
    <row r="1524" spans="1:10">
      <c r="A1524" s="19">
        <v>35809</v>
      </c>
      <c r="B1524" s="18" t="s">
        <v>26</v>
      </c>
      <c r="C1524" s="18" t="s">
        <v>32</v>
      </c>
      <c r="D1524" s="18" t="s">
        <v>53</v>
      </c>
      <c r="E1524" s="18" t="s">
        <v>55</v>
      </c>
      <c r="F1524" s="18" t="s">
        <v>45</v>
      </c>
      <c r="G1524" s="18" t="s">
        <v>38</v>
      </c>
      <c r="H1524" s="18">
        <v>46</v>
      </c>
      <c r="I1524" s="20">
        <v>9</v>
      </c>
      <c r="J1524" s="21">
        <v>414</v>
      </c>
    </row>
    <row r="1525" spans="1:10">
      <c r="A1525" s="19">
        <v>35809</v>
      </c>
      <c r="B1525" s="18" t="s">
        <v>26</v>
      </c>
      <c r="C1525" s="18" t="s">
        <v>34</v>
      </c>
      <c r="D1525" s="18" t="s">
        <v>53</v>
      </c>
      <c r="E1525" s="18" t="s">
        <v>56</v>
      </c>
      <c r="F1525" s="18" t="s">
        <v>51</v>
      </c>
      <c r="G1525" s="18" t="s">
        <v>43</v>
      </c>
      <c r="H1525" s="18">
        <v>6</v>
      </c>
      <c r="I1525" s="20">
        <v>3</v>
      </c>
      <c r="J1525" s="21">
        <v>18</v>
      </c>
    </row>
    <row r="1526" spans="1:10">
      <c r="A1526" s="19">
        <v>35809</v>
      </c>
      <c r="B1526" s="18" t="s">
        <v>26</v>
      </c>
      <c r="C1526" s="18" t="s">
        <v>36</v>
      </c>
      <c r="D1526" s="18" t="s">
        <v>53</v>
      </c>
      <c r="E1526" s="18" t="s">
        <v>57</v>
      </c>
      <c r="F1526" s="18" t="s">
        <v>45</v>
      </c>
      <c r="G1526" s="18" t="s">
        <v>38</v>
      </c>
      <c r="H1526" s="18">
        <v>263.5</v>
      </c>
      <c r="I1526" s="20">
        <v>8</v>
      </c>
      <c r="J1526" s="21">
        <v>2108</v>
      </c>
    </row>
    <row r="1527" spans="1:10">
      <c r="A1527" s="19">
        <v>35809</v>
      </c>
      <c r="B1527" s="18" t="s">
        <v>39</v>
      </c>
      <c r="C1527" s="18" t="s">
        <v>40</v>
      </c>
      <c r="D1527" s="18" t="s">
        <v>53</v>
      </c>
      <c r="E1527" s="18" t="s">
        <v>54</v>
      </c>
      <c r="F1527" s="18" t="s">
        <v>45</v>
      </c>
      <c r="G1527" s="18" t="s">
        <v>38</v>
      </c>
      <c r="H1527" s="18">
        <v>18</v>
      </c>
      <c r="I1527" s="20">
        <v>8</v>
      </c>
      <c r="J1527" s="21">
        <v>144</v>
      </c>
    </row>
    <row r="1528" spans="1:10">
      <c r="A1528" s="19">
        <v>35809</v>
      </c>
      <c r="B1528" s="18" t="s">
        <v>39</v>
      </c>
      <c r="C1528" s="18" t="s">
        <v>41</v>
      </c>
      <c r="D1528" s="18" t="s">
        <v>53</v>
      </c>
      <c r="E1528" s="18" t="s">
        <v>55</v>
      </c>
      <c r="F1528" s="18" t="s">
        <v>51</v>
      </c>
      <c r="G1528" s="18" t="s">
        <v>43</v>
      </c>
      <c r="H1528" s="18">
        <v>14</v>
      </c>
      <c r="I1528" s="20">
        <v>10</v>
      </c>
      <c r="J1528" s="21">
        <v>140</v>
      </c>
    </row>
    <row r="1529" spans="1:10">
      <c r="A1529" s="19">
        <v>35809</v>
      </c>
      <c r="B1529" s="18" t="s">
        <v>39</v>
      </c>
      <c r="C1529" s="18" t="s">
        <v>44</v>
      </c>
      <c r="D1529" s="18" t="s">
        <v>53</v>
      </c>
      <c r="E1529" s="18" t="s">
        <v>56</v>
      </c>
      <c r="F1529" s="18" t="s">
        <v>45</v>
      </c>
      <c r="G1529" s="18" t="s">
        <v>38</v>
      </c>
      <c r="H1529" s="18">
        <v>9.1999999999999993</v>
      </c>
      <c r="I1529" s="20">
        <v>2</v>
      </c>
      <c r="J1529" s="21">
        <v>18.399999999999999</v>
      </c>
    </row>
    <row r="1530" spans="1:10">
      <c r="A1530" s="19">
        <v>35810</v>
      </c>
      <c r="B1530" s="18" t="s">
        <v>39</v>
      </c>
      <c r="C1530" s="18" t="s">
        <v>46</v>
      </c>
      <c r="D1530" s="18" t="s">
        <v>53</v>
      </c>
      <c r="E1530" s="18" t="s">
        <v>57</v>
      </c>
      <c r="F1530" s="18" t="s">
        <v>49</v>
      </c>
      <c r="G1530" s="18" t="s">
        <v>38</v>
      </c>
      <c r="H1530" s="18">
        <v>55</v>
      </c>
      <c r="I1530" s="20">
        <v>15</v>
      </c>
      <c r="J1530" s="21">
        <v>825</v>
      </c>
    </row>
    <row r="1531" spans="1:10">
      <c r="A1531" s="19">
        <v>35810</v>
      </c>
      <c r="B1531" s="18" t="s">
        <v>39</v>
      </c>
      <c r="C1531" s="18" t="s">
        <v>47</v>
      </c>
      <c r="D1531" s="18" t="s">
        <v>53</v>
      </c>
      <c r="E1531" s="18" t="s">
        <v>54</v>
      </c>
      <c r="F1531" s="18" t="s">
        <v>37</v>
      </c>
      <c r="G1531" s="18" t="s">
        <v>38</v>
      </c>
      <c r="H1531" s="18">
        <v>30</v>
      </c>
      <c r="I1531" s="20">
        <v>20</v>
      </c>
      <c r="J1531" s="21">
        <v>600</v>
      </c>
    </row>
    <row r="1532" spans="1:10">
      <c r="A1532" s="19">
        <v>35810</v>
      </c>
      <c r="B1532" s="18" t="s">
        <v>26</v>
      </c>
      <c r="C1532" s="18" t="s">
        <v>27</v>
      </c>
      <c r="D1532" s="18" t="s">
        <v>53</v>
      </c>
      <c r="E1532" s="18" t="s">
        <v>55</v>
      </c>
      <c r="F1532" s="18" t="s">
        <v>49</v>
      </c>
      <c r="G1532" s="18" t="s">
        <v>38</v>
      </c>
      <c r="H1532" s="18">
        <v>25.89</v>
      </c>
      <c r="I1532" s="20">
        <v>20</v>
      </c>
      <c r="J1532" s="21">
        <v>517.79999999999995</v>
      </c>
    </row>
    <row r="1533" spans="1:10">
      <c r="A1533" s="19">
        <v>35810</v>
      </c>
      <c r="B1533" s="18" t="s">
        <v>26</v>
      </c>
      <c r="C1533" s="18" t="s">
        <v>32</v>
      </c>
      <c r="D1533" s="18" t="s">
        <v>53</v>
      </c>
      <c r="E1533" s="18" t="s">
        <v>56</v>
      </c>
      <c r="F1533" s="18" t="s">
        <v>49</v>
      </c>
      <c r="G1533" s="18" t="s">
        <v>38</v>
      </c>
      <c r="H1533" s="18">
        <v>15</v>
      </c>
      <c r="I1533" s="20">
        <v>2</v>
      </c>
      <c r="J1533" s="21">
        <v>30</v>
      </c>
    </row>
    <row r="1534" spans="1:10">
      <c r="A1534" s="19">
        <v>35810</v>
      </c>
      <c r="B1534" s="18" t="s">
        <v>26</v>
      </c>
      <c r="C1534" s="18" t="s">
        <v>34</v>
      </c>
      <c r="D1534" s="18" t="s">
        <v>53</v>
      </c>
      <c r="E1534" s="18" t="s">
        <v>57</v>
      </c>
      <c r="F1534" s="18" t="s">
        <v>37</v>
      </c>
      <c r="G1534" s="18" t="s">
        <v>38</v>
      </c>
      <c r="H1534" s="18">
        <v>12.5</v>
      </c>
      <c r="I1534" s="20">
        <v>9</v>
      </c>
      <c r="J1534" s="21">
        <v>112.5</v>
      </c>
    </row>
    <row r="1535" spans="1:10">
      <c r="A1535" s="19">
        <v>35810</v>
      </c>
      <c r="B1535" s="18" t="s">
        <v>26</v>
      </c>
      <c r="C1535" s="18" t="s">
        <v>36</v>
      </c>
      <c r="D1535" s="18" t="s">
        <v>53</v>
      </c>
      <c r="E1535" s="18" t="s">
        <v>54</v>
      </c>
      <c r="F1535" s="18" t="s">
        <v>49</v>
      </c>
      <c r="G1535" s="18" t="s">
        <v>38</v>
      </c>
      <c r="H1535" s="18">
        <v>123.79</v>
      </c>
      <c r="I1535" s="20">
        <v>8</v>
      </c>
      <c r="J1535" s="21">
        <v>990.32</v>
      </c>
    </row>
    <row r="1536" spans="1:10">
      <c r="A1536" s="19">
        <v>35810</v>
      </c>
      <c r="B1536" s="18" t="s">
        <v>39</v>
      </c>
      <c r="C1536" s="18" t="s">
        <v>40</v>
      </c>
      <c r="D1536" s="18" t="s">
        <v>53</v>
      </c>
      <c r="E1536" s="18" t="s">
        <v>55</v>
      </c>
      <c r="F1536" s="18" t="s">
        <v>37</v>
      </c>
      <c r="G1536" s="18" t="s">
        <v>38</v>
      </c>
      <c r="H1536" s="18">
        <v>32.799999999999997</v>
      </c>
      <c r="I1536" s="20">
        <v>9</v>
      </c>
      <c r="J1536" s="21">
        <v>295.2</v>
      </c>
    </row>
    <row r="1537" spans="1:10">
      <c r="A1537" s="19">
        <v>35811</v>
      </c>
      <c r="B1537" s="18" t="s">
        <v>39</v>
      </c>
      <c r="C1537" s="18" t="s">
        <v>41</v>
      </c>
      <c r="D1537" s="18" t="s">
        <v>53</v>
      </c>
      <c r="E1537" s="18" t="s">
        <v>56</v>
      </c>
      <c r="F1537" s="18" t="s">
        <v>48</v>
      </c>
      <c r="G1537" s="18" t="s">
        <v>31</v>
      </c>
      <c r="H1537" s="18">
        <v>9.5</v>
      </c>
      <c r="I1537" s="20">
        <v>40</v>
      </c>
      <c r="J1537" s="21">
        <v>380</v>
      </c>
    </row>
    <row r="1538" spans="1:10">
      <c r="A1538" s="19">
        <v>35811</v>
      </c>
      <c r="B1538" s="18" t="s">
        <v>39</v>
      </c>
      <c r="C1538" s="18" t="s">
        <v>44</v>
      </c>
      <c r="D1538" s="18" t="s">
        <v>53</v>
      </c>
      <c r="E1538" s="18" t="s">
        <v>57</v>
      </c>
      <c r="F1538" s="18" t="s">
        <v>52</v>
      </c>
      <c r="G1538" s="18" t="s">
        <v>31</v>
      </c>
      <c r="H1538" s="18">
        <v>34</v>
      </c>
      <c r="I1538" s="20">
        <v>60</v>
      </c>
      <c r="J1538" s="21">
        <v>2040</v>
      </c>
    </row>
    <row r="1539" spans="1:10">
      <c r="A1539" s="19">
        <v>35811</v>
      </c>
      <c r="B1539" s="18" t="s">
        <v>39</v>
      </c>
      <c r="C1539" s="18" t="s">
        <v>46</v>
      </c>
      <c r="D1539" s="18" t="s">
        <v>53</v>
      </c>
      <c r="E1539" s="18" t="s">
        <v>54</v>
      </c>
      <c r="F1539" s="18" t="s">
        <v>52</v>
      </c>
      <c r="G1539" s="18" t="s">
        <v>31</v>
      </c>
      <c r="H1539" s="18">
        <v>33.25</v>
      </c>
      <c r="I1539" s="20">
        <v>30</v>
      </c>
      <c r="J1539" s="21">
        <v>997.5</v>
      </c>
    </row>
    <row r="1540" spans="1:10">
      <c r="A1540" s="19">
        <v>35811</v>
      </c>
      <c r="B1540" s="18" t="s">
        <v>39</v>
      </c>
      <c r="C1540" s="18" t="s">
        <v>47</v>
      </c>
      <c r="D1540" s="18" t="s">
        <v>53</v>
      </c>
      <c r="E1540" s="18" t="s">
        <v>55</v>
      </c>
      <c r="F1540" s="18" t="s">
        <v>48</v>
      </c>
      <c r="G1540" s="18" t="s">
        <v>31</v>
      </c>
      <c r="H1540" s="18">
        <v>6</v>
      </c>
      <c r="I1540" s="20">
        <v>6</v>
      </c>
      <c r="J1540" s="21">
        <v>36</v>
      </c>
    </row>
    <row r="1541" spans="1:10">
      <c r="A1541" s="19">
        <v>35811</v>
      </c>
      <c r="B1541" s="18" t="s">
        <v>26</v>
      </c>
      <c r="C1541" s="18" t="s">
        <v>27</v>
      </c>
      <c r="D1541" s="18" t="s">
        <v>53</v>
      </c>
      <c r="E1541" s="18" t="s">
        <v>56</v>
      </c>
      <c r="F1541" s="18" t="s">
        <v>52</v>
      </c>
      <c r="G1541" s="18" t="s">
        <v>31</v>
      </c>
      <c r="H1541" s="18">
        <v>18</v>
      </c>
      <c r="I1541" s="20">
        <v>6</v>
      </c>
      <c r="J1541" s="21">
        <v>108</v>
      </c>
    </row>
    <row r="1542" spans="1:10">
      <c r="A1542" s="19">
        <v>35811</v>
      </c>
      <c r="B1542" s="18" t="s">
        <v>26</v>
      </c>
      <c r="C1542" s="18" t="s">
        <v>32</v>
      </c>
      <c r="D1542" s="18" t="s">
        <v>53</v>
      </c>
      <c r="E1542" s="18" t="s">
        <v>57</v>
      </c>
      <c r="F1542" s="18" t="s">
        <v>48</v>
      </c>
      <c r="G1542" s="18" t="s">
        <v>31</v>
      </c>
      <c r="H1542" s="18">
        <v>18</v>
      </c>
      <c r="I1542" s="20">
        <v>21</v>
      </c>
      <c r="J1542" s="21">
        <v>378</v>
      </c>
    </row>
    <row r="1543" spans="1:10">
      <c r="A1543" s="19">
        <v>35811</v>
      </c>
      <c r="B1543" s="18" t="s">
        <v>26</v>
      </c>
      <c r="C1543" s="18" t="s">
        <v>34</v>
      </c>
      <c r="D1543" s="18" t="s">
        <v>53</v>
      </c>
      <c r="E1543" s="18" t="s">
        <v>54</v>
      </c>
      <c r="F1543" s="18" t="s">
        <v>52</v>
      </c>
      <c r="G1543" s="18" t="s">
        <v>31</v>
      </c>
      <c r="H1543" s="18">
        <v>21</v>
      </c>
      <c r="I1543" s="20">
        <v>52</v>
      </c>
      <c r="J1543" s="21">
        <v>1092</v>
      </c>
    </row>
    <row r="1544" spans="1:10">
      <c r="A1544" s="19">
        <v>35811</v>
      </c>
      <c r="B1544" s="18" t="s">
        <v>26</v>
      </c>
      <c r="C1544" s="18" t="s">
        <v>36</v>
      </c>
      <c r="D1544" s="18" t="s">
        <v>53</v>
      </c>
      <c r="E1544" s="18" t="s">
        <v>55</v>
      </c>
      <c r="F1544" s="18" t="s">
        <v>48</v>
      </c>
      <c r="G1544" s="18" t="s">
        <v>31</v>
      </c>
      <c r="H1544" s="18">
        <v>18.399999999999999</v>
      </c>
      <c r="I1544" s="20">
        <v>25</v>
      </c>
      <c r="J1544" s="21">
        <v>459.99999999999994</v>
      </c>
    </row>
    <row r="1545" spans="1:10">
      <c r="A1545" s="19">
        <v>35811</v>
      </c>
      <c r="B1545" s="18" t="s">
        <v>39</v>
      </c>
      <c r="C1545" s="18" t="s">
        <v>40</v>
      </c>
      <c r="D1545" s="18" t="s">
        <v>53</v>
      </c>
      <c r="E1545" s="18" t="s">
        <v>56</v>
      </c>
      <c r="F1545" s="18" t="s">
        <v>52</v>
      </c>
      <c r="G1545" s="18" t="s">
        <v>31</v>
      </c>
      <c r="H1545" s="18">
        <v>19.5</v>
      </c>
      <c r="I1545" s="20">
        <v>24</v>
      </c>
      <c r="J1545" s="21">
        <v>468</v>
      </c>
    </row>
    <row r="1546" spans="1:10">
      <c r="A1546" s="19">
        <v>35814</v>
      </c>
      <c r="B1546" s="18" t="s">
        <v>39</v>
      </c>
      <c r="C1546" s="18" t="s">
        <v>41</v>
      </c>
      <c r="D1546" s="18" t="s">
        <v>53</v>
      </c>
      <c r="E1546" s="18" t="s">
        <v>57</v>
      </c>
      <c r="F1546" s="18" t="s">
        <v>45</v>
      </c>
      <c r="G1546" s="18" t="s">
        <v>38</v>
      </c>
      <c r="H1546" s="18">
        <v>13.25</v>
      </c>
      <c r="I1546" s="20">
        <v>30</v>
      </c>
      <c r="J1546" s="21">
        <v>397.5</v>
      </c>
    </row>
    <row r="1547" spans="1:10">
      <c r="A1547" s="19">
        <v>35814</v>
      </c>
      <c r="B1547" s="18" t="s">
        <v>39</v>
      </c>
      <c r="C1547" s="18" t="s">
        <v>44</v>
      </c>
      <c r="D1547" s="18" t="s">
        <v>53</v>
      </c>
      <c r="E1547" s="18" t="s">
        <v>54</v>
      </c>
      <c r="F1547" s="18" t="s">
        <v>45</v>
      </c>
      <c r="G1547" s="18" t="s">
        <v>38</v>
      </c>
      <c r="H1547" s="18">
        <v>62.5</v>
      </c>
      <c r="I1547" s="20">
        <v>25</v>
      </c>
      <c r="J1547" s="21">
        <v>1562.5</v>
      </c>
    </row>
    <row r="1548" spans="1:10">
      <c r="A1548" s="19">
        <v>35814</v>
      </c>
      <c r="B1548" s="18" t="s">
        <v>39</v>
      </c>
      <c r="C1548" s="18" t="s">
        <v>46</v>
      </c>
      <c r="D1548" s="18" t="s">
        <v>53</v>
      </c>
      <c r="E1548" s="18" t="s">
        <v>55</v>
      </c>
      <c r="F1548" s="18" t="s">
        <v>45</v>
      </c>
      <c r="G1548" s="18" t="s">
        <v>38</v>
      </c>
      <c r="H1548" s="18">
        <v>18</v>
      </c>
      <c r="I1548" s="20">
        <v>4</v>
      </c>
      <c r="J1548" s="21">
        <v>72</v>
      </c>
    </row>
    <row r="1549" spans="1:10">
      <c r="A1549" s="19">
        <v>35814</v>
      </c>
      <c r="B1549" s="18" t="s">
        <v>39</v>
      </c>
      <c r="C1549" s="18" t="s">
        <v>47</v>
      </c>
      <c r="D1549" s="18" t="s">
        <v>53</v>
      </c>
      <c r="E1549" s="18" t="s">
        <v>56</v>
      </c>
      <c r="F1549" s="18" t="s">
        <v>42</v>
      </c>
      <c r="G1549" s="18" t="s">
        <v>43</v>
      </c>
      <c r="H1549" s="18">
        <v>14</v>
      </c>
      <c r="I1549" s="20">
        <v>6</v>
      </c>
      <c r="J1549" s="21">
        <v>84</v>
      </c>
    </row>
    <row r="1550" spans="1:10">
      <c r="A1550" s="19">
        <v>35814</v>
      </c>
      <c r="B1550" s="18" t="s">
        <v>26</v>
      </c>
      <c r="C1550" s="18" t="s">
        <v>27</v>
      </c>
      <c r="D1550" s="18" t="s">
        <v>53</v>
      </c>
      <c r="E1550" s="18" t="s">
        <v>57</v>
      </c>
      <c r="F1550" s="18" t="s">
        <v>45</v>
      </c>
      <c r="G1550" s="18" t="s">
        <v>38</v>
      </c>
      <c r="H1550" s="18">
        <v>34.799999999999997</v>
      </c>
      <c r="I1550" s="20">
        <v>15</v>
      </c>
      <c r="J1550" s="21">
        <v>522</v>
      </c>
    </row>
    <row r="1551" spans="1:10">
      <c r="A1551" s="19">
        <v>35814</v>
      </c>
      <c r="B1551" s="18" t="s">
        <v>26</v>
      </c>
      <c r="C1551" s="18" t="s">
        <v>32</v>
      </c>
      <c r="D1551" s="18" t="s">
        <v>53</v>
      </c>
      <c r="E1551" s="18" t="s">
        <v>56</v>
      </c>
      <c r="F1551" s="18" t="s">
        <v>45</v>
      </c>
      <c r="G1551" s="18" t="s">
        <v>38</v>
      </c>
      <c r="H1551" s="18">
        <v>19</v>
      </c>
      <c r="I1551" s="20">
        <v>50</v>
      </c>
      <c r="J1551" s="21">
        <v>950</v>
      </c>
    </row>
    <row r="1552" spans="1:10">
      <c r="A1552" s="19">
        <v>35814</v>
      </c>
      <c r="B1552" s="18" t="s">
        <v>26</v>
      </c>
      <c r="C1552" s="18" t="s">
        <v>34</v>
      </c>
      <c r="D1552" s="18" t="s">
        <v>53</v>
      </c>
      <c r="E1552" s="18" t="s">
        <v>54</v>
      </c>
      <c r="F1552" s="18" t="s">
        <v>42</v>
      </c>
      <c r="G1552" s="18" t="s">
        <v>43</v>
      </c>
      <c r="H1552" s="18">
        <v>18</v>
      </c>
      <c r="I1552" s="20">
        <v>10</v>
      </c>
      <c r="J1552" s="21">
        <v>180</v>
      </c>
    </row>
    <row r="1553" spans="1:10">
      <c r="A1553" s="19">
        <v>35815</v>
      </c>
      <c r="B1553" s="18" t="s">
        <v>26</v>
      </c>
      <c r="C1553" s="18" t="s">
        <v>36</v>
      </c>
      <c r="D1553" s="18" t="s">
        <v>53</v>
      </c>
      <c r="E1553" s="18" t="s">
        <v>55</v>
      </c>
      <c r="F1553" s="18" t="s">
        <v>30</v>
      </c>
      <c r="G1553" s="18" t="s">
        <v>31</v>
      </c>
      <c r="H1553" s="18">
        <v>38</v>
      </c>
      <c r="I1553" s="20">
        <v>30</v>
      </c>
      <c r="J1553" s="21">
        <v>1140</v>
      </c>
    </row>
    <row r="1554" spans="1:10">
      <c r="A1554" s="19">
        <v>35815</v>
      </c>
      <c r="B1554" s="18" t="s">
        <v>39</v>
      </c>
      <c r="C1554" s="18" t="s">
        <v>40</v>
      </c>
      <c r="D1554" s="18" t="s">
        <v>53</v>
      </c>
      <c r="E1554" s="18" t="s">
        <v>56</v>
      </c>
      <c r="F1554" s="18" t="s">
        <v>49</v>
      </c>
      <c r="G1554" s="18" t="s">
        <v>38</v>
      </c>
      <c r="H1554" s="18">
        <v>21</v>
      </c>
      <c r="I1554" s="20">
        <v>15</v>
      </c>
      <c r="J1554" s="21">
        <v>315</v>
      </c>
    </row>
    <row r="1555" spans="1:10">
      <c r="A1555" s="19">
        <v>35815</v>
      </c>
      <c r="B1555" s="18" t="s">
        <v>39</v>
      </c>
      <c r="C1555" s="18" t="s">
        <v>41</v>
      </c>
      <c r="D1555" s="18" t="s">
        <v>53</v>
      </c>
      <c r="E1555" s="18" t="s">
        <v>57</v>
      </c>
      <c r="F1555" s="18" t="s">
        <v>30</v>
      </c>
      <c r="G1555" s="18" t="s">
        <v>31</v>
      </c>
      <c r="H1555" s="18">
        <v>55</v>
      </c>
      <c r="I1555" s="20">
        <v>50</v>
      </c>
      <c r="J1555" s="21">
        <v>2750</v>
      </c>
    </row>
    <row r="1556" spans="1:10">
      <c r="A1556" s="19">
        <v>35815</v>
      </c>
      <c r="B1556" s="18" t="s">
        <v>39</v>
      </c>
      <c r="C1556" s="18" t="s">
        <v>44</v>
      </c>
      <c r="D1556" s="18" t="s">
        <v>53</v>
      </c>
      <c r="E1556" s="18" t="s">
        <v>54</v>
      </c>
      <c r="F1556" s="18" t="s">
        <v>30</v>
      </c>
      <c r="G1556" s="18" t="s">
        <v>31</v>
      </c>
      <c r="H1556" s="18">
        <v>13</v>
      </c>
      <c r="I1556" s="20">
        <v>15</v>
      </c>
      <c r="J1556" s="21">
        <v>195</v>
      </c>
    </row>
    <row r="1557" spans="1:10">
      <c r="A1557" s="19">
        <v>35815</v>
      </c>
      <c r="B1557" s="18" t="s">
        <v>39</v>
      </c>
      <c r="C1557" s="18" t="s">
        <v>46</v>
      </c>
      <c r="D1557" s="18" t="s">
        <v>53</v>
      </c>
      <c r="E1557" s="18" t="s">
        <v>55</v>
      </c>
      <c r="F1557" s="18" t="s">
        <v>49</v>
      </c>
      <c r="G1557" s="18" t="s">
        <v>38</v>
      </c>
      <c r="H1557" s="18">
        <v>46</v>
      </c>
      <c r="I1557" s="20">
        <v>5</v>
      </c>
      <c r="J1557" s="21">
        <v>230</v>
      </c>
    </row>
    <row r="1558" spans="1:10">
      <c r="A1558" s="19">
        <v>35815</v>
      </c>
      <c r="B1558" s="18" t="s">
        <v>39</v>
      </c>
      <c r="C1558" s="18" t="s">
        <v>47</v>
      </c>
      <c r="D1558" s="18" t="s">
        <v>53</v>
      </c>
      <c r="E1558" s="18" t="s">
        <v>56</v>
      </c>
      <c r="F1558" s="18" t="s">
        <v>49</v>
      </c>
      <c r="G1558" s="18" t="s">
        <v>38</v>
      </c>
      <c r="H1558" s="18">
        <v>12.5</v>
      </c>
      <c r="I1558" s="20">
        <v>20</v>
      </c>
      <c r="J1558" s="21">
        <v>250</v>
      </c>
    </row>
    <row r="1559" spans="1:10">
      <c r="A1559" s="19">
        <v>35815</v>
      </c>
      <c r="B1559" s="18" t="s">
        <v>26</v>
      </c>
      <c r="C1559" s="18" t="s">
        <v>27</v>
      </c>
      <c r="D1559" s="18" t="s">
        <v>53</v>
      </c>
      <c r="E1559" s="18" t="s">
        <v>57</v>
      </c>
      <c r="F1559" s="18" t="s">
        <v>49</v>
      </c>
      <c r="G1559" s="18" t="s">
        <v>38</v>
      </c>
      <c r="H1559" s="18">
        <v>15</v>
      </c>
      <c r="I1559" s="20">
        <v>12</v>
      </c>
      <c r="J1559" s="21">
        <v>180</v>
      </c>
    </row>
    <row r="1560" spans="1:10">
      <c r="A1560" s="19">
        <v>35815</v>
      </c>
      <c r="B1560" s="18" t="s">
        <v>26</v>
      </c>
      <c r="C1560" s="18" t="s">
        <v>32</v>
      </c>
      <c r="D1560" s="18" t="s">
        <v>53</v>
      </c>
      <c r="E1560" s="18" t="s">
        <v>54</v>
      </c>
      <c r="F1560" s="18" t="s">
        <v>30</v>
      </c>
      <c r="G1560" s="18" t="s">
        <v>31</v>
      </c>
      <c r="H1560" s="18">
        <v>31</v>
      </c>
      <c r="I1560" s="20">
        <v>16</v>
      </c>
      <c r="J1560" s="21">
        <v>496</v>
      </c>
    </row>
    <row r="1561" spans="1:10">
      <c r="A1561" s="19">
        <v>35816</v>
      </c>
      <c r="B1561" s="18" t="s">
        <v>26</v>
      </c>
      <c r="C1561" s="18" t="s">
        <v>34</v>
      </c>
      <c r="D1561" s="18" t="s">
        <v>53</v>
      </c>
      <c r="E1561" s="18" t="s">
        <v>55</v>
      </c>
      <c r="F1561" s="18" t="s">
        <v>50</v>
      </c>
      <c r="G1561" s="18" t="s">
        <v>31</v>
      </c>
      <c r="H1561" s="18">
        <v>14</v>
      </c>
      <c r="I1561" s="20">
        <v>42</v>
      </c>
      <c r="J1561" s="21">
        <v>588</v>
      </c>
    </row>
    <row r="1562" spans="1:10">
      <c r="A1562" s="19">
        <v>35816</v>
      </c>
      <c r="B1562" s="18" t="s">
        <v>26</v>
      </c>
      <c r="C1562" s="18" t="s">
        <v>36</v>
      </c>
      <c r="D1562" s="18" t="s">
        <v>53</v>
      </c>
      <c r="E1562" s="18" t="s">
        <v>56</v>
      </c>
      <c r="F1562" s="18" t="s">
        <v>50</v>
      </c>
      <c r="G1562" s="18" t="s">
        <v>31</v>
      </c>
      <c r="H1562" s="18">
        <v>13.25</v>
      </c>
      <c r="I1562" s="20">
        <v>60</v>
      </c>
      <c r="J1562" s="21">
        <v>795</v>
      </c>
    </row>
    <row r="1563" spans="1:10">
      <c r="A1563" s="19">
        <v>35816</v>
      </c>
      <c r="B1563" s="18" t="s">
        <v>39</v>
      </c>
      <c r="C1563" s="18" t="s">
        <v>40</v>
      </c>
      <c r="D1563" s="18" t="s">
        <v>53</v>
      </c>
      <c r="E1563" s="18" t="s">
        <v>57</v>
      </c>
      <c r="F1563" s="18" t="s">
        <v>50</v>
      </c>
      <c r="G1563" s="18" t="s">
        <v>31</v>
      </c>
      <c r="H1563" s="18">
        <v>33.25</v>
      </c>
      <c r="I1563" s="20">
        <v>48</v>
      </c>
      <c r="J1563" s="21">
        <v>1596</v>
      </c>
    </row>
    <row r="1564" spans="1:10">
      <c r="A1564" s="19">
        <v>35816</v>
      </c>
      <c r="B1564" s="18" t="s">
        <v>39</v>
      </c>
      <c r="C1564" s="18" t="s">
        <v>41</v>
      </c>
      <c r="D1564" s="18" t="s">
        <v>53</v>
      </c>
      <c r="E1564" s="18" t="s">
        <v>54</v>
      </c>
      <c r="F1564" s="18" t="s">
        <v>50</v>
      </c>
      <c r="G1564" s="18" t="s">
        <v>31</v>
      </c>
      <c r="H1564" s="18">
        <v>18</v>
      </c>
      <c r="I1564" s="20">
        <v>25</v>
      </c>
      <c r="J1564" s="21">
        <v>450</v>
      </c>
    </row>
    <row r="1565" spans="1:10">
      <c r="A1565" s="19">
        <v>35816</v>
      </c>
      <c r="B1565" s="18" t="s">
        <v>39</v>
      </c>
      <c r="C1565" s="18" t="s">
        <v>44</v>
      </c>
      <c r="D1565" s="18" t="s">
        <v>53</v>
      </c>
      <c r="E1565" s="18" t="s">
        <v>55</v>
      </c>
      <c r="F1565" s="18" t="s">
        <v>50</v>
      </c>
      <c r="G1565" s="18" t="s">
        <v>31</v>
      </c>
      <c r="H1565" s="18">
        <v>21</v>
      </c>
      <c r="I1565" s="20">
        <v>35</v>
      </c>
      <c r="J1565" s="21">
        <v>735</v>
      </c>
    </row>
    <row r="1566" spans="1:10">
      <c r="A1566" s="19">
        <v>35816</v>
      </c>
      <c r="B1566" s="18" t="s">
        <v>39</v>
      </c>
      <c r="C1566" s="18" t="s">
        <v>46</v>
      </c>
      <c r="D1566" s="18" t="s">
        <v>53</v>
      </c>
      <c r="E1566" s="18" t="s">
        <v>56</v>
      </c>
      <c r="F1566" s="18" t="s">
        <v>50</v>
      </c>
      <c r="G1566" s="18" t="s">
        <v>31</v>
      </c>
      <c r="H1566" s="18">
        <v>9</v>
      </c>
      <c r="I1566" s="20">
        <v>70</v>
      </c>
      <c r="J1566" s="21">
        <v>630</v>
      </c>
    </row>
    <row r="1567" spans="1:10">
      <c r="A1567" s="19">
        <v>35816</v>
      </c>
      <c r="B1567" s="18" t="s">
        <v>39</v>
      </c>
      <c r="C1567" s="18" t="s">
        <v>47</v>
      </c>
      <c r="D1567" s="18" t="s">
        <v>53</v>
      </c>
      <c r="E1567" s="18" t="s">
        <v>57</v>
      </c>
      <c r="F1567" s="18" t="s">
        <v>42</v>
      </c>
      <c r="G1567" s="18" t="s">
        <v>43</v>
      </c>
      <c r="H1567" s="18">
        <v>53</v>
      </c>
      <c r="I1567" s="20">
        <v>4</v>
      </c>
      <c r="J1567" s="21">
        <v>212</v>
      </c>
    </row>
    <row r="1568" spans="1:10">
      <c r="A1568" s="19">
        <v>35817</v>
      </c>
      <c r="B1568" s="18" t="s">
        <v>26</v>
      </c>
      <c r="C1568" s="18" t="s">
        <v>27</v>
      </c>
      <c r="D1568" s="18" t="s">
        <v>53</v>
      </c>
      <c r="E1568" s="18" t="s">
        <v>54</v>
      </c>
      <c r="F1568" s="18" t="s">
        <v>42</v>
      </c>
      <c r="G1568" s="18" t="s">
        <v>43</v>
      </c>
      <c r="H1568" s="18">
        <v>26</v>
      </c>
      <c r="I1568" s="20">
        <v>60</v>
      </c>
      <c r="J1568" s="21">
        <v>1560</v>
      </c>
    </row>
    <row r="1569" spans="1:10">
      <c r="A1569" s="19">
        <v>35817</v>
      </c>
      <c r="B1569" s="18" t="s">
        <v>26</v>
      </c>
      <c r="C1569" s="18" t="s">
        <v>32</v>
      </c>
      <c r="D1569" s="18" t="s">
        <v>53</v>
      </c>
      <c r="E1569" s="18" t="s">
        <v>55</v>
      </c>
      <c r="F1569" s="18" t="s">
        <v>42</v>
      </c>
      <c r="G1569" s="18" t="s">
        <v>43</v>
      </c>
      <c r="H1569" s="18">
        <v>34</v>
      </c>
      <c r="I1569" s="20">
        <v>45</v>
      </c>
      <c r="J1569" s="21">
        <v>1530</v>
      </c>
    </row>
    <row r="1570" spans="1:10">
      <c r="A1570" s="19">
        <v>35817</v>
      </c>
      <c r="B1570" s="18" t="s">
        <v>26</v>
      </c>
      <c r="C1570" s="18" t="s">
        <v>34</v>
      </c>
      <c r="D1570" s="18" t="s">
        <v>53</v>
      </c>
      <c r="E1570" s="18" t="s">
        <v>56</v>
      </c>
      <c r="F1570" s="18" t="s">
        <v>51</v>
      </c>
      <c r="G1570" s="18" t="s">
        <v>43</v>
      </c>
      <c r="H1570" s="18">
        <v>10</v>
      </c>
      <c r="I1570" s="20">
        <v>20</v>
      </c>
      <c r="J1570" s="21">
        <v>200</v>
      </c>
    </row>
    <row r="1571" spans="1:10">
      <c r="A1571" s="19">
        <v>35817</v>
      </c>
      <c r="B1571" s="18" t="s">
        <v>26</v>
      </c>
      <c r="C1571" s="18" t="s">
        <v>36</v>
      </c>
      <c r="D1571" s="18" t="s">
        <v>53</v>
      </c>
      <c r="E1571" s="18" t="s">
        <v>57</v>
      </c>
      <c r="F1571" s="18" t="s">
        <v>42</v>
      </c>
      <c r="G1571" s="18" t="s">
        <v>43</v>
      </c>
      <c r="H1571" s="18">
        <v>18</v>
      </c>
      <c r="I1571" s="20">
        <v>80</v>
      </c>
      <c r="J1571" s="21">
        <v>1440</v>
      </c>
    </row>
    <row r="1572" spans="1:10">
      <c r="A1572" s="19">
        <v>35817</v>
      </c>
      <c r="B1572" s="18" t="s">
        <v>39</v>
      </c>
      <c r="C1572" s="18" t="s">
        <v>40</v>
      </c>
      <c r="D1572" s="18" t="s">
        <v>53</v>
      </c>
      <c r="E1572" s="18" t="s">
        <v>54</v>
      </c>
      <c r="F1572" s="18" t="s">
        <v>51</v>
      </c>
      <c r="G1572" s="18" t="s">
        <v>43</v>
      </c>
      <c r="H1572" s="18">
        <v>15</v>
      </c>
      <c r="I1572" s="20">
        <v>30</v>
      </c>
      <c r="J1572" s="21">
        <v>450</v>
      </c>
    </row>
    <row r="1573" spans="1:10">
      <c r="A1573" s="19">
        <v>35817</v>
      </c>
      <c r="B1573" s="18" t="s">
        <v>39</v>
      </c>
      <c r="C1573" s="18" t="s">
        <v>41</v>
      </c>
      <c r="D1573" s="18" t="s">
        <v>53</v>
      </c>
      <c r="E1573" s="18" t="s">
        <v>55</v>
      </c>
      <c r="F1573" s="18" t="s">
        <v>42</v>
      </c>
      <c r="G1573" s="18" t="s">
        <v>43</v>
      </c>
      <c r="H1573" s="18">
        <v>9.1999999999999993</v>
      </c>
      <c r="I1573" s="20">
        <v>12</v>
      </c>
      <c r="J1573" s="21">
        <v>110.39999999999999</v>
      </c>
    </row>
    <row r="1574" spans="1:10">
      <c r="A1574" s="19">
        <v>35817</v>
      </c>
      <c r="B1574" s="18" t="s">
        <v>39</v>
      </c>
      <c r="C1574" s="18" t="s">
        <v>44</v>
      </c>
      <c r="D1574" s="18" t="s">
        <v>53</v>
      </c>
      <c r="E1574" s="18" t="s">
        <v>56</v>
      </c>
      <c r="F1574" s="18" t="s">
        <v>42</v>
      </c>
      <c r="G1574" s="18" t="s">
        <v>43</v>
      </c>
      <c r="H1574" s="18">
        <v>9.5</v>
      </c>
      <c r="I1574" s="20">
        <v>36</v>
      </c>
      <c r="J1574" s="21">
        <v>342</v>
      </c>
    </row>
    <row r="1575" spans="1:10">
      <c r="A1575" s="19">
        <v>35817</v>
      </c>
      <c r="B1575" s="18" t="s">
        <v>39</v>
      </c>
      <c r="C1575" s="18" t="s">
        <v>46</v>
      </c>
      <c r="D1575" s="18" t="s">
        <v>53</v>
      </c>
      <c r="E1575" s="18" t="s">
        <v>57</v>
      </c>
      <c r="F1575" s="18" t="s">
        <v>51</v>
      </c>
      <c r="G1575" s="18" t="s">
        <v>43</v>
      </c>
      <c r="H1575" s="18">
        <v>22</v>
      </c>
      <c r="I1575" s="20">
        <v>21</v>
      </c>
      <c r="J1575" s="21">
        <v>462</v>
      </c>
    </row>
    <row r="1576" spans="1:10">
      <c r="A1576" s="19">
        <v>35817</v>
      </c>
      <c r="B1576" s="18" t="s">
        <v>39</v>
      </c>
      <c r="C1576" s="18" t="s">
        <v>47</v>
      </c>
      <c r="D1576" s="18" t="s">
        <v>53</v>
      </c>
      <c r="E1576" s="18" t="s">
        <v>54</v>
      </c>
      <c r="F1576" s="18" t="s">
        <v>42</v>
      </c>
      <c r="G1576" s="18" t="s">
        <v>43</v>
      </c>
      <c r="H1576" s="18">
        <v>21.5</v>
      </c>
      <c r="I1576" s="20">
        <v>55</v>
      </c>
      <c r="J1576" s="21">
        <v>1182.5</v>
      </c>
    </row>
    <row r="1577" spans="1:10">
      <c r="A1577" s="19">
        <v>35818</v>
      </c>
      <c r="B1577" s="18" t="s">
        <v>26</v>
      </c>
      <c r="C1577" s="18" t="s">
        <v>27</v>
      </c>
      <c r="D1577" s="18" t="s">
        <v>53</v>
      </c>
      <c r="E1577" s="18" t="s">
        <v>55</v>
      </c>
      <c r="F1577" s="18" t="s">
        <v>48</v>
      </c>
      <c r="G1577" s="18" t="s">
        <v>31</v>
      </c>
      <c r="H1577" s="18">
        <v>10</v>
      </c>
      <c r="I1577" s="20">
        <v>49</v>
      </c>
      <c r="J1577" s="21">
        <v>490</v>
      </c>
    </row>
    <row r="1578" spans="1:10">
      <c r="A1578" s="19">
        <v>35818</v>
      </c>
      <c r="B1578" s="18" t="s">
        <v>26</v>
      </c>
      <c r="C1578" s="18" t="s">
        <v>32</v>
      </c>
      <c r="D1578" s="18" t="s">
        <v>53</v>
      </c>
      <c r="E1578" s="18" t="s">
        <v>56</v>
      </c>
      <c r="F1578" s="18" t="s">
        <v>52</v>
      </c>
      <c r="G1578" s="18" t="s">
        <v>31</v>
      </c>
      <c r="H1578" s="18">
        <v>97</v>
      </c>
      <c r="I1578" s="20">
        <v>3</v>
      </c>
      <c r="J1578" s="21">
        <v>291</v>
      </c>
    </row>
    <row r="1579" spans="1:10">
      <c r="A1579" s="19">
        <v>35818</v>
      </c>
      <c r="B1579" s="18" t="s">
        <v>26</v>
      </c>
      <c r="C1579" s="18" t="s">
        <v>34</v>
      </c>
      <c r="D1579" s="18" t="s">
        <v>53</v>
      </c>
      <c r="E1579" s="18" t="s">
        <v>57</v>
      </c>
      <c r="F1579" s="18" t="s">
        <v>49</v>
      </c>
      <c r="G1579" s="18" t="s">
        <v>38</v>
      </c>
      <c r="H1579" s="18">
        <v>2.5</v>
      </c>
      <c r="I1579" s="20">
        <v>4</v>
      </c>
      <c r="J1579" s="21">
        <v>10</v>
      </c>
    </row>
    <row r="1580" spans="1:10">
      <c r="A1580" s="19">
        <v>35818</v>
      </c>
      <c r="B1580" s="18" t="s">
        <v>26</v>
      </c>
      <c r="C1580" s="18" t="s">
        <v>36</v>
      </c>
      <c r="D1580" s="18" t="s">
        <v>53</v>
      </c>
      <c r="E1580" s="18" t="s">
        <v>56</v>
      </c>
      <c r="F1580" s="18" t="s">
        <v>52</v>
      </c>
      <c r="G1580" s="18" t="s">
        <v>31</v>
      </c>
      <c r="H1580" s="18">
        <v>21.35</v>
      </c>
      <c r="I1580" s="20">
        <v>30</v>
      </c>
      <c r="J1580" s="21">
        <v>640.5</v>
      </c>
    </row>
    <row r="1581" spans="1:10">
      <c r="A1581" s="19">
        <v>35818</v>
      </c>
      <c r="B1581" s="18" t="s">
        <v>39</v>
      </c>
      <c r="C1581" s="18" t="s">
        <v>40</v>
      </c>
      <c r="D1581" s="18" t="s">
        <v>53</v>
      </c>
      <c r="E1581" s="18" t="s">
        <v>54</v>
      </c>
      <c r="F1581" s="18" t="s">
        <v>48</v>
      </c>
      <c r="G1581" s="18" t="s">
        <v>31</v>
      </c>
      <c r="H1581" s="18">
        <v>31.23</v>
      </c>
      <c r="I1581" s="20">
        <v>18</v>
      </c>
      <c r="J1581" s="21">
        <v>562.14</v>
      </c>
    </row>
    <row r="1582" spans="1:10">
      <c r="A1582" s="19">
        <v>35818</v>
      </c>
      <c r="B1582" s="18" t="s">
        <v>39</v>
      </c>
      <c r="C1582" s="18" t="s">
        <v>41</v>
      </c>
      <c r="D1582" s="18" t="s">
        <v>53</v>
      </c>
      <c r="E1582" s="18" t="s">
        <v>55</v>
      </c>
      <c r="F1582" s="18" t="s">
        <v>49</v>
      </c>
      <c r="G1582" s="18" t="s">
        <v>38</v>
      </c>
      <c r="H1582" s="18">
        <v>14</v>
      </c>
      <c r="I1582" s="20">
        <v>20</v>
      </c>
      <c r="J1582" s="21">
        <v>280</v>
      </c>
    </row>
    <row r="1583" spans="1:10">
      <c r="A1583" s="19">
        <v>35818</v>
      </c>
      <c r="B1583" s="18" t="s">
        <v>39</v>
      </c>
      <c r="C1583" s="18" t="s">
        <v>44</v>
      </c>
      <c r="D1583" s="18" t="s">
        <v>53</v>
      </c>
      <c r="E1583" s="18" t="s">
        <v>56</v>
      </c>
      <c r="F1583" s="18" t="s">
        <v>49</v>
      </c>
      <c r="G1583" s="18" t="s">
        <v>38</v>
      </c>
      <c r="H1583" s="18">
        <v>15</v>
      </c>
      <c r="I1583" s="20">
        <v>30</v>
      </c>
      <c r="J1583" s="21">
        <v>450</v>
      </c>
    </row>
    <row r="1584" spans="1:10">
      <c r="A1584" s="19">
        <v>35821</v>
      </c>
      <c r="B1584" s="18" t="s">
        <v>39</v>
      </c>
      <c r="C1584" s="18" t="s">
        <v>46</v>
      </c>
      <c r="D1584" s="18" t="s">
        <v>53</v>
      </c>
      <c r="E1584" s="18" t="s">
        <v>57</v>
      </c>
      <c r="F1584" s="18" t="s">
        <v>30</v>
      </c>
      <c r="G1584" s="18" t="s">
        <v>31</v>
      </c>
      <c r="H1584" s="18">
        <v>55</v>
      </c>
      <c r="I1584" s="20">
        <v>42</v>
      </c>
      <c r="J1584" s="21">
        <v>2310</v>
      </c>
    </row>
    <row r="1585" spans="1:10">
      <c r="A1585" s="19">
        <v>35821</v>
      </c>
      <c r="B1585" s="18" t="s">
        <v>39</v>
      </c>
      <c r="C1585" s="18" t="s">
        <v>47</v>
      </c>
      <c r="D1585" s="18" t="s">
        <v>53</v>
      </c>
      <c r="E1585" s="18" t="s">
        <v>54</v>
      </c>
      <c r="F1585" s="18" t="s">
        <v>30</v>
      </c>
      <c r="G1585" s="18" t="s">
        <v>31</v>
      </c>
      <c r="H1585" s="18">
        <v>19</v>
      </c>
      <c r="I1585" s="20">
        <v>5</v>
      </c>
      <c r="J1585" s="21">
        <v>95</v>
      </c>
    </row>
    <row r="1586" spans="1:10">
      <c r="A1586" s="19">
        <v>35821</v>
      </c>
      <c r="B1586" s="18" t="s">
        <v>26</v>
      </c>
      <c r="C1586" s="18" t="s">
        <v>27</v>
      </c>
      <c r="D1586" s="18" t="s">
        <v>53</v>
      </c>
      <c r="E1586" s="18" t="s">
        <v>55</v>
      </c>
      <c r="F1586" s="18" t="s">
        <v>50</v>
      </c>
      <c r="G1586" s="18" t="s">
        <v>31</v>
      </c>
      <c r="H1586" s="18">
        <v>19</v>
      </c>
      <c r="I1586" s="20">
        <v>15</v>
      </c>
      <c r="J1586" s="21">
        <v>285</v>
      </c>
    </row>
    <row r="1587" spans="1:10">
      <c r="A1587" s="19">
        <v>35821</v>
      </c>
      <c r="B1587" s="18" t="s">
        <v>26</v>
      </c>
      <c r="C1587" s="18" t="s">
        <v>32</v>
      </c>
      <c r="D1587" s="18" t="s">
        <v>53</v>
      </c>
      <c r="E1587" s="18" t="s">
        <v>56</v>
      </c>
      <c r="F1587" s="18" t="s">
        <v>30</v>
      </c>
      <c r="G1587" s="18" t="s">
        <v>31</v>
      </c>
      <c r="H1587" s="18">
        <v>14</v>
      </c>
      <c r="I1587" s="20">
        <v>10</v>
      </c>
      <c r="J1587" s="21">
        <v>140</v>
      </c>
    </row>
    <row r="1588" spans="1:10">
      <c r="A1588" s="19">
        <v>35821</v>
      </c>
      <c r="B1588" s="18" t="s">
        <v>26</v>
      </c>
      <c r="C1588" s="18" t="s">
        <v>34</v>
      </c>
      <c r="D1588" s="18" t="s">
        <v>53</v>
      </c>
      <c r="E1588" s="18" t="s">
        <v>57</v>
      </c>
      <c r="F1588" s="18" t="s">
        <v>50</v>
      </c>
      <c r="G1588" s="18" t="s">
        <v>31</v>
      </c>
      <c r="H1588" s="18">
        <v>49.3</v>
      </c>
      <c r="I1588" s="20">
        <v>50</v>
      </c>
      <c r="J1588" s="21">
        <v>2465</v>
      </c>
    </row>
    <row r="1589" spans="1:10">
      <c r="A1589" s="19">
        <v>35821</v>
      </c>
      <c r="B1589" s="18" t="s">
        <v>26</v>
      </c>
      <c r="C1589" s="18" t="s">
        <v>36</v>
      </c>
      <c r="D1589" s="18" t="s">
        <v>53</v>
      </c>
      <c r="E1589" s="18" t="s">
        <v>54</v>
      </c>
      <c r="F1589" s="18" t="s">
        <v>30</v>
      </c>
      <c r="G1589" s="18" t="s">
        <v>31</v>
      </c>
      <c r="H1589" s="18">
        <v>19.5</v>
      </c>
      <c r="I1589" s="20">
        <v>10</v>
      </c>
      <c r="J1589" s="21">
        <v>195</v>
      </c>
    </row>
    <row r="1590" spans="1:10">
      <c r="A1590" s="19">
        <v>35821</v>
      </c>
      <c r="B1590" s="18" t="s">
        <v>39</v>
      </c>
      <c r="C1590" s="18" t="s">
        <v>40</v>
      </c>
      <c r="D1590" s="18" t="s">
        <v>53</v>
      </c>
      <c r="E1590" s="18" t="s">
        <v>55</v>
      </c>
      <c r="F1590" s="18" t="s">
        <v>50</v>
      </c>
      <c r="G1590" s="18" t="s">
        <v>31</v>
      </c>
      <c r="H1590" s="18">
        <v>39</v>
      </c>
      <c r="I1590" s="20">
        <v>6</v>
      </c>
      <c r="J1590" s="21">
        <v>234</v>
      </c>
    </row>
    <row r="1591" spans="1:10">
      <c r="A1591" s="19">
        <v>35822</v>
      </c>
      <c r="B1591" s="18" t="s">
        <v>39</v>
      </c>
      <c r="C1591" s="18" t="s">
        <v>41</v>
      </c>
      <c r="D1591" s="18" t="s">
        <v>53</v>
      </c>
      <c r="E1591" s="18" t="s">
        <v>56</v>
      </c>
      <c r="F1591" s="18" t="s">
        <v>45</v>
      </c>
      <c r="G1591" s="18" t="s">
        <v>38</v>
      </c>
      <c r="H1591" s="18">
        <v>38</v>
      </c>
      <c r="I1591" s="20">
        <v>24</v>
      </c>
      <c r="J1591" s="21">
        <v>912</v>
      </c>
    </row>
    <row r="1592" spans="1:10">
      <c r="A1592" s="19">
        <v>35822</v>
      </c>
      <c r="B1592" s="18" t="s">
        <v>39</v>
      </c>
      <c r="C1592" s="18" t="s">
        <v>44</v>
      </c>
      <c r="D1592" s="18" t="s">
        <v>53</v>
      </c>
      <c r="E1592" s="18" t="s">
        <v>57</v>
      </c>
      <c r="F1592" s="18" t="s">
        <v>45</v>
      </c>
      <c r="G1592" s="18" t="s">
        <v>38</v>
      </c>
      <c r="H1592" s="18">
        <v>17.45</v>
      </c>
      <c r="I1592" s="20">
        <v>50</v>
      </c>
      <c r="J1592" s="21">
        <v>872.5</v>
      </c>
    </row>
    <row r="1593" spans="1:10">
      <c r="A1593" s="19">
        <v>35822</v>
      </c>
      <c r="B1593" s="18" t="s">
        <v>39</v>
      </c>
      <c r="C1593" s="18" t="s">
        <v>46</v>
      </c>
      <c r="D1593" s="18" t="s">
        <v>53</v>
      </c>
      <c r="E1593" s="18" t="s">
        <v>54</v>
      </c>
      <c r="F1593" s="18" t="s">
        <v>45</v>
      </c>
      <c r="G1593" s="18" t="s">
        <v>38</v>
      </c>
      <c r="H1593" s="18">
        <v>21.05</v>
      </c>
      <c r="I1593" s="20">
        <v>15</v>
      </c>
      <c r="J1593" s="21">
        <v>315.75</v>
      </c>
    </row>
    <row r="1594" spans="1:10">
      <c r="A1594" s="19">
        <v>35822</v>
      </c>
      <c r="B1594" s="18" t="s">
        <v>39</v>
      </c>
      <c r="C1594" s="18" t="s">
        <v>47</v>
      </c>
      <c r="D1594" s="18" t="s">
        <v>53</v>
      </c>
      <c r="E1594" s="18" t="s">
        <v>55</v>
      </c>
      <c r="F1594" s="18" t="s">
        <v>45</v>
      </c>
      <c r="G1594" s="18" t="s">
        <v>38</v>
      </c>
      <c r="H1594" s="18">
        <v>6</v>
      </c>
      <c r="I1594" s="20">
        <v>65</v>
      </c>
      <c r="J1594" s="21">
        <v>390</v>
      </c>
    </row>
    <row r="1595" spans="1:10">
      <c r="A1595" s="19">
        <v>35822</v>
      </c>
      <c r="B1595" s="18" t="s">
        <v>26</v>
      </c>
      <c r="C1595" s="18" t="s">
        <v>27</v>
      </c>
      <c r="D1595" s="18" t="s">
        <v>53</v>
      </c>
      <c r="E1595" s="18" t="s">
        <v>56</v>
      </c>
      <c r="F1595" s="18" t="s">
        <v>48</v>
      </c>
      <c r="G1595" s="18" t="s">
        <v>31</v>
      </c>
      <c r="H1595" s="18">
        <v>62.5</v>
      </c>
      <c r="I1595" s="20">
        <v>10</v>
      </c>
      <c r="J1595" s="21">
        <v>625</v>
      </c>
    </row>
    <row r="1596" spans="1:10">
      <c r="A1596" s="19">
        <v>35822</v>
      </c>
      <c r="B1596" s="18" t="s">
        <v>26</v>
      </c>
      <c r="C1596" s="18" t="s">
        <v>32</v>
      </c>
      <c r="D1596" s="18" t="s">
        <v>53</v>
      </c>
      <c r="E1596" s="18" t="s">
        <v>57</v>
      </c>
      <c r="F1596" s="18" t="s">
        <v>45</v>
      </c>
      <c r="G1596" s="18" t="s">
        <v>38</v>
      </c>
      <c r="H1596" s="18">
        <v>12.5</v>
      </c>
      <c r="I1596" s="20">
        <v>14</v>
      </c>
      <c r="J1596" s="21">
        <v>175</v>
      </c>
    </row>
    <row r="1597" spans="1:10">
      <c r="A1597" s="19">
        <v>35822</v>
      </c>
      <c r="B1597" s="18" t="s">
        <v>26</v>
      </c>
      <c r="C1597" s="18" t="s">
        <v>34</v>
      </c>
      <c r="D1597" s="18" t="s">
        <v>53</v>
      </c>
      <c r="E1597" s="18" t="s">
        <v>54</v>
      </c>
      <c r="F1597" s="18" t="s">
        <v>45</v>
      </c>
      <c r="G1597" s="18" t="s">
        <v>38</v>
      </c>
      <c r="H1597" s="18">
        <v>31</v>
      </c>
      <c r="I1597" s="20">
        <v>100</v>
      </c>
      <c r="J1597" s="21">
        <v>3100</v>
      </c>
    </row>
    <row r="1598" spans="1:10">
      <c r="A1598" s="19">
        <v>35823</v>
      </c>
      <c r="B1598" s="18" t="s">
        <v>26</v>
      </c>
      <c r="C1598" s="18" t="s">
        <v>36</v>
      </c>
      <c r="D1598" s="18" t="s">
        <v>53</v>
      </c>
      <c r="E1598" s="18" t="s">
        <v>55</v>
      </c>
      <c r="F1598" s="18" t="s">
        <v>45</v>
      </c>
      <c r="G1598" s="18" t="s">
        <v>38</v>
      </c>
      <c r="H1598" s="18">
        <v>14</v>
      </c>
      <c r="I1598" s="20">
        <v>20</v>
      </c>
      <c r="J1598" s="21">
        <v>280</v>
      </c>
    </row>
    <row r="1599" spans="1:10">
      <c r="A1599" s="19">
        <v>35823</v>
      </c>
      <c r="B1599" s="18" t="s">
        <v>39</v>
      </c>
      <c r="C1599" s="18" t="s">
        <v>40</v>
      </c>
      <c r="D1599" s="18" t="s">
        <v>53</v>
      </c>
      <c r="E1599" s="18" t="s">
        <v>56</v>
      </c>
      <c r="F1599" s="18" t="s">
        <v>50</v>
      </c>
      <c r="G1599" s="18" t="s">
        <v>31</v>
      </c>
      <c r="H1599" s="18">
        <v>10</v>
      </c>
      <c r="I1599" s="20">
        <v>30</v>
      </c>
      <c r="J1599" s="21">
        <v>300</v>
      </c>
    </row>
    <row r="1600" spans="1:10">
      <c r="A1600" s="19">
        <v>35823</v>
      </c>
      <c r="B1600" s="18" t="s">
        <v>39</v>
      </c>
      <c r="C1600" s="18" t="s">
        <v>41</v>
      </c>
      <c r="D1600" s="18" t="s">
        <v>53</v>
      </c>
      <c r="E1600" s="18" t="s">
        <v>57</v>
      </c>
      <c r="F1600" s="18" t="s">
        <v>50</v>
      </c>
      <c r="G1600" s="18" t="s">
        <v>31</v>
      </c>
      <c r="H1600" s="18">
        <v>31.23</v>
      </c>
      <c r="I1600" s="20">
        <v>35</v>
      </c>
      <c r="J1600" s="21">
        <v>1093.05</v>
      </c>
    </row>
    <row r="1601" spans="1:10">
      <c r="A1601" s="19">
        <v>35823</v>
      </c>
      <c r="B1601" s="18" t="s">
        <v>39</v>
      </c>
      <c r="C1601" s="18" t="s">
        <v>44</v>
      </c>
      <c r="D1601" s="18" t="s">
        <v>53</v>
      </c>
      <c r="E1601" s="18" t="s">
        <v>54</v>
      </c>
      <c r="F1601" s="18" t="s">
        <v>45</v>
      </c>
      <c r="G1601" s="18" t="s">
        <v>38</v>
      </c>
      <c r="H1601" s="18">
        <v>19</v>
      </c>
      <c r="I1601" s="20">
        <v>20</v>
      </c>
      <c r="J1601" s="21">
        <v>380</v>
      </c>
    </row>
    <row r="1602" spans="1:10">
      <c r="A1602" s="19">
        <v>35823</v>
      </c>
      <c r="B1602" s="18" t="s">
        <v>39</v>
      </c>
      <c r="C1602" s="18" t="s">
        <v>46</v>
      </c>
      <c r="D1602" s="18" t="s">
        <v>53</v>
      </c>
      <c r="E1602" s="18" t="s">
        <v>55</v>
      </c>
      <c r="F1602" s="18" t="s">
        <v>50</v>
      </c>
      <c r="G1602" s="18" t="s">
        <v>31</v>
      </c>
      <c r="H1602" s="18">
        <v>123.79</v>
      </c>
      <c r="I1602" s="20">
        <v>10</v>
      </c>
      <c r="J1602" s="21">
        <v>1237.9000000000001</v>
      </c>
    </row>
    <row r="1603" spans="1:10">
      <c r="A1603" s="19">
        <v>35824</v>
      </c>
      <c r="B1603" s="18" t="s">
        <v>39</v>
      </c>
      <c r="C1603" s="18" t="s">
        <v>47</v>
      </c>
      <c r="D1603" s="18" t="s">
        <v>53</v>
      </c>
      <c r="E1603" s="18" t="s">
        <v>56</v>
      </c>
      <c r="F1603" s="18" t="s">
        <v>51</v>
      </c>
      <c r="G1603" s="18" t="s">
        <v>43</v>
      </c>
      <c r="H1603" s="18">
        <v>30</v>
      </c>
      <c r="I1603" s="20">
        <v>5</v>
      </c>
      <c r="J1603" s="21">
        <v>150</v>
      </c>
    </row>
    <row r="1604" spans="1:10">
      <c r="A1604" s="19">
        <v>35824</v>
      </c>
      <c r="B1604" s="18" t="s">
        <v>26</v>
      </c>
      <c r="C1604" s="18" t="s">
        <v>27</v>
      </c>
      <c r="D1604" s="18" t="s">
        <v>53</v>
      </c>
      <c r="E1604" s="18" t="s">
        <v>57</v>
      </c>
      <c r="F1604" s="18" t="s">
        <v>49</v>
      </c>
      <c r="G1604" s="18" t="s">
        <v>38</v>
      </c>
      <c r="H1604" s="18">
        <v>33.25</v>
      </c>
      <c r="I1604" s="20">
        <v>30</v>
      </c>
      <c r="J1604" s="21">
        <v>997.5</v>
      </c>
    </row>
    <row r="1605" spans="1:10">
      <c r="A1605" s="19">
        <v>35824</v>
      </c>
      <c r="B1605" s="18" t="s">
        <v>26</v>
      </c>
      <c r="C1605" s="18" t="s">
        <v>32</v>
      </c>
      <c r="D1605" s="18" t="s">
        <v>53</v>
      </c>
      <c r="E1605" s="18" t="s">
        <v>54</v>
      </c>
      <c r="F1605" s="18" t="s">
        <v>49</v>
      </c>
      <c r="G1605" s="18" t="s">
        <v>38</v>
      </c>
      <c r="H1605" s="18">
        <v>7.45</v>
      </c>
      <c r="I1605" s="20">
        <v>35</v>
      </c>
      <c r="J1605" s="21">
        <v>260.75</v>
      </c>
    </row>
    <row r="1606" spans="1:10">
      <c r="A1606" s="19">
        <v>35824</v>
      </c>
      <c r="B1606" s="18" t="s">
        <v>26</v>
      </c>
      <c r="C1606" s="18" t="s">
        <v>34</v>
      </c>
      <c r="D1606" s="18" t="s">
        <v>53</v>
      </c>
      <c r="E1606" s="18" t="s">
        <v>55</v>
      </c>
      <c r="F1606" s="18" t="s">
        <v>45</v>
      </c>
      <c r="G1606" s="18" t="s">
        <v>38</v>
      </c>
      <c r="H1606" s="18">
        <v>18</v>
      </c>
      <c r="I1606" s="20">
        <v>20</v>
      </c>
      <c r="J1606" s="21">
        <v>360</v>
      </c>
    </row>
    <row r="1607" spans="1:10">
      <c r="A1607" s="19">
        <v>35824</v>
      </c>
      <c r="B1607" s="18" t="s">
        <v>26</v>
      </c>
      <c r="C1607" s="18" t="s">
        <v>36</v>
      </c>
      <c r="D1607" s="18" t="s">
        <v>53</v>
      </c>
      <c r="E1607" s="18" t="s">
        <v>56</v>
      </c>
      <c r="F1607" s="18" t="s">
        <v>51</v>
      </c>
      <c r="G1607" s="18" t="s">
        <v>43</v>
      </c>
      <c r="H1607" s="18">
        <v>43.9</v>
      </c>
      <c r="I1607" s="20">
        <v>10</v>
      </c>
      <c r="J1607" s="21">
        <v>439</v>
      </c>
    </row>
    <row r="1608" spans="1:10">
      <c r="A1608" s="19">
        <v>35824</v>
      </c>
      <c r="B1608" s="18" t="s">
        <v>39</v>
      </c>
      <c r="C1608" s="18" t="s">
        <v>40</v>
      </c>
      <c r="D1608" s="18" t="s">
        <v>53</v>
      </c>
      <c r="E1608" s="18" t="s">
        <v>57</v>
      </c>
      <c r="F1608" s="18" t="s">
        <v>49</v>
      </c>
      <c r="G1608" s="18" t="s">
        <v>38</v>
      </c>
      <c r="H1608" s="18">
        <v>4.5</v>
      </c>
      <c r="I1608" s="20">
        <v>40</v>
      </c>
      <c r="J1608" s="21">
        <v>180</v>
      </c>
    </row>
    <row r="1609" spans="1:10">
      <c r="A1609" s="19">
        <v>35824</v>
      </c>
      <c r="B1609" s="18" t="s">
        <v>39</v>
      </c>
      <c r="C1609" s="18" t="s">
        <v>41</v>
      </c>
      <c r="D1609" s="18" t="s">
        <v>53</v>
      </c>
      <c r="E1609" s="18" t="s">
        <v>56</v>
      </c>
      <c r="F1609" s="18" t="s">
        <v>51</v>
      </c>
      <c r="G1609" s="18" t="s">
        <v>43</v>
      </c>
      <c r="H1609" s="18">
        <v>15</v>
      </c>
      <c r="I1609" s="20">
        <v>4</v>
      </c>
      <c r="J1609" s="21">
        <v>60</v>
      </c>
    </row>
    <row r="1610" spans="1:10">
      <c r="A1610" s="19">
        <v>35824</v>
      </c>
      <c r="B1610" s="18" t="s">
        <v>39</v>
      </c>
      <c r="C1610" s="18" t="s">
        <v>44</v>
      </c>
      <c r="D1610" s="18" t="s">
        <v>53</v>
      </c>
      <c r="E1610" s="18" t="s">
        <v>54</v>
      </c>
      <c r="F1610" s="18" t="s">
        <v>45</v>
      </c>
      <c r="G1610" s="18" t="s">
        <v>38</v>
      </c>
      <c r="H1610" s="18">
        <v>53</v>
      </c>
      <c r="I1610" s="20">
        <v>3</v>
      </c>
      <c r="J1610" s="21">
        <v>159</v>
      </c>
    </row>
    <row r="1611" spans="1:10">
      <c r="A1611" s="19">
        <v>35825</v>
      </c>
      <c r="B1611" s="18" t="s">
        <v>39</v>
      </c>
      <c r="C1611" s="18" t="s">
        <v>46</v>
      </c>
      <c r="D1611" s="18" t="s">
        <v>53</v>
      </c>
      <c r="E1611" s="18" t="s">
        <v>55</v>
      </c>
      <c r="F1611" s="18" t="s">
        <v>50</v>
      </c>
      <c r="G1611" s="18" t="s">
        <v>31</v>
      </c>
      <c r="H1611" s="18">
        <v>21</v>
      </c>
      <c r="I1611" s="20">
        <v>25</v>
      </c>
      <c r="J1611" s="21">
        <v>525</v>
      </c>
    </row>
    <row r="1612" spans="1:10">
      <c r="A1612" s="19">
        <v>35825</v>
      </c>
      <c r="B1612" s="18" t="s">
        <v>39</v>
      </c>
      <c r="C1612" s="18" t="s">
        <v>47</v>
      </c>
      <c r="D1612" s="18" t="s">
        <v>53</v>
      </c>
      <c r="E1612" s="18" t="s">
        <v>56</v>
      </c>
      <c r="F1612" s="18" t="s">
        <v>42</v>
      </c>
      <c r="G1612" s="18" t="s">
        <v>43</v>
      </c>
      <c r="H1612" s="18">
        <v>10</v>
      </c>
      <c r="I1612" s="20">
        <v>40</v>
      </c>
      <c r="J1612" s="21">
        <v>400</v>
      </c>
    </row>
    <row r="1613" spans="1:10">
      <c r="A1613" s="19">
        <v>35825</v>
      </c>
      <c r="B1613" s="18" t="s">
        <v>26</v>
      </c>
      <c r="C1613" s="18" t="s">
        <v>27</v>
      </c>
      <c r="D1613" s="18" t="s">
        <v>53</v>
      </c>
      <c r="E1613" s="18" t="s">
        <v>57</v>
      </c>
      <c r="F1613" s="18" t="s">
        <v>42</v>
      </c>
      <c r="G1613" s="18" t="s">
        <v>43</v>
      </c>
      <c r="H1613" s="18">
        <v>2.5</v>
      </c>
      <c r="I1613" s="20">
        <v>35</v>
      </c>
      <c r="J1613" s="21">
        <v>87.5</v>
      </c>
    </row>
    <row r="1614" spans="1:10">
      <c r="A1614" s="19">
        <v>35825</v>
      </c>
      <c r="B1614" s="18" t="s">
        <v>26</v>
      </c>
      <c r="C1614" s="18" t="s">
        <v>32</v>
      </c>
      <c r="D1614" s="18" t="s">
        <v>53</v>
      </c>
      <c r="E1614" s="18" t="s">
        <v>54</v>
      </c>
      <c r="F1614" s="18" t="s">
        <v>42</v>
      </c>
      <c r="G1614" s="18" t="s">
        <v>43</v>
      </c>
      <c r="H1614" s="18">
        <v>62.5</v>
      </c>
      <c r="I1614" s="20">
        <v>20</v>
      </c>
      <c r="J1614" s="21">
        <v>1250</v>
      </c>
    </row>
    <row r="1615" spans="1:10">
      <c r="A1615" s="19">
        <v>35825</v>
      </c>
      <c r="B1615" s="18" t="s">
        <v>26</v>
      </c>
      <c r="C1615" s="18" t="s">
        <v>34</v>
      </c>
      <c r="D1615" s="18" t="s">
        <v>53</v>
      </c>
      <c r="E1615" s="18" t="s">
        <v>55</v>
      </c>
      <c r="F1615" s="18" t="s">
        <v>50</v>
      </c>
      <c r="G1615" s="18" t="s">
        <v>31</v>
      </c>
      <c r="H1615" s="18">
        <v>7</v>
      </c>
      <c r="I1615" s="20">
        <v>8</v>
      </c>
      <c r="J1615" s="21">
        <v>56</v>
      </c>
    </row>
    <row r="1616" spans="1:10">
      <c r="A1616" s="19">
        <v>35825</v>
      </c>
      <c r="B1616" s="18" t="s">
        <v>26</v>
      </c>
      <c r="C1616" s="18" t="s">
        <v>36</v>
      </c>
      <c r="D1616" s="18" t="s">
        <v>53</v>
      </c>
      <c r="E1616" s="18" t="s">
        <v>56</v>
      </c>
      <c r="F1616" s="18" t="s">
        <v>42</v>
      </c>
      <c r="G1616" s="18" t="s">
        <v>43</v>
      </c>
      <c r="H1616" s="18">
        <v>49.3</v>
      </c>
      <c r="I1616" s="20">
        <v>3</v>
      </c>
      <c r="J1616" s="21">
        <v>147.89999999999998</v>
      </c>
    </row>
    <row r="1617" spans="1:10">
      <c r="A1617" s="19">
        <v>35825</v>
      </c>
      <c r="B1617" s="18" t="s">
        <v>39</v>
      </c>
      <c r="C1617" s="18" t="s">
        <v>40</v>
      </c>
      <c r="D1617" s="18" t="s">
        <v>53</v>
      </c>
      <c r="E1617" s="18" t="s">
        <v>57</v>
      </c>
      <c r="F1617" s="18" t="s">
        <v>42</v>
      </c>
      <c r="G1617" s="18" t="s">
        <v>43</v>
      </c>
      <c r="H1617" s="18">
        <v>39</v>
      </c>
      <c r="I1617" s="20">
        <v>42</v>
      </c>
      <c r="J1617" s="21">
        <v>1638</v>
      </c>
    </row>
    <row r="1618" spans="1:10">
      <c r="A1618" s="19">
        <v>35828</v>
      </c>
      <c r="B1618" s="18" t="s">
        <v>39</v>
      </c>
      <c r="C1618" s="18" t="s">
        <v>41</v>
      </c>
      <c r="D1618" s="18" t="s">
        <v>53</v>
      </c>
      <c r="E1618" s="18" t="s">
        <v>54</v>
      </c>
      <c r="F1618" s="18" t="s">
        <v>42</v>
      </c>
      <c r="G1618" s="18" t="s">
        <v>43</v>
      </c>
      <c r="H1618" s="18">
        <v>13.25</v>
      </c>
      <c r="I1618" s="20">
        <v>12</v>
      </c>
      <c r="J1618" s="21">
        <v>159</v>
      </c>
    </row>
    <row r="1619" spans="1:10">
      <c r="A1619" s="19">
        <v>35828</v>
      </c>
      <c r="B1619" s="18" t="s">
        <v>39</v>
      </c>
      <c r="C1619" s="18" t="s">
        <v>44</v>
      </c>
      <c r="D1619" s="18" t="s">
        <v>53</v>
      </c>
      <c r="E1619" s="18" t="s">
        <v>55</v>
      </c>
      <c r="F1619" s="18" t="s">
        <v>42</v>
      </c>
      <c r="G1619" s="18" t="s">
        <v>43</v>
      </c>
      <c r="H1619" s="18">
        <v>14</v>
      </c>
      <c r="I1619" s="20">
        <v>15</v>
      </c>
      <c r="J1619" s="21">
        <v>210</v>
      </c>
    </row>
    <row r="1620" spans="1:10">
      <c r="A1620" s="19">
        <v>35828</v>
      </c>
      <c r="B1620" s="18" t="s">
        <v>39</v>
      </c>
      <c r="C1620" s="18" t="s">
        <v>46</v>
      </c>
      <c r="D1620" s="18" t="s">
        <v>53</v>
      </c>
      <c r="E1620" s="18" t="s">
        <v>56</v>
      </c>
      <c r="F1620" s="18" t="s">
        <v>51</v>
      </c>
      <c r="G1620" s="18" t="s">
        <v>43</v>
      </c>
      <c r="H1620" s="18">
        <v>263.5</v>
      </c>
      <c r="I1620" s="20">
        <v>60</v>
      </c>
      <c r="J1620" s="21">
        <v>15810</v>
      </c>
    </row>
    <row r="1621" spans="1:10">
      <c r="A1621" s="19">
        <v>35828</v>
      </c>
      <c r="B1621" s="18" t="s">
        <v>39</v>
      </c>
      <c r="C1621" s="18" t="s">
        <v>47</v>
      </c>
      <c r="D1621" s="18" t="s">
        <v>53</v>
      </c>
      <c r="E1621" s="18" t="s">
        <v>57</v>
      </c>
      <c r="F1621" s="18" t="s">
        <v>42</v>
      </c>
      <c r="G1621" s="18" t="s">
        <v>43</v>
      </c>
      <c r="H1621" s="18">
        <v>18</v>
      </c>
      <c r="I1621" s="20">
        <v>4</v>
      </c>
      <c r="J1621" s="21">
        <v>72</v>
      </c>
    </row>
    <row r="1622" spans="1:10">
      <c r="A1622" s="19">
        <v>35828</v>
      </c>
      <c r="B1622" s="18" t="s">
        <v>26</v>
      </c>
      <c r="C1622" s="18" t="s">
        <v>27</v>
      </c>
      <c r="D1622" s="18" t="s">
        <v>53</v>
      </c>
      <c r="E1622" s="18" t="s">
        <v>54</v>
      </c>
      <c r="F1622" s="18" t="s">
        <v>42</v>
      </c>
      <c r="G1622" s="18" t="s">
        <v>43</v>
      </c>
      <c r="H1622" s="18">
        <v>18</v>
      </c>
      <c r="I1622" s="20">
        <v>20</v>
      </c>
      <c r="J1622" s="21">
        <v>360</v>
      </c>
    </row>
    <row r="1623" spans="1:10">
      <c r="A1623" s="19">
        <v>35828</v>
      </c>
      <c r="B1623" s="18" t="s">
        <v>26</v>
      </c>
      <c r="C1623" s="18" t="s">
        <v>32</v>
      </c>
      <c r="D1623" s="18" t="s">
        <v>53</v>
      </c>
      <c r="E1623" s="18" t="s">
        <v>55</v>
      </c>
      <c r="F1623" s="18" t="s">
        <v>51</v>
      </c>
      <c r="G1623" s="18" t="s">
        <v>43</v>
      </c>
      <c r="H1623" s="18">
        <v>18</v>
      </c>
      <c r="I1623" s="20">
        <v>80</v>
      </c>
      <c r="J1623" s="21">
        <v>1440</v>
      </c>
    </row>
    <row r="1624" spans="1:10">
      <c r="A1624" s="19">
        <v>35829</v>
      </c>
      <c r="B1624" s="18" t="s">
        <v>26</v>
      </c>
      <c r="C1624" s="18" t="s">
        <v>34</v>
      </c>
      <c r="D1624" s="18" t="s">
        <v>53</v>
      </c>
      <c r="E1624" s="18" t="s">
        <v>56</v>
      </c>
      <c r="F1624" s="18" t="s">
        <v>30</v>
      </c>
      <c r="G1624" s="18" t="s">
        <v>31</v>
      </c>
      <c r="H1624" s="18">
        <v>25.89</v>
      </c>
      <c r="I1624" s="20">
        <v>40</v>
      </c>
      <c r="J1624" s="21">
        <v>1035.5999999999999</v>
      </c>
    </row>
    <row r="1625" spans="1:10">
      <c r="A1625" s="19">
        <v>35829</v>
      </c>
      <c r="B1625" s="18" t="s">
        <v>26</v>
      </c>
      <c r="C1625" s="18" t="s">
        <v>36</v>
      </c>
      <c r="D1625" s="18" t="s">
        <v>53</v>
      </c>
      <c r="E1625" s="18" t="s">
        <v>57</v>
      </c>
      <c r="F1625" s="18" t="s">
        <v>30</v>
      </c>
      <c r="G1625" s="18" t="s">
        <v>31</v>
      </c>
      <c r="H1625" s="18">
        <v>19</v>
      </c>
      <c r="I1625" s="20">
        <v>21</v>
      </c>
      <c r="J1625" s="21">
        <v>399</v>
      </c>
    </row>
    <row r="1626" spans="1:10">
      <c r="A1626" s="19">
        <v>35829</v>
      </c>
      <c r="B1626" s="18" t="s">
        <v>39</v>
      </c>
      <c r="C1626" s="18" t="s">
        <v>40</v>
      </c>
      <c r="D1626" s="18" t="s">
        <v>53</v>
      </c>
      <c r="E1626" s="18" t="s">
        <v>54</v>
      </c>
      <c r="F1626" s="18" t="s">
        <v>30</v>
      </c>
      <c r="G1626" s="18" t="s">
        <v>31</v>
      </c>
      <c r="H1626" s="18">
        <v>4.5</v>
      </c>
      <c r="I1626" s="20">
        <v>6</v>
      </c>
      <c r="J1626" s="21">
        <v>27</v>
      </c>
    </row>
    <row r="1627" spans="1:10">
      <c r="A1627" s="19">
        <v>35829</v>
      </c>
      <c r="B1627" s="18" t="s">
        <v>39</v>
      </c>
      <c r="C1627" s="18" t="s">
        <v>41</v>
      </c>
      <c r="D1627" s="18" t="s">
        <v>53</v>
      </c>
      <c r="E1627" s="18" t="s">
        <v>55</v>
      </c>
      <c r="F1627" s="18" t="s">
        <v>37</v>
      </c>
      <c r="G1627" s="18" t="s">
        <v>38</v>
      </c>
      <c r="H1627" s="18">
        <v>32.799999999999997</v>
      </c>
      <c r="I1627" s="20">
        <v>3</v>
      </c>
      <c r="J1627" s="21">
        <v>98.399999999999991</v>
      </c>
    </row>
    <row r="1628" spans="1:10">
      <c r="A1628" s="19">
        <v>35830</v>
      </c>
      <c r="B1628" s="18" t="s">
        <v>39</v>
      </c>
      <c r="C1628" s="18" t="s">
        <v>44</v>
      </c>
      <c r="D1628" s="18" t="s">
        <v>53</v>
      </c>
      <c r="E1628" s="18" t="s">
        <v>56</v>
      </c>
      <c r="F1628" s="18" t="s">
        <v>30</v>
      </c>
      <c r="G1628" s="18" t="s">
        <v>31</v>
      </c>
      <c r="H1628" s="18">
        <v>21</v>
      </c>
      <c r="I1628" s="20">
        <v>10</v>
      </c>
      <c r="J1628" s="21">
        <v>210</v>
      </c>
    </row>
    <row r="1629" spans="1:10">
      <c r="A1629" s="19">
        <v>35830</v>
      </c>
      <c r="B1629" s="18" t="s">
        <v>39</v>
      </c>
      <c r="C1629" s="18" t="s">
        <v>46</v>
      </c>
      <c r="D1629" s="18" t="s">
        <v>53</v>
      </c>
      <c r="E1629" s="18" t="s">
        <v>57</v>
      </c>
      <c r="F1629" s="18" t="s">
        <v>30</v>
      </c>
      <c r="G1629" s="18" t="s">
        <v>31</v>
      </c>
      <c r="H1629" s="18">
        <v>12.5</v>
      </c>
      <c r="I1629" s="20">
        <v>20</v>
      </c>
      <c r="J1629" s="21">
        <v>250</v>
      </c>
    </row>
    <row r="1630" spans="1:10">
      <c r="A1630" s="19">
        <v>35830</v>
      </c>
      <c r="B1630" s="18" t="s">
        <v>39</v>
      </c>
      <c r="C1630" s="18" t="s">
        <v>47</v>
      </c>
      <c r="D1630" s="18" t="s">
        <v>53</v>
      </c>
      <c r="E1630" s="18" t="s">
        <v>54</v>
      </c>
      <c r="F1630" s="18" t="s">
        <v>52</v>
      </c>
      <c r="G1630" s="18" t="s">
        <v>31</v>
      </c>
      <c r="H1630" s="18">
        <v>18</v>
      </c>
      <c r="I1630" s="20">
        <v>30</v>
      </c>
      <c r="J1630" s="21">
        <v>540</v>
      </c>
    </row>
    <row r="1631" spans="1:10">
      <c r="A1631" s="19">
        <v>35830</v>
      </c>
      <c r="B1631" s="18" t="s">
        <v>26</v>
      </c>
      <c r="C1631" s="18" t="s">
        <v>27</v>
      </c>
      <c r="D1631" s="18" t="s">
        <v>53</v>
      </c>
      <c r="E1631" s="18" t="s">
        <v>55</v>
      </c>
      <c r="F1631" s="18" t="s">
        <v>30</v>
      </c>
      <c r="G1631" s="18" t="s">
        <v>31</v>
      </c>
      <c r="H1631" s="18">
        <v>18</v>
      </c>
      <c r="I1631" s="20">
        <v>3</v>
      </c>
      <c r="J1631" s="21">
        <v>54</v>
      </c>
    </row>
    <row r="1632" spans="1:10">
      <c r="A1632" s="19">
        <v>35830</v>
      </c>
      <c r="B1632" s="18" t="s">
        <v>26</v>
      </c>
      <c r="C1632" s="18" t="s">
        <v>32</v>
      </c>
      <c r="D1632" s="18" t="s">
        <v>53</v>
      </c>
      <c r="E1632" s="18" t="s">
        <v>56</v>
      </c>
      <c r="F1632" s="18" t="s">
        <v>52</v>
      </c>
      <c r="G1632" s="18" t="s">
        <v>31</v>
      </c>
      <c r="H1632" s="18">
        <v>31.23</v>
      </c>
      <c r="I1632" s="20">
        <v>20</v>
      </c>
      <c r="J1632" s="21">
        <v>624.6</v>
      </c>
    </row>
    <row r="1633" spans="1:10">
      <c r="A1633" s="19">
        <v>35830</v>
      </c>
      <c r="B1633" s="18" t="s">
        <v>26</v>
      </c>
      <c r="C1633" s="18" t="s">
        <v>34</v>
      </c>
      <c r="D1633" s="18" t="s">
        <v>53</v>
      </c>
      <c r="E1633" s="18" t="s">
        <v>57</v>
      </c>
      <c r="F1633" s="18" t="s">
        <v>30</v>
      </c>
      <c r="G1633" s="18" t="s">
        <v>31</v>
      </c>
      <c r="H1633" s="18">
        <v>18</v>
      </c>
      <c r="I1633" s="20">
        <v>40</v>
      </c>
      <c r="J1633" s="21">
        <v>720</v>
      </c>
    </row>
    <row r="1634" spans="1:10">
      <c r="A1634" s="19">
        <v>35830</v>
      </c>
      <c r="B1634" s="18" t="s">
        <v>26</v>
      </c>
      <c r="C1634" s="18" t="s">
        <v>36</v>
      </c>
      <c r="D1634" s="18" t="s">
        <v>53</v>
      </c>
      <c r="E1634" s="18" t="s">
        <v>54</v>
      </c>
      <c r="F1634" s="18" t="s">
        <v>52</v>
      </c>
      <c r="G1634" s="18" t="s">
        <v>31</v>
      </c>
      <c r="H1634" s="18">
        <v>20</v>
      </c>
      <c r="I1634" s="20">
        <v>42</v>
      </c>
      <c r="J1634" s="21">
        <v>840</v>
      </c>
    </row>
    <row r="1635" spans="1:10">
      <c r="A1635" s="19">
        <v>35830</v>
      </c>
      <c r="B1635" s="18" t="s">
        <v>39</v>
      </c>
      <c r="C1635" s="18" t="s">
        <v>40</v>
      </c>
      <c r="D1635" s="18" t="s">
        <v>53</v>
      </c>
      <c r="E1635" s="18" t="s">
        <v>55</v>
      </c>
      <c r="F1635" s="18" t="s">
        <v>30</v>
      </c>
      <c r="G1635" s="18" t="s">
        <v>31</v>
      </c>
      <c r="H1635" s="18">
        <v>9</v>
      </c>
      <c r="I1635" s="20">
        <v>50</v>
      </c>
      <c r="J1635" s="21">
        <v>450</v>
      </c>
    </row>
    <row r="1636" spans="1:10">
      <c r="A1636" s="19">
        <v>35830</v>
      </c>
      <c r="B1636" s="18" t="s">
        <v>39</v>
      </c>
      <c r="C1636" s="18" t="s">
        <v>41</v>
      </c>
      <c r="D1636" s="18" t="s">
        <v>53</v>
      </c>
      <c r="E1636" s="18" t="s">
        <v>56</v>
      </c>
      <c r="F1636" s="18" t="s">
        <v>30</v>
      </c>
      <c r="G1636" s="18" t="s">
        <v>31</v>
      </c>
      <c r="H1636" s="18">
        <v>53</v>
      </c>
      <c r="I1636" s="20">
        <v>2</v>
      </c>
      <c r="J1636" s="21">
        <v>106</v>
      </c>
    </row>
    <row r="1637" spans="1:10">
      <c r="A1637" s="19">
        <v>35831</v>
      </c>
      <c r="B1637" s="18" t="s">
        <v>39</v>
      </c>
      <c r="C1637" s="18" t="s">
        <v>44</v>
      </c>
      <c r="D1637" s="18" t="s">
        <v>53</v>
      </c>
      <c r="E1637" s="18" t="s">
        <v>57</v>
      </c>
      <c r="F1637" s="18" t="s">
        <v>48</v>
      </c>
      <c r="G1637" s="18" t="s">
        <v>31</v>
      </c>
      <c r="H1637" s="18">
        <v>17.45</v>
      </c>
      <c r="I1637" s="20">
        <v>12</v>
      </c>
      <c r="J1637" s="21">
        <v>209.39999999999998</v>
      </c>
    </row>
    <row r="1638" spans="1:10">
      <c r="A1638" s="19">
        <v>35831</v>
      </c>
      <c r="B1638" s="18" t="s">
        <v>39</v>
      </c>
      <c r="C1638" s="18" t="s">
        <v>46</v>
      </c>
      <c r="D1638" s="18" t="s">
        <v>53</v>
      </c>
      <c r="E1638" s="18" t="s">
        <v>56</v>
      </c>
      <c r="F1638" s="18" t="s">
        <v>30</v>
      </c>
      <c r="G1638" s="18" t="s">
        <v>31</v>
      </c>
      <c r="H1638" s="18">
        <v>21.05</v>
      </c>
      <c r="I1638" s="20">
        <v>21</v>
      </c>
      <c r="J1638" s="21">
        <v>442.05</v>
      </c>
    </row>
    <row r="1639" spans="1:10">
      <c r="A1639" s="19">
        <v>35831</v>
      </c>
      <c r="B1639" s="18" t="s">
        <v>39</v>
      </c>
      <c r="C1639" s="18" t="s">
        <v>47</v>
      </c>
      <c r="D1639" s="18" t="s">
        <v>53</v>
      </c>
      <c r="E1639" s="18" t="s">
        <v>54</v>
      </c>
      <c r="F1639" s="18" t="s">
        <v>30</v>
      </c>
      <c r="G1639" s="18" t="s">
        <v>31</v>
      </c>
      <c r="H1639" s="18">
        <v>33.25</v>
      </c>
      <c r="I1639" s="20">
        <v>15</v>
      </c>
      <c r="J1639" s="21">
        <v>498.75</v>
      </c>
    </row>
    <row r="1640" spans="1:10">
      <c r="A1640" s="19">
        <v>35831</v>
      </c>
      <c r="B1640" s="18" t="s">
        <v>26</v>
      </c>
      <c r="C1640" s="18" t="s">
        <v>27</v>
      </c>
      <c r="D1640" s="18" t="s">
        <v>53</v>
      </c>
      <c r="E1640" s="18" t="s">
        <v>55</v>
      </c>
      <c r="F1640" s="18" t="s">
        <v>48</v>
      </c>
      <c r="G1640" s="18" t="s">
        <v>31</v>
      </c>
      <c r="H1640" s="18">
        <v>25</v>
      </c>
      <c r="I1640" s="20">
        <v>50</v>
      </c>
      <c r="J1640" s="21">
        <v>1250</v>
      </c>
    </row>
    <row r="1641" spans="1:10">
      <c r="A1641" s="19">
        <v>35831</v>
      </c>
      <c r="B1641" s="18" t="s">
        <v>26</v>
      </c>
      <c r="C1641" s="18" t="s">
        <v>32</v>
      </c>
      <c r="D1641" s="18" t="s">
        <v>53</v>
      </c>
      <c r="E1641" s="18" t="s">
        <v>56</v>
      </c>
      <c r="F1641" s="18" t="s">
        <v>30</v>
      </c>
      <c r="G1641" s="18" t="s">
        <v>31</v>
      </c>
      <c r="H1641" s="18">
        <v>49.3</v>
      </c>
      <c r="I1641" s="20">
        <v>20</v>
      </c>
      <c r="J1641" s="21">
        <v>986</v>
      </c>
    </row>
    <row r="1642" spans="1:10">
      <c r="A1642" s="19">
        <v>35831</v>
      </c>
      <c r="B1642" s="18" t="s">
        <v>26</v>
      </c>
      <c r="C1642" s="18" t="s">
        <v>34</v>
      </c>
      <c r="D1642" s="18" t="s">
        <v>53</v>
      </c>
      <c r="E1642" s="18" t="s">
        <v>57</v>
      </c>
      <c r="F1642" s="18" t="s">
        <v>30</v>
      </c>
      <c r="G1642" s="18" t="s">
        <v>31</v>
      </c>
      <c r="H1642" s="18">
        <v>24</v>
      </c>
      <c r="I1642" s="20">
        <v>10</v>
      </c>
      <c r="J1642" s="21">
        <v>240</v>
      </c>
    </row>
    <row r="1643" spans="1:10">
      <c r="A1643" s="19">
        <v>35831</v>
      </c>
      <c r="B1643" s="18" t="s">
        <v>26</v>
      </c>
      <c r="C1643" s="18" t="s">
        <v>36</v>
      </c>
      <c r="D1643" s="18" t="s">
        <v>53</v>
      </c>
      <c r="E1643" s="18" t="s">
        <v>54</v>
      </c>
      <c r="F1643" s="18" t="s">
        <v>48</v>
      </c>
      <c r="G1643" s="18" t="s">
        <v>31</v>
      </c>
      <c r="H1643" s="18">
        <v>39</v>
      </c>
      <c r="I1643" s="20">
        <v>16</v>
      </c>
      <c r="J1643" s="21">
        <v>624</v>
      </c>
    </row>
    <row r="1644" spans="1:10">
      <c r="A1644" s="19">
        <v>35832</v>
      </c>
      <c r="B1644" s="18" t="s">
        <v>39</v>
      </c>
      <c r="C1644" s="18" t="s">
        <v>40</v>
      </c>
      <c r="D1644" s="18" t="s">
        <v>53</v>
      </c>
      <c r="E1644" s="18" t="s">
        <v>55</v>
      </c>
      <c r="F1644" s="18" t="s">
        <v>42</v>
      </c>
      <c r="G1644" s="18" t="s">
        <v>43</v>
      </c>
      <c r="H1644" s="18">
        <v>9.5</v>
      </c>
      <c r="I1644" s="20">
        <v>21</v>
      </c>
      <c r="J1644" s="21">
        <v>199.5</v>
      </c>
    </row>
    <row r="1645" spans="1:10">
      <c r="A1645" s="19">
        <v>35832</v>
      </c>
      <c r="B1645" s="18" t="s">
        <v>39</v>
      </c>
      <c r="C1645" s="18" t="s">
        <v>41</v>
      </c>
      <c r="D1645" s="18" t="s">
        <v>53</v>
      </c>
      <c r="E1645" s="18" t="s">
        <v>56</v>
      </c>
      <c r="F1645" s="18" t="s">
        <v>42</v>
      </c>
      <c r="G1645" s="18" t="s">
        <v>43</v>
      </c>
      <c r="H1645" s="18">
        <v>10</v>
      </c>
      <c r="I1645" s="20">
        <v>20</v>
      </c>
      <c r="J1645" s="21">
        <v>200</v>
      </c>
    </row>
    <row r="1646" spans="1:10">
      <c r="A1646" s="19">
        <v>35832</v>
      </c>
      <c r="B1646" s="18" t="s">
        <v>39</v>
      </c>
      <c r="C1646" s="18" t="s">
        <v>44</v>
      </c>
      <c r="D1646" s="18" t="s">
        <v>53</v>
      </c>
      <c r="E1646" s="18" t="s">
        <v>57</v>
      </c>
      <c r="F1646" s="18" t="s">
        <v>42</v>
      </c>
      <c r="G1646" s="18" t="s">
        <v>43</v>
      </c>
      <c r="H1646" s="18">
        <v>45.6</v>
      </c>
      <c r="I1646" s="20">
        <v>3</v>
      </c>
      <c r="J1646" s="21">
        <v>136.80000000000001</v>
      </c>
    </row>
    <row r="1647" spans="1:10">
      <c r="A1647" s="19">
        <v>35832</v>
      </c>
      <c r="B1647" s="18" t="s">
        <v>39</v>
      </c>
      <c r="C1647" s="18" t="s">
        <v>46</v>
      </c>
      <c r="D1647" s="18" t="s">
        <v>53</v>
      </c>
      <c r="E1647" s="18" t="s">
        <v>54</v>
      </c>
      <c r="F1647" s="18" t="s">
        <v>42</v>
      </c>
      <c r="G1647" s="18" t="s">
        <v>43</v>
      </c>
      <c r="H1647" s="18">
        <v>20</v>
      </c>
      <c r="I1647" s="20">
        <v>15</v>
      </c>
      <c r="J1647" s="21">
        <v>300</v>
      </c>
    </row>
    <row r="1648" spans="1:10">
      <c r="A1648" s="19">
        <v>35832</v>
      </c>
      <c r="B1648" s="18" t="s">
        <v>39</v>
      </c>
      <c r="C1648" s="18" t="s">
        <v>47</v>
      </c>
      <c r="D1648" s="18" t="s">
        <v>53</v>
      </c>
      <c r="E1648" s="18" t="s">
        <v>55</v>
      </c>
      <c r="F1648" s="18" t="s">
        <v>42</v>
      </c>
      <c r="G1648" s="18" t="s">
        <v>43</v>
      </c>
      <c r="H1648" s="18">
        <v>9.1999999999999993</v>
      </c>
      <c r="I1648" s="20">
        <v>25</v>
      </c>
      <c r="J1648" s="21">
        <v>229.99999999999997</v>
      </c>
    </row>
    <row r="1649" spans="1:10">
      <c r="A1649" s="19">
        <v>35832</v>
      </c>
      <c r="B1649" s="18" t="s">
        <v>26</v>
      </c>
      <c r="C1649" s="18" t="s">
        <v>27</v>
      </c>
      <c r="D1649" s="18" t="s">
        <v>53</v>
      </c>
      <c r="E1649" s="18" t="s">
        <v>56</v>
      </c>
      <c r="F1649" s="18" t="s">
        <v>30</v>
      </c>
      <c r="G1649" s="18" t="s">
        <v>31</v>
      </c>
      <c r="H1649" s="18">
        <v>31</v>
      </c>
      <c r="I1649" s="20">
        <v>10</v>
      </c>
      <c r="J1649" s="21">
        <v>310</v>
      </c>
    </row>
    <row r="1650" spans="1:10">
      <c r="A1650" s="19">
        <v>35835</v>
      </c>
      <c r="B1650" s="18" t="s">
        <v>26</v>
      </c>
      <c r="C1650" s="18" t="s">
        <v>32</v>
      </c>
      <c r="D1650" s="18" t="s">
        <v>53</v>
      </c>
      <c r="E1650" s="18" t="s">
        <v>57</v>
      </c>
      <c r="F1650" s="18" t="s">
        <v>49</v>
      </c>
      <c r="G1650" s="18" t="s">
        <v>38</v>
      </c>
      <c r="H1650" s="18">
        <v>17.45</v>
      </c>
      <c r="I1650" s="20">
        <v>30</v>
      </c>
      <c r="J1650" s="21">
        <v>523.5</v>
      </c>
    </row>
    <row r="1651" spans="1:10">
      <c r="A1651" s="19">
        <v>35835</v>
      </c>
      <c r="B1651" s="18" t="s">
        <v>26</v>
      </c>
      <c r="C1651" s="18" t="s">
        <v>34</v>
      </c>
      <c r="D1651" s="18" t="s">
        <v>53</v>
      </c>
      <c r="E1651" s="18" t="s">
        <v>54</v>
      </c>
      <c r="F1651" s="18" t="s">
        <v>52</v>
      </c>
      <c r="G1651" s="18" t="s">
        <v>31</v>
      </c>
      <c r="H1651" s="18">
        <v>33.25</v>
      </c>
      <c r="I1651" s="20">
        <v>20</v>
      </c>
      <c r="J1651" s="21">
        <v>665</v>
      </c>
    </row>
    <row r="1652" spans="1:10">
      <c r="A1652" s="19">
        <v>35835</v>
      </c>
      <c r="B1652" s="18" t="s">
        <v>26</v>
      </c>
      <c r="C1652" s="18" t="s">
        <v>36</v>
      </c>
      <c r="D1652" s="18" t="s">
        <v>53</v>
      </c>
      <c r="E1652" s="18" t="s">
        <v>55</v>
      </c>
      <c r="F1652" s="18" t="s">
        <v>52</v>
      </c>
      <c r="G1652" s="18" t="s">
        <v>31</v>
      </c>
      <c r="H1652" s="18">
        <v>12</v>
      </c>
      <c r="I1652" s="20">
        <v>21</v>
      </c>
      <c r="J1652" s="21">
        <v>252</v>
      </c>
    </row>
    <row r="1653" spans="1:10">
      <c r="A1653" s="19">
        <v>35835</v>
      </c>
      <c r="B1653" s="18" t="s">
        <v>39</v>
      </c>
      <c r="C1653" s="18" t="s">
        <v>40</v>
      </c>
      <c r="D1653" s="18" t="s">
        <v>53</v>
      </c>
      <c r="E1653" s="18" t="s">
        <v>56</v>
      </c>
      <c r="F1653" s="18" t="s">
        <v>49</v>
      </c>
      <c r="G1653" s="18" t="s">
        <v>38</v>
      </c>
      <c r="H1653" s="18">
        <v>62.5</v>
      </c>
      <c r="I1653" s="20">
        <v>25</v>
      </c>
      <c r="J1653" s="21">
        <v>1562.5</v>
      </c>
    </row>
    <row r="1654" spans="1:10">
      <c r="A1654" s="19">
        <v>35836</v>
      </c>
      <c r="B1654" s="18" t="s">
        <v>39</v>
      </c>
      <c r="C1654" s="18" t="s">
        <v>41</v>
      </c>
      <c r="D1654" s="18" t="s">
        <v>53</v>
      </c>
      <c r="E1654" s="18" t="s">
        <v>57</v>
      </c>
      <c r="F1654" s="18" t="s">
        <v>42</v>
      </c>
      <c r="G1654" s="18" t="s">
        <v>43</v>
      </c>
      <c r="H1654" s="18">
        <v>81</v>
      </c>
      <c r="I1654" s="20">
        <v>20</v>
      </c>
      <c r="J1654" s="21">
        <v>1620</v>
      </c>
    </row>
    <row r="1655" spans="1:10">
      <c r="A1655" s="19">
        <v>35836</v>
      </c>
      <c r="B1655" s="18" t="s">
        <v>39</v>
      </c>
      <c r="C1655" s="18" t="s">
        <v>44</v>
      </c>
      <c r="D1655" s="18" t="s">
        <v>53</v>
      </c>
      <c r="E1655" s="18" t="s">
        <v>54</v>
      </c>
      <c r="F1655" s="18" t="s">
        <v>45</v>
      </c>
      <c r="G1655" s="18" t="s">
        <v>38</v>
      </c>
      <c r="H1655" s="18">
        <v>21.05</v>
      </c>
      <c r="I1655" s="20">
        <v>10</v>
      </c>
      <c r="J1655" s="21">
        <v>210.5</v>
      </c>
    </row>
    <row r="1656" spans="1:10">
      <c r="A1656" s="19">
        <v>35836</v>
      </c>
      <c r="B1656" s="18" t="s">
        <v>39</v>
      </c>
      <c r="C1656" s="18" t="s">
        <v>46</v>
      </c>
      <c r="D1656" s="18" t="s">
        <v>53</v>
      </c>
      <c r="E1656" s="18" t="s">
        <v>55</v>
      </c>
      <c r="F1656" s="18" t="s">
        <v>52</v>
      </c>
      <c r="G1656" s="18" t="s">
        <v>31</v>
      </c>
      <c r="H1656" s="18">
        <v>28.5</v>
      </c>
      <c r="I1656" s="20">
        <v>30</v>
      </c>
      <c r="J1656" s="21">
        <v>855</v>
      </c>
    </row>
    <row r="1657" spans="1:10">
      <c r="A1657" s="19">
        <v>35836</v>
      </c>
      <c r="B1657" s="18" t="s">
        <v>39</v>
      </c>
      <c r="C1657" s="18" t="s">
        <v>47</v>
      </c>
      <c r="D1657" s="18" t="s">
        <v>53</v>
      </c>
      <c r="E1657" s="18" t="s">
        <v>56</v>
      </c>
      <c r="F1657" s="18" t="s">
        <v>45</v>
      </c>
      <c r="G1657" s="18" t="s">
        <v>38</v>
      </c>
      <c r="H1657" s="18">
        <v>18</v>
      </c>
      <c r="I1657" s="20">
        <v>10</v>
      </c>
      <c r="J1657" s="21">
        <v>180</v>
      </c>
    </row>
    <row r="1658" spans="1:10">
      <c r="A1658" s="19">
        <v>35836</v>
      </c>
      <c r="B1658" s="18" t="s">
        <v>26</v>
      </c>
      <c r="C1658" s="18" t="s">
        <v>27</v>
      </c>
      <c r="D1658" s="18" t="s">
        <v>53</v>
      </c>
      <c r="E1658" s="18" t="s">
        <v>57</v>
      </c>
      <c r="F1658" s="18" t="s">
        <v>52</v>
      </c>
      <c r="G1658" s="18" t="s">
        <v>31</v>
      </c>
      <c r="H1658" s="18">
        <v>15</v>
      </c>
      <c r="I1658" s="20">
        <v>50</v>
      </c>
      <c r="J1658" s="21">
        <v>750</v>
      </c>
    </row>
    <row r="1659" spans="1:10">
      <c r="A1659" s="19">
        <v>35836</v>
      </c>
      <c r="B1659" s="18" t="s">
        <v>26</v>
      </c>
      <c r="C1659" s="18" t="s">
        <v>32</v>
      </c>
      <c r="D1659" s="18" t="s">
        <v>53</v>
      </c>
      <c r="E1659" s="18" t="s">
        <v>54</v>
      </c>
      <c r="F1659" s="18" t="s">
        <v>45</v>
      </c>
      <c r="G1659" s="18" t="s">
        <v>38</v>
      </c>
      <c r="H1659" s="18">
        <v>18.399999999999999</v>
      </c>
      <c r="I1659" s="20">
        <v>12</v>
      </c>
      <c r="J1659" s="21">
        <v>220.79999999999998</v>
      </c>
    </row>
    <row r="1660" spans="1:10">
      <c r="A1660" s="19">
        <v>35836</v>
      </c>
      <c r="B1660" s="18" t="s">
        <v>26</v>
      </c>
      <c r="C1660" s="18" t="s">
        <v>34</v>
      </c>
      <c r="D1660" s="18" t="s">
        <v>53</v>
      </c>
      <c r="E1660" s="18" t="s">
        <v>55</v>
      </c>
      <c r="F1660" s="18" t="s">
        <v>52</v>
      </c>
      <c r="G1660" s="18" t="s">
        <v>31</v>
      </c>
      <c r="H1660" s="18">
        <v>9</v>
      </c>
      <c r="I1660" s="20">
        <v>30</v>
      </c>
      <c r="J1660" s="21">
        <v>270</v>
      </c>
    </row>
    <row r="1661" spans="1:10">
      <c r="A1661" s="19">
        <v>35837</v>
      </c>
      <c r="B1661" s="18" t="s">
        <v>26</v>
      </c>
      <c r="C1661" s="18" t="s">
        <v>36</v>
      </c>
      <c r="D1661" s="18" t="s">
        <v>53</v>
      </c>
      <c r="E1661" s="18" t="s">
        <v>56</v>
      </c>
      <c r="F1661" s="18" t="s">
        <v>42</v>
      </c>
      <c r="G1661" s="18" t="s">
        <v>43</v>
      </c>
      <c r="H1661" s="18">
        <v>14</v>
      </c>
      <c r="I1661" s="20">
        <v>25</v>
      </c>
      <c r="J1661" s="21">
        <v>350</v>
      </c>
    </row>
    <row r="1662" spans="1:10">
      <c r="A1662" s="19">
        <v>35837</v>
      </c>
      <c r="B1662" s="18" t="s">
        <v>39</v>
      </c>
      <c r="C1662" s="18" t="s">
        <v>40</v>
      </c>
      <c r="D1662" s="18" t="s">
        <v>53</v>
      </c>
      <c r="E1662" s="18" t="s">
        <v>57</v>
      </c>
      <c r="F1662" s="18" t="s">
        <v>42</v>
      </c>
      <c r="G1662" s="18" t="s">
        <v>43</v>
      </c>
      <c r="H1662" s="18">
        <v>15</v>
      </c>
      <c r="I1662" s="20">
        <v>10</v>
      </c>
      <c r="J1662" s="21">
        <v>150</v>
      </c>
    </row>
    <row r="1663" spans="1:10">
      <c r="A1663" s="19">
        <v>35837</v>
      </c>
      <c r="B1663" s="18" t="s">
        <v>39</v>
      </c>
      <c r="C1663" s="18" t="s">
        <v>41</v>
      </c>
      <c r="D1663" s="18" t="s">
        <v>53</v>
      </c>
      <c r="E1663" s="18" t="s">
        <v>54</v>
      </c>
      <c r="F1663" s="18" t="s">
        <v>42</v>
      </c>
      <c r="G1663" s="18" t="s">
        <v>43</v>
      </c>
      <c r="H1663" s="18">
        <v>7.45</v>
      </c>
      <c r="I1663" s="20">
        <v>32</v>
      </c>
      <c r="J1663" s="21">
        <v>238.4</v>
      </c>
    </row>
    <row r="1664" spans="1:10">
      <c r="A1664" s="19">
        <v>35837</v>
      </c>
      <c r="B1664" s="18" t="s">
        <v>39</v>
      </c>
      <c r="C1664" s="18" t="s">
        <v>44</v>
      </c>
      <c r="D1664" s="18" t="s">
        <v>53</v>
      </c>
      <c r="E1664" s="18" t="s">
        <v>55</v>
      </c>
      <c r="F1664" s="18" t="s">
        <v>42</v>
      </c>
      <c r="G1664" s="18" t="s">
        <v>43</v>
      </c>
      <c r="H1664" s="18">
        <v>20</v>
      </c>
      <c r="I1664" s="20">
        <v>20</v>
      </c>
      <c r="J1664" s="21">
        <v>400</v>
      </c>
    </row>
    <row r="1665" spans="1:10">
      <c r="A1665" s="19">
        <v>35838</v>
      </c>
      <c r="B1665" s="18" t="s">
        <v>39</v>
      </c>
      <c r="C1665" s="18" t="s">
        <v>46</v>
      </c>
      <c r="D1665" s="18" t="s">
        <v>53</v>
      </c>
      <c r="E1665" s="18" t="s">
        <v>56</v>
      </c>
      <c r="F1665" s="18" t="s">
        <v>42</v>
      </c>
      <c r="G1665" s="18" t="s">
        <v>43</v>
      </c>
      <c r="H1665" s="18">
        <v>38</v>
      </c>
      <c r="I1665" s="20">
        <v>21</v>
      </c>
      <c r="J1665" s="21">
        <v>798</v>
      </c>
    </row>
    <row r="1666" spans="1:10">
      <c r="A1666" s="19">
        <v>35838</v>
      </c>
      <c r="B1666" s="18" t="s">
        <v>39</v>
      </c>
      <c r="C1666" s="18" t="s">
        <v>47</v>
      </c>
      <c r="D1666" s="18" t="s">
        <v>53</v>
      </c>
      <c r="E1666" s="18" t="s">
        <v>57</v>
      </c>
      <c r="F1666" s="18" t="s">
        <v>42</v>
      </c>
      <c r="G1666" s="18" t="s">
        <v>43</v>
      </c>
      <c r="H1666" s="18">
        <v>21.05</v>
      </c>
      <c r="I1666" s="20">
        <v>12</v>
      </c>
      <c r="J1666" s="21">
        <v>252.60000000000002</v>
      </c>
    </row>
    <row r="1667" spans="1:10">
      <c r="A1667" s="19">
        <v>35838</v>
      </c>
      <c r="B1667" s="18" t="s">
        <v>26</v>
      </c>
      <c r="C1667" s="18" t="s">
        <v>27</v>
      </c>
      <c r="D1667" s="18" t="s">
        <v>53</v>
      </c>
      <c r="E1667" s="18" t="s">
        <v>56</v>
      </c>
      <c r="F1667" s="18" t="s">
        <v>42</v>
      </c>
      <c r="G1667" s="18" t="s">
        <v>43</v>
      </c>
      <c r="H1667" s="18">
        <v>10</v>
      </c>
      <c r="I1667" s="20">
        <v>40</v>
      </c>
      <c r="J1667" s="21">
        <v>400</v>
      </c>
    </row>
    <row r="1668" spans="1:10">
      <c r="A1668" s="19">
        <v>35838</v>
      </c>
      <c r="B1668" s="18" t="s">
        <v>26</v>
      </c>
      <c r="C1668" s="18" t="s">
        <v>32</v>
      </c>
      <c r="D1668" s="18" t="s">
        <v>53</v>
      </c>
      <c r="E1668" s="18" t="s">
        <v>54</v>
      </c>
      <c r="F1668" s="18" t="s">
        <v>37</v>
      </c>
      <c r="G1668" s="18" t="s">
        <v>38</v>
      </c>
      <c r="H1668" s="18">
        <v>13</v>
      </c>
      <c r="I1668" s="20">
        <v>25</v>
      </c>
      <c r="J1668" s="21">
        <v>325</v>
      </c>
    </row>
    <row r="1669" spans="1:10">
      <c r="A1669" s="19">
        <v>35838</v>
      </c>
      <c r="B1669" s="18" t="s">
        <v>26</v>
      </c>
      <c r="C1669" s="18" t="s">
        <v>34</v>
      </c>
      <c r="D1669" s="18" t="s">
        <v>53</v>
      </c>
      <c r="E1669" s="18" t="s">
        <v>55</v>
      </c>
      <c r="F1669" s="18" t="s">
        <v>37</v>
      </c>
      <c r="G1669" s="18" t="s">
        <v>38</v>
      </c>
      <c r="H1669" s="18">
        <v>19</v>
      </c>
      <c r="I1669" s="20">
        <v>20</v>
      </c>
      <c r="J1669" s="21">
        <v>380</v>
      </c>
    </row>
    <row r="1670" spans="1:10">
      <c r="A1670" s="19">
        <v>35838</v>
      </c>
      <c r="B1670" s="18" t="s">
        <v>26</v>
      </c>
      <c r="C1670" s="18" t="s">
        <v>36</v>
      </c>
      <c r="D1670" s="18" t="s">
        <v>53</v>
      </c>
      <c r="E1670" s="18" t="s">
        <v>56</v>
      </c>
      <c r="F1670" s="18" t="s">
        <v>50</v>
      </c>
      <c r="G1670" s="18" t="s">
        <v>31</v>
      </c>
      <c r="H1670" s="18">
        <v>4.5</v>
      </c>
      <c r="I1670" s="20">
        <v>8</v>
      </c>
      <c r="J1670" s="21">
        <v>36</v>
      </c>
    </row>
    <row r="1671" spans="1:10">
      <c r="A1671" s="19">
        <v>35838</v>
      </c>
      <c r="B1671" s="18" t="s">
        <v>39</v>
      </c>
      <c r="C1671" s="18" t="s">
        <v>40</v>
      </c>
      <c r="D1671" s="18" t="s">
        <v>53</v>
      </c>
      <c r="E1671" s="18" t="s">
        <v>57</v>
      </c>
      <c r="F1671" s="18" t="s">
        <v>37</v>
      </c>
      <c r="G1671" s="18" t="s">
        <v>38</v>
      </c>
      <c r="H1671" s="18">
        <v>4.5</v>
      </c>
      <c r="I1671" s="20">
        <v>12</v>
      </c>
      <c r="J1671" s="21">
        <v>54</v>
      </c>
    </row>
    <row r="1672" spans="1:10">
      <c r="A1672" s="19">
        <v>35838</v>
      </c>
      <c r="B1672" s="18" t="s">
        <v>39</v>
      </c>
      <c r="C1672" s="18" t="s">
        <v>41</v>
      </c>
      <c r="D1672" s="18" t="s">
        <v>53</v>
      </c>
      <c r="E1672" s="18" t="s">
        <v>54</v>
      </c>
      <c r="F1672" s="18" t="s">
        <v>37</v>
      </c>
      <c r="G1672" s="18" t="s">
        <v>38</v>
      </c>
      <c r="H1672" s="18">
        <v>15</v>
      </c>
      <c r="I1672" s="20">
        <v>30</v>
      </c>
      <c r="J1672" s="21">
        <v>450</v>
      </c>
    </row>
    <row r="1673" spans="1:10">
      <c r="A1673" s="19">
        <v>35839</v>
      </c>
      <c r="B1673" s="18" t="s">
        <v>39</v>
      </c>
      <c r="C1673" s="18" t="s">
        <v>44</v>
      </c>
      <c r="D1673" s="18" t="s">
        <v>53</v>
      </c>
      <c r="E1673" s="18" t="s">
        <v>55</v>
      </c>
      <c r="F1673" s="18" t="s">
        <v>49</v>
      </c>
      <c r="G1673" s="18" t="s">
        <v>38</v>
      </c>
      <c r="H1673" s="18">
        <v>13</v>
      </c>
      <c r="I1673" s="20">
        <v>40</v>
      </c>
      <c r="J1673" s="21">
        <v>520</v>
      </c>
    </row>
    <row r="1674" spans="1:10">
      <c r="A1674" s="19">
        <v>35839</v>
      </c>
      <c r="B1674" s="18" t="s">
        <v>39</v>
      </c>
      <c r="C1674" s="18" t="s">
        <v>46</v>
      </c>
      <c r="D1674" s="18" t="s">
        <v>53</v>
      </c>
      <c r="E1674" s="18" t="s">
        <v>56</v>
      </c>
      <c r="F1674" s="18" t="s">
        <v>50</v>
      </c>
      <c r="G1674" s="18" t="s">
        <v>31</v>
      </c>
      <c r="H1674" s="18">
        <v>14</v>
      </c>
      <c r="I1674" s="20">
        <v>5</v>
      </c>
      <c r="J1674" s="21">
        <v>70</v>
      </c>
    </row>
    <row r="1675" spans="1:10">
      <c r="A1675" s="19">
        <v>35839</v>
      </c>
      <c r="B1675" s="18" t="s">
        <v>39</v>
      </c>
      <c r="C1675" s="18" t="s">
        <v>47</v>
      </c>
      <c r="D1675" s="18" t="s">
        <v>53</v>
      </c>
      <c r="E1675" s="18" t="s">
        <v>57</v>
      </c>
      <c r="F1675" s="18" t="s">
        <v>49</v>
      </c>
      <c r="G1675" s="18" t="s">
        <v>38</v>
      </c>
      <c r="H1675" s="18">
        <v>12.5</v>
      </c>
      <c r="I1675" s="20">
        <v>35</v>
      </c>
      <c r="J1675" s="21">
        <v>437.5</v>
      </c>
    </row>
    <row r="1676" spans="1:10">
      <c r="A1676" s="19">
        <v>35839</v>
      </c>
      <c r="B1676" s="18" t="s">
        <v>26</v>
      </c>
      <c r="C1676" s="18" t="s">
        <v>27</v>
      </c>
      <c r="D1676" s="18" t="s">
        <v>53</v>
      </c>
      <c r="E1676" s="18" t="s">
        <v>54</v>
      </c>
      <c r="F1676" s="18" t="s">
        <v>49</v>
      </c>
      <c r="G1676" s="18" t="s">
        <v>38</v>
      </c>
      <c r="H1676" s="18">
        <v>31</v>
      </c>
      <c r="I1676" s="20">
        <v>70</v>
      </c>
      <c r="J1676" s="21">
        <v>2170</v>
      </c>
    </row>
    <row r="1677" spans="1:10">
      <c r="A1677" s="19">
        <v>35842</v>
      </c>
      <c r="B1677" s="18" t="s">
        <v>26</v>
      </c>
      <c r="C1677" s="18" t="s">
        <v>32</v>
      </c>
      <c r="D1677" s="18" t="s">
        <v>53</v>
      </c>
      <c r="E1677" s="18" t="s">
        <v>55</v>
      </c>
      <c r="F1677" s="18" t="s">
        <v>48</v>
      </c>
      <c r="G1677" s="18" t="s">
        <v>31</v>
      </c>
      <c r="H1677" s="18">
        <v>21</v>
      </c>
      <c r="I1677" s="20">
        <v>40</v>
      </c>
      <c r="J1677" s="21">
        <v>840</v>
      </c>
    </row>
    <row r="1678" spans="1:10">
      <c r="A1678" s="19">
        <v>35842</v>
      </c>
      <c r="B1678" s="18" t="s">
        <v>26</v>
      </c>
      <c r="C1678" s="18" t="s">
        <v>34</v>
      </c>
      <c r="D1678" s="18" t="s">
        <v>53</v>
      </c>
      <c r="E1678" s="18" t="s">
        <v>56</v>
      </c>
      <c r="F1678" s="18" t="s">
        <v>48</v>
      </c>
      <c r="G1678" s="18" t="s">
        <v>31</v>
      </c>
      <c r="H1678" s="18">
        <v>263.5</v>
      </c>
      <c r="I1678" s="20">
        <v>40</v>
      </c>
      <c r="J1678" s="21">
        <v>10540</v>
      </c>
    </row>
    <row r="1679" spans="1:10">
      <c r="A1679" s="19">
        <v>35842</v>
      </c>
      <c r="B1679" s="18" t="s">
        <v>26</v>
      </c>
      <c r="C1679" s="18" t="s">
        <v>36</v>
      </c>
      <c r="D1679" s="18" t="s">
        <v>53</v>
      </c>
      <c r="E1679" s="18" t="s">
        <v>57</v>
      </c>
      <c r="F1679" s="18" t="s">
        <v>49</v>
      </c>
      <c r="G1679" s="18" t="s">
        <v>38</v>
      </c>
      <c r="H1679" s="18">
        <v>12.5</v>
      </c>
      <c r="I1679" s="20">
        <v>18</v>
      </c>
      <c r="J1679" s="21">
        <v>225</v>
      </c>
    </row>
    <row r="1680" spans="1:10">
      <c r="A1680" s="19">
        <v>35842</v>
      </c>
      <c r="B1680" s="18" t="s">
        <v>39</v>
      </c>
      <c r="C1680" s="18" t="s">
        <v>40</v>
      </c>
      <c r="D1680" s="18" t="s">
        <v>53</v>
      </c>
      <c r="E1680" s="18" t="s">
        <v>54</v>
      </c>
      <c r="F1680" s="18" t="s">
        <v>49</v>
      </c>
      <c r="G1680" s="18" t="s">
        <v>38</v>
      </c>
      <c r="H1680" s="18">
        <v>19</v>
      </c>
      <c r="I1680" s="20">
        <v>20</v>
      </c>
      <c r="J1680" s="21">
        <v>380</v>
      </c>
    </row>
    <row r="1681" spans="1:10">
      <c r="A1681" s="19">
        <v>35842</v>
      </c>
      <c r="B1681" s="18" t="s">
        <v>39</v>
      </c>
      <c r="C1681" s="18" t="s">
        <v>41</v>
      </c>
      <c r="D1681" s="18" t="s">
        <v>53</v>
      </c>
      <c r="E1681" s="18" t="s">
        <v>55</v>
      </c>
      <c r="F1681" s="18" t="s">
        <v>52</v>
      </c>
      <c r="G1681" s="18" t="s">
        <v>31</v>
      </c>
      <c r="H1681" s="18">
        <v>14</v>
      </c>
      <c r="I1681" s="20">
        <v>10</v>
      </c>
      <c r="J1681" s="21">
        <v>140</v>
      </c>
    </row>
    <row r="1682" spans="1:10">
      <c r="A1682" s="19">
        <v>35842</v>
      </c>
      <c r="B1682" s="18" t="s">
        <v>39</v>
      </c>
      <c r="C1682" s="18" t="s">
        <v>44</v>
      </c>
      <c r="D1682" s="18" t="s">
        <v>53</v>
      </c>
      <c r="E1682" s="18" t="s">
        <v>56</v>
      </c>
      <c r="F1682" s="18" t="s">
        <v>52</v>
      </c>
      <c r="G1682" s="18" t="s">
        <v>31</v>
      </c>
      <c r="H1682" s="18">
        <v>9.65</v>
      </c>
      <c r="I1682" s="20">
        <v>14</v>
      </c>
      <c r="J1682" s="21">
        <v>135.1</v>
      </c>
    </row>
    <row r="1683" spans="1:10">
      <c r="A1683" s="19">
        <v>35842</v>
      </c>
      <c r="B1683" s="18" t="s">
        <v>39</v>
      </c>
      <c r="C1683" s="18" t="s">
        <v>46</v>
      </c>
      <c r="D1683" s="18" t="s">
        <v>53</v>
      </c>
      <c r="E1683" s="18" t="s">
        <v>57</v>
      </c>
      <c r="F1683" s="18" t="s">
        <v>52</v>
      </c>
      <c r="G1683" s="18" t="s">
        <v>31</v>
      </c>
      <c r="H1683" s="18">
        <v>39</v>
      </c>
      <c r="I1683" s="20">
        <v>15</v>
      </c>
      <c r="J1683" s="21">
        <v>585</v>
      </c>
    </row>
    <row r="1684" spans="1:10">
      <c r="A1684" s="19">
        <v>35843</v>
      </c>
      <c r="B1684" s="18" t="s">
        <v>39</v>
      </c>
      <c r="C1684" s="18" t="s">
        <v>47</v>
      </c>
      <c r="D1684" s="18" t="s">
        <v>53</v>
      </c>
      <c r="E1684" s="18" t="s">
        <v>54</v>
      </c>
      <c r="F1684" s="18" t="s">
        <v>42</v>
      </c>
      <c r="G1684" s="18" t="s">
        <v>43</v>
      </c>
      <c r="H1684" s="18">
        <v>55</v>
      </c>
      <c r="I1684" s="20">
        <v>40</v>
      </c>
      <c r="J1684" s="21">
        <v>2200</v>
      </c>
    </row>
    <row r="1685" spans="1:10">
      <c r="A1685" s="19">
        <v>35843</v>
      </c>
      <c r="B1685" s="18" t="s">
        <v>26</v>
      </c>
      <c r="C1685" s="18" t="s">
        <v>27</v>
      </c>
      <c r="D1685" s="18" t="s">
        <v>53</v>
      </c>
      <c r="E1685" s="18" t="s">
        <v>55</v>
      </c>
      <c r="F1685" s="18" t="s">
        <v>52</v>
      </c>
      <c r="G1685" s="18" t="s">
        <v>31</v>
      </c>
      <c r="H1685" s="18">
        <v>25.89</v>
      </c>
      <c r="I1685" s="20">
        <v>15</v>
      </c>
      <c r="J1685" s="21">
        <v>388.35</v>
      </c>
    </row>
    <row r="1686" spans="1:10">
      <c r="A1686" s="19">
        <v>35844</v>
      </c>
      <c r="B1686" s="18" t="s">
        <v>26</v>
      </c>
      <c r="C1686" s="18" t="s">
        <v>32</v>
      </c>
      <c r="D1686" s="18" t="s">
        <v>53</v>
      </c>
      <c r="E1686" s="18" t="s">
        <v>56</v>
      </c>
      <c r="F1686" s="18" t="s">
        <v>49</v>
      </c>
      <c r="G1686" s="18" t="s">
        <v>38</v>
      </c>
      <c r="H1686" s="18">
        <v>36</v>
      </c>
      <c r="I1686" s="20">
        <v>50</v>
      </c>
      <c r="J1686" s="21">
        <v>1800</v>
      </c>
    </row>
    <row r="1687" spans="1:10">
      <c r="A1687" s="19">
        <v>35844</v>
      </c>
      <c r="B1687" s="18" t="s">
        <v>26</v>
      </c>
      <c r="C1687" s="18" t="s">
        <v>34</v>
      </c>
      <c r="D1687" s="18" t="s">
        <v>53</v>
      </c>
      <c r="E1687" s="18" t="s">
        <v>57</v>
      </c>
      <c r="F1687" s="18" t="s">
        <v>48</v>
      </c>
      <c r="G1687" s="18" t="s">
        <v>31</v>
      </c>
      <c r="H1687" s="18">
        <v>40</v>
      </c>
      <c r="I1687" s="20">
        <v>30</v>
      </c>
      <c r="J1687" s="21">
        <v>1200</v>
      </c>
    </row>
    <row r="1688" spans="1:10">
      <c r="A1688" s="19">
        <v>35844</v>
      </c>
      <c r="B1688" s="18" t="s">
        <v>26</v>
      </c>
      <c r="C1688" s="18" t="s">
        <v>36</v>
      </c>
      <c r="D1688" s="18" t="s">
        <v>53</v>
      </c>
      <c r="E1688" s="18" t="s">
        <v>54</v>
      </c>
      <c r="F1688" s="18" t="s">
        <v>45</v>
      </c>
      <c r="G1688" s="18" t="s">
        <v>38</v>
      </c>
      <c r="H1688" s="18">
        <v>34</v>
      </c>
      <c r="I1688" s="20">
        <v>100</v>
      </c>
      <c r="J1688" s="21">
        <v>3400</v>
      </c>
    </row>
    <row r="1689" spans="1:10">
      <c r="A1689" s="19">
        <v>35844</v>
      </c>
      <c r="B1689" s="18" t="s">
        <v>39</v>
      </c>
      <c r="C1689" s="18" t="s">
        <v>40</v>
      </c>
      <c r="D1689" s="18" t="s">
        <v>53</v>
      </c>
      <c r="E1689" s="18" t="s">
        <v>55</v>
      </c>
      <c r="F1689" s="18" t="s">
        <v>48</v>
      </c>
      <c r="G1689" s="18" t="s">
        <v>31</v>
      </c>
      <c r="H1689" s="18">
        <v>25.89</v>
      </c>
      <c r="I1689" s="20">
        <v>35</v>
      </c>
      <c r="J1689" s="21">
        <v>906.15</v>
      </c>
    </row>
    <row r="1690" spans="1:10">
      <c r="A1690" s="19">
        <v>35844</v>
      </c>
      <c r="B1690" s="18" t="s">
        <v>39</v>
      </c>
      <c r="C1690" s="18" t="s">
        <v>41</v>
      </c>
      <c r="D1690" s="18" t="s">
        <v>53</v>
      </c>
      <c r="E1690" s="18" t="s">
        <v>56</v>
      </c>
      <c r="F1690" s="18" t="s">
        <v>49</v>
      </c>
      <c r="G1690" s="18" t="s">
        <v>38</v>
      </c>
      <c r="H1690" s="18">
        <v>6</v>
      </c>
      <c r="I1690" s="20">
        <v>28</v>
      </c>
      <c r="J1690" s="21">
        <v>168</v>
      </c>
    </row>
    <row r="1691" spans="1:10">
      <c r="A1691" s="19">
        <v>35844</v>
      </c>
      <c r="B1691" s="18" t="s">
        <v>39</v>
      </c>
      <c r="C1691" s="18" t="s">
        <v>44</v>
      </c>
      <c r="D1691" s="18" t="s">
        <v>53</v>
      </c>
      <c r="E1691" s="18" t="s">
        <v>57</v>
      </c>
      <c r="F1691" s="18" t="s">
        <v>49</v>
      </c>
      <c r="G1691" s="18" t="s">
        <v>38</v>
      </c>
      <c r="H1691" s="18">
        <v>7.75</v>
      </c>
      <c r="I1691" s="20">
        <v>120</v>
      </c>
      <c r="J1691" s="21">
        <v>930</v>
      </c>
    </row>
    <row r="1692" spans="1:10">
      <c r="A1692" s="19">
        <v>35844</v>
      </c>
      <c r="B1692" s="18" t="s">
        <v>39</v>
      </c>
      <c r="C1692" s="18" t="s">
        <v>46</v>
      </c>
      <c r="D1692" s="18" t="s">
        <v>53</v>
      </c>
      <c r="E1692" s="18" t="s">
        <v>54</v>
      </c>
      <c r="F1692" s="18" t="s">
        <v>48</v>
      </c>
      <c r="G1692" s="18" t="s">
        <v>31</v>
      </c>
      <c r="H1692" s="18">
        <v>4.5</v>
      </c>
      <c r="I1692" s="20">
        <v>10</v>
      </c>
      <c r="J1692" s="21">
        <v>45</v>
      </c>
    </row>
    <row r="1693" spans="1:10">
      <c r="A1693" s="19">
        <v>35844</v>
      </c>
      <c r="B1693" s="18" t="s">
        <v>39</v>
      </c>
      <c r="C1693" s="18" t="s">
        <v>47</v>
      </c>
      <c r="D1693" s="18" t="s">
        <v>53</v>
      </c>
      <c r="E1693" s="18" t="s">
        <v>55</v>
      </c>
      <c r="F1693" s="18" t="s">
        <v>45</v>
      </c>
      <c r="G1693" s="18" t="s">
        <v>38</v>
      </c>
      <c r="H1693" s="18">
        <v>4.5</v>
      </c>
      <c r="I1693" s="20">
        <v>110</v>
      </c>
      <c r="J1693" s="21">
        <v>495</v>
      </c>
    </row>
    <row r="1694" spans="1:10">
      <c r="A1694" s="19">
        <v>35844</v>
      </c>
      <c r="B1694" s="18" t="s">
        <v>26</v>
      </c>
      <c r="C1694" s="18" t="s">
        <v>27</v>
      </c>
      <c r="D1694" s="18" t="s">
        <v>53</v>
      </c>
      <c r="E1694" s="18" t="s">
        <v>56</v>
      </c>
      <c r="F1694" s="18" t="s">
        <v>45</v>
      </c>
      <c r="G1694" s="18" t="s">
        <v>38</v>
      </c>
      <c r="H1694" s="18">
        <v>18.399999999999999</v>
      </c>
      <c r="I1694" s="20">
        <v>91</v>
      </c>
      <c r="J1694" s="21">
        <v>1674.3999999999999</v>
      </c>
    </row>
    <row r="1695" spans="1:10">
      <c r="A1695" s="19">
        <v>35844</v>
      </c>
      <c r="B1695" s="18" t="s">
        <v>26</v>
      </c>
      <c r="C1695" s="18" t="s">
        <v>32</v>
      </c>
      <c r="D1695" s="18" t="s">
        <v>53</v>
      </c>
      <c r="E1695" s="18" t="s">
        <v>57</v>
      </c>
      <c r="F1695" s="18" t="s">
        <v>48</v>
      </c>
      <c r="G1695" s="18" t="s">
        <v>31</v>
      </c>
      <c r="H1695" s="18">
        <v>123.79</v>
      </c>
      <c r="I1695" s="20">
        <v>24</v>
      </c>
      <c r="J1695" s="21">
        <v>2970.96</v>
      </c>
    </row>
    <row r="1696" spans="1:10">
      <c r="A1696" s="19">
        <v>35844</v>
      </c>
      <c r="B1696" s="18" t="s">
        <v>26</v>
      </c>
      <c r="C1696" s="18" t="s">
        <v>34</v>
      </c>
      <c r="D1696" s="18" t="s">
        <v>53</v>
      </c>
      <c r="E1696" s="18" t="s">
        <v>56</v>
      </c>
      <c r="F1696" s="18" t="s">
        <v>48</v>
      </c>
      <c r="G1696" s="18" t="s">
        <v>31</v>
      </c>
      <c r="H1696" s="18">
        <v>19</v>
      </c>
      <c r="I1696" s="20">
        <v>20</v>
      </c>
      <c r="J1696" s="21">
        <v>380</v>
      </c>
    </row>
    <row r="1697" spans="1:10">
      <c r="A1697" s="19">
        <v>35844</v>
      </c>
      <c r="B1697" s="18" t="s">
        <v>26</v>
      </c>
      <c r="C1697" s="18" t="s">
        <v>36</v>
      </c>
      <c r="D1697" s="18" t="s">
        <v>53</v>
      </c>
      <c r="E1697" s="18" t="s">
        <v>54</v>
      </c>
      <c r="F1697" s="18" t="s">
        <v>45</v>
      </c>
      <c r="G1697" s="18" t="s">
        <v>38</v>
      </c>
      <c r="H1697" s="18">
        <v>18</v>
      </c>
      <c r="I1697" s="20">
        <v>45</v>
      </c>
      <c r="J1697" s="21">
        <v>810</v>
      </c>
    </row>
    <row r="1698" spans="1:10">
      <c r="A1698" s="19">
        <v>35845</v>
      </c>
      <c r="B1698" s="18" t="s">
        <v>39</v>
      </c>
      <c r="C1698" s="18" t="s">
        <v>40</v>
      </c>
      <c r="D1698" s="18" t="s">
        <v>53</v>
      </c>
      <c r="E1698" s="18" t="s">
        <v>55</v>
      </c>
      <c r="F1698" s="18" t="s">
        <v>52</v>
      </c>
      <c r="G1698" s="18" t="s">
        <v>31</v>
      </c>
      <c r="H1698" s="18">
        <v>38</v>
      </c>
      <c r="I1698" s="20">
        <v>16</v>
      </c>
      <c r="J1698" s="21">
        <v>608</v>
      </c>
    </row>
    <row r="1699" spans="1:10">
      <c r="A1699" s="19">
        <v>35845</v>
      </c>
      <c r="B1699" s="18" t="s">
        <v>39</v>
      </c>
      <c r="C1699" s="18" t="s">
        <v>41</v>
      </c>
      <c r="D1699" s="18" t="s">
        <v>53</v>
      </c>
      <c r="E1699" s="18" t="s">
        <v>56</v>
      </c>
      <c r="F1699" s="18" t="s">
        <v>45</v>
      </c>
      <c r="G1699" s="18" t="s">
        <v>38</v>
      </c>
      <c r="H1699" s="18">
        <v>25.89</v>
      </c>
      <c r="I1699" s="20">
        <v>36</v>
      </c>
      <c r="J1699" s="21">
        <v>932.04</v>
      </c>
    </row>
    <row r="1700" spans="1:10">
      <c r="A1700" s="19">
        <v>35845</v>
      </c>
      <c r="B1700" s="18" t="s">
        <v>39</v>
      </c>
      <c r="C1700" s="18" t="s">
        <v>44</v>
      </c>
      <c r="D1700" s="18" t="s">
        <v>53</v>
      </c>
      <c r="E1700" s="18" t="s">
        <v>57</v>
      </c>
      <c r="F1700" s="18" t="s">
        <v>52</v>
      </c>
      <c r="G1700" s="18" t="s">
        <v>31</v>
      </c>
      <c r="H1700" s="18">
        <v>9.5</v>
      </c>
      <c r="I1700" s="20">
        <v>15</v>
      </c>
      <c r="J1700" s="21">
        <v>142.5</v>
      </c>
    </row>
    <row r="1701" spans="1:10">
      <c r="A1701" s="19">
        <v>35845</v>
      </c>
      <c r="B1701" s="18" t="s">
        <v>39</v>
      </c>
      <c r="C1701" s="18" t="s">
        <v>46</v>
      </c>
      <c r="D1701" s="18" t="s">
        <v>53</v>
      </c>
      <c r="E1701" s="18" t="s">
        <v>54</v>
      </c>
      <c r="F1701" s="18" t="s">
        <v>45</v>
      </c>
      <c r="G1701" s="18" t="s">
        <v>38</v>
      </c>
      <c r="H1701" s="18">
        <v>123.79</v>
      </c>
      <c r="I1701" s="20">
        <v>80</v>
      </c>
      <c r="J1701" s="21">
        <v>9903.2000000000007</v>
      </c>
    </row>
    <row r="1702" spans="1:10">
      <c r="A1702" s="19">
        <v>35846</v>
      </c>
      <c r="B1702" s="18" t="s">
        <v>39</v>
      </c>
      <c r="C1702" s="18" t="s">
        <v>47</v>
      </c>
      <c r="D1702" s="18" t="s">
        <v>53</v>
      </c>
      <c r="E1702" s="18" t="s">
        <v>55</v>
      </c>
      <c r="F1702" s="18" t="s">
        <v>42</v>
      </c>
      <c r="G1702" s="18" t="s">
        <v>43</v>
      </c>
      <c r="H1702" s="18">
        <v>6</v>
      </c>
      <c r="I1702" s="20">
        <v>5</v>
      </c>
      <c r="J1702" s="21">
        <v>30</v>
      </c>
    </row>
    <row r="1703" spans="1:10">
      <c r="A1703" s="19">
        <v>35846</v>
      </c>
      <c r="B1703" s="18" t="s">
        <v>26</v>
      </c>
      <c r="C1703" s="18" t="s">
        <v>27</v>
      </c>
      <c r="D1703" s="18" t="s">
        <v>53</v>
      </c>
      <c r="E1703" s="18" t="s">
        <v>56</v>
      </c>
      <c r="F1703" s="18" t="s">
        <v>49</v>
      </c>
      <c r="G1703" s="18" t="s">
        <v>38</v>
      </c>
      <c r="H1703" s="18">
        <v>15</v>
      </c>
      <c r="I1703" s="20">
        <v>3</v>
      </c>
      <c r="J1703" s="21">
        <v>45</v>
      </c>
    </row>
    <row r="1704" spans="1:10">
      <c r="A1704" s="19">
        <v>35846</v>
      </c>
      <c r="B1704" s="18" t="s">
        <v>26</v>
      </c>
      <c r="C1704" s="18" t="s">
        <v>32</v>
      </c>
      <c r="D1704" s="18" t="s">
        <v>53</v>
      </c>
      <c r="E1704" s="18" t="s">
        <v>57</v>
      </c>
      <c r="F1704" s="18" t="s">
        <v>30</v>
      </c>
      <c r="G1704" s="18" t="s">
        <v>31</v>
      </c>
      <c r="H1704" s="18">
        <v>18</v>
      </c>
      <c r="I1704" s="20">
        <v>8</v>
      </c>
      <c r="J1704" s="21">
        <v>144</v>
      </c>
    </row>
    <row r="1705" spans="1:10">
      <c r="A1705" s="19">
        <v>35849</v>
      </c>
      <c r="B1705" s="18" t="s">
        <v>26</v>
      </c>
      <c r="C1705" s="18" t="s">
        <v>34</v>
      </c>
      <c r="D1705" s="18" t="s">
        <v>53</v>
      </c>
      <c r="E1705" s="18" t="s">
        <v>54</v>
      </c>
      <c r="F1705" s="18" t="s">
        <v>49</v>
      </c>
      <c r="G1705" s="18" t="s">
        <v>38</v>
      </c>
      <c r="H1705" s="18">
        <v>49.3</v>
      </c>
      <c r="I1705" s="20">
        <v>6</v>
      </c>
      <c r="J1705" s="21">
        <v>295.79999999999995</v>
      </c>
    </row>
    <row r="1706" spans="1:10">
      <c r="A1706" s="19">
        <v>35849</v>
      </c>
      <c r="B1706" s="18" t="s">
        <v>26</v>
      </c>
      <c r="C1706" s="18" t="s">
        <v>36</v>
      </c>
      <c r="D1706" s="18" t="s">
        <v>53</v>
      </c>
      <c r="E1706" s="18" t="s">
        <v>55</v>
      </c>
      <c r="F1706" s="18" t="s">
        <v>42</v>
      </c>
      <c r="G1706" s="18" t="s">
        <v>43</v>
      </c>
      <c r="H1706" s="18">
        <v>9.65</v>
      </c>
      <c r="I1706" s="20">
        <v>30</v>
      </c>
      <c r="J1706" s="21">
        <v>289.5</v>
      </c>
    </row>
    <row r="1707" spans="1:10">
      <c r="A1707" s="19">
        <v>35849</v>
      </c>
      <c r="B1707" s="18" t="s">
        <v>39</v>
      </c>
      <c r="C1707" s="18" t="s">
        <v>40</v>
      </c>
      <c r="D1707" s="18" t="s">
        <v>53</v>
      </c>
      <c r="E1707" s="18" t="s">
        <v>56</v>
      </c>
      <c r="F1707" s="18" t="s">
        <v>49</v>
      </c>
      <c r="G1707" s="18" t="s">
        <v>38</v>
      </c>
      <c r="H1707" s="18">
        <v>24</v>
      </c>
      <c r="I1707" s="20">
        <v>30</v>
      </c>
      <c r="J1707" s="21">
        <v>720</v>
      </c>
    </row>
    <row r="1708" spans="1:10">
      <c r="A1708" s="19">
        <v>35849</v>
      </c>
      <c r="B1708" s="18" t="s">
        <v>39</v>
      </c>
      <c r="C1708" s="18" t="s">
        <v>41</v>
      </c>
      <c r="D1708" s="18" t="s">
        <v>53</v>
      </c>
      <c r="E1708" s="18" t="s">
        <v>57</v>
      </c>
      <c r="F1708" s="18" t="s">
        <v>42</v>
      </c>
      <c r="G1708" s="18" t="s">
        <v>43</v>
      </c>
      <c r="H1708" s="18">
        <v>21.5</v>
      </c>
      <c r="I1708" s="20">
        <v>30</v>
      </c>
      <c r="J1708" s="21">
        <v>645</v>
      </c>
    </row>
    <row r="1709" spans="1:10">
      <c r="A1709" s="19">
        <v>35850</v>
      </c>
      <c r="B1709" s="18" t="s">
        <v>39</v>
      </c>
      <c r="C1709" s="18" t="s">
        <v>44</v>
      </c>
      <c r="D1709" s="18" t="s">
        <v>53</v>
      </c>
      <c r="E1709" s="18" t="s">
        <v>54</v>
      </c>
      <c r="F1709" s="18" t="s">
        <v>45</v>
      </c>
      <c r="G1709" s="18" t="s">
        <v>38</v>
      </c>
      <c r="H1709" s="18">
        <v>13.25</v>
      </c>
      <c r="I1709" s="20">
        <v>15</v>
      </c>
      <c r="J1709" s="21">
        <v>198.75</v>
      </c>
    </row>
    <row r="1710" spans="1:10">
      <c r="A1710" s="19">
        <v>35850</v>
      </c>
      <c r="B1710" s="18" t="s">
        <v>39</v>
      </c>
      <c r="C1710" s="18" t="s">
        <v>46</v>
      </c>
      <c r="D1710" s="18" t="s">
        <v>53</v>
      </c>
      <c r="E1710" s="18" t="s">
        <v>55</v>
      </c>
      <c r="F1710" s="18" t="s">
        <v>45</v>
      </c>
      <c r="G1710" s="18" t="s">
        <v>38</v>
      </c>
      <c r="H1710" s="18">
        <v>21.05</v>
      </c>
      <c r="I1710" s="20">
        <v>21</v>
      </c>
      <c r="J1710" s="21">
        <v>442.05</v>
      </c>
    </row>
    <row r="1711" spans="1:10">
      <c r="A1711" s="19">
        <v>35850</v>
      </c>
      <c r="B1711" s="18" t="s">
        <v>39</v>
      </c>
      <c r="C1711" s="18" t="s">
        <v>47</v>
      </c>
      <c r="D1711" s="18" t="s">
        <v>53</v>
      </c>
      <c r="E1711" s="18" t="s">
        <v>56</v>
      </c>
      <c r="F1711" s="18" t="s">
        <v>45</v>
      </c>
      <c r="G1711" s="18" t="s">
        <v>38</v>
      </c>
      <c r="H1711" s="18">
        <v>6</v>
      </c>
      <c r="I1711" s="20">
        <v>40</v>
      </c>
      <c r="J1711" s="21">
        <v>240</v>
      </c>
    </row>
    <row r="1712" spans="1:10">
      <c r="A1712" s="19">
        <v>35850</v>
      </c>
      <c r="B1712" s="18" t="s">
        <v>26</v>
      </c>
      <c r="C1712" s="18" t="s">
        <v>27</v>
      </c>
      <c r="D1712" s="18" t="s">
        <v>53</v>
      </c>
      <c r="E1712" s="18" t="s">
        <v>57</v>
      </c>
      <c r="F1712" s="18" t="s">
        <v>45</v>
      </c>
      <c r="G1712" s="18" t="s">
        <v>38</v>
      </c>
      <c r="H1712" s="18">
        <v>12.5</v>
      </c>
      <c r="I1712" s="20">
        <v>20</v>
      </c>
      <c r="J1712" s="21">
        <v>250</v>
      </c>
    </row>
    <row r="1713" spans="1:10">
      <c r="A1713" s="19">
        <v>35850</v>
      </c>
      <c r="B1713" s="18" t="s">
        <v>26</v>
      </c>
      <c r="C1713" s="18" t="s">
        <v>32</v>
      </c>
      <c r="D1713" s="18" t="s">
        <v>53</v>
      </c>
      <c r="E1713" s="18" t="s">
        <v>54</v>
      </c>
      <c r="F1713" s="18" t="s">
        <v>48</v>
      </c>
      <c r="G1713" s="18" t="s">
        <v>31</v>
      </c>
      <c r="H1713" s="18">
        <v>18</v>
      </c>
      <c r="I1713" s="20">
        <v>20</v>
      </c>
      <c r="J1713" s="21">
        <v>360</v>
      </c>
    </row>
    <row r="1714" spans="1:10">
      <c r="A1714" s="19">
        <v>35850</v>
      </c>
      <c r="B1714" s="18" t="s">
        <v>26</v>
      </c>
      <c r="C1714" s="18" t="s">
        <v>34</v>
      </c>
      <c r="D1714" s="18" t="s">
        <v>53</v>
      </c>
      <c r="E1714" s="18" t="s">
        <v>55</v>
      </c>
      <c r="F1714" s="18" t="s">
        <v>45</v>
      </c>
      <c r="G1714" s="18" t="s">
        <v>38</v>
      </c>
      <c r="H1714" s="18">
        <v>49.3</v>
      </c>
      <c r="I1714" s="20">
        <v>35</v>
      </c>
      <c r="J1714" s="21">
        <v>1725.5</v>
      </c>
    </row>
    <row r="1715" spans="1:10">
      <c r="A1715" s="19">
        <v>35851</v>
      </c>
      <c r="B1715" s="18" t="s">
        <v>26</v>
      </c>
      <c r="C1715" s="18" t="s">
        <v>36</v>
      </c>
      <c r="D1715" s="18" t="s">
        <v>53</v>
      </c>
      <c r="E1715" s="18" t="s">
        <v>56</v>
      </c>
      <c r="F1715" s="18" t="s">
        <v>42</v>
      </c>
      <c r="G1715" s="18" t="s">
        <v>43</v>
      </c>
      <c r="H1715" s="18">
        <v>28.5</v>
      </c>
      <c r="I1715" s="20">
        <v>15</v>
      </c>
      <c r="J1715" s="21">
        <v>427.5</v>
      </c>
    </row>
    <row r="1716" spans="1:10">
      <c r="A1716" s="19">
        <v>35851</v>
      </c>
      <c r="B1716" s="18" t="s">
        <v>39</v>
      </c>
      <c r="C1716" s="18" t="s">
        <v>40</v>
      </c>
      <c r="D1716" s="18" t="s">
        <v>53</v>
      </c>
      <c r="E1716" s="18" t="s">
        <v>57</v>
      </c>
      <c r="F1716" s="18" t="s">
        <v>37</v>
      </c>
      <c r="G1716" s="18" t="s">
        <v>38</v>
      </c>
      <c r="H1716" s="18">
        <v>7.75</v>
      </c>
      <c r="I1716" s="20">
        <v>14</v>
      </c>
      <c r="J1716" s="21">
        <v>108.5</v>
      </c>
    </row>
    <row r="1717" spans="1:10">
      <c r="A1717" s="19">
        <v>35852</v>
      </c>
      <c r="B1717" s="18" t="s">
        <v>39</v>
      </c>
      <c r="C1717" s="18" t="s">
        <v>41</v>
      </c>
      <c r="D1717" s="18" t="s">
        <v>53</v>
      </c>
      <c r="E1717" s="18" t="s">
        <v>54</v>
      </c>
      <c r="F1717" s="18" t="s">
        <v>49</v>
      </c>
      <c r="G1717" s="18" t="s">
        <v>38</v>
      </c>
      <c r="H1717" s="18">
        <v>17.45</v>
      </c>
      <c r="I1717" s="20">
        <v>15</v>
      </c>
      <c r="J1717" s="21">
        <v>261.75</v>
      </c>
    </row>
    <row r="1718" spans="1:10">
      <c r="A1718" s="19">
        <v>35852</v>
      </c>
      <c r="B1718" s="18" t="s">
        <v>39</v>
      </c>
      <c r="C1718" s="18" t="s">
        <v>44</v>
      </c>
      <c r="D1718" s="18" t="s">
        <v>53</v>
      </c>
      <c r="E1718" s="18" t="s">
        <v>55</v>
      </c>
      <c r="F1718" s="18" t="s">
        <v>51</v>
      </c>
      <c r="G1718" s="18" t="s">
        <v>43</v>
      </c>
      <c r="H1718" s="18">
        <v>21</v>
      </c>
      <c r="I1718" s="20">
        <v>40</v>
      </c>
      <c r="J1718" s="21">
        <v>840</v>
      </c>
    </row>
    <row r="1719" spans="1:10">
      <c r="A1719" s="19">
        <v>35852</v>
      </c>
      <c r="B1719" s="18" t="s">
        <v>39</v>
      </c>
      <c r="C1719" s="18" t="s">
        <v>46</v>
      </c>
      <c r="D1719" s="18" t="s">
        <v>53</v>
      </c>
      <c r="E1719" s="18" t="s">
        <v>56</v>
      </c>
      <c r="F1719" s="18" t="s">
        <v>42</v>
      </c>
      <c r="G1719" s="18" t="s">
        <v>43</v>
      </c>
      <c r="H1719" s="18">
        <v>13.25</v>
      </c>
      <c r="I1719" s="20">
        <v>15</v>
      </c>
      <c r="J1719" s="21">
        <v>198.75</v>
      </c>
    </row>
    <row r="1720" spans="1:10">
      <c r="A1720" s="19">
        <v>35852</v>
      </c>
      <c r="B1720" s="18" t="s">
        <v>39</v>
      </c>
      <c r="C1720" s="18" t="s">
        <v>47</v>
      </c>
      <c r="D1720" s="18" t="s">
        <v>53</v>
      </c>
      <c r="E1720" s="18" t="s">
        <v>57</v>
      </c>
      <c r="F1720" s="18" t="s">
        <v>42</v>
      </c>
      <c r="G1720" s="18" t="s">
        <v>43</v>
      </c>
      <c r="H1720" s="18">
        <v>30</v>
      </c>
      <c r="I1720" s="20">
        <v>20</v>
      </c>
      <c r="J1720" s="21">
        <v>600</v>
      </c>
    </row>
    <row r="1721" spans="1:10">
      <c r="A1721" s="19">
        <v>35852</v>
      </c>
      <c r="B1721" s="18" t="s">
        <v>26</v>
      </c>
      <c r="C1721" s="18" t="s">
        <v>27</v>
      </c>
      <c r="D1721" s="18" t="s">
        <v>53</v>
      </c>
      <c r="E1721" s="18" t="s">
        <v>54</v>
      </c>
      <c r="F1721" s="18" t="s">
        <v>49</v>
      </c>
      <c r="G1721" s="18" t="s">
        <v>38</v>
      </c>
      <c r="H1721" s="18">
        <v>30</v>
      </c>
      <c r="I1721" s="20">
        <v>12</v>
      </c>
      <c r="J1721" s="21">
        <v>360</v>
      </c>
    </row>
    <row r="1722" spans="1:10">
      <c r="A1722" s="19">
        <v>35852</v>
      </c>
      <c r="B1722" s="18" t="s">
        <v>26</v>
      </c>
      <c r="C1722" s="18" t="s">
        <v>32</v>
      </c>
      <c r="D1722" s="18" t="s">
        <v>53</v>
      </c>
      <c r="E1722" s="18" t="s">
        <v>55</v>
      </c>
      <c r="F1722" s="18" t="s">
        <v>49</v>
      </c>
      <c r="G1722" s="18" t="s">
        <v>38</v>
      </c>
      <c r="H1722" s="18">
        <v>28.5</v>
      </c>
      <c r="I1722" s="20">
        <v>5</v>
      </c>
      <c r="J1722" s="21">
        <v>142.5</v>
      </c>
    </row>
    <row r="1723" spans="1:10">
      <c r="A1723" s="19">
        <v>35852</v>
      </c>
      <c r="B1723" s="18" t="s">
        <v>26</v>
      </c>
      <c r="C1723" s="18" t="s">
        <v>34</v>
      </c>
      <c r="D1723" s="18" t="s">
        <v>53</v>
      </c>
      <c r="E1723" s="18" t="s">
        <v>56</v>
      </c>
      <c r="F1723" s="18" t="s">
        <v>45</v>
      </c>
      <c r="G1723" s="18" t="s">
        <v>38</v>
      </c>
      <c r="H1723" s="18">
        <v>14</v>
      </c>
      <c r="I1723" s="20">
        <v>15</v>
      </c>
      <c r="J1723" s="21">
        <v>210</v>
      </c>
    </row>
    <row r="1724" spans="1:10">
      <c r="A1724" s="19">
        <v>35852</v>
      </c>
      <c r="B1724" s="18" t="s">
        <v>26</v>
      </c>
      <c r="C1724" s="18" t="s">
        <v>36</v>
      </c>
      <c r="D1724" s="18" t="s">
        <v>53</v>
      </c>
      <c r="E1724" s="18" t="s">
        <v>57</v>
      </c>
      <c r="F1724" s="18" t="s">
        <v>42</v>
      </c>
      <c r="G1724" s="18" t="s">
        <v>43</v>
      </c>
      <c r="H1724" s="18">
        <v>2.5</v>
      </c>
      <c r="I1724" s="20">
        <v>40</v>
      </c>
      <c r="J1724" s="21">
        <v>100</v>
      </c>
    </row>
    <row r="1725" spans="1:10">
      <c r="A1725" s="19">
        <v>35852</v>
      </c>
      <c r="B1725" s="18" t="s">
        <v>39</v>
      </c>
      <c r="C1725" s="18" t="s">
        <v>40</v>
      </c>
      <c r="D1725" s="18" t="s">
        <v>53</v>
      </c>
      <c r="E1725" s="18" t="s">
        <v>56</v>
      </c>
      <c r="F1725" s="18" t="s">
        <v>45</v>
      </c>
      <c r="G1725" s="18" t="s">
        <v>38</v>
      </c>
      <c r="H1725" s="18">
        <v>18</v>
      </c>
      <c r="I1725" s="20">
        <v>10</v>
      </c>
      <c r="J1725" s="21">
        <v>180</v>
      </c>
    </row>
    <row r="1726" spans="1:10">
      <c r="A1726" s="19">
        <v>35852</v>
      </c>
      <c r="B1726" s="18" t="s">
        <v>39</v>
      </c>
      <c r="C1726" s="18" t="s">
        <v>41</v>
      </c>
      <c r="D1726" s="18" t="s">
        <v>53</v>
      </c>
      <c r="E1726" s="18" t="s">
        <v>54</v>
      </c>
      <c r="F1726" s="18" t="s">
        <v>42</v>
      </c>
      <c r="G1726" s="18" t="s">
        <v>43</v>
      </c>
      <c r="H1726" s="18">
        <v>7</v>
      </c>
      <c r="I1726" s="20">
        <v>14</v>
      </c>
      <c r="J1726" s="21">
        <v>98</v>
      </c>
    </row>
    <row r="1727" spans="1:10">
      <c r="A1727" s="19">
        <v>35852</v>
      </c>
      <c r="B1727" s="18" t="s">
        <v>39</v>
      </c>
      <c r="C1727" s="18" t="s">
        <v>44</v>
      </c>
      <c r="D1727" s="18" t="s">
        <v>53</v>
      </c>
      <c r="E1727" s="18" t="s">
        <v>55</v>
      </c>
      <c r="F1727" s="18" t="s">
        <v>49</v>
      </c>
      <c r="G1727" s="18" t="s">
        <v>38</v>
      </c>
      <c r="H1727" s="18">
        <v>20</v>
      </c>
      <c r="I1727" s="20">
        <v>10</v>
      </c>
      <c r="J1727" s="21">
        <v>200</v>
      </c>
    </row>
    <row r="1728" spans="1:10">
      <c r="A1728" s="19">
        <v>35852</v>
      </c>
      <c r="B1728" s="18" t="s">
        <v>39</v>
      </c>
      <c r="C1728" s="18" t="s">
        <v>46</v>
      </c>
      <c r="D1728" s="18" t="s">
        <v>53</v>
      </c>
      <c r="E1728" s="18" t="s">
        <v>56</v>
      </c>
      <c r="F1728" s="18" t="s">
        <v>49</v>
      </c>
      <c r="G1728" s="18" t="s">
        <v>38</v>
      </c>
      <c r="H1728" s="18">
        <v>9.1999999999999993</v>
      </c>
      <c r="I1728" s="20">
        <v>12</v>
      </c>
      <c r="J1728" s="21">
        <v>110.39999999999999</v>
      </c>
    </row>
    <row r="1729" spans="1:10">
      <c r="A1729" s="19">
        <v>35852</v>
      </c>
      <c r="B1729" s="18" t="s">
        <v>39</v>
      </c>
      <c r="C1729" s="18" t="s">
        <v>47</v>
      </c>
      <c r="D1729" s="18" t="s">
        <v>53</v>
      </c>
      <c r="E1729" s="18" t="s">
        <v>57</v>
      </c>
      <c r="F1729" s="18" t="s">
        <v>49</v>
      </c>
      <c r="G1729" s="18" t="s">
        <v>38</v>
      </c>
      <c r="H1729" s="18">
        <v>9.65</v>
      </c>
      <c r="I1729" s="20">
        <v>5</v>
      </c>
      <c r="J1729" s="21">
        <v>48.25</v>
      </c>
    </row>
    <row r="1730" spans="1:10">
      <c r="A1730" s="19">
        <v>35852</v>
      </c>
      <c r="B1730" s="18" t="s">
        <v>26</v>
      </c>
      <c r="C1730" s="18" t="s">
        <v>27</v>
      </c>
      <c r="D1730" s="18" t="s">
        <v>53</v>
      </c>
      <c r="E1730" s="18" t="s">
        <v>54</v>
      </c>
      <c r="F1730" s="18" t="s">
        <v>51</v>
      </c>
      <c r="G1730" s="18" t="s">
        <v>43</v>
      </c>
      <c r="H1730" s="18">
        <v>123.79</v>
      </c>
      <c r="I1730" s="20">
        <v>60</v>
      </c>
      <c r="J1730" s="21">
        <v>7427.4000000000005</v>
      </c>
    </row>
    <row r="1731" spans="1:10">
      <c r="A1731" s="19">
        <v>35852</v>
      </c>
      <c r="B1731" s="18" t="s">
        <v>26</v>
      </c>
      <c r="C1731" s="18" t="s">
        <v>32</v>
      </c>
      <c r="D1731" s="18" t="s">
        <v>53</v>
      </c>
      <c r="E1731" s="18" t="s">
        <v>55</v>
      </c>
      <c r="F1731" s="18" t="s">
        <v>42</v>
      </c>
      <c r="G1731" s="18" t="s">
        <v>43</v>
      </c>
      <c r="H1731" s="18">
        <v>22</v>
      </c>
      <c r="I1731" s="20">
        <v>30</v>
      </c>
      <c r="J1731" s="21">
        <v>660</v>
      </c>
    </row>
    <row r="1732" spans="1:10">
      <c r="A1732" s="19">
        <v>35852</v>
      </c>
      <c r="B1732" s="18" t="s">
        <v>26</v>
      </c>
      <c r="C1732" s="18" t="s">
        <v>34</v>
      </c>
      <c r="D1732" s="18" t="s">
        <v>53</v>
      </c>
      <c r="E1732" s="18" t="s">
        <v>56</v>
      </c>
      <c r="F1732" s="18" t="s">
        <v>45</v>
      </c>
      <c r="G1732" s="18" t="s">
        <v>38</v>
      </c>
      <c r="H1732" s="18">
        <v>39</v>
      </c>
      <c r="I1732" s="20">
        <v>12</v>
      </c>
      <c r="J1732" s="21">
        <v>468</v>
      </c>
    </row>
    <row r="1733" spans="1:10">
      <c r="A1733" s="19">
        <v>35853</v>
      </c>
      <c r="B1733" s="18" t="s">
        <v>26</v>
      </c>
      <c r="C1733" s="18" t="s">
        <v>36</v>
      </c>
      <c r="D1733" s="18" t="s">
        <v>53</v>
      </c>
      <c r="E1733" s="18" t="s">
        <v>57</v>
      </c>
      <c r="F1733" s="18" t="s">
        <v>49</v>
      </c>
      <c r="G1733" s="18" t="s">
        <v>38</v>
      </c>
      <c r="H1733" s="18">
        <v>32</v>
      </c>
      <c r="I1733" s="20">
        <v>6</v>
      </c>
      <c r="J1733" s="21">
        <v>192</v>
      </c>
    </row>
    <row r="1734" spans="1:10">
      <c r="A1734" s="19">
        <v>35853</v>
      </c>
      <c r="B1734" s="18" t="s">
        <v>39</v>
      </c>
      <c r="C1734" s="18" t="s">
        <v>40</v>
      </c>
      <c r="D1734" s="18" t="s">
        <v>53</v>
      </c>
      <c r="E1734" s="18" t="s">
        <v>54</v>
      </c>
      <c r="F1734" s="18" t="s">
        <v>49</v>
      </c>
      <c r="G1734" s="18" t="s">
        <v>38</v>
      </c>
      <c r="H1734" s="18">
        <v>17.45</v>
      </c>
      <c r="I1734" s="20">
        <v>6</v>
      </c>
      <c r="J1734" s="21">
        <v>104.69999999999999</v>
      </c>
    </row>
    <row r="1735" spans="1:10">
      <c r="A1735" s="19">
        <v>35853</v>
      </c>
      <c r="B1735" s="18" t="s">
        <v>39</v>
      </c>
      <c r="C1735" s="18" t="s">
        <v>41</v>
      </c>
      <c r="D1735" s="18" t="s">
        <v>53</v>
      </c>
      <c r="E1735" s="18" t="s">
        <v>55</v>
      </c>
      <c r="F1735" s="18" t="s">
        <v>51</v>
      </c>
      <c r="G1735" s="18" t="s">
        <v>43</v>
      </c>
      <c r="H1735" s="18">
        <v>7.45</v>
      </c>
      <c r="I1735" s="20">
        <v>10</v>
      </c>
      <c r="J1735" s="21">
        <v>74.5</v>
      </c>
    </row>
    <row r="1736" spans="1:10">
      <c r="A1736" s="19">
        <v>35853</v>
      </c>
      <c r="B1736" s="18" t="s">
        <v>39</v>
      </c>
      <c r="C1736" s="18" t="s">
        <v>44</v>
      </c>
      <c r="D1736" s="18" t="s">
        <v>53</v>
      </c>
      <c r="E1736" s="18" t="s">
        <v>56</v>
      </c>
      <c r="F1736" s="18" t="s">
        <v>51</v>
      </c>
      <c r="G1736" s="18" t="s">
        <v>43</v>
      </c>
      <c r="H1736" s="18">
        <v>2.5</v>
      </c>
      <c r="I1736" s="20">
        <v>30</v>
      </c>
      <c r="J1736" s="21">
        <v>75</v>
      </c>
    </row>
    <row r="1737" spans="1:10">
      <c r="A1737" s="19">
        <v>35853</v>
      </c>
      <c r="B1737" s="18" t="s">
        <v>39</v>
      </c>
      <c r="C1737" s="18" t="s">
        <v>46</v>
      </c>
      <c r="D1737" s="18" t="s">
        <v>53</v>
      </c>
      <c r="E1737" s="18" t="s">
        <v>57</v>
      </c>
      <c r="F1737" s="18" t="s">
        <v>49</v>
      </c>
      <c r="G1737" s="18" t="s">
        <v>38</v>
      </c>
      <c r="H1737" s="18">
        <v>19.5</v>
      </c>
      <c r="I1737" s="20">
        <v>20</v>
      </c>
      <c r="J1737" s="21">
        <v>390</v>
      </c>
    </row>
    <row r="1738" spans="1:10">
      <c r="A1738" s="19">
        <v>35853</v>
      </c>
      <c r="B1738" s="18" t="s">
        <v>39</v>
      </c>
      <c r="C1738" s="18" t="s">
        <v>47</v>
      </c>
      <c r="D1738" s="18" t="s">
        <v>53</v>
      </c>
      <c r="E1738" s="18" t="s">
        <v>54</v>
      </c>
      <c r="F1738" s="18" t="s">
        <v>37</v>
      </c>
      <c r="G1738" s="18" t="s">
        <v>38</v>
      </c>
      <c r="H1738" s="18">
        <v>21.5</v>
      </c>
      <c r="I1738" s="20">
        <v>25</v>
      </c>
      <c r="J1738" s="21">
        <v>537.5</v>
      </c>
    </row>
    <row r="1739" spans="1:10">
      <c r="A1739" s="19">
        <v>35853</v>
      </c>
      <c r="B1739" s="18" t="s">
        <v>26</v>
      </c>
      <c r="C1739" s="18" t="s">
        <v>27</v>
      </c>
      <c r="D1739" s="18" t="s">
        <v>53</v>
      </c>
      <c r="E1739" s="18" t="s">
        <v>55</v>
      </c>
      <c r="F1739" s="18" t="s">
        <v>51</v>
      </c>
      <c r="G1739" s="18" t="s">
        <v>43</v>
      </c>
      <c r="H1739" s="18">
        <v>39</v>
      </c>
      <c r="I1739" s="20">
        <v>10</v>
      </c>
      <c r="J1739" s="21">
        <v>390</v>
      </c>
    </row>
    <row r="1740" spans="1:10">
      <c r="A1740" s="19">
        <v>35856</v>
      </c>
      <c r="B1740" s="18" t="s">
        <v>26</v>
      </c>
      <c r="C1740" s="18" t="s">
        <v>32</v>
      </c>
      <c r="D1740" s="18" t="s">
        <v>53</v>
      </c>
      <c r="E1740" s="18" t="s">
        <v>56</v>
      </c>
      <c r="F1740" s="18" t="s">
        <v>51</v>
      </c>
      <c r="G1740" s="18" t="s">
        <v>43</v>
      </c>
      <c r="H1740" s="18">
        <v>17.45</v>
      </c>
      <c r="I1740" s="20">
        <v>24</v>
      </c>
      <c r="J1740" s="21">
        <v>418.79999999999995</v>
      </c>
    </row>
    <row r="1741" spans="1:10">
      <c r="A1741" s="19">
        <v>35856</v>
      </c>
      <c r="B1741" s="18" t="s">
        <v>26</v>
      </c>
      <c r="C1741" s="18" t="s">
        <v>34</v>
      </c>
      <c r="D1741" s="18" t="s">
        <v>53</v>
      </c>
      <c r="E1741" s="18" t="s">
        <v>57</v>
      </c>
      <c r="F1741" s="18" t="s">
        <v>42</v>
      </c>
      <c r="G1741" s="18" t="s">
        <v>43</v>
      </c>
      <c r="H1741" s="18">
        <v>34</v>
      </c>
      <c r="I1741" s="20">
        <v>10</v>
      </c>
      <c r="J1741" s="21">
        <v>340</v>
      </c>
    </row>
    <row r="1742" spans="1:10">
      <c r="A1742" s="19">
        <v>35856</v>
      </c>
      <c r="B1742" s="18" t="s">
        <v>26</v>
      </c>
      <c r="C1742" s="18" t="s">
        <v>36</v>
      </c>
      <c r="D1742" s="18" t="s">
        <v>53</v>
      </c>
      <c r="E1742" s="18" t="s">
        <v>54</v>
      </c>
      <c r="F1742" s="18" t="s">
        <v>45</v>
      </c>
      <c r="G1742" s="18" t="s">
        <v>38</v>
      </c>
      <c r="H1742" s="18">
        <v>34</v>
      </c>
      <c r="I1742" s="20">
        <v>25</v>
      </c>
      <c r="J1742" s="21">
        <v>850</v>
      </c>
    </row>
    <row r="1743" spans="1:10">
      <c r="A1743" s="19">
        <v>35856</v>
      </c>
      <c r="B1743" s="18" t="s">
        <v>39</v>
      </c>
      <c r="C1743" s="18" t="s">
        <v>40</v>
      </c>
      <c r="D1743" s="18" t="s">
        <v>53</v>
      </c>
      <c r="E1743" s="18" t="s">
        <v>55</v>
      </c>
      <c r="F1743" s="18" t="s">
        <v>42</v>
      </c>
      <c r="G1743" s="18" t="s">
        <v>43</v>
      </c>
      <c r="H1743" s="18">
        <v>25.89</v>
      </c>
      <c r="I1743" s="20">
        <v>1</v>
      </c>
      <c r="J1743" s="21">
        <v>25.89</v>
      </c>
    </row>
    <row r="1744" spans="1:10">
      <c r="A1744" s="19">
        <v>35856</v>
      </c>
      <c r="B1744" s="18" t="s">
        <v>39</v>
      </c>
      <c r="C1744" s="18" t="s">
        <v>41</v>
      </c>
      <c r="D1744" s="18" t="s">
        <v>53</v>
      </c>
      <c r="E1744" s="18" t="s">
        <v>56</v>
      </c>
      <c r="F1744" s="18" t="s">
        <v>45</v>
      </c>
      <c r="G1744" s="18" t="s">
        <v>38</v>
      </c>
      <c r="H1744" s="18">
        <v>18</v>
      </c>
      <c r="I1744" s="20">
        <v>60</v>
      </c>
      <c r="J1744" s="21">
        <v>1080</v>
      </c>
    </row>
    <row r="1745" spans="1:10">
      <c r="A1745" s="19">
        <v>35856</v>
      </c>
      <c r="B1745" s="18" t="s">
        <v>39</v>
      </c>
      <c r="C1745" s="18" t="s">
        <v>44</v>
      </c>
      <c r="D1745" s="18" t="s">
        <v>53</v>
      </c>
      <c r="E1745" s="18" t="s">
        <v>57</v>
      </c>
      <c r="F1745" s="18" t="s">
        <v>51</v>
      </c>
      <c r="G1745" s="18" t="s">
        <v>43</v>
      </c>
      <c r="H1745" s="18">
        <v>14</v>
      </c>
      <c r="I1745" s="20">
        <v>24</v>
      </c>
      <c r="J1745" s="21">
        <v>336</v>
      </c>
    </row>
    <row r="1746" spans="1:10">
      <c r="A1746" s="19">
        <v>35856</v>
      </c>
      <c r="B1746" s="18" t="s">
        <v>39</v>
      </c>
      <c r="C1746" s="18" t="s">
        <v>46</v>
      </c>
      <c r="D1746" s="18" t="s">
        <v>53</v>
      </c>
      <c r="E1746" s="18" t="s">
        <v>54</v>
      </c>
      <c r="F1746" s="18" t="s">
        <v>51</v>
      </c>
      <c r="G1746" s="18" t="s">
        <v>43</v>
      </c>
      <c r="H1746" s="18">
        <v>18.399999999999999</v>
      </c>
      <c r="I1746" s="20">
        <v>20</v>
      </c>
      <c r="J1746" s="21">
        <v>368</v>
      </c>
    </row>
    <row r="1747" spans="1:10">
      <c r="A1747" s="19">
        <v>35857</v>
      </c>
      <c r="B1747" s="18" t="s">
        <v>39</v>
      </c>
      <c r="C1747" s="18" t="s">
        <v>47</v>
      </c>
      <c r="D1747" s="18" t="s">
        <v>53</v>
      </c>
      <c r="E1747" s="18" t="s">
        <v>55</v>
      </c>
      <c r="F1747" s="18" t="s">
        <v>52</v>
      </c>
      <c r="G1747" s="18" t="s">
        <v>31</v>
      </c>
      <c r="H1747" s="18">
        <v>14</v>
      </c>
      <c r="I1747" s="20">
        <v>10</v>
      </c>
      <c r="J1747" s="21">
        <v>140</v>
      </c>
    </row>
    <row r="1748" spans="1:10">
      <c r="A1748" s="19">
        <v>35857</v>
      </c>
      <c r="B1748" s="18" t="s">
        <v>26</v>
      </c>
      <c r="C1748" s="18" t="s">
        <v>27</v>
      </c>
      <c r="D1748" s="18" t="s">
        <v>53</v>
      </c>
      <c r="E1748" s="18" t="s">
        <v>56</v>
      </c>
      <c r="F1748" s="18" t="s">
        <v>52</v>
      </c>
      <c r="G1748" s="18" t="s">
        <v>31</v>
      </c>
      <c r="H1748" s="18">
        <v>14</v>
      </c>
      <c r="I1748" s="20">
        <v>24</v>
      </c>
      <c r="J1748" s="21">
        <v>336</v>
      </c>
    </row>
    <row r="1749" spans="1:10">
      <c r="A1749" s="19">
        <v>35857</v>
      </c>
      <c r="B1749" s="18" t="s">
        <v>26</v>
      </c>
      <c r="C1749" s="18" t="s">
        <v>32</v>
      </c>
      <c r="D1749" s="18" t="s">
        <v>53</v>
      </c>
      <c r="E1749" s="18" t="s">
        <v>57</v>
      </c>
      <c r="F1749" s="18" t="s">
        <v>52</v>
      </c>
      <c r="G1749" s="18" t="s">
        <v>31</v>
      </c>
      <c r="H1749" s="18">
        <v>46</v>
      </c>
      <c r="I1749" s="20">
        <v>10</v>
      </c>
      <c r="J1749" s="21">
        <v>460</v>
      </c>
    </row>
    <row r="1750" spans="1:10">
      <c r="A1750" s="19">
        <v>35857</v>
      </c>
      <c r="B1750" s="18" t="s">
        <v>26</v>
      </c>
      <c r="C1750" s="18" t="s">
        <v>34</v>
      </c>
      <c r="D1750" s="18" t="s">
        <v>53</v>
      </c>
      <c r="E1750" s="18" t="s">
        <v>54</v>
      </c>
      <c r="F1750" s="18" t="s">
        <v>49</v>
      </c>
      <c r="G1750" s="18" t="s">
        <v>38</v>
      </c>
      <c r="H1750" s="18">
        <v>18</v>
      </c>
      <c r="I1750" s="20">
        <v>10</v>
      </c>
      <c r="J1750" s="21">
        <v>180</v>
      </c>
    </row>
    <row r="1751" spans="1:10">
      <c r="A1751" s="19">
        <v>35857</v>
      </c>
      <c r="B1751" s="18" t="s">
        <v>26</v>
      </c>
      <c r="C1751" s="18" t="s">
        <v>36</v>
      </c>
      <c r="D1751" s="18" t="s">
        <v>53</v>
      </c>
      <c r="E1751" s="18" t="s">
        <v>55</v>
      </c>
      <c r="F1751" s="18" t="s">
        <v>30</v>
      </c>
      <c r="G1751" s="18" t="s">
        <v>31</v>
      </c>
      <c r="H1751" s="18">
        <v>4.5</v>
      </c>
      <c r="I1751" s="20">
        <v>35</v>
      </c>
      <c r="J1751" s="21">
        <v>157.5</v>
      </c>
    </row>
    <row r="1752" spans="1:10">
      <c r="A1752" s="19">
        <v>35857</v>
      </c>
      <c r="B1752" s="18" t="s">
        <v>39</v>
      </c>
      <c r="C1752" s="18" t="s">
        <v>40</v>
      </c>
      <c r="D1752" s="18" t="s">
        <v>53</v>
      </c>
      <c r="E1752" s="18" t="s">
        <v>56</v>
      </c>
      <c r="F1752" s="18" t="s">
        <v>49</v>
      </c>
      <c r="G1752" s="18" t="s">
        <v>38</v>
      </c>
      <c r="H1752" s="18">
        <v>43.9</v>
      </c>
      <c r="I1752" s="20">
        <v>40</v>
      </c>
      <c r="J1752" s="21">
        <v>1756</v>
      </c>
    </row>
    <row r="1753" spans="1:10">
      <c r="A1753" s="19">
        <v>35857</v>
      </c>
      <c r="B1753" s="18" t="s">
        <v>39</v>
      </c>
      <c r="C1753" s="18" t="s">
        <v>41</v>
      </c>
      <c r="D1753" s="18" t="s">
        <v>53</v>
      </c>
      <c r="E1753" s="18" t="s">
        <v>57</v>
      </c>
      <c r="F1753" s="18" t="s">
        <v>42</v>
      </c>
      <c r="G1753" s="18" t="s">
        <v>43</v>
      </c>
      <c r="H1753" s="18">
        <v>16.25</v>
      </c>
      <c r="I1753" s="20">
        <v>24</v>
      </c>
      <c r="J1753" s="21">
        <v>390</v>
      </c>
    </row>
    <row r="1754" spans="1:10">
      <c r="A1754" s="19">
        <v>35857</v>
      </c>
      <c r="B1754" s="18" t="s">
        <v>39</v>
      </c>
      <c r="C1754" s="18" t="s">
        <v>44</v>
      </c>
      <c r="D1754" s="18" t="s">
        <v>53</v>
      </c>
      <c r="E1754" s="18" t="s">
        <v>56</v>
      </c>
      <c r="F1754" s="18" t="s">
        <v>30</v>
      </c>
      <c r="G1754" s="18" t="s">
        <v>31</v>
      </c>
      <c r="H1754" s="18">
        <v>39</v>
      </c>
      <c r="I1754" s="20">
        <v>15</v>
      </c>
      <c r="J1754" s="21">
        <v>585</v>
      </c>
    </row>
    <row r="1755" spans="1:10">
      <c r="A1755" s="19">
        <v>35858</v>
      </c>
      <c r="B1755" s="18" t="s">
        <v>39</v>
      </c>
      <c r="C1755" s="18" t="s">
        <v>46</v>
      </c>
      <c r="D1755" s="18" t="s">
        <v>53</v>
      </c>
      <c r="E1755" s="18" t="s">
        <v>54</v>
      </c>
      <c r="F1755" s="18" t="s">
        <v>42</v>
      </c>
      <c r="G1755" s="18" t="s">
        <v>43</v>
      </c>
      <c r="H1755" s="18">
        <v>21</v>
      </c>
      <c r="I1755" s="20">
        <v>2</v>
      </c>
      <c r="J1755" s="21">
        <v>42</v>
      </c>
    </row>
    <row r="1756" spans="1:10">
      <c r="A1756" s="19">
        <v>35858</v>
      </c>
      <c r="B1756" s="18" t="s">
        <v>39</v>
      </c>
      <c r="C1756" s="18" t="s">
        <v>47</v>
      </c>
      <c r="D1756" s="18" t="s">
        <v>53</v>
      </c>
      <c r="E1756" s="18" t="s">
        <v>55</v>
      </c>
      <c r="F1756" s="18" t="s">
        <v>45</v>
      </c>
      <c r="G1756" s="18" t="s">
        <v>38</v>
      </c>
      <c r="H1756" s="18">
        <v>45.6</v>
      </c>
      <c r="I1756" s="20">
        <v>30</v>
      </c>
      <c r="J1756" s="21">
        <v>1368</v>
      </c>
    </row>
    <row r="1757" spans="1:10">
      <c r="A1757" s="19">
        <v>35858</v>
      </c>
      <c r="B1757" s="18" t="s">
        <v>26</v>
      </c>
      <c r="C1757" s="18" t="s">
        <v>27</v>
      </c>
      <c r="D1757" s="18" t="s">
        <v>53</v>
      </c>
      <c r="E1757" s="18" t="s">
        <v>56</v>
      </c>
      <c r="F1757" s="18" t="s">
        <v>42</v>
      </c>
      <c r="G1757" s="18" t="s">
        <v>43</v>
      </c>
      <c r="H1757" s="18">
        <v>6</v>
      </c>
      <c r="I1757" s="20">
        <v>10</v>
      </c>
      <c r="J1757" s="21">
        <v>60</v>
      </c>
    </row>
    <row r="1758" spans="1:10">
      <c r="A1758" s="19">
        <v>35858</v>
      </c>
      <c r="B1758" s="18" t="s">
        <v>26</v>
      </c>
      <c r="C1758" s="18" t="s">
        <v>32</v>
      </c>
      <c r="D1758" s="18" t="s">
        <v>53</v>
      </c>
      <c r="E1758" s="18" t="s">
        <v>57</v>
      </c>
      <c r="F1758" s="18" t="s">
        <v>45</v>
      </c>
      <c r="G1758" s="18" t="s">
        <v>38</v>
      </c>
      <c r="H1758" s="18">
        <v>7.75</v>
      </c>
      <c r="I1758" s="20">
        <v>6</v>
      </c>
      <c r="J1758" s="21">
        <v>46.5</v>
      </c>
    </row>
    <row r="1759" spans="1:10">
      <c r="A1759" s="19">
        <v>35858</v>
      </c>
      <c r="B1759" s="18" t="s">
        <v>26</v>
      </c>
      <c r="C1759" s="18" t="s">
        <v>34</v>
      </c>
      <c r="D1759" s="18" t="s">
        <v>53</v>
      </c>
      <c r="E1759" s="18" t="s">
        <v>54</v>
      </c>
      <c r="F1759" s="18" t="s">
        <v>45</v>
      </c>
      <c r="G1759" s="18" t="s">
        <v>38</v>
      </c>
      <c r="H1759" s="18">
        <v>7</v>
      </c>
      <c r="I1759" s="20">
        <v>12</v>
      </c>
      <c r="J1759" s="21">
        <v>84</v>
      </c>
    </row>
    <row r="1760" spans="1:10">
      <c r="A1760" s="19">
        <v>35858</v>
      </c>
      <c r="B1760" s="18" t="s">
        <v>26</v>
      </c>
      <c r="C1760" s="18" t="s">
        <v>36</v>
      </c>
      <c r="D1760" s="18" t="s">
        <v>53</v>
      </c>
      <c r="E1760" s="18" t="s">
        <v>55</v>
      </c>
      <c r="F1760" s="18" t="s">
        <v>42</v>
      </c>
      <c r="G1760" s="18" t="s">
        <v>43</v>
      </c>
      <c r="H1760" s="18">
        <v>34.799999999999997</v>
      </c>
      <c r="I1760" s="20">
        <v>10</v>
      </c>
      <c r="J1760" s="21">
        <v>348</v>
      </c>
    </row>
    <row r="1761" spans="1:10">
      <c r="A1761" s="19">
        <v>35858</v>
      </c>
      <c r="B1761" s="18" t="s">
        <v>39</v>
      </c>
      <c r="C1761" s="18" t="s">
        <v>40</v>
      </c>
      <c r="D1761" s="18" t="s">
        <v>53</v>
      </c>
      <c r="E1761" s="18" t="s">
        <v>56</v>
      </c>
      <c r="F1761" s="18" t="s">
        <v>42</v>
      </c>
      <c r="G1761" s="18" t="s">
        <v>43</v>
      </c>
      <c r="H1761" s="18">
        <v>9.1999999999999993</v>
      </c>
      <c r="I1761" s="20">
        <v>7</v>
      </c>
      <c r="J1761" s="21">
        <v>64.399999999999991</v>
      </c>
    </row>
    <row r="1762" spans="1:10">
      <c r="A1762" s="19">
        <v>35858</v>
      </c>
      <c r="B1762" s="18" t="s">
        <v>39</v>
      </c>
      <c r="C1762" s="18" t="s">
        <v>41</v>
      </c>
      <c r="D1762" s="18" t="s">
        <v>53</v>
      </c>
      <c r="E1762" s="18" t="s">
        <v>57</v>
      </c>
      <c r="F1762" s="18" t="s">
        <v>45</v>
      </c>
      <c r="G1762" s="18" t="s">
        <v>38</v>
      </c>
      <c r="H1762" s="18">
        <v>31</v>
      </c>
      <c r="I1762" s="20">
        <v>20</v>
      </c>
      <c r="J1762" s="21">
        <v>620</v>
      </c>
    </row>
    <row r="1763" spans="1:10">
      <c r="A1763" s="19">
        <v>35858</v>
      </c>
      <c r="B1763" s="18" t="s">
        <v>39</v>
      </c>
      <c r="C1763" s="18" t="s">
        <v>44</v>
      </c>
      <c r="D1763" s="18" t="s">
        <v>53</v>
      </c>
      <c r="E1763" s="18" t="s">
        <v>54</v>
      </c>
      <c r="F1763" s="18" t="s">
        <v>45</v>
      </c>
      <c r="G1763" s="18" t="s">
        <v>38</v>
      </c>
      <c r="H1763" s="18">
        <v>19</v>
      </c>
      <c r="I1763" s="20">
        <v>25</v>
      </c>
      <c r="J1763" s="21">
        <v>475</v>
      </c>
    </row>
    <row r="1764" spans="1:10">
      <c r="A1764" s="19">
        <v>35859</v>
      </c>
      <c r="B1764" s="18" t="s">
        <v>39</v>
      </c>
      <c r="C1764" s="18" t="s">
        <v>46</v>
      </c>
      <c r="D1764" s="18" t="s">
        <v>53</v>
      </c>
      <c r="E1764" s="18" t="s">
        <v>55</v>
      </c>
      <c r="F1764" s="18" t="s">
        <v>49</v>
      </c>
      <c r="G1764" s="18" t="s">
        <v>38</v>
      </c>
      <c r="H1764" s="18">
        <v>9.5</v>
      </c>
      <c r="I1764" s="20">
        <v>5</v>
      </c>
      <c r="J1764" s="21">
        <v>47.5</v>
      </c>
    </row>
    <row r="1765" spans="1:10">
      <c r="A1765" s="19">
        <v>35859</v>
      </c>
      <c r="B1765" s="18" t="s">
        <v>39</v>
      </c>
      <c r="C1765" s="18" t="s">
        <v>47</v>
      </c>
      <c r="D1765" s="18" t="s">
        <v>53</v>
      </c>
      <c r="E1765" s="18" t="s">
        <v>56</v>
      </c>
      <c r="F1765" s="18" t="s">
        <v>42</v>
      </c>
      <c r="G1765" s="18" t="s">
        <v>43</v>
      </c>
      <c r="H1765" s="18">
        <v>81</v>
      </c>
      <c r="I1765" s="20">
        <v>5</v>
      </c>
      <c r="J1765" s="21">
        <v>405</v>
      </c>
    </row>
    <row r="1766" spans="1:10">
      <c r="A1766" s="19">
        <v>35859</v>
      </c>
      <c r="B1766" s="18" t="s">
        <v>26</v>
      </c>
      <c r="C1766" s="18" t="s">
        <v>27</v>
      </c>
      <c r="D1766" s="18" t="s">
        <v>53</v>
      </c>
      <c r="E1766" s="18" t="s">
        <v>57</v>
      </c>
      <c r="F1766" s="18" t="s">
        <v>37</v>
      </c>
      <c r="G1766" s="18" t="s">
        <v>38</v>
      </c>
      <c r="H1766" s="18">
        <v>10</v>
      </c>
      <c r="I1766" s="20">
        <v>60</v>
      </c>
      <c r="J1766" s="21">
        <v>600</v>
      </c>
    </row>
    <row r="1767" spans="1:10">
      <c r="A1767" s="19">
        <v>35859</v>
      </c>
      <c r="B1767" s="18" t="s">
        <v>26</v>
      </c>
      <c r="C1767" s="18" t="s">
        <v>32</v>
      </c>
      <c r="D1767" s="18" t="s">
        <v>53</v>
      </c>
      <c r="E1767" s="18" t="s">
        <v>54</v>
      </c>
      <c r="F1767" s="18" t="s">
        <v>37</v>
      </c>
      <c r="G1767" s="18" t="s">
        <v>38</v>
      </c>
      <c r="H1767" s="18">
        <v>13</v>
      </c>
      <c r="I1767" s="20">
        <v>15</v>
      </c>
      <c r="J1767" s="21">
        <v>195</v>
      </c>
    </row>
    <row r="1768" spans="1:10">
      <c r="A1768" s="19">
        <v>35859</v>
      </c>
      <c r="B1768" s="18" t="s">
        <v>26</v>
      </c>
      <c r="C1768" s="18" t="s">
        <v>34</v>
      </c>
      <c r="D1768" s="18" t="s">
        <v>53</v>
      </c>
      <c r="E1768" s="18" t="s">
        <v>55</v>
      </c>
      <c r="F1768" s="18" t="s">
        <v>42</v>
      </c>
      <c r="G1768" s="18" t="s">
        <v>43</v>
      </c>
      <c r="H1768" s="18">
        <v>18</v>
      </c>
      <c r="I1768" s="20">
        <v>20</v>
      </c>
      <c r="J1768" s="21">
        <v>360</v>
      </c>
    </row>
    <row r="1769" spans="1:10">
      <c r="A1769" s="19">
        <v>35859</v>
      </c>
      <c r="B1769" s="18" t="s">
        <v>26</v>
      </c>
      <c r="C1769" s="18" t="s">
        <v>36</v>
      </c>
      <c r="D1769" s="18" t="s">
        <v>53</v>
      </c>
      <c r="E1769" s="18" t="s">
        <v>56</v>
      </c>
      <c r="F1769" s="18" t="s">
        <v>49</v>
      </c>
      <c r="G1769" s="18" t="s">
        <v>38</v>
      </c>
      <c r="H1769" s="18">
        <v>18</v>
      </c>
      <c r="I1769" s="20">
        <v>5</v>
      </c>
      <c r="J1769" s="21">
        <v>90</v>
      </c>
    </row>
    <row r="1770" spans="1:10">
      <c r="A1770" s="19">
        <v>35859</v>
      </c>
      <c r="B1770" s="18" t="s">
        <v>39</v>
      </c>
      <c r="C1770" s="18" t="s">
        <v>40</v>
      </c>
      <c r="D1770" s="18" t="s">
        <v>53</v>
      </c>
      <c r="E1770" s="18" t="s">
        <v>57</v>
      </c>
      <c r="F1770" s="18" t="s">
        <v>37</v>
      </c>
      <c r="G1770" s="18" t="s">
        <v>38</v>
      </c>
      <c r="H1770" s="18">
        <v>7.75</v>
      </c>
      <c r="I1770" s="20">
        <v>49</v>
      </c>
      <c r="J1770" s="21">
        <v>379.75</v>
      </c>
    </row>
    <row r="1771" spans="1:10">
      <c r="A1771" s="19">
        <v>35859</v>
      </c>
      <c r="B1771" s="18" t="s">
        <v>39</v>
      </c>
      <c r="C1771" s="18" t="s">
        <v>41</v>
      </c>
      <c r="D1771" s="18" t="s">
        <v>53</v>
      </c>
      <c r="E1771" s="18" t="s">
        <v>54</v>
      </c>
      <c r="F1771" s="18" t="s">
        <v>42</v>
      </c>
      <c r="G1771" s="18" t="s">
        <v>43</v>
      </c>
      <c r="H1771" s="18">
        <v>7</v>
      </c>
      <c r="I1771" s="20">
        <v>5</v>
      </c>
      <c r="J1771" s="21">
        <v>35</v>
      </c>
    </row>
    <row r="1772" spans="1:10">
      <c r="A1772" s="19">
        <v>35860</v>
      </c>
      <c r="B1772" s="18" t="s">
        <v>39</v>
      </c>
      <c r="C1772" s="18" t="s">
        <v>44</v>
      </c>
      <c r="D1772" s="18" t="s">
        <v>53</v>
      </c>
      <c r="E1772" s="18" t="s">
        <v>55</v>
      </c>
      <c r="F1772" s="18" t="s">
        <v>50</v>
      </c>
      <c r="G1772" s="18" t="s">
        <v>31</v>
      </c>
      <c r="H1772" s="18">
        <v>17.45</v>
      </c>
      <c r="I1772" s="20">
        <v>30</v>
      </c>
      <c r="J1772" s="21">
        <v>523.5</v>
      </c>
    </row>
    <row r="1773" spans="1:10">
      <c r="A1773" s="19">
        <v>35860</v>
      </c>
      <c r="B1773" s="18" t="s">
        <v>39</v>
      </c>
      <c r="C1773" s="18" t="s">
        <v>46</v>
      </c>
      <c r="D1773" s="18" t="s">
        <v>53</v>
      </c>
      <c r="E1773" s="18" t="s">
        <v>56</v>
      </c>
      <c r="F1773" s="18" t="s">
        <v>42</v>
      </c>
      <c r="G1773" s="18" t="s">
        <v>43</v>
      </c>
      <c r="H1773" s="18">
        <v>13.25</v>
      </c>
      <c r="I1773" s="20">
        <v>30</v>
      </c>
      <c r="J1773" s="21">
        <v>397.5</v>
      </c>
    </row>
    <row r="1774" spans="1:10">
      <c r="A1774" s="19">
        <v>35860</v>
      </c>
      <c r="B1774" s="18" t="s">
        <v>39</v>
      </c>
      <c r="C1774" s="18" t="s">
        <v>47</v>
      </c>
      <c r="D1774" s="18" t="s">
        <v>53</v>
      </c>
      <c r="E1774" s="18" t="s">
        <v>57</v>
      </c>
      <c r="F1774" s="18" t="s">
        <v>37</v>
      </c>
      <c r="G1774" s="18" t="s">
        <v>38</v>
      </c>
      <c r="H1774" s="18">
        <v>28.5</v>
      </c>
      <c r="I1774" s="20">
        <v>30</v>
      </c>
      <c r="J1774" s="21">
        <v>855</v>
      </c>
    </row>
    <row r="1775" spans="1:10">
      <c r="A1775" s="19">
        <v>35860</v>
      </c>
      <c r="B1775" s="18" t="s">
        <v>26</v>
      </c>
      <c r="C1775" s="18" t="s">
        <v>27</v>
      </c>
      <c r="D1775" s="18" t="s">
        <v>53</v>
      </c>
      <c r="E1775" s="18" t="s">
        <v>54</v>
      </c>
      <c r="F1775" s="18" t="s">
        <v>42</v>
      </c>
      <c r="G1775" s="18" t="s">
        <v>43</v>
      </c>
      <c r="H1775" s="18">
        <v>10</v>
      </c>
      <c r="I1775" s="20">
        <v>36</v>
      </c>
      <c r="J1775" s="21">
        <v>360</v>
      </c>
    </row>
    <row r="1776" spans="1:10">
      <c r="A1776" s="19">
        <v>35860</v>
      </c>
      <c r="B1776" s="18" t="s">
        <v>26</v>
      </c>
      <c r="C1776" s="18" t="s">
        <v>32</v>
      </c>
      <c r="D1776" s="18" t="s">
        <v>53</v>
      </c>
      <c r="E1776" s="18" t="s">
        <v>55</v>
      </c>
      <c r="F1776" s="18" t="s">
        <v>42</v>
      </c>
      <c r="G1776" s="18" t="s">
        <v>43</v>
      </c>
      <c r="H1776" s="18">
        <v>6</v>
      </c>
      <c r="I1776" s="20">
        <v>42</v>
      </c>
      <c r="J1776" s="21">
        <v>252</v>
      </c>
    </row>
    <row r="1777" spans="1:10">
      <c r="A1777" s="19">
        <v>35860</v>
      </c>
      <c r="B1777" s="18" t="s">
        <v>26</v>
      </c>
      <c r="C1777" s="18" t="s">
        <v>34</v>
      </c>
      <c r="D1777" s="18" t="s">
        <v>53</v>
      </c>
      <c r="E1777" s="18" t="s">
        <v>56</v>
      </c>
      <c r="F1777" s="18" t="s">
        <v>42</v>
      </c>
      <c r="G1777" s="18" t="s">
        <v>43</v>
      </c>
      <c r="H1777" s="18">
        <v>43.9</v>
      </c>
      <c r="I1777" s="20">
        <v>25</v>
      </c>
      <c r="J1777" s="21">
        <v>1097.5</v>
      </c>
    </row>
    <row r="1778" spans="1:10">
      <c r="A1778" s="19">
        <v>35860</v>
      </c>
      <c r="B1778" s="18" t="s">
        <v>26</v>
      </c>
      <c r="C1778" s="18" t="s">
        <v>36</v>
      </c>
      <c r="D1778" s="18" t="s">
        <v>53</v>
      </c>
      <c r="E1778" s="18" t="s">
        <v>57</v>
      </c>
      <c r="F1778" s="18" t="s">
        <v>50</v>
      </c>
      <c r="G1778" s="18" t="s">
        <v>31</v>
      </c>
      <c r="H1778" s="18">
        <v>7.75</v>
      </c>
      <c r="I1778" s="20">
        <v>20</v>
      </c>
      <c r="J1778" s="21">
        <v>155</v>
      </c>
    </row>
    <row r="1779" spans="1:10">
      <c r="A1779" s="19">
        <v>35860</v>
      </c>
      <c r="B1779" s="18" t="s">
        <v>39</v>
      </c>
      <c r="C1779" s="18" t="s">
        <v>40</v>
      </c>
      <c r="D1779" s="18" t="s">
        <v>53</v>
      </c>
      <c r="E1779" s="18" t="s">
        <v>54</v>
      </c>
      <c r="F1779" s="18" t="s">
        <v>50</v>
      </c>
      <c r="G1779" s="18" t="s">
        <v>31</v>
      </c>
      <c r="H1779" s="18">
        <v>49.3</v>
      </c>
      <c r="I1779" s="20">
        <v>14</v>
      </c>
      <c r="J1779" s="21">
        <v>690.19999999999993</v>
      </c>
    </row>
    <row r="1780" spans="1:10">
      <c r="A1780" s="19">
        <v>35860</v>
      </c>
      <c r="B1780" s="18" t="s">
        <v>39</v>
      </c>
      <c r="C1780" s="18" t="s">
        <v>41</v>
      </c>
      <c r="D1780" s="18" t="s">
        <v>53</v>
      </c>
      <c r="E1780" s="18" t="s">
        <v>55</v>
      </c>
      <c r="F1780" s="18" t="s">
        <v>50</v>
      </c>
      <c r="G1780" s="18" t="s">
        <v>31</v>
      </c>
      <c r="H1780" s="18">
        <v>34.799999999999997</v>
      </c>
      <c r="I1780" s="20">
        <v>16</v>
      </c>
      <c r="J1780" s="21">
        <v>556.79999999999995</v>
      </c>
    </row>
    <row r="1781" spans="1:10">
      <c r="A1781" s="19">
        <v>35860</v>
      </c>
      <c r="B1781" s="18" t="s">
        <v>39</v>
      </c>
      <c r="C1781" s="18" t="s">
        <v>44</v>
      </c>
      <c r="D1781" s="18" t="s">
        <v>53</v>
      </c>
      <c r="E1781" s="18" t="s">
        <v>56</v>
      </c>
      <c r="F1781" s="18" t="s">
        <v>42</v>
      </c>
      <c r="G1781" s="18" t="s">
        <v>43</v>
      </c>
      <c r="H1781" s="18">
        <v>19.5</v>
      </c>
      <c r="I1781" s="20">
        <v>30</v>
      </c>
      <c r="J1781" s="21">
        <v>585</v>
      </c>
    </row>
    <row r="1782" spans="1:10">
      <c r="A1782" s="19">
        <v>35860</v>
      </c>
      <c r="B1782" s="18" t="s">
        <v>39</v>
      </c>
      <c r="C1782" s="18" t="s">
        <v>46</v>
      </c>
      <c r="D1782" s="18" t="s">
        <v>53</v>
      </c>
      <c r="E1782" s="18" t="s">
        <v>57</v>
      </c>
      <c r="F1782" s="18" t="s">
        <v>42</v>
      </c>
      <c r="G1782" s="18" t="s">
        <v>43</v>
      </c>
      <c r="H1782" s="18">
        <v>24</v>
      </c>
      <c r="I1782" s="20">
        <v>25</v>
      </c>
      <c r="J1782" s="21">
        <v>600</v>
      </c>
    </row>
    <row r="1783" spans="1:10">
      <c r="A1783" s="19">
        <v>35860</v>
      </c>
      <c r="B1783" s="18" t="s">
        <v>39</v>
      </c>
      <c r="C1783" s="18" t="s">
        <v>47</v>
      </c>
      <c r="D1783" s="18" t="s">
        <v>53</v>
      </c>
      <c r="E1783" s="18" t="s">
        <v>56</v>
      </c>
      <c r="F1783" s="18" t="s">
        <v>37</v>
      </c>
      <c r="G1783" s="18" t="s">
        <v>38</v>
      </c>
      <c r="H1783" s="18">
        <v>32.799999999999997</v>
      </c>
      <c r="I1783" s="20">
        <v>2</v>
      </c>
      <c r="J1783" s="21">
        <v>65.599999999999994</v>
      </c>
    </row>
    <row r="1784" spans="1:10">
      <c r="A1784" s="19">
        <v>35863</v>
      </c>
      <c r="B1784" s="18" t="s">
        <v>26</v>
      </c>
      <c r="C1784" s="18" t="s">
        <v>27</v>
      </c>
      <c r="D1784" s="18" t="s">
        <v>53</v>
      </c>
      <c r="E1784" s="18" t="s">
        <v>54</v>
      </c>
      <c r="F1784" s="18" t="s">
        <v>45</v>
      </c>
      <c r="G1784" s="18" t="s">
        <v>38</v>
      </c>
      <c r="H1784" s="18">
        <v>25</v>
      </c>
      <c r="I1784" s="20">
        <v>20</v>
      </c>
      <c r="J1784" s="21">
        <v>500</v>
      </c>
    </row>
    <row r="1785" spans="1:10">
      <c r="A1785" s="19">
        <v>35863</v>
      </c>
      <c r="B1785" s="18" t="s">
        <v>26</v>
      </c>
      <c r="C1785" s="18" t="s">
        <v>32</v>
      </c>
      <c r="D1785" s="18" t="s">
        <v>53</v>
      </c>
      <c r="E1785" s="18" t="s">
        <v>55</v>
      </c>
      <c r="F1785" s="18" t="s">
        <v>42</v>
      </c>
      <c r="G1785" s="18" t="s">
        <v>43</v>
      </c>
      <c r="H1785" s="18">
        <v>62.5</v>
      </c>
      <c r="I1785" s="20">
        <v>4</v>
      </c>
      <c r="J1785" s="21">
        <v>250</v>
      </c>
    </row>
    <row r="1786" spans="1:10">
      <c r="A1786" s="19">
        <v>35863</v>
      </c>
      <c r="B1786" s="18" t="s">
        <v>26</v>
      </c>
      <c r="C1786" s="18" t="s">
        <v>34</v>
      </c>
      <c r="D1786" s="18" t="s">
        <v>53</v>
      </c>
      <c r="E1786" s="18" t="s">
        <v>56</v>
      </c>
      <c r="F1786" s="18" t="s">
        <v>42</v>
      </c>
      <c r="G1786" s="18" t="s">
        <v>43</v>
      </c>
      <c r="H1786" s="18">
        <v>18</v>
      </c>
      <c r="I1786" s="20">
        <v>21</v>
      </c>
      <c r="J1786" s="21">
        <v>378</v>
      </c>
    </row>
    <row r="1787" spans="1:10">
      <c r="A1787" s="19">
        <v>35863</v>
      </c>
      <c r="B1787" s="18" t="s">
        <v>26</v>
      </c>
      <c r="C1787" s="18" t="s">
        <v>36</v>
      </c>
      <c r="D1787" s="18" t="s">
        <v>53</v>
      </c>
      <c r="E1787" s="18" t="s">
        <v>57</v>
      </c>
      <c r="F1787" s="18" t="s">
        <v>42</v>
      </c>
      <c r="G1787" s="18" t="s">
        <v>43</v>
      </c>
      <c r="H1787" s="18">
        <v>9</v>
      </c>
      <c r="I1787" s="20">
        <v>8</v>
      </c>
      <c r="J1787" s="21">
        <v>72</v>
      </c>
    </row>
    <row r="1788" spans="1:10">
      <c r="A1788" s="19">
        <v>35863</v>
      </c>
      <c r="B1788" s="18" t="s">
        <v>39</v>
      </c>
      <c r="C1788" s="18" t="s">
        <v>40</v>
      </c>
      <c r="D1788" s="18" t="s">
        <v>53</v>
      </c>
      <c r="E1788" s="18" t="s">
        <v>54</v>
      </c>
      <c r="F1788" s="18" t="s">
        <v>45</v>
      </c>
      <c r="G1788" s="18" t="s">
        <v>38</v>
      </c>
      <c r="H1788" s="18">
        <v>19</v>
      </c>
      <c r="I1788" s="20">
        <v>30</v>
      </c>
      <c r="J1788" s="21">
        <v>570</v>
      </c>
    </row>
    <row r="1789" spans="1:10">
      <c r="A1789" s="19">
        <v>35864</v>
      </c>
      <c r="B1789" s="18" t="s">
        <v>39</v>
      </c>
      <c r="C1789" s="18" t="s">
        <v>41</v>
      </c>
      <c r="D1789" s="18" t="s">
        <v>53</v>
      </c>
      <c r="E1789" s="18" t="s">
        <v>55</v>
      </c>
      <c r="F1789" s="18" t="s">
        <v>45</v>
      </c>
      <c r="G1789" s="18" t="s">
        <v>38</v>
      </c>
      <c r="H1789" s="18">
        <v>34</v>
      </c>
      <c r="I1789" s="20">
        <v>49</v>
      </c>
      <c r="J1789" s="21">
        <v>1666</v>
      </c>
    </row>
    <row r="1790" spans="1:10">
      <c r="A1790" s="19">
        <v>35864</v>
      </c>
      <c r="B1790" s="18" t="s">
        <v>39</v>
      </c>
      <c r="C1790" s="18" t="s">
        <v>44</v>
      </c>
      <c r="D1790" s="18" t="s">
        <v>53</v>
      </c>
      <c r="E1790" s="18" t="s">
        <v>56</v>
      </c>
      <c r="F1790" s="18" t="s">
        <v>52</v>
      </c>
      <c r="G1790" s="18" t="s">
        <v>31</v>
      </c>
      <c r="H1790" s="18">
        <v>45.6</v>
      </c>
      <c r="I1790" s="20">
        <v>8</v>
      </c>
      <c r="J1790" s="21">
        <v>364.8</v>
      </c>
    </row>
    <row r="1791" spans="1:10">
      <c r="A1791" s="19">
        <v>35864</v>
      </c>
      <c r="B1791" s="18" t="s">
        <v>39</v>
      </c>
      <c r="C1791" s="18" t="s">
        <v>46</v>
      </c>
      <c r="D1791" s="18" t="s">
        <v>53</v>
      </c>
      <c r="E1791" s="18" t="s">
        <v>57</v>
      </c>
      <c r="F1791" s="18" t="s">
        <v>51</v>
      </c>
      <c r="G1791" s="18" t="s">
        <v>43</v>
      </c>
      <c r="H1791" s="18">
        <v>14</v>
      </c>
      <c r="I1791" s="20">
        <v>40</v>
      </c>
      <c r="J1791" s="21">
        <v>560</v>
      </c>
    </row>
    <row r="1792" spans="1:10">
      <c r="A1792" s="19">
        <v>35864</v>
      </c>
      <c r="B1792" s="18" t="s">
        <v>39</v>
      </c>
      <c r="C1792" s="18" t="s">
        <v>47</v>
      </c>
      <c r="D1792" s="18" t="s">
        <v>53</v>
      </c>
      <c r="E1792" s="18" t="s">
        <v>54</v>
      </c>
      <c r="F1792" s="18" t="s">
        <v>45</v>
      </c>
      <c r="G1792" s="18" t="s">
        <v>38</v>
      </c>
      <c r="H1792" s="18">
        <v>46</v>
      </c>
      <c r="I1792" s="20">
        <v>24</v>
      </c>
      <c r="J1792" s="21">
        <v>1104</v>
      </c>
    </row>
    <row r="1793" spans="1:10">
      <c r="A1793" s="19">
        <v>35864</v>
      </c>
      <c r="B1793" s="18" t="s">
        <v>26</v>
      </c>
      <c r="C1793" s="18" t="s">
        <v>27</v>
      </c>
      <c r="D1793" s="18" t="s">
        <v>53</v>
      </c>
      <c r="E1793" s="18" t="s">
        <v>55</v>
      </c>
      <c r="F1793" s="18" t="s">
        <v>45</v>
      </c>
      <c r="G1793" s="18" t="s">
        <v>38</v>
      </c>
      <c r="H1793" s="18">
        <v>6</v>
      </c>
      <c r="I1793" s="20">
        <v>20</v>
      </c>
      <c r="J1793" s="21">
        <v>120</v>
      </c>
    </row>
    <row r="1794" spans="1:10">
      <c r="A1794" s="19">
        <v>35864</v>
      </c>
      <c r="B1794" s="18" t="s">
        <v>26</v>
      </c>
      <c r="C1794" s="18" t="s">
        <v>32</v>
      </c>
      <c r="D1794" s="18" t="s">
        <v>53</v>
      </c>
      <c r="E1794" s="18" t="s">
        <v>56</v>
      </c>
      <c r="F1794" s="18" t="s">
        <v>51</v>
      </c>
      <c r="G1794" s="18" t="s">
        <v>43</v>
      </c>
      <c r="H1794" s="18">
        <v>19</v>
      </c>
      <c r="I1794" s="20">
        <v>10</v>
      </c>
      <c r="J1794" s="21">
        <v>190</v>
      </c>
    </row>
    <row r="1795" spans="1:10">
      <c r="A1795" s="19">
        <v>35864</v>
      </c>
      <c r="B1795" s="18" t="s">
        <v>26</v>
      </c>
      <c r="C1795" s="18" t="s">
        <v>34</v>
      </c>
      <c r="D1795" s="18" t="s">
        <v>53</v>
      </c>
      <c r="E1795" s="18" t="s">
        <v>57</v>
      </c>
      <c r="F1795" s="18" t="s">
        <v>52</v>
      </c>
      <c r="G1795" s="18" t="s">
        <v>31</v>
      </c>
      <c r="H1795" s="18">
        <v>14</v>
      </c>
      <c r="I1795" s="20">
        <v>20</v>
      </c>
      <c r="J1795" s="21">
        <v>280</v>
      </c>
    </row>
    <row r="1796" spans="1:10">
      <c r="A1796" s="19">
        <v>35864</v>
      </c>
      <c r="B1796" s="18" t="s">
        <v>26</v>
      </c>
      <c r="C1796" s="18" t="s">
        <v>36</v>
      </c>
      <c r="D1796" s="18" t="s">
        <v>53</v>
      </c>
      <c r="E1796" s="18" t="s">
        <v>54</v>
      </c>
      <c r="F1796" s="18" t="s">
        <v>45</v>
      </c>
      <c r="G1796" s="18" t="s">
        <v>38</v>
      </c>
      <c r="H1796" s="18">
        <v>21.5</v>
      </c>
      <c r="I1796" s="20">
        <v>35</v>
      </c>
      <c r="J1796" s="21">
        <v>752.5</v>
      </c>
    </row>
    <row r="1797" spans="1:10">
      <c r="A1797" s="19">
        <v>35865</v>
      </c>
      <c r="B1797" s="18" t="s">
        <v>39</v>
      </c>
      <c r="C1797" s="18" t="s">
        <v>40</v>
      </c>
      <c r="D1797" s="18" t="s">
        <v>53</v>
      </c>
      <c r="E1797" s="18" t="s">
        <v>55</v>
      </c>
      <c r="F1797" s="18" t="s">
        <v>50</v>
      </c>
      <c r="G1797" s="18" t="s">
        <v>31</v>
      </c>
      <c r="H1797" s="18">
        <v>30</v>
      </c>
      <c r="I1797" s="20">
        <v>8</v>
      </c>
      <c r="J1797" s="21">
        <v>240</v>
      </c>
    </row>
    <row r="1798" spans="1:10">
      <c r="A1798" s="19">
        <v>35865</v>
      </c>
      <c r="B1798" s="18" t="s">
        <v>39</v>
      </c>
      <c r="C1798" s="18" t="s">
        <v>41</v>
      </c>
      <c r="D1798" s="18" t="s">
        <v>53</v>
      </c>
      <c r="E1798" s="18" t="s">
        <v>56</v>
      </c>
      <c r="F1798" s="18" t="s">
        <v>42</v>
      </c>
      <c r="G1798" s="18" t="s">
        <v>43</v>
      </c>
      <c r="H1798" s="18">
        <v>12</v>
      </c>
      <c r="I1798" s="20">
        <v>15</v>
      </c>
      <c r="J1798" s="21">
        <v>180</v>
      </c>
    </row>
    <row r="1799" spans="1:10">
      <c r="A1799" s="19">
        <v>35865</v>
      </c>
      <c r="B1799" s="18" t="s">
        <v>39</v>
      </c>
      <c r="C1799" s="18" t="s">
        <v>44</v>
      </c>
      <c r="D1799" s="18" t="s">
        <v>53</v>
      </c>
      <c r="E1799" s="18" t="s">
        <v>57</v>
      </c>
      <c r="F1799" s="18" t="s">
        <v>50</v>
      </c>
      <c r="G1799" s="18" t="s">
        <v>31</v>
      </c>
      <c r="H1799" s="18">
        <v>6</v>
      </c>
      <c r="I1799" s="20">
        <v>20</v>
      </c>
      <c r="J1799" s="21">
        <v>120</v>
      </c>
    </row>
    <row r="1800" spans="1:10">
      <c r="A1800" s="19">
        <v>35865</v>
      </c>
      <c r="B1800" s="18" t="s">
        <v>39</v>
      </c>
      <c r="C1800" s="18" t="s">
        <v>46</v>
      </c>
      <c r="D1800" s="18" t="s">
        <v>53</v>
      </c>
      <c r="E1800" s="18" t="s">
        <v>54</v>
      </c>
      <c r="F1800" s="18" t="s">
        <v>42</v>
      </c>
      <c r="G1800" s="18" t="s">
        <v>43</v>
      </c>
      <c r="H1800" s="18">
        <v>6</v>
      </c>
      <c r="I1800" s="20">
        <v>15</v>
      </c>
      <c r="J1800" s="21">
        <v>90</v>
      </c>
    </row>
    <row r="1801" spans="1:10">
      <c r="A1801" s="19">
        <v>35865</v>
      </c>
      <c r="B1801" s="18" t="s">
        <v>39</v>
      </c>
      <c r="C1801" s="18" t="s">
        <v>47</v>
      </c>
      <c r="D1801" s="18" t="s">
        <v>53</v>
      </c>
      <c r="E1801" s="18" t="s">
        <v>55</v>
      </c>
      <c r="F1801" s="18" t="s">
        <v>52</v>
      </c>
      <c r="G1801" s="18" t="s">
        <v>31</v>
      </c>
      <c r="H1801" s="18">
        <v>12.5</v>
      </c>
      <c r="I1801" s="20">
        <v>80</v>
      </c>
      <c r="J1801" s="21">
        <v>1000</v>
      </c>
    </row>
    <row r="1802" spans="1:10">
      <c r="A1802" s="19">
        <v>35865</v>
      </c>
      <c r="B1802" s="18" t="s">
        <v>26</v>
      </c>
      <c r="C1802" s="18" t="s">
        <v>27</v>
      </c>
      <c r="D1802" s="18" t="s">
        <v>53</v>
      </c>
      <c r="E1802" s="18" t="s">
        <v>56</v>
      </c>
      <c r="F1802" s="18" t="s">
        <v>42</v>
      </c>
      <c r="G1802" s="18" t="s">
        <v>43</v>
      </c>
      <c r="H1802" s="18">
        <v>21</v>
      </c>
      <c r="I1802" s="20">
        <v>21</v>
      </c>
      <c r="J1802" s="21">
        <v>441</v>
      </c>
    </row>
    <row r="1803" spans="1:10">
      <c r="A1803" s="19">
        <v>35865</v>
      </c>
      <c r="B1803" s="18" t="s">
        <v>26</v>
      </c>
      <c r="C1803" s="18" t="s">
        <v>32</v>
      </c>
      <c r="D1803" s="18" t="s">
        <v>53</v>
      </c>
      <c r="E1803" s="18" t="s">
        <v>57</v>
      </c>
      <c r="F1803" s="18" t="s">
        <v>52</v>
      </c>
      <c r="G1803" s="18" t="s">
        <v>31</v>
      </c>
      <c r="H1803" s="18">
        <v>49.3</v>
      </c>
      <c r="I1803" s="20">
        <v>30</v>
      </c>
      <c r="J1803" s="21">
        <v>1479</v>
      </c>
    </row>
    <row r="1804" spans="1:10">
      <c r="A1804" s="19">
        <v>35865</v>
      </c>
      <c r="B1804" s="18" t="s">
        <v>26</v>
      </c>
      <c r="C1804" s="18" t="s">
        <v>34</v>
      </c>
      <c r="D1804" s="18" t="s">
        <v>53</v>
      </c>
      <c r="E1804" s="18" t="s">
        <v>54</v>
      </c>
      <c r="F1804" s="18" t="s">
        <v>48</v>
      </c>
      <c r="G1804" s="18" t="s">
        <v>31</v>
      </c>
      <c r="H1804" s="18">
        <v>20</v>
      </c>
      <c r="I1804" s="20">
        <v>28</v>
      </c>
      <c r="J1804" s="21">
        <v>560</v>
      </c>
    </row>
    <row r="1805" spans="1:10">
      <c r="A1805" s="19">
        <v>35865</v>
      </c>
      <c r="B1805" s="18" t="s">
        <v>26</v>
      </c>
      <c r="C1805" s="18" t="s">
        <v>36</v>
      </c>
      <c r="D1805" s="18" t="s">
        <v>53</v>
      </c>
      <c r="E1805" s="18" t="s">
        <v>55</v>
      </c>
      <c r="F1805" s="18" t="s">
        <v>52</v>
      </c>
      <c r="G1805" s="18" t="s">
        <v>31</v>
      </c>
      <c r="H1805" s="18">
        <v>34.799999999999997</v>
      </c>
      <c r="I1805" s="20">
        <v>50</v>
      </c>
      <c r="J1805" s="21">
        <v>1739.9999999999998</v>
      </c>
    </row>
    <row r="1806" spans="1:10">
      <c r="A1806" s="19">
        <v>35865</v>
      </c>
      <c r="B1806" s="18" t="s">
        <v>39</v>
      </c>
      <c r="C1806" s="18" t="s">
        <v>40</v>
      </c>
      <c r="D1806" s="18" t="s">
        <v>53</v>
      </c>
      <c r="E1806" s="18" t="s">
        <v>56</v>
      </c>
      <c r="F1806" s="18" t="s">
        <v>52</v>
      </c>
      <c r="G1806" s="18" t="s">
        <v>31</v>
      </c>
      <c r="H1806" s="18">
        <v>12.5</v>
      </c>
      <c r="I1806" s="20">
        <v>44</v>
      </c>
      <c r="J1806" s="21">
        <v>550</v>
      </c>
    </row>
    <row r="1807" spans="1:10">
      <c r="A1807" s="19">
        <v>35866</v>
      </c>
      <c r="B1807" s="18" t="s">
        <v>39</v>
      </c>
      <c r="C1807" s="18" t="s">
        <v>41</v>
      </c>
      <c r="D1807" s="18" t="s">
        <v>53</v>
      </c>
      <c r="E1807" s="18" t="s">
        <v>57</v>
      </c>
      <c r="F1807" s="18" t="s">
        <v>37</v>
      </c>
      <c r="G1807" s="18" t="s">
        <v>38</v>
      </c>
      <c r="H1807" s="18">
        <v>38</v>
      </c>
      <c r="I1807" s="20">
        <v>18</v>
      </c>
      <c r="J1807" s="21">
        <v>684</v>
      </c>
    </row>
    <row r="1808" spans="1:10">
      <c r="A1808" s="19">
        <v>35866</v>
      </c>
      <c r="B1808" s="18" t="s">
        <v>39</v>
      </c>
      <c r="C1808" s="18" t="s">
        <v>44</v>
      </c>
      <c r="D1808" s="18" t="s">
        <v>53</v>
      </c>
      <c r="E1808" s="18" t="s">
        <v>54</v>
      </c>
      <c r="F1808" s="18" t="s">
        <v>37</v>
      </c>
      <c r="G1808" s="18" t="s">
        <v>38</v>
      </c>
      <c r="H1808" s="18">
        <v>21</v>
      </c>
      <c r="I1808" s="20">
        <v>5</v>
      </c>
      <c r="J1808" s="21">
        <v>105</v>
      </c>
    </row>
    <row r="1809" spans="1:10">
      <c r="A1809" s="19">
        <v>35866</v>
      </c>
      <c r="B1809" s="18" t="s">
        <v>39</v>
      </c>
      <c r="C1809" s="18" t="s">
        <v>46</v>
      </c>
      <c r="D1809" s="18" t="s">
        <v>53</v>
      </c>
      <c r="E1809" s="18" t="s">
        <v>55</v>
      </c>
      <c r="F1809" s="18" t="s">
        <v>37</v>
      </c>
      <c r="G1809" s="18" t="s">
        <v>38</v>
      </c>
      <c r="H1809" s="18">
        <v>19.45</v>
      </c>
      <c r="I1809" s="20">
        <v>18</v>
      </c>
      <c r="J1809" s="21">
        <v>350.09999999999997</v>
      </c>
    </row>
    <row r="1810" spans="1:10">
      <c r="A1810" s="19">
        <v>35866</v>
      </c>
      <c r="B1810" s="18" t="s">
        <v>39</v>
      </c>
      <c r="C1810" s="18" t="s">
        <v>47</v>
      </c>
      <c r="D1810" s="18" t="s">
        <v>53</v>
      </c>
      <c r="E1810" s="18" t="s">
        <v>56</v>
      </c>
      <c r="F1810" s="18" t="s">
        <v>49</v>
      </c>
      <c r="G1810" s="18" t="s">
        <v>38</v>
      </c>
      <c r="H1810" s="18">
        <v>13</v>
      </c>
      <c r="I1810" s="20">
        <v>40</v>
      </c>
      <c r="J1810" s="21">
        <v>520</v>
      </c>
    </row>
    <row r="1811" spans="1:10">
      <c r="A1811" s="19">
        <v>35866</v>
      </c>
      <c r="B1811" s="18" t="s">
        <v>26</v>
      </c>
      <c r="C1811" s="18" t="s">
        <v>27</v>
      </c>
      <c r="D1811" s="18" t="s">
        <v>53</v>
      </c>
      <c r="E1811" s="18" t="s">
        <v>57</v>
      </c>
      <c r="F1811" s="18" t="s">
        <v>42</v>
      </c>
      <c r="G1811" s="18" t="s">
        <v>43</v>
      </c>
      <c r="H1811" s="18">
        <v>6</v>
      </c>
      <c r="I1811" s="20">
        <v>20</v>
      </c>
      <c r="J1811" s="21">
        <v>120</v>
      </c>
    </row>
    <row r="1812" spans="1:10">
      <c r="A1812" s="19">
        <v>35866</v>
      </c>
      <c r="B1812" s="18" t="s">
        <v>26</v>
      </c>
      <c r="C1812" s="18" t="s">
        <v>32</v>
      </c>
      <c r="D1812" s="18" t="s">
        <v>53</v>
      </c>
      <c r="E1812" s="18" t="s">
        <v>56</v>
      </c>
      <c r="F1812" s="18" t="s">
        <v>49</v>
      </c>
      <c r="G1812" s="18" t="s">
        <v>38</v>
      </c>
      <c r="H1812" s="18">
        <v>4.5</v>
      </c>
      <c r="I1812" s="20">
        <v>25</v>
      </c>
      <c r="J1812" s="21">
        <v>112.5</v>
      </c>
    </row>
    <row r="1813" spans="1:10">
      <c r="A1813" s="19">
        <v>35866</v>
      </c>
      <c r="B1813" s="18" t="s">
        <v>26</v>
      </c>
      <c r="C1813" s="18" t="s">
        <v>34</v>
      </c>
      <c r="D1813" s="18" t="s">
        <v>53</v>
      </c>
      <c r="E1813" s="18" t="s">
        <v>54</v>
      </c>
      <c r="F1813" s="18" t="s">
        <v>42</v>
      </c>
      <c r="G1813" s="18" t="s">
        <v>43</v>
      </c>
      <c r="H1813" s="18">
        <v>12.5</v>
      </c>
      <c r="I1813" s="20">
        <v>10</v>
      </c>
      <c r="J1813" s="21">
        <v>125</v>
      </c>
    </row>
    <row r="1814" spans="1:10">
      <c r="A1814" s="19">
        <v>35866</v>
      </c>
      <c r="B1814" s="18" t="s">
        <v>26</v>
      </c>
      <c r="C1814" s="18" t="s">
        <v>36</v>
      </c>
      <c r="D1814" s="18" t="s">
        <v>53</v>
      </c>
      <c r="E1814" s="18" t="s">
        <v>55</v>
      </c>
      <c r="F1814" s="18" t="s">
        <v>49</v>
      </c>
      <c r="G1814" s="18" t="s">
        <v>38</v>
      </c>
      <c r="H1814" s="18">
        <v>31</v>
      </c>
      <c r="I1814" s="20">
        <v>25</v>
      </c>
      <c r="J1814" s="21">
        <v>775</v>
      </c>
    </row>
    <row r="1815" spans="1:10">
      <c r="A1815" s="19">
        <v>35867</v>
      </c>
      <c r="B1815" s="18" t="s">
        <v>39</v>
      </c>
      <c r="C1815" s="18" t="s">
        <v>40</v>
      </c>
      <c r="D1815" s="18" t="s">
        <v>53</v>
      </c>
      <c r="E1815" s="18" t="s">
        <v>56</v>
      </c>
      <c r="F1815" s="18" t="s">
        <v>45</v>
      </c>
      <c r="G1815" s="18" t="s">
        <v>38</v>
      </c>
      <c r="H1815" s="18">
        <v>55</v>
      </c>
      <c r="I1815" s="20">
        <v>4</v>
      </c>
      <c r="J1815" s="21">
        <v>220</v>
      </c>
    </row>
    <row r="1816" spans="1:10">
      <c r="A1816" s="19">
        <v>35867</v>
      </c>
      <c r="B1816" s="18" t="s">
        <v>39</v>
      </c>
      <c r="C1816" s="18" t="s">
        <v>41</v>
      </c>
      <c r="D1816" s="18" t="s">
        <v>53</v>
      </c>
      <c r="E1816" s="18" t="s">
        <v>57</v>
      </c>
      <c r="F1816" s="18" t="s">
        <v>51</v>
      </c>
      <c r="G1816" s="18" t="s">
        <v>43</v>
      </c>
      <c r="H1816" s="18">
        <v>25</v>
      </c>
      <c r="I1816" s="20">
        <v>12</v>
      </c>
      <c r="J1816" s="21">
        <v>300</v>
      </c>
    </row>
    <row r="1817" spans="1:10">
      <c r="A1817" s="19">
        <v>35867</v>
      </c>
      <c r="B1817" s="18" t="s">
        <v>39</v>
      </c>
      <c r="C1817" s="18" t="s">
        <v>44</v>
      </c>
      <c r="D1817" s="18" t="s">
        <v>53</v>
      </c>
      <c r="E1817" s="18" t="s">
        <v>54</v>
      </c>
      <c r="F1817" s="18" t="s">
        <v>51</v>
      </c>
      <c r="G1817" s="18" t="s">
        <v>43</v>
      </c>
      <c r="H1817" s="18">
        <v>49.3</v>
      </c>
      <c r="I1817" s="20">
        <v>60</v>
      </c>
      <c r="J1817" s="21">
        <v>2958</v>
      </c>
    </row>
    <row r="1818" spans="1:10">
      <c r="A1818" s="19">
        <v>35867</v>
      </c>
      <c r="B1818" s="18" t="s">
        <v>39</v>
      </c>
      <c r="C1818" s="18" t="s">
        <v>46</v>
      </c>
      <c r="D1818" s="18" t="s">
        <v>53</v>
      </c>
      <c r="E1818" s="18" t="s">
        <v>55</v>
      </c>
      <c r="F1818" s="18" t="s">
        <v>51</v>
      </c>
      <c r="G1818" s="18" t="s">
        <v>43</v>
      </c>
      <c r="H1818" s="18">
        <v>31</v>
      </c>
      <c r="I1818" s="20">
        <v>30</v>
      </c>
      <c r="J1818" s="21">
        <v>930</v>
      </c>
    </row>
    <row r="1819" spans="1:10">
      <c r="A1819" s="19">
        <v>35867</v>
      </c>
      <c r="B1819" s="18" t="s">
        <v>39</v>
      </c>
      <c r="C1819" s="18" t="s">
        <v>47</v>
      </c>
      <c r="D1819" s="18" t="s">
        <v>53</v>
      </c>
      <c r="E1819" s="18" t="s">
        <v>56</v>
      </c>
      <c r="F1819" s="18" t="s">
        <v>45</v>
      </c>
      <c r="G1819" s="18" t="s">
        <v>38</v>
      </c>
      <c r="H1819" s="18">
        <v>24</v>
      </c>
      <c r="I1819" s="20">
        <v>4</v>
      </c>
      <c r="J1819" s="21">
        <v>96</v>
      </c>
    </row>
    <row r="1820" spans="1:10">
      <c r="A1820" s="19">
        <v>35867</v>
      </c>
      <c r="B1820" s="18" t="s">
        <v>26</v>
      </c>
      <c r="C1820" s="18" t="s">
        <v>27</v>
      </c>
      <c r="D1820" s="18" t="s">
        <v>53</v>
      </c>
      <c r="E1820" s="18" t="s">
        <v>57</v>
      </c>
      <c r="F1820" s="18" t="s">
        <v>45</v>
      </c>
      <c r="G1820" s="18" t="s">
        <v>38</v>
      </c>
      <c r="H1820" s="18">
        <v>16.25</v>
      </c>
      <c r="I1820" s="20">
        <v>9</v>
      </c>
      <c r="J1820" s="21">
        <v>146.25</v>
      </c>
    </row>
    <row r="1821" spans="1:10">
      <c r="A1821" s="19">
        <v>35867</v>
      </c>
      <c r="B1821" s="18" t="s">
        <v>26</v>
      </c>
      <c r="C1821" s="18" t="s">
        <v>32</v>
      </c>
      <c r="D1821" s="18" t="s">
        <v>53</v>
      </c>
      <c r="E1821" s="18" t="s">
        <v>54</v>
      </c>
      <c r="F1821" s="18" t="s">
        <v>51</v>
      </c>
      <c r="G1821" s="18" t="s">
        <v>43</v>
      </c>
      <c r="H1821" s="18">
        <v>39</v>
      </c>
      <c r="I1821" s="20">
        <v>6</v>
      </c>
      <c r="J1821" s="21">
        <v>234</v>
      </c>
    </row>
    <row r="1822" spans="1:10">
      <c r="A1822" s="19">
        <v>35867</v>
      </c>
      <c r="B1822" s="18" t="s">
        <v>26</v>
      </c>
      <c r="C1822" s="18" t="s">
        <v>34</v>
      </c>
      <c r="D1822" s="18" t="s">
        <v>53</v>
      </c>
      <c r="E1822" s="18" t="s">
        <v>55</v>
      </c>
      <c r="F1822" s="18" t="s">
        <v>45</v>
      </c>
      <c r="G1822" s="18" t="s">
        <v>38</v>
      </c>
      <c r="H1822" s="18">
        <v>53</v>
      </c>
      <c r="I1822" s="20">
        <v>40</v>
      </c>
      <c r="J1822" s="21">
        <v>2120</v>
      </c>
    </row>
    <row r="1823" spans="1:10">
      <c r="A1823" s="19">
        <v>35870</v>
      </c>
      <c r="B1823" s="18" t="s">
        <v>26</v>
      </c>
      <c r="C1823" s="18" t="s">
        <v>36</v>
      </c>
      <c r="D1823" s="18" t="s">
        <v>53</v>
      </c>
      <c r="E1823" s="18" t="s">
        <v>56</v>
      </c>
      <c r="F1823" s="18" t="s">
        <v>49</v>
      </c>
      <c r="G1823" s="18" t="s">
        <v>38</v>
      </c>
      <c r="H1823" s="18">
        <v>38</v>
      </c>
      <c r="I1823" s="20">
        <v>1</v>
      </c>
      <c r="J1823" s="21">
        <v>38</v>
      </c>
    </row>
    <row r="1824" spans="1:10">
      <c r="A1824" s="19">
        <v>35870</v>
      </c>
      <c r="B1824" s="18" t="s">
        <v>39</v>
      </c>
      <c r="C1824" s="18" t="s">
        <v>40</v>
      </c>
      <c r="D1824" s="18" t="s">
        <v>53</v>
      </c>
      <c r="E1824" s="18" t="s">
        <v>57</v>
      </c>
      <c r="F1824" s="18" t="s">
        <v>49</v>
      </c>
      <c r="G1824" s="18" t="s">
        <v>38</v>
      </c>
      <c r="H1824" s="18">
        <v>9.5</v>
      </c>
      <c r="I1824" s="20">
        <v>1</v>
      </c>
      <c r="J1824" s="21">
        <v>9.5</v>
      </c>
    </row>
    <row r="1825" spans="1:10">
      <c r="A1825" s="19">
        <v>35870</v>
      </c>
      <c r="B1825" s="18" t="s">
        <v>39</v>
      </c>
      <c r="C1825" s="18" t="s">
        <v>41</v>
      </c>
      <c r="D1825" s="18" t="s">
        <v>53</v>
      </c>
      <c r="E1825" s="18" t="s">
        <v>54</v>
      </c>
      <c r="F1825" s="18" t="s">
        <v>48</v>
      </c>
      <c r="G1825" s="18" t="s">
        <v>31</v>
      </c>
      <c r="H1825" s="18">
        <v>81</v>
      </c>
      <c r="I1825" s="20">
        <v>50</v>
      </c>
      <c r="J1825" s="21">
        <v>4050</v>
      </c>
    </row>
    <row r="1826" spans="1:10">
      <c r="A1826" s="19">
        <v>35870</v>
      </c>
      <c r="B1826" s="18" t="s">
        <v>39</v>
      </c>
      <c r="C1826" s="18" t="s">
        <v>44</v>
      </c>
      <c r="D1826" s="18" t="s">
        <v>53</v>
      </c>
      <c r="E1826" s="18" t="s">
        <v>55</v>
      </c>
      <c r="F1826" s="18" t="s">
        <v>49</v>
      </c>
      <c r="G1826" s="18" t="s">
        <v>38</v>
      </c>
      <c r="H1826" s="18">
        <v>25</v>
      </c>
      <c r="I1826" s="20">
        <v>16</v>
      </c>
      <c r="J1826" s="21">
        <v>400</v>
      </c>
    </row>
    <row r="1827" spans="1:10">
      <c r="A1827" s="19">
        <v>35870</v>
      </c>
      <c r="B1827" s="18" t="s">
        <v>39</v>
      </c>
      <c r="C1827" s="18" t="s">
        <v>46</v>
      </c>
      <c r="D1827" s="18" t="s">
        <v>53</v>
      </c>
      <c r="E1827" s="18" t="s">
        <v>56</v>
      </c>
      <c r="F1827" s="18" t="s">
        <v>49</v>
      </c>
      <c r="G1827" s="18" t="s">
        <v>38</v>
      </c>
      <c r="H1827" s="18">
        <v>45.6</v>
      </c>
      <c r="I1827" s="20">
        <v>2</v>
      </c>
      <c r="J1827" s="21">
        <v>91.2</v>
      </c>
    </row>
    <row r="1828" spans="1:10">
      <c r="A1828" s="19">
        <v>35870</v>
      </c>
      <c r="B1828" s="18" t="s">
        <v>39</v>
      </c>
      <c r="C1828" s="18" t="s">
        <v>47</v>
      </c>
      <c r="D1828" s="18" t="s">
        <v>53</v>
      </c>
      <c r="E1828" s="18" t="s">
        <v>57</v>
      </c>
      <c r="F1828" s="18" t="s">
        <v>48</v>
      </c>
      <c r="G1828" s="18" t="s">
        <v>31</v>
      </c>
      <c r="H1828" s="18">
        <v>2.5</v>
      </c>
      <c r="I1828" s="20">
        <v>15</v>
      </c>
      <c r="J1828" s="21">
        <v>37.5</v>
      </c>
    </row>
    <row r="1829" spans="1:10">
      <c r="A1829" s="19">
        <v>35870</v>
      </c>
      <c r="B1829" s="18" t="s">
        <v>26</v>
      </c>
      <c r="C1829" s="18" t="s">
        <v>27</v>
      </c>
      <c r="D1829" s="18" t="s">
        <v>53</v>
      </c>
      <c r="E1829" s="18" t="s">
        <v>54</v>
      </c>
      <c r="F1829" s="18" t="s">
        <v>48</v>
      </c>
      <c r="G1829" s="18" t="s">
        <v>31</v>
      </c>
      <c r="H1829" s="18">
        <v>7.75</v>
      </c>
      <c r="I1829" s="20">
        <v>50</v>
      </c>
      <c r="J1829" s="21">
        <v>387.5</v>
      </c>
    </row>
    <row r="1830" spans="1:10">
      <c r="A1830" s="19">
        <v>35870</v>
      </c>
      <c r="B1830" s="18" t="s">
        <v>26</v>
      </c>
      <c r="C1830" s="18" t="s">
        <v>32</v>
      </c>
      <c r="D1830" s="18" t="s">
        <v>53</v>
      </c>
      <c r="E1830" s="18" t="s">
        <v>55</v>
      </c>
      <c r="F1830" s="18" t="s">
        <v>48</v>
      </c>
      <c r="G1830" s="18" t="s">
        <v>31</v>
      </c>
      <c r="H1830" s="18">
        <v>12.5</v>
      </c>
      <c r="I1830" s="20">
        <v>50</v>
      </c>
      <c r="J1830" s="21">
        <v>625</v>
      </c>
    </row>
    <row r="1831" spans="1:10">
      <c r="A1831" s="19">
        <v>35870</v>
      </c>
      <c r="B1831" s="18" t="s">
        <v>26</v>
      </c>
      <c r="C1831" s="18" t="s">
        <v>34</v>
      </c>
      <c r="D1831" s="18" t="s">
        <v>53</v>
      </c>
      <c r="E1831" s="18" t="s">
        <v>56</v>
      </c>
      <c r="F1831" s="18" t="s">
        <v>48</v>
      </c>
      <c r="G1831" s="18" t="s">
        <v>31</v>
      </c>
      <c r="H1831" s="18">
        <v>9.65</v>
      </c>
      <c r="I1831" s="20">
        <v>6</v>
      </c>
      <c r="J1831" s="21">
        <v>57.900000000000006</v>
      </c>
    </row>
    <row r="1832" spans="1:10">
      <c r="A1832" s="19">
        <v>35870</v>
      </c>
      <c r="B1832" s="18" t="s">
        <v>26</v>
      </c>
      <c r="C1832" s="18" t="s">
        <v>36</v>
      </c>
      <c r="D1832" s="18" t="s">
        <v>53</v>
      </c>
      <c r="E1832" s="18" t="s">
        <v>57</v>
      </c>
      <c r="F1832" s="18" t="s">
        <v>49</v>
      </c>
      <c r="G1832" s="18" t="s">
        <v>38</v>
      </c>
      <c r="H1832" s="18">
        <v>22</v>
      </c>
      <c r="I1832" s="20">
        <v>5</v>
      </c>
      <c r="J1832" s="21">
        <v>110</v>
      </c>
    </row>
    <row r="1833" spans="1:10">
      <c r="A1833" s="19">
        <v>35871</v>
      </c>
      <c r="B1833" s="18" t="s">
        <v>39</v>
      </c>
      <c r="C1833" s="18" t="s">
        <v>40</v>
      </c>
      <c r="D1833" s="18" t="s">
        <v>53</v>
      </c>
      <c r="E1833" s="18" t="s">
        <v>54</v>
      </c>
      <c r="F1833" s="18" t="s">
        <v>30</v>
      </c>
      <c r="G1833" s="18" t="s">
        <v>31</v>
      </c>
      <c r="H1833" s="18">
        <v>17.45</v>
      </c>
      <c r="I1833" s="20">
        <v>28</v>
      </c>
      <c r="J1833" s="21">
        <v>488.59999999999997</v>
      </c>
    </row>
    <row r="1834" spans="1:10">
      <c r="A1834" s="19">
        <v>35871</v>
      </c>
      <c r="B1834" s="18" t="s">
        <v>39</v>
      </c>
      <c r="C1834" s="18" t="s">
        <v>41</v>
      </c>
      <c r="D1834" s="18" t="s">
        <v>53</v>
      </c>
      <c r="E1834" s="18" t="s">
        <v>55</v>
      </c>
      <c r="F1834" s="18" t="s">
        <v>37</v>
      </c>
      <c r="G1834" s="18" t="s">
        <v>38</v>
      </c>
      <c r="H1834" s="18">
        <v>9.5</v>
      </c>
      <c r="I1834" s="20">
        <v>14</v>
      </c>
      <c r="J1834" s="21">
        <v>133</v>
      </c>
    </row>
    <row r="1835" spans="1:10">
      <c r="A1835" s="19">
        <v>35871</v>
      </c>
      <c r="B1835" s="18" t="s">
        <v>39</v>
      </c>
      <c r="C1835" s="18" t="s">
        <v>44</v>
      </c>
      <c r="D1835" s="18" t="s">
        <v>53</v>
      </c>
      <c r="E1835" s="18" t="s">
        <v>56</v>
      </c>
      <c r="F1835" s="18" t="s">
        <v>30</v>
      </c>
      <c r="G1835" s="18" t="s">
        <v>31</v>
      </c>
      <c r="H1835" s="18">
        <v>34</v>
      </c>
      <c r="I1835" s="20">
        <v>24</v>
      </c>
      <c r="J1835" s="21">
        <v>816</v>
      </c>
    </row>
    <row r="1836" spans="1:10">
      <c r="A1836" s="19">
        <v>35871</v>
      </c>
      <c r="B1836" s="18" t="s">
        <v>39</v>
      </c>
      <c r="C1836" s="18" t="s">
        <v>46</v>
      </c>
      <c r="D1836" s="18" t="s">
        <v>53</v>
      </c>
      <c r="E1836" s="18" t="s">
        <v>57</v>
      </c>
      <c r="F1836" s="18" t="s">
        <v>37</v>
      </c>
      <c r="G1836" s="18" t="s">
        <v>38</v>
      </c>
      <c r="H1836" s="18">
        <v>10</v>
      </c>
      <c r="I1836" s="20">
        <v>12</v>
      </c>
      <c r="J1836" s="21">
        <v>120</v>
      </c>
    </row>
    <row r="1837" spans="1:10">
      <c r="A1837" s="19">
        <v>35871</v>
      </c>
      <c r="B1837" s="18" t="s">
        <v>39</v>
      </c>
      <c r="C1837" s="18" t="s">
        <v>47</v>
      </c>
      <c r="D1837" s="18" t="s">
        <v>53</v>
      </c>
      <c r="E1837" s="18" t="s">
        <v>54</v>
      </c>
      <c r="F1837" s="18" t="s">
        <v>50</v>
      </c>
      <c r="G1837" s="18" t="s">
        <v>31</v>
      </c>
      <c r="H1837" s="18">
        <v>7.75</v>
      </c>
      <c r="I1837" s="20">
        <v>12</v>
      </c>
      <c r="J1837" s="21">
        <v>93</v>
      </c>
    </row>
    <row r="1838" spans="1:10">
      <c r="A1838" s="19">
        <v>35871</v>
      </c>
      <c r="B1838" s="18" t="s">
        <v>26</v>
      </c>
      <c r="C1838" s="18" t="s">
        <v>27</v>
      </c>
      <c r="D1838" s="18" t="s">
        <v>53</v>
      </c>
      <c r="E1838" s="18" t="s">
        <v>55</v>
      </c>
      <c r="F1838" s="18" t="s">
        <v>30</v>
      </c>
      <c r="G1838" s="18" t="s">
        <v>31</v>
      </c>
      <c r="H1838" s="18">
        <v>12.5</v>
      </c>
      <c r="I1838" s="20">
        <v>25</v>
      </c>
      <c r="J1838" s="21">
        <v>312.5</v>
      </c>
    </row>
    <row r="1839" spans="1:10">
      <c r="A1839" s="19">
        <v>35871</v>
      </c>
      <c r="B1839" s="18" t="s">
        <v>26</v>
      </c>
      <c r="C1839" s="18" t="s">
        <v>32</v>
      </c>
      <c r="D1839" s="18" t="s">
        <v>53</v>
      </c>
      <c r="E1839" s="18" t="s">
        <v>56</v>
      </c>
      <c r="F1839" s="18" t="s">
        <v>30</v>
      </c>
      <c r="G1839" s="18" t="s">
        <v>31</v>
      </c>
      <c r="H1839" s="18">
        <v>9.5</v>
      </c>
      <c r="I1839" s="20">
        <v>30</v>
      </c>
      <c r="J1839" s="21">
        <v>285</v>
      </c>
    </row>
    <row r="1840" spans="1:10">
      <c r="A1840" s="19">
        <v>35871</v>
      </c>
      <c r="B1840" s="18" t="s">
        <v>26</v>
      </c>
      <c r="C1840" s="18" t="s">
        <v>34</v>
      </c>
      <c r="D1840" s="18" t="s">
        <v>53</v>
      </c>
      <c r="E1840" s="18" t="s">
        <v>57</v>
      </c>
      <c r="F1840" s="18" t="s">
        <v>37</v>
      </c>
      <c r="G1840" s="18" t="s">
        <v>38</v>
      </c>
      <c r="H1840" s="18">
        <v>53</v>
      </c>
      <c r="I1840" s="20">
        <v>8</v>
      </c>
      <c r="J1840" s="21">
        <v>424</v>
      </c>
    </row>
    <row r="1841" spans="1:10">
      <c r="A1841" s="19">
        <v>35872</v>
      </c>
      <c r="B1841" s="18" t="s">
        <v>26</v>
      </c>
      <c r="C1841" s="18" t="s">
        <v>36</v>
      </c>
      <c r="D1841" s="18" t="s">
        <v>53</v>
      </c>
      <c r="E1841" s="18" t="s">
        <v>56</v>
      </c>
      <c r="F1841" s="18" t="s">
        <v>52</v>
      </c>
      <c r="G1841" s="18" t="s">
        <v>31</v>
      </c>
      <c r="H1841" s="18">
        <v>30</v>
      </c>
      <c r="I1841" s="20">
        <v>6</v>
      </c>
      <c r="J1841" s="21">
        <v>180</v>
      </c>
    </row>
    <row r="1842" spans="1:10">
      <c r="A1842" s="19">
        <v>35872</v>
      </c>
      <c r="B1842" s="18" t="s">
        <v>39</v>
      </c>
      <c r="C1842" s="18" t="s">
        <v>40</v>
      </c>
      <c r="D1842" s="18" t="s">
        <v>53</v>
      </c>
      <c r="E1842" s="18" t="s">
        <v>54</v>
      </c>
      <c r="F1842" s="18" t="s">
        <v>50</v>
      </c>
      <c r="G1842" s="18" t="s">
        <v>31</v>
      </c>
      <c r="H1842" s="18">
        <v>33.25</v>
      </c>
      <c r="I1842" s="20">
        <v>8</v>
      </c>
      <c r="J1842" s="21">
        <v>266</v>
      </c>
    </row>
    <row r="1843" spans="1:10">
      <c r="A1843" s="19">
        <v>35872</v>
      </c>
      <c r="B1843" s="18" t="s">
        <v>39</v>
      </c>
      <c r="C1843" s="18" t="s">
        <v>41</v>
      </c>
      <c r="D1843" s="18" t="s">
        <v>53</v>
      </c>
      <c r="E1843" s="18" t="s">
        <v>55</v>
      </c>
      <c r="F1843" s="18" t="s">
        <v>50</v>
      </c>
      <c r="G1843" s="18" t="s">
        <v>31</v>
      </c>
      <c r="H1843" s="18">
        <v>25.89</v>
      </c>
      <c r="I1843" s="20">
        <v>30</v>
      </c>
      <c r="J1843" s="21">
        <v>776.7</v>
      </c>
    </row>
    <row r="1844" spans="1:10">
      <c r="A1844" s="19">
        <v>35872</v>
      </c>
      <c r="B1844" s="18" t="s">
        <v>39</v>
      </c>
      <c r="C1844" s="18" t="s">
        <v>44</v>
      </c>
      <c r="D1844" s="18" t="s">
        <v>53</v>
      </c>
      <c r="E1844" s="18" t="s">
        <v>56</v>
      </c>
      <c r="F1844" s="18" t="s">
        <v>52</v>
      </c>
      <c r="G1844" s="18" t="s">
        <v>31</v>
      </c>
      <c r="H1844" s="18">
        <v>21.35</v>
      </c>
      <c r="I1844" s="20">
        <v>20</v>
      </c>
      <c r="J1844" s="21">
        <v>427</v>
      </c>
    </row>
    <row r="1845" spans="1:10">
      <c r="A1845" s="19">
        <v>35872</v>
      </c>
      <c r="B1845" s="18" t="s">
        <v>39</v>
      </c>
      <c r="C1845" s="18" t="s">
        <v>46</v>
      </c>
      <c r="D1845" s="18" t="s">
        <v>53</v>
      </c>
      <c r="E1845" s="18" t="s">
        <v>57</v>
      </c>
      <c r="F1845" s="18" t="s">
        <v>50</v>
      </c>
      <c r="G1845" s="18" t="s">
        <v>31</v>
      </c>
      <c r="H1845" s="18">
        <v>18</v>
      </c>
      <c r="I1845" s="20">
        <v>40</v>
      </c>
      <c r="J1845" s="21">
        <v>720</v>
      </c>
    </row>
    <row r="1846" spans="1:10">
      <c r="A1846" s="19">
        <v>35872</v>
      </c>
      <c r="B1846" s="18" t="s">
        <v>39</v>
      </c>
      <c r="C1846" s="18" t="s">
        <v>47</v>
      </c>
      <c r="D1846" s="18" t="s">
        <v>53</v>
      </c>
      <c r="E1846" s="18" t="s">
        <v>54</v>
      </c>
      <c r="F1846" s="18" t="s">
        <v>37</v>
      </c>
      <c r="G1846" s="18" t="s">
        <v>38</v>
      </c>
      <c r="H1846" s="18">
        <v>7.75</v>
      </c>
      <c r="I1846" s="20">
        <v>20</v>
      </c>
      <c r="J1846" s="21">
        <v>155</v>
      </c>
    </row>
    <row r="1847" spans="1:10">
      <c r="A1847" s="19">
        <v>35872</v>
      </c>
      <c r="B1847" s="18" t="s">
        <v>26</v>
      </c>
      <c r="C1847" s="18" t="s">
        <v>27</v>
      </c>
      <c r="D1847" s="18" t="s">
        <v>53</v>
      </c>
      <c r="E1847" s="18" t="s">
        <v>55</v>
      </c>
      <c r="F1847" s="18" t="s">
        <v>52</v>
      </c>
      <c r="G1847" s="18" t="s">
        <v>31</v>
      </c>
      <c r="H1847" s="18">
        <v>34.799999999999997</v>
      </c>
      <c r="I1847" s="20">
        <v>5</v>
      </c>
      <c r="J1847" s="21">
        <v>174</v>
      </c>
    </row>
    <row r="1848" spans="1:10">
      <c r="A1848" s="19">
        <v>35873</v>
      </c>
      <c r="B1848" s="18" t="s">
        <v>26</v>
      </c>
      <c r="C1848" s="18" t="s">
        <v>32</v>
      </c>
      <c r="D1848" s="18" t="s">
        <v>53</v>
      </c>
      <c r="E1848" s="18" t="s">
        <v>56</v>
      </c>
      <c r="F1848" s="18" t="s">
        <v>50</v>
      </c>
      <c r="G1848" s="18" t="s">
        <v>31</v>
      </c>
      <c r="H1848" s="18">
        <v>30</v>
      </c>
      <c r="I1848" s="20">
        <v>45</v>
      </c>
      <c r="J1848" s="21">
        <v>1350</v>
      </c>
    </row>
    <row r="1849" spans="1:10">
      <c r="A1849" s="19">
        <v>35873</v>
      </c>
      <c r="B1849" s="18" t="s">
        <v>26</v>
      </c>
      <c r="C1849" s="18" t="s">
        <v>34</v>
      </c>
      <c r="D1849" s="18" t="s">
        <v>53</v>
      </c>
      <c r="E1849" s="18" t="s">
        <v>57</v>
      </c>
      <c r="F1849" s="18" t="s">
        <v>50</v>
      </c>
      <c r="G1849" s="18" t="s">
        <v>31</v>
      </c>
      <c r="H1849" s="18">
        <v>36</v>
      </c>
      <c r="I1849" s="20">
        <v>9</v>
      </c>
      <c r="J1849" s="21">
        <v>324</v>
      </c>
    </row>
    <row r="1850" spans="1:10">
      <c r="A1850" s="19">
        <v>35873</v>
      </c>
      <c r="B1850" s="18" t="s">
        <v>26</v>
      </c>
      <c r="C1850" s="18" t="s">
        <v>36</v>
      </c>
      <c r="D1850" s="18" t="s">
        <v>53</v>
      </c>
      <c r="E1850" s="18" t="s">
        <v>54</v>
      </c>
      <c r="F1850" s="18" t="s">
        <v>48</v>
      </c>
      <c r="G1850" s="18" t="s">
        <v>31</v>
      </c>
      <c r="H1850" s="18">
        <v>34</v>
      </c>
      <c r="I1850" s="20">
        <v>2</v>
      </c>
      <c r="J1850" s="21">
        <v>68</v>
      </c>
    </row>
    <row r="1851" spans="1:10">
      <c r="A1851" s="19">
        <v>35873</v>
      </c>
      <c r="B1851" s="18" t="s">
        <v>39</v>
      </c>
      <c r="C1851" s="18" t="s">
        <v>40</v>
      </c>
      <c r="D1851" s="18" t="s">
        <v>53</v>
      </c>
      <c r="E1851" s="18" t="s">
        <v>55</v>
      </c>
      <c r="F1851" s="18" t="s">
        <v>50</v>
      </c>
      <c r="G1851" s="18" t="s">
        <v>31</v>
      </c>
      <c r="H1851" s="18">
        <v>6</v>
      </c>
      <c r="I1851" s="20">
        <v>77</v>
      </c>
      <c r="J1851" s="21">
        <v>462</v>
      </c>
    </row>
    <row r="1852" spans="1:10">
      <c r="A1852" s="19">
        <v>35873</v>
      </c>
      <c r="B1852" s="18" t="s">
        <v>39</v>
      </c>
      <c r="C1852" s="18" t="s">
        <v>41</v>
      </c>
      <c r="D1852" s="18" t="s">
        <v>53</v>
      </c>
      <c r="E1852" s="18" t="s">
        <v>56</v>
      </c>
      <c r="F1852" s="18" t="s">
        <v>50</v>
      </c>
      <c r="G1852" s="18" t="s">
        <v>31</v>
      </c>
      <c r="H1852" s="18">
        <v>18</v>
      </c>
      <c r="I1852" s="20">
        <v>60</v>
      </c>
      <c r="J1852" s="21">
        <v>1080</v>
      </c>
    </row>
    <row r="1853" spans="1:10">
      <c r="A1853" s="19">
        <v>35873</v>
      </c>
      <c r="B1853" s="18" t="s">
        <v>39</v>
      </c>
      <c r="C1853" s="18" t="s">
        <v>44</v>
      </c>
      <c r="D1853" s="18" t="s">
        <v>53</v>
      </c>
      <c r="E1853" s="18" t="s">
        <v>57</v>
      </c>
      <c r="F1853" s="18" t="s">
        <v>50</v>
      </c>
      <c r="G1853" s="18" t="s">
        <v>31</v>
      </c>
      <c r="H1853" s="18">
        <v>18</v>
      </c>
      <c r="I1853" s="20">
        <v>44</v>
      </c>
      <c r="J1853" s="21">
        <v>792</v>
      </c>
    </row>
    <row r="1854" spans="1:10">
      <c r="A1854" s="19">
        <v>35873</v>
      </c>
      <c r="B1854" s="18" t="s">
        <v>39</v>
      </c>
      <c r="C1854" s="18" t="s">
        <v>46</v>
      </c>
      <c r="D1854" s="18" t="s">
        <v>53</v>
      </c>
      <c r="E1854" s="18" t="s">
        <v>54</v>
      </c>
      <c r="F1854" s="18" t="s">
        <v>45</v>
      </c>
      <c r="G1854" s="18" t="s">
        <v>38</v>
      </c>
      <c r="H1854" s="18">
        <v>4.5</v>
      </c>
      <c r="I1854" s="20">
        <v>10</v>
      </c>
      <c r="J1854" s="21">
        <v>45</v>
      </c>
    </row>
    <row r="1855" spans="1:10">
      <c r="A1855" s="19">
        <v>35873</v>
      </c>
      <c r="B1855" s="18" t="s">
        <v>39</v>
      </c>
      <c r="C1855" s="18" t="s">
        <v>47</v>
      </c>
      <c r="D1855" s="18" t="s">
        <v>53</v>
      </c>
      <c r="E1855" s="18" t="s">
        <v>55</v>
      </c>
      <c r="F1855" s="18" t="s">
        <v>50</v>
      </c>
      <c r="G1855" s="18" t="s">
        <v>31</v>
      </c>
      <c r="H1855" s="18">
        <v>7</v>
      </c>
      <c r="I1855" s="20">
        <v>6</v>
      </c>
      <c r="J1855" s="21">
        <v>42</v>
      </c>
    </row>
    <row r="1856" spans="1:10">
      <c r="A1856" s="19">
        <v>35873</v>
      </c>
      <c r="B1856" s="18" t="s">
        <v>26</v>
      </c>
      <c r="C1856" s="18" t="s">
        <v>27</v>
      </c>
      <c r="D1856" s="18" t="s">
        <v>53</v>
      </c>
      <c r="E1856" s="18" t="s">
        <v>56</v>
      </c>
      <c r="F1856" s="18" t="s">
        <v>45</v>
      </c>
      <c r="G1856" s="18" t="s">
        <v>38</v>
      </c>
      <c r="H1856" s="18">
        <v>9.65</v>
      </c>
      <c r="I1856" s="20">
        <v>24</v>
      </c>
      <c r="J1856" s="21">
        <v>231.60000000000002</v>
      </c>
    </row>
    <row r="1857" spans="1:10">
      <c r="A1857" s="19">
        <v>35873</v>
      </c>
      <c r="B1857" s="18" t="s">
        <v>26</v>
      </c>
      <c r="C1857" s="18" t="s">
        <v>32</v>
      </c>
      <c r="D1857" s="18" t="s">
        <v>53</v>
      </c>
      <c r="E1857" s="18" t="s">
        <v>57</v>
      </c>
      <c r="F1857" s="18" t="s">
        <v>50</v>
      </c>
      <c r="G1857" s="18" t="s">
        <v>31</v>
      </c>
      <c r="H1857" s="18">
        <v>32.799999999999997</v>
      </c>
      <c r="I1857" s="20">
        <v>20</v>
      </c>
      <c r="J1857" s="21">
        <v>656</v>
      </c>
    </row>
    <row r="1858" spans="1:10">
      <c r="A1858" s="19">
        <v>35874</v>
      </c>
      <c r="B1858" s="18" t="s">
        <v>26</v>
      </c>
      <c r="C1858" s="18" t="s">
        <v>34</v>
      </c>
      <c r="D1858" s="18" t="s">
        <v>53</v>
      </c>
      <c r="E1858" s="18" t="s">
        <v>54</v>
      </c>
      <c r="F1858" s="18" t="s">
        <v>42</v>
      </c>
      <c r="G1858" s="18" t="s">
        <v>43</v>
      </c>
      <c r="H1858" s="18">
        <v>38</v>
      </c>
      <c r="I1858" s="20">
        <v>12</v>
      </c>
      <c r="J1858" s="21">
        <v>456</v>
      </c>
    </row>
    <row r="1859" spans="1:10">
      <c r="A1859" s="19">
        <v>35874</v>
      </c>
      <c r="B1859" s="18" t="s">
        <v>26</v>
      </c>
      <c r="C1859" s="18" t="s">
        <v>36</v>
      </c>
      <c r="D1859" s="18" t="s">
        <v>53</v>
      </c>
      <c r="E1859" s="18" t="s">
        <v>55</v>
      </c>
      <c r="F1859" s="18" t="s">
        <v>42</v>
      </c>
      <c r="G1859" s="18" t="s">
        <v>43</v>
      </c>
      <c r="H1859" s="18">
        <v>26</v>
      </c>
      <c r="I1859" s="20">
        <v>8</v>
      </c>
      <c r="J1859" s="21">
        <v>208</v>
      </c>
    </row>
    <row r="1860" spans="1:10">
      <c r="A1860" s="19">
        <v>35874</v>
      </c>
      <c r="B1860" s="18" t="s">
        <v>39</v>
      </c>
      <c r="C1860" s="18" t="s">
        <v>40</v>
      </c>
      <c r="D1860" s="18" t="s">
        <v>53</v>
      </c>
      <c r="E1860" s="18" t="s">
        <v>56</v>
      </c>
      <c r="F1860" s="18" t="s">
        <v>45</v>
      </c>
      <c r="G1860" s="18" t="s">
        <v>38</v>
      </c>
      <c r="H1860" s="18">
        <v>36</v>
      </c>
      <c r="I1860" s="20">
        <v>10</v>
      </c>
      <c r="J1860" s="21">
        <v>360</v>
      </c>
    </row>
    <row r="1861" spans="1:10">
      <c r="A1861" s="19">
        <v>35874</v>
      </c>
      <c r="B1861" s="18" t="s">
        <v>39</v>
      </c>
      <c r="C1861" s="18" t="s">
        <v>41</v>
      </c>
      <c r="D1861" s="18" t="s">
        <v>53</v>
      </c>
      <c r="E1861" s="18" t="s">
        <v>57</v>
      </c>
      <c r="F1861" s="18" t="s">
        <v>45</v>
      </c>
      <c r="G1861" s="18" t="s">
        <v>38</v>
      </c>
      <c r="H1861" s="18">
        <v>263.5</v>
      </c>
      <c r="I1861" s="20">
        <v>5</v>
      </c>
      <c r="J1861" s="21">
        <v>1317.5</v>
      </c>
    </row>
    <row r="1862" spans="1:10">
      <c r="A1862" s="19">
        <v>35874</v>
      </c>
      <c r="B1862" s="18" t="s">
        <v>39</v>
      </c>
      <c r="C1862" s="18" t="s">
        <v>44</v>
      </c>
      <c r="D1862" s="18" t="s">
        <v>53</v>
      </c>
      <c r="E1862" s="18" t="s">
        <v>54</v>
      </c>
      <c r="F1862" s="18" t="s">
        <v>45</v>
      </c>
      <c r="G1862" s="18" t="s">
        <v>38</v>
      </c>
      <c r="H1862" s="18">
        <v>62.5</v>
      </c>
      <c r="I1862" s="20">
        <v>6</v>
      </c>
      <c r="J1862" s="21">
        <v>375</v>
      </c>
    </row>
    <row r="1863" spans="1:10">
      <c r="A1863" s="19">
        <v>35874</v>
      </c>
      <c r="B1863" s="18" t="s">
        <v>39</v>
      </c>
      <c r="C1863" s="18" t="s">
        <v>46</v>
      </c>
      <c r="D1863" s="18" t="s">
        <v>53</v>
      </c>
      <c r="E1863" s="18" t="s">
        <v>55</v>
      </c>
      <c r="F1863" s="18" t="s">
        <v>42</v>
      </c>
      <c r="G1863" s="18" t="s">
        <v>43</v>
      </c>
      <c r="H1863" s="18">
        <v>49.3</v>
      </c>
      <c r="I1863" s="20">
        <v>12</v>
      </c>
      <c r="J1863" s="21">
        <v>591.59999999999991</v>
      </c>
    </row>
    <row r="1864" spans="1:10">
      <c r="A1864" s="19">
        <v>35874</v>
      </c>
      <c r="B1864" s="18" t="s">
        <v>39</v>
      </c>
      <c r="C1864" s="18" t="s">
        <v>47</v>
      </c>
      <c r="D1864" s="18" t="s">
        <v>53</v>
      </c>
      <c r="E1864" s="18" t="s">
        <v>56</v>
      </c>
      <c r="F1864" s="18" t="s">
        <v>37</v>
      </c>
      <c r="G1864" s="18" t="s">
        <v>38</v>
      </c>
      <c r="H1864" s="18">
        <v>53</v>
      </c>
      <c r="I1864" s="20">
        <v>16</v>
      </c>
      <c r="J1864" s="21">
        <v>848</v>
      </c>
    </row>
    <row r="1865" spans="1:10">
      <c r="A1865" s="19">
        <v>35877</v>
      </c>
      <c r="B1865" s="18" t="s">
        <v>26</v>
      </c>
      <c r="C1865" s="18" t="s">
        <v>27</v>
      </c>
      <c r="D1865" s="18" t="s">
        <v>53</v>
      </c>
      <c r="E1865" s="18" t="s">
        <v>57</v>
      </c>
      <c r="F1865" s="18" t="s">
        <v>49</v>
      </c>
      <c r="G1865" s="18" t="s">
        <v>38</v>
      </c>
      <c r="H1865" s="18">
        <v>38</v>
      </c>
      <c r="I1865" s="20">
        <v>30</v>
      </c>
      <c r="J1865" s="21">
        <v>1140</v>
      </c>
    </row>
    <row r="1866" spans="1:10">
      <c r="A1866" s="19">
        <v>35877</v>
      </c>
      <c r="B1866" s="18" t="s">
        <v>26</v>
      </c>
      <c r="C1866" s="18" t="s">
        <v>32</v>
      </c>
      <c r="D1866" s="18" t="s">
        <v>53</v>
      </c>
      <c r="E1866" s="18" t="s">
        <v>54</v>
      </c>
      <c r="F1866" s="18" t="s">
        <v>49</v>
      </c>
      <c r="G1866" s="18" t="s">
        <v>38</v>
      </c>
      <c r="H1866" s="18">
        <v>33.25</v>
      </c>
      <c r="I1866" s="20">
        <v>4</v>
      </c>
      <c r="J1866" s="21">
        <v>133</v>
      </c>
    </row>
    <row r="1867" spans="1:10">
      <c r="A1867" s="19">
        <v>35877</v>
      </c>
      <c r="B1867" s="18" t="s">
        <v>26</v>
      </c>
      <c r="C1867" s="18" t="s">
        <v>34</v>
      </c>
      <c r="D1867" s="18" t="s">
        <v>53</v>
      </c>
      <c r="E1867" s="18" t="s">
        <v>55</v>
      </c>
      <c r="F1867" s="18" t="s">
        <v>49</v>
      </c>
      <c r="G1867" s="18" t="s">
        <v>38</v>
      </c>
      <c r="H1867" s="18">
        <v>12</v>
      </c>
      <c r="I1867" s="20">
        <v>9</v>
      </c>
      <c r="J1867" s="21">
        <v>108</v>
      </c>
    </row>
    <row r="1868" spans="1:10">
      <c r="A1868" s="19">
        <v>35877</v>
      </c>
      <c r="B1868" s="18" t="s">
        <v>26</v>
      </c>
      <c r="C1868" s="18" t="s">
        <v>36</v>
      </c>
      <c r="D1868" s="18" t="s">
        <v>53</v>
      </c>
      <c r="E1868" s="18" t="s">
        <v>56</v>
      </c>
      <c r="F1868" s="18" t="s">
        <v>49</v>
      </c>
      <c r="G1868" s="18" t="s">
        <v>38</v>
      </c>
      <c r="H1868" s="18">
        <v>4.5</v>
      </c>
      <c r="I1868" s="20">
        <v>30</v>
      </c>
      <c r="J1868" s="21">
        <v>135</v>
      </c>
    </row>
    <row r="1869" spans="1:10">
      <c r="A1869" s="19">
        <v>35877</v>
      </c>
      <c r="B1869" s="18" t="s">
        <v>39</v>
      </c>
      <c r="C1869" s="18" t="s">
        <v>40</v>
      </c>
      <c r="D1869" s="18" t="s">
        <v>53</v>
      </c>
      <c r="E1869" s="18" t="s">
        <v>57</v>
      </c>
      <c r="F1869" s="18" t="s">
        <v>51</v>
      </c>
      <c r="G1869" s="18" t="s">
        <v>43</v>
      </c>
      <c r="H1869" s="18">
        <v>20</v>
      </c>
      <c r="I1869" s="20">
        <v>40</v>
      </c>
      <c r="J1869" s="21">
        <v>800</v>
      </c>
    </row>
    <row r="1870" spans="1:10">
      <c r="A1870" s="19">
        <v>35877</v>
      </c>
      <c r="B1870" s="18" t="s">
        <v>39</v>
      </c>
      <c r="C1870" s="18" t="s">
        <v>41</v>
      </c>
      <c r="D1870" s="18" t="s">
        <v>53</v>
      </c>
      <c r="E1870" s="18" t="s">
        <v>56</v>
      </c>
      <c r="F1870" s="18" t="s">
        <v>51</v>
      </c>
      <c r="G1870" s="18" t="s">
        <v>43</v>
      </c>
      <c r="H1870" s="18">
        <v>9.1999999999999993</v>
      </c>
      <c r="I1870" s="20">
        <v>12</v>
      </c>
      <c r="J1870" s="21">
        <v>110.39999999999999</v>
      </c>
    </row>
    <row r="1871" spans="1:10">
      <c r="A1871" s="19">
        <v>35878</v>
      </c>
      <c r="B1871" s="18" t="s">
        <v>39</v>
      </c>
      <c r="C1871" s="18" t="s">
        <v>44</v>
      </c>
      <c r="D1871" s="18" t="s">
        <v>53</v>
      </c>
      <c r="E1871" s="18" t="s">
        <v>54</v>
      </c>
      <c r="F1871" s="18" t="s">
        <v>42</v>
      </c>
      <c r="G1871" s="18" t="s">
        <v>43</v>
      </c>
      <c r="H1871" s="18">
        <v>2.5</v>
      </c>
      <c r="I1871" s="20">
        <v>7</v>
      </c>
      <c r="J1871" s="21">
        <v>17.5</v>
      </c>
    </row>
    <row r="1872" spans="1:10">
      <c r="A1872" s="19">
        <v>35878</v>
      </c>
      <c r="B1872" s="18" t="s">
        <v>39</v>
      </c>
      <c r="C1872" s="18" t="s">
        <v>46</v>
      </c>
      <c r="D1872" s="18" t="s">
        <v>53</v>
      </c>
      <c r="E1872" s="18" t="s">
        <v>55</v>
      </c>
      <c r="F1872" s="18" t="s">
        <v>37</v>
      </c>
      <c r="G1872" s="18" t="s">
        <v>38</v>
      </c>
      <c r="H1872" s="18">
        <v>31.23</v>
      </c>
      <c r="I1872" s="20">
        <v>5</v>
      </c>
      <c r="J1872" s="21">
        <v>156.15</v>
      </c>
    </row>
    <row r="1873" spans="1:10">
      <c r="A1873" s="19">
        <v>35878</v>
      </c>
      <c r="B1873" s="18" t="s">
        <v>39</v>
      </c>
      <c r="C1873" s="18" t="s">
        <v>47</v>
      </c>
      <c r="D1873" s="18" t="s">
        <v>53</v>
      </c>
      <c r="E1873" s="18" t="s">
        <v>56</v>
      </c>
      <c r="F1873" s="18" t="s">
        <v>37</v>
      </c>
      <c r="G1873" s="18" t="s">
        <v>38</v>
      </c>
      <c r="H1873" s="18">
        <v>7.75</v>
      </c>
      <c r="I1873" s="20">
        <v>10</v>
      </c>
      <c r="J1873" s="21">
        <v>77.5</v>
      </c>
    </row>
    <row r="1874" spans="1:10">
      <c r="A1874" s="19">
        <v>35878</v>
      </c>
      <c r="B1874" s="18" t="s">
        <v>26</v>
      </c>
      <c r="C1874" s="18" t="s">
        <v>27</v>
      </c>
      <c r="D1874" s="18" t="s">
        <v>53</v>
      </c>
      <c r="E1874" s="18" t="s">
        <v>57</v>
      </c>
      <c r="F1874" s="18" t="s">
        <v>48</v>
      </c>
      <c r="G1874" s="18" t="s">
        <v>31</v>
      </c>
      <c r="H1874" s="18">
        <v>7</v>
      </c>
      <c r="I1874" s="20">
        <v>40</v>
      </c>
      <c r="J1874" s="21">
        <v>280</v>
      </c>
    </row>
    <row r="1875" spans="1:10">
      <c r="A1875" s="19">
        <v>35878</v>
      </c>
      <c r="B1875" s="18" t="s">
        <v>26</v>
      </c>
      <c r="C1875" s="18" t="s">
        <v>32</v>
      </c>
      <c r="D1875" s="18" t="s">
        <v>53</v>
      </c>
      <c r="E1875" s="18" t="s">
        <v>54</v>
      </c>
      <c r="F1875" s="18" t="s">
        <v>37</v>
      </c>
      <c r="G1875" s="18" t="s">
        <v>38</v>
      </c>
      <c r="H1875" s="18">
        <v>9.65</v>
      </c>
      <c r="I1875" s="20">
        <v>6</v>
      </c>
      <c r="J1875" s="21">
        <v>57.900000000000006</v>
      </c>
    </row>
    <row r="1876" spans="1:10">
      <c r="A1876" s="19">
        <v>35878</v>
      </c>
      <c r="B1876" s="18" t="s">
        <v>26</v>
      </c>
      <c r="C1876" s="18" t="s">
        <v>34</v>
      </c>
      <c r="D1876" s="18" t="s">
        <v>53</v>
      </c>
      <c r="E1876" s="18" t="s">
        <v>55</v>
      </c>
      <c r="F1876" s="18" t="s">
        <v>51</v>
      </c>
      <c r="G1876" s="18" t="s">
        <v>43</v>
      </c>
      <c r="H1876" s="18">
        <v>123.79</v>
      </c>
      <c r="I1876" s="20">
        <v>14</v>
      </c>
      <c r="J1876" s="21">
        <v>1733.0600000000002</v>
      </c>
    </row>
    <row r="1877" spans="1:10">
      <c r="A1877" s="19">
        <v>35878</v>
      </c>
      <c r="B1877" s="18" t="s">
        <v>26</v>
      </c>
      <c r="C1877" s="18" t="s">
        <v>36</v>
      </c>
      <c r="D1877" s="18" t="s">
        <v>53</v>
      </c>
      <c r="E1877" s="18" t="s">
        <v>56</v>
      </c>
      <c r="F1877" s="18" t="s">
        <v>42</v>
      </c>
      <c r="G1877" s="18" t="s">
        <v>43</v>
      </c>
      <c r="H1877" s="18">
        <v>39</v>
      </c>
      <c r="I1877" s="20">
        <v>6</v>
      </c>
      <c r="J1877" s="21">
        <v>234</v>
      </c>
    </row>
    <row r="1878" spans="1:10">
      <c r="A1878" s="19">
        <v>35879</v>
      </c>
      <c r="B1878" s="18" t="s">
        <v>39</v>
      </c>
      <c r="C1878" s="18" t="s">
        <v>40</v>
      </c>
      <c r="D1878" s="18" t="s">
        <v>53</v>
      </c>
      <c r="E1878" s="18" t="s">
        <v>57</v>
      </c>
      <c r="F1878" s="18" t="s">
        <v>49</v>
      </c>
      <c r="G1878" s="18" t="s">
        <v>38</v>
      </c>
      <c r="H1878" s="18">
        <v>40</v>
      </c>
      <c r="I1878" s="20">
        <v>16</v>
      </c>
      <c r="J1878" s="21">
        <v>640</v>
      </c>
    </row>
    <row r="1879" spans="1:10">
      <c r="A1879" s="19">
        <v>35879</v>
      </c>
      <c r="B1879" s="18" t="s">
        <v>39</v>
      </c>
      <c r="C1879" s="18" t="s">
        <v>41</v>
      </c>
      <c r="D1879" s="18" t="s">
        <v>53</v>
      </c>
      <c r="E1879" s="18" t="s">
        <v>54</v>
      </c>
      <c r="F1879" s="18" t="s">
        <v>49</v>
      </c>
      <c r="G1879" s="18" t="s">
        <v>38</v>
      </c>
      <c r="H1879" s="18">
        <v>45.6</v>
      </c>
      <c r="I1879" s="20">
        <v>20</v>
      </c>
      <c r="J1879" s="21">
        <v>912</v>
      </c>
    </row>
    <row r="1880" spans="1:10">
      <c r="A1880" s="19">
        <v>35879</v>
      </c>
      <c r="B1880" s="18" t="s">
        <v>39</v>
      </c>
      <c r="C1880" s="18" t="s">
        <v>44</v>
      </c>
      <c r="D1880" s="18" t="s">
        <v>53</v>
      </c>
      <c r="E1880" s="18" t="s">
        <v>55</v>
      </c>
      <c r="F1880" s="18" t="s">
        <v>49</v>
      </c>
      <c r="G1880" s="18" t="s">
        <v>38</v>
      </c>
      <c r="H1880" s="18">
        <v>7.75</v>
      </c>
      <c r="I1880" s="20">
        <v>10</v>
      </c>
      <c r="J1880" s="21">
        <v>77.5</v>
      </c>
    </row>
    <row r="1881" spans="1:10">
      <c r="A1881" s="19">
        <v>35879</v>
      </c>
      <c r="B1881" s="18" t="s">
        <v>39</v>
      </c>
      <c r="C1881" s="18" t="s">
        <v>46</v>
      </c>
      <c r="D1881" s="18" t="s">
        <v>53</v>
      </c>
      <c r="E1881" s="18" t="s">
        <v>56</v>
      </c>
      <c r="F1881" s="18" t="s">
        <v>45</v>
      </c>
      <c r="G1881" s="18" t="s">
        <v>38</v>
      </c>
      <c r="H1881" s="18">
        <v>43.9</v>
      </c>
      <c r="I1881" s="20">
        <v>10</v>
      </c>
      <c r="J1881" s="21">
        <v>439</v>
      </c>
    </row>
    <row r="1882" spans="1:10">
      <c r="A1882" s="19">
        <v>35880</v>
      </c>
      <c r="B1882" s="18" t="s">
        <v>39</v>
      </c>
      <c r="C1882" s="18" t="s">
        <v>47</v>
      </c>
      <c r="D1882" s="18" t="s">
        <v>53</v>
      </c>
      <c r="E1882" s="18" t="s">
        <v>57</v>
      </c>
      <c r="F1882" s="18" t="s">
        <v>50</v>
      </c>
      <c r="G1882" s="18" t="s">
        <v>31</v>
      </c>
      <c r="H1882" s="18">
        <v>9.5</v>
      </c>
      <c r="I1882" s="20">
        <v>30</v>
      </c>
      <c r="J1882" s="21">
        <v>285</v>
      </c>
    </row>
    <row r="1883" spans="1:10">
      <c r="A1883" s="19">
        <v>35880</v>
      </c>
      <c r="B1883" s="18" t="s">
        <v>26</v>
      </c>
      <c r="C1883" s="18" t="s">
        <v>27</v>
      </c>
      <c r="D1883" s="18" t="s">
        <v>53</v>
      </c>
      <c r="E1883" s="18" t="s">
        <v>54</v>
      </c>
      <c r="F1883" s="18" t="s">
        <v>50</v>
      </c>
      <c r="G1883" s="18" t="s">
        <v>31</v>
      </c>
      <c r="H1883" s="18">
        <v>38</v>
      </c>
      <c r="I1883" s="20">
        <v>20</v>
      </c>
      <c r="J1883" s="21">
        <v>760</v>
      </c>
    </row>
    <row r="1884" spans="1:10">
      <c r="A1884" s="19">
        <v>35880</v>
      </c>
      <c r="B1884" s="18" t="s">
        <v>26</v>
      </c>
      <c r="C1884" s="18" t="s">
        <v>32</v>
      </c>
      <c r="D1884" s="18" t="s">
        <v>53</v>
      </c>
      <c r="E1884" s="18" t="s">
        <v>55</v>
      </c>
      <c r="F1884" s="18" t="s">
        <v>50</v>
      </c>
      <c r="G1884" s="18" t="s">
        <v>31</v>
      </c>
      <c r="H1884" s="18">
        <v>30</v>
      </c>
      <c r="I1884" s="20">
        <v>18</v>
      </c>
      <c r="J1884" s="21">
        <v>540</v>
      </c>
    </row>
    <row r="1885" spans="1:10">
      <c r="A1885" s="19">
        <v>35880</v>
      </c>
      <c r="B1885" s="18" t="s">
        <v>26</v>
      </c>
      <c r="C1885" s="18" t="s">
        <v>34</v>
      </c>
      <c r="D1885" s="18" t="s">
        <v>53</v>
      </c>
      <c r="E1885" s="18" t="s">
        <v>56</v>
      </c>
      <c r="F1885" s="18" t="s">
        <v>48</v>
      </c>
      <c r="G1885" s="18" t="s">
        <v>31</v>
      </c>
      <c r="H1885" s="18">
        <v>19.45</v>
      </c>
      <c r="I1885" s="20">
        <v>6</v>
      </c>
      <c r="J1885" s="21">
        <v>116.69999999999999</v>
      </c>
    </row>
    <row r="1886" spans="1:10">
      <c r="A1886" s="19">
        <v>35880</v>
      </c>
      <c r="B1886" s="18" t="s">
        <v>26</v>
      </c>
      <c r="C1886" s="18" t="s">
        <v>36</v>
      </c>
      <c r="D1886" s="18" t="s">
        <v>53</v>
      </c>
      <c r="E1886" s="18" t="s">
        <v>57</v>
      </c>
      <c r="F1886" s="18" t="s">
        <v>48</v>
      </c>
      <c r="G1886" s="18" t="s">
        <v>31</v>
      </c>
      <c r="H1886" s="18">
        <v>40</v>
      </c>
      <c r="I1886" s="20">
        <v>20</v>
      </c>
      <c r="J1886" s="21">
        <v>800</v>
      </c>
    </row>
    <row r="1887" spans="1:10">
      <c r="A1887" s="19">
        <v>35880</v>
      </c>
      <c r="B1887" s="18" t="s">
        <v>39</v>
      </c>
      <c r="C1887" s="18" t="s">
        <v>40</v>
      </c>
      <c r="D1887" s="18" t="s">
        <v>53</v>
      </c>
      <c r="E1887" s="18" t="s">
        <v>54</v>
      </c>
      <c r="F1887" s="18" t="s">
        <v>48</v>
      </c>
      <c r="G1887" s="18" t="s">
        <v>31</v>
      </c>
      <c r="H1887" s="18">
        <v>10</v>
      </c>
      <c r="I1887" s="20">
        <v>40</v>
      </c>
      <c r="J1887" s="21">
        <v>400</v>
      </c>
    </row>
    <row r="1888" spans="1:10">
      <c r="A1888" s="19">
        <v>35880</v>
      </c>
      <c r="B1888" s="18" t="s">
        <v>39</v>
      </c>
      <c r="C1888" s="18" t="s">
        <v>41</v>
      </c>
      <c r="D1888" s="18" t="s">
        <v>53</v>
      </c>
      <c r="E1888" s="18" t="s">
        <v>55</v>
      </c>
      <c r="F1888" s="18" t="s">
        <v>50</v>
      </c>
      <c r="G1888" s="18" t="s">
        <v>31</v>
      </c>
      <c r="H1888" s="18">
        <v>43.9</v>
      </c>
      <c r="I1888" s="20">
        <v>30</v>
      </c>
      <c r="J1888" s="21">
        <v>1317</v>
      </c>
    </row>
    <row r="1889" spans="1:10">
      <c r="A1889" s="19">
        <v>35880</v>
      </c>
      <c r="B1889" s="18" t="s">
        <v>39</v>
      </c>
      <c r="C1889" s="18" t="s">
        <v>44</v>
      </c>
      <c r="D1889" s="18" t="s">
        <v>53</v>
      </c>
      <c r="E1889" s="18" t="s">
        <v>56</v>
      </c>
      <c r="F1889" s="18" t="s">
        <v>50</v>
      </c>
      <c r="G1889" s="18" t="s">
        <v>31</v>
      </c>
      <c r="H1889" s="18">
        <v>4.5</v>
      </c>
      <c r="I1889" s="20">
        <v>80</v>
      </c>
      <c r="J1889" s="21">
        <v>360</v>
      </c>
    </row>
    <row r="1890" spans="1:10">
      <c r="A1890" s="19">
        <v>35880</v>
      </c>
      <c r="B1890" s="18" t="s">
        <v>39</v>
      </c>
      <c r="C1890" s="18" t="s">
        <v>46</v>
      </c>
      <c r="D1890" s="18" t="s">
        <v>53</v>
      </c>
      <c r="E1890" s="18" t="s">
        <v>57</v>
      </c>
      <c r="F1890" s="18" t="s">
        <v>50</v>
      </c>
      <c r="G1890" s="18" t="s">
        <v>31</v>
      </c>
      <c r="H1890" s="18">
        <v>43.9</v>
      </c>
      <c r="I1890" s="20">
        <v>20</v>
      </c>
      <c r="J1890" s="21">
        <v>878</v>
      </c>
    </row>
    <row r="1891" spans="1:10">
      <c r="A1891" s="19">
        <v>35880</v>
      </c>
      <c r="B1891" s="18" t="s">
        <v>39</v>
      </c>
      <c r="C1891" s="18" t="s">
        <v>47</v>
      </c>
      <c r="D1891" s="18" t="s">
        <v>53</v>
      </c>
      <c r="E1891" s="18" t="s">
        <v>54</v>
      </c>
      <c r="F1891" s="18" t="s">
        <v>50</v>
      </c>
      <c r="G1891" s="18" t="s">
        <v>31</v>
      </c>
      <c r="H1891" s="18">
        <v>43.9</v>
      </c>
      <c r="I1891" s="20">
        <v>35</v>
      </c>
      <c r="J1891" s="21">
        <v>1536.5</v>
      </c>
    </row>
    <row r="1892" spans="1:10">
      <c r="A1892" s="19">
        <v>35880</v>
      </c>
      <c r="B1892" s="18" t="s">
        <v>26</v>
      </c>
      <c r="C1892" s="18" t="s">
        <v>27</v>
      </c>
      <c r="D1892" s="18" t="s">
        <v>53</v>
      </c>
      <c r="E1892" s="18" t="s">
        <v>55</v>
      </c>
      <c r="F1892" s="18" t="s">
        <v>50</v>
      </c>
      <c r="G1892" s="18" t="s">
        <v>31</v>
      </c>
      <c r="H1892" s="18">
        <v>12.5</v>
      </c>
      <c r="I1892" s="20">
        <v>24</v>
      </c>
      <c r="J1892" s="21">
        <v>300</v>
      </c>
    </row>
    <row r="1893" spans="1:10">
      <c r="A1893" s="19">
        <v>35880</v>
      </c>
      <c r="B1893" s="18" t="s">
        <v>26</v>
      </c>
      <c r="C1893" s="18" t="s">
        <v>32</v>
      </c>
      <c r="D1893" s="18" t="s">
        <v>53</v>
      </c>
      <c r="E1893" s="18" t="s">
        <v>56</v>
      </c>
      <c r="F1893" s="18" t="s">
        <v>48</v>
      </c>
      <c r="G1893" s="18" t="s">
        <v>31</v>
      </c>
      <c r="H1893" s="18">
        <v>18.399999999999999</v>
      </c>
      <c r="I1893" s="20">
        <v>10</v>
      </c>
      <c r="J1893" s="21">
        <v>184</v>
      </c>
    </row>
    <row r="1894" spans="1:10">
      <c r="A1894" s="19">
        <v>35880</v>
      </c>
      <c r="B1894" s="18" t="s">
        <v>26</v>
      </c>
      <c r="C1894" s="18" t="s">
        <v>34</v>
      </c>
      <c r="D1894" s="18" t="s">
        <v>53</v>
      </c>
      <c r="E1894" s="18" t="s">
        <v>57</v>
      </c>
      <c r="F1894" s="18" t="s">
        <v>50</v>
      </c>
      <c r="G1894" s="18" t="s">
        <v>31</v>
      </c>
      <c r="H1894" s="18">
        <v>18</v>
      </c>
      <c r="I1894" s="20">
        <v>30</v>
      </c>
      <c r="J1894" s="21">
        <v>540</v>
      </c>
    </row>
    <row r="1895" spans="1:10">
      <c r="A1895" s="19">
        <v>35880</v>
      </c>
      <c r="B1895" s="18" t="s">
        <v>26</v>
      </c>
      <c r="C1895" s="18" t="s">
        <v>36</v>
      </c>
      <c r="D1895" s="18" t="s">
        <v>53</v>
      </c>
      <c r="E1895" s="18" t="s">
        <v>54</v>
      </c>
      <c r="F1895" s="18" t="s">
        <v>50</v>
      </c>
      <c r="G1895" s="18" t="s">
        <v>31</v>
      </c>
      <c r="H1895" s="18">
        <v>53</v>
      </c>
      <c r="I1895" s="20">
        <v>10</v>
      </c>
      <c r="J1895" s="21">
        <v>530</v>
      </c>
    </row>
    <row r="1896" spans="1:10">
      <c r="A1896" s="19">
        <v>35881</v>
      </c>
      <c r="B1896" s="18" t="s">
        <v>39</v>
      </c>
      <c r="C1896" s="18" t="s">
        <v>40</v>
      </c>
      <c r="D1896" s="18" t="s">
        <v>53</v>
      </c>
      <c r="E1896" s="18" t="s">
        <v>55</v>
      </c>
      <c r="F1896" s="18" t="s">
        <v>51</v>
      </c>
      <c r="G1896" s="18" t="s">
        <v>43</v>
      </c>
      <c r="H1896" s="18">
        <v>30</v>
      </c>
      <c r="I1896" s="20">
        <v>20</v>
      </c>
      <c r="J1896" s="21">
        <v>600</v>
      </c>
    </row>
    <row r="1897" spans="1:10">
      <c r="A1897" s="19">
        <v>35881</v>
      </c>
      <c r="B1897" s="18" t="s">
        <v>39</v>
      </c>
      <c r="C1897" s="18" t="s">
        <v>41</v>
      </c>
      <c r="D1897" s="18" t="s">
        <v>53</v>
      </c>
      <c r="E1897" s="18" t="s">
        <v>56</v>
      </c>
      <c r="F1897" s="18" t="s">
        <v>51</v>
      </c>
      <c r="G1897" s="18" t="s">
        <v>43</v>
      </c>
      <c r="H1897" s="18">
        <v>46</v>
      </c>
      <c r="I1897" s="20">
        <v>9</v>
      </c>
      <c r="J1897" s="21">
        <v>414</v>
      </c>
    </row>
    <row r="1898" spans="1:10">
      <c r="A1898" s="19">
        <v>35881</v>
      </c>
      <c r="B1898" s="18" t="s">
        <v>39</v>
      </c>
      <c r="C1898" s="18" t="s">
        <v>44</v>
      </c>
      <c r="D1898" s="18" t="s">
        <v>53</v>
      </c>
      <c r="E1898" s="18" t="s">
        <v>57</v>
      </c>
      <c r="F1898" s="18" t="s">
        <v>51</v>
      </c>
      <c r="G1898" s="18" t="s">
        <v>43</v>
      </c>
      <c r="H1898" s="18">
        <v>6</v>
      </c>
      <c r="I1898" s="20">
        <v>84</v>
      </c>
      <c r="J1898" s="21">
        <v>504</v>
      </c>
    </row>
    <row r="1899" spans="1:10">
      <c r="A1899" s="19">
        <v>35881</v>
      </c>
      <c r="B1899" s="18" t="s">
        <v>39</v>
      </c>
      <c r="C1899" s="18" t="s">
        <v>46</v>
      </c>
      <c r="D1899" s="18" t="s">
        <v>53</v>
      </c>
      <c r="E1899" s="18" t="s">
        <v>56</v>
      </c>
      <c r="F1899" s="18" t="s">
        <v>49</v>
      </c>
      <c r="G1899" s="18" t="s">
        <v>38</v>
      </c>
      <c r="H1899" s="18">
        <v>263.5</v>
      </c>
      <c r="I1899" s="20">
        <v>60</v>
      </c>
      <c r="J1899" s="21">
        <v>15810</v>
      </c>
    </row>
    <row r="1900" spans="1:10">
      <c r="A1900" s="19">
        <v>35881</v>
      </c>
      <c r="B1900" s="18" t="s">
        <v>39</v>
      </c>
      <c r="C1900" s="18" t="s">
        <v>47</v>
      </c>
      <c r="D1900" s="18" t="s">
        <v>53</v>
      </c>
      <c r="E1900" s="18" t="s">
        <v>54</v>
      </c>
      <c r="F1900" s="18" t="s">
        <v>42</v>
      </c>
      <c r="G1900" s="18" t="s">
        <v>43</v>
      </c>
      <c r="H1900" s="18">
        <v>7.75</v>
      </c>
      <c r="I1900" s="20">
        <v>40</v>
      </c>
      <c r="J1900" s="21">
        <v>310</v>
      </c>
    </row>
    <row r="1901" spans="1:10">
      <c r="A1901" s="19">
        <v>35881</v>
      </c>
      <c r="B1901" s="18" t="s">
        <v>26</v>
      </c>
      <c r="C1901" s="18" t="s">
        <v>27</v>
      </c>
      <c r="D1901" s="18" t="s">
        <v>53</v>
      </c>
      <c r="E1901" s="18" t="s">
        <v>55</v>
      </c>
      <c r="F1901" s="18" t="s">
        <v>51</v>
      </c>
      <c r="G1901" s="18" t="s">
        <v>43</v>
      </c>
      <c r="H1901" s="18">
        <v>19.5</v>
      </c>
      <c r="I1901" s="20">
        <v>15</v>
      </c>
      <c r="J1901" s="21">
        <v>292.5</v>
      </c>
    </row>
    <row r="1902" spans="1:10">
      <c r="A1902" s="19">
        <v>35884</v>
      </c>
      <c r="B1902" s="18" t="s">
        <v>26</v>
      </c>
      <c r="C1902" s="18" t="s">
        <v>32</v>
      </c>
      <c r="D1902" s="18" t="s">
        <v>53</v>
      </c>
      <c r="E1902" s="18" t="s">
        <v>56</v>
      </c>
      <c r="F1902" s="18" t="s">
        <v>51</v>
      </c>
      <c r="G1902" s="18" t="s">
        <v>43</v>
      </c>
      <c r="H1902" s="18">
        <v>32</v>
      </c>
      <c r="I1902" s="20">
        <v>35</v>
      </c>
      <c r="J1902" s="21">
        <v>1120</v>
      </c>
    </row>
    <row r="1903" spans="1:10">
      <c r="A1903" s="19">
        <v>35884</v>
      </c>
      <c r="B1903" s="18" t="s">
        <v>26</v>
      </c>
      <c r="C1903" s="18" t="s">
        <v>34</v>
      </c>
      <c r="D1903" s="18" t="s">
        <v>53</v>
      </c>
      <c r="E1903" s="18" t="s">
        <v>57</v>
      </c>
      <c r="F1903" s="18" t="s">
        <v>49</v>
      </c>
      <c r="G1903" s="18" t="s">
        <v>38</v>
      </c>
      <c r="H1903" s="18">
        <v>17.45</v>
      </c>
      <c r="I1903" s="20">
        <v>55</v>
      </c>
      <c r="J1903" s="21">
        <v>959.75</v>
      </c>
    </row>
    <row r="1904" spans="1:10">
      <c r="A1904" s="19">
        <v>35884</v>
      </c>
      <c r="B1904" s="18" t="s">
        <v>26</v>
      </c>
      <c r="C1904" s="18" t="s">
        <v>36</v>
      </c>
      <c r="D1904" s="18" t="s">
        <v>53</v>
      </c>
      <c r="E1904" s="18" t="s">
        <v>54</v>
      </c>
      <c r="F1904" s="18" t="s">
        <v>51</v>
      </c>
      <c r="G1904" s="18" t="s">
        <v>43</v>
      </c>
      <c r="H1904" s="18">
        <v>17.45</v>
      </c>
      <c r="I1904" s="20">
        <v>36</v>
      </c>
      <c r="J1904" s="21">
        <v>628.19999999999993</v>
      </c>
    </row>
    <row r="1905" spans="1:10">
      <c r="A1905" s="19">
        <v>35884</v>
      </c>
      <c r="B1905" s="18" t="s">
        <v>39</v>
      </c>
      <c r="C1905" s="18" t="s">
        <v>40</v>
      </c>
      <c r="D1905" s="18" t="s">
        <v>53</v>
      </c>
      <c r="E1905" s="18" t="s">
        <v>55</v>
      </c>
      <c r="F1905" s="18" t="s">
        <v>50</v>
      </c>
      <c r="G1905" s="18" t="s">
        <v>31</v>
      </c>
      <c r="H1905" s="18">
        <v>21</v>
      </c>
      <c r="I1905" s="20">
        <v>30</v>
      </c>
      <c r="J1905" s="21">
        <v>630</v>
      </c>
    </row>
    <row r="1906" spans="1:10">
      <c r="A1906" s="19">
        <v>35884</v>
      </c>
      <c r="B1906" s="18" t="s">
        <v>39</v>
      </c>
      <c r="C1906" s="18" t="s">
        <v>41</v>
      </c>
      <c r="D1906" s="18" t="s">
        <v>53</v>
      </c>
      <c r="E1906" s="18" t="s">
        <v>56</v>
      </c>
      <c r="F1906" s="18" t="s">
        <v>50</v>
      </c>
      <c r="G1906" s="18" t="s">
        <v>31</v>
      </c>
      <c r="H1906" s="18">
        <v>81</v>
      </c>
      <c r="I1906" s="20">
        <v>15</v>
      </c>
      <c r="J1906" s="21">
        <v>1215</v>
      </c>
    </row>
    <row r="1907" spans="1:10">
      <c r="A1907" s="19">
        <v>35884</v>
      </c>
      <c r="B1907" s="18" t="s">
        <v>39</v>
      </c>
      <c r="C1907" s="18" t="s">
        <v>44</v>
      </c>
      <c r="D1907" s="18" t="s">
        <v>53</v>
      </c>
      <c r="E1907" s="18" t="s">
        <v>57</v>
      </c>
      <c r="F1907" s="18" t="s">
        <v>50</v>
      </c>
      <c r="G1907" s="18" t="s">
        <v>31</v>
      </c>
      <c r="H1907" s="18">
        <v>13</v>
      </c>
      <c r="I1907" s="20">
        <v>15</v>
      </c>
      <c r="J1907" s="21">
        <v>195</v>
      </c>
    </row>
    <row r="1908" spans="1:10">
      <c r="A1908" s="19">
        <v>35884</v>
      </c>
      <c r="B1908" s="18" t="s">
        <v>39</v>
      </c>
      <c r="C1908" s="18" t="s">
        <v>46</v>
      </c>
      <c r="D1908" s="18" t="s">
        <v>53</v>
      </c>
      <c r="E1908" s="18" t="s">
        <v>54</v>
      </c>
      <c r="F1908" s="18" t="s">
        <v>51</v>
      </c>
      <c r="G1908" s="18" t="s">
        <v>43</v>
      </c>
      <c r="H1908" s="18">
        <v>62.5</v>
      </c>
      <c r="I1908" s="20">
        <v>8</v>
      </c>
      <c r="J1908" s="21">
        <v>500</v>
      </c>
    </row>
    <row r="1909" spans="1:10">
      <c r="A1909" s="19">
        <v>35884</v>
      </c>
      <c r="B1909" s="18" t="s">
        <v>39</v>
      </c>
      <c r="C1909" s="18" t="s">
        <v>47</v>
      </c>
      <c r="D1909" s="18" t="s">
        <v>53</v>
      </c>
      <c r="E1909" s="18" t="s">
        <v>55</v>
      </c>
      <c r="F1909" s="18" t="s">
        <v>50</v>
      </c>
      <c r="G1909" s="18" t="s">
        <v>31</v>
      </c>
      <c r="H1909" s="18">
        <v>18</v>
      </c>
      <c r="I1909" s="20">
        <v>10</v>
      </c>
      <c r="J1909" s="21">
        <v>180</v>
      </c>
    </row>
    <row r="1910" spans="1:10">
      <c r="A1910" s="19">
        <v>35884</v>
      </c>
      <c r="B1910" s="18" t="s">
        <v>26</v>
      </c>
      <c r="C1910" s="18" t="s">
        <v>27</v>
      </c>
      <c r="D1910" s="18" t="s">
        <v>53</v>
      </c>
      <c r="E1910" s="18" t="s">
        <v>56</v>
      </c>
      <c r="F1910" s="18" t="s">
        <v>49</v>
      </c>
      <c r="G1910" s="18" t="s">
        <v>38</v>
      </c>
      <c r="H1910" s="18">
        <v>4.5</v>
      </c>
      <c r="I1910" s="20">
        <v>20</v>
      </c>
      <c r="J1910" s="21">
        <v>90</v>
      </c>
    </row>
    <row r="1911" spans="1:10">
      <c r="A1911" s="19">
        <v>35884</v>
      </c>
      <c r="B1911" s="18" t="s">
        <v>26</v>
      </c>
      <c r="C1911" s="18" t="s">
        <v>32</v>
      </c>
      <c r="D1911" s="18" t="s">
        <v>53</v>
      </c>
      <c r="E1911" s="18" t="s">
        <v>57</v>
      </c>
      <c r="F1911" s="18" t="s">
        <v>49</v>
      </c>
      <c r="G1911" s="18" t="s">
        <v>38</v>
      </c>
      <c r="H1911" s="18">
        <v>19</v>
      </c>
      <c r="I1911" s="20">
        <v>40</v>
      </c>
      <c r="J1911" s="21">
        <v>760</v>
      </c>
    </row>
    <row r="1912" spans="1:10">
      <c r="A1912" s="19">
        <v>35885</v>
      </c>
      <c r="B1912" s="18" t="s">
        <v>26</v>
      </c>
      <c r="C1912" s="18" t="s">
        <v>34</v>
      </c>
      <c r="D1912" s="18" t="s">
        <v>53</v>
      </c>
      <c r="E1912" s="18" t="s">
        <v>54</v>
      </c>
      <c r="F1912" s="18" t="s">
        <v>51</v>
      </c>
      <c r="G1912" s="18" t="s">
        <v>43</v>
      </c>
      <c r="H1912" s="18">
        <v>21</v>
      </c>
      <c r="I1912" s="20">
        <v>15</v>
      </c>
      <c r="J1912" s="21">
        <v>315</v>
      </c>
    </row>
    <row r="1913" spans="1:10">
      <c r="A1913" s="19">
        <v>35885</v>
      </c>
      <c r="B1913" s="18" t="s">
        <v>26</v>
      </c>
      <c r="C1913" s="18" t="s">
        <v>36</v>
      </c>
      <c r="D1913" s="18" t="s">
        <v>53</v>
      </c>
      <c r="E1913" s="18" t="s">
        <v>55</v>
      </c>
      <c r="F1913" s="18" t="s">
        <v>50</v>
      </c>
      <c r="G1913" s="18" t="s">
        <v>31</v>
      </c>
      <c r="H1913" s="18">
        <v>30</v>
      </c>
      <c r="I1913" s="20">
        <v>60</v>
      </c>
      <c r="J1913" s="21">
        <v>1800</v>
      </c>
    </row>
    <row r="1914" spans="1:10">
      <c r="A1914" s="19">
        <v>35885</v>
      </c>
      <c r="B1914" s="18" t="s">
        <v>39</v>
      </c>
      <c r="C1914" s="18" t="s">
        <v>40</v>
      </c>
      <c r="D1914" s="18" t="s">
        <v>53</v>
      </c>
      <c r="E1914" s="18" t="s">
        <v>56</v>
      </c>
      <c r="F1914" s="18" t="s">
        <v>45</v>
      </c>
      <c r="G1914" s="18" t="s">
        <v>38</v>
      </c>
      <c r="H1914" s="18">
        <v>30</v>
      </c>
      <c r="I1914" s="20">
        <v>60</v>
      </c>
      <c r="J1914" s="21">
        <v>1800</v>
      </c>
    </row>
    <row r="1915" spans="1:10">
      <c r="A1915" s="19">
        <v>35885</v>
      </c>
      <c r="B1915" s="18" t="s">
        <v>39</v>
      </c>
      <c r="C1915" s="18" t="s">
        <v>41</v>
      </c>
      <c r="D1915" s="18" t="s">
        <v>53</v>
      </c>
      <c r="E1915" s="18" t="s">
        <v>57</v>
      </c>
      <c r="F1915" s="18" t="s">
        <v>51</v>
      </c>
      <c r="G1915" s="18" t="s">
        <v>43</v>
      </c>
      <c r="H1915" s="18">
        <v>25</v>
      </c>
      <c r="I1915" s="20">
        <v>40</v>
      </c>
      <c r="J1915" s="21">
        <v>1000</v>
      </c>
    </row>
    <row r="1916" spans="1:10">
      <c r="A1916" s="19">
        <v>35885</v>
      </c>
      <c r="B1916" s="18" t="s">
        <v>39</v>
      </c>
      <c r="C1916" s="18" t="s">
        <v>44</v>
      </c>
      <c r="D1916" s="18" t="s">
        <v>53</v>
      </c>
      <c r="E1916" s="18" t="s">
        <v>54</v>
      </c>
      <c r="F1916" s="18" t="s">
        <v>50</v>
      </c>
      <c r="G1916" s="18" t="s">
        <v>31</v>
      </c>
      <c r="H1916" s="18">
        <v>46</v>
      </c>
      <c r="I1916" s="20">
        <v>6</v>
      </c>
      <c r="J1916" s="21">
        <v>276</v>
      </c>
    </row>
    <row r="1917" spans="1:10">
      <c r="A1917" s="19">
        <v>35885</v>
      </c>
      <c r="B1917" s="18" t="s">
        <v>39</v>
      </c>
      <c r="C1917" s="18" t="s">
        <v>46</v>
      </c>
      <c r="D1917" s="18" t="s">
        <v>53</v>
      </c>
      <c r="E1917" s="18" t="s">
        <v>55</v>
      </c>
      <c r="F1917" s="18" t="s">
        <v>45</v>
      </c>
      <c r="G1917" s="18" t="s">
        <v>38</v>
      </c>
      <c r="H1917" s="18">
        <v>49.3</v>
      </c>
      <c r="I1917" s="20">
        <v>40</v>
      </c>
      <c r="J1917" s="21">
        <v>1972</v>
      </c>
    </row>
    <row r="1918" spans="1:10">
      <c r="A1918" s="19">
        <v>35885</v>
      </c>
      <c r="B1918" s="18" t="s">
        <v>39</v>
      </c>
      <c r="C1918" s="18" t="s">
        <v>47</v>
      </c>
      <c r="D1918" s="18" t="s">
        <v>53</v>
      </c>
      <c r="E1918" s="18" t="s">
        <v>56</v>
      </c>
      <c r="F1918" s="18" t="s">
        <v>50</v>
      </c>
      <c r="G1918" s="18" t="s">
        <v>31</v>
      </c>
      <c r="H1918" s="18">
        <v>34.799999999999997</v>
      </c>
      <c r="I1918" s="20">
        <v>20</v>
      </c>
      <c r="J1918" s="21">
        <v>696</v>
      </c>
    </row>
    <row r="1919" spans="1:10">
      <c r="A1919" s="19">
        <v>35885</v>
      </c>
      <c r="B1919" s="18" t="s">
        <v>26</v>
      </c>
      <c r="C1919" s="18" t="s">
        <v>27</v>
      </c>
      <c r="D1919" s="18" t="s">
        <v>53</v>
      </c>
      <c r="E1919" s="18" t="s">
        <v>57</v>
      </c>
      <c r="F1919" s="18" t="s">
        <v>51</v>
      </c>
      <c r="G1919" s="18" t="s">
        <v>43</v>
      </c>
      <c r="H1919" s="18">
        <v>9.65</v>
      </c>
      <c r="I1919" s="20">
        <v>4</v>
      </c>
      <c r="J1919" s="21">
        <v>38.6</v>
      </c>
    </row>
    <row r="1920" spans="1:10">
      <c r="A1920" s="19">
        <v>35886</v>
      </c>
      <c r="B1920" s="18" t="s">
        <v>26</v>
      </c>
      <c r="C1920" s="18" t="s">
        <v>32</v>
      </c>
      <c r="D1920" s="18" t="s">
        <v>53</v>
      </c>
      <c r="E1920" s="18" t="s">
        <v>54</v>
      </c>
      <c r="F1920" s="18" t="s">
        <v>51</v>
      </c>
      <c r="G1920" s="18" t="s">
        <v>43</v>
      </c>
      <c r="H1920" s="18">
        <v>28.5</v>
      </c>
      <c r="I1920" s="20">
        <v>66</v>
      </c>
      <c r="J1920" s="21">
        <v>1881</v>
      </c>
    </row>
    <row r="1921" spans="1:10">
      <c r="A1921" s="19">
        <v>35886</v>
      </c>
      <c r="B1921" s="18" t="s">
        <v>26</v>
      </c>
      <c r="C1921" s="18" t="s">
        <v>34</v>
      </c>
      <c r="D1921" s="18" t="s">
        <v>53</v>
      </c>
      <c r="E1921" s="18" t="s">
        <v>55</v>
      </c>
      <c r="F1921" s="18" t="s">
        <v>51</v>
      </c>
      <c r="G1921" s="18" t="s">
        <v>43</v>
      </c>
      <c r="H1921" s="18">
        <v>10</v>
      </c>
      <c r="I1921" s="20">
        <v>65</v>
      </c>
      <c r="J1921" s="21">
        <v>650</v>
      </c>
    </row>
    <row r="1922" spans="1:10">
      <c r="A1922" s="19">
        <v>35886</v>
      </c>
      <c r="B1922" s="18" t="s">
        <v>26</v>
      </c>
      <c r="C1922" s="18" t="s">
        <v>36</v>
      </c>
      <c r="D1922" s="18" t="s">
        <v>53</v>
      </c>
      <c r="E1922" s="18" t="s">
        <v>56</v>
      </c>
      <c r="F1922" s="18" t="s">
        <v>49</v>
      </c>
      <c r="G1922" s="18" t="s">
        <v>38</v>
      </c>
      <c r="H1922" s="18">
        <v>18</v>
      </c>
      <c r="I1922" s="20">
        <v>90</v>
      </c>
      <c r="J1922" s="21">
        <v>1620</v>
      </c>
    </row>
    <row r="1923" spans="1:10">
      <c r="A1923" s="19">
        <v>35886</v>
      </c>
      <c r="B1923" s="18" t="s">
        <v>39</v>
      </c>
      <c r="C1923" s="18" t="s">
        <v>40</v>
      </c>
      <c r="D1923" s="18" t="s">
        <v>53</v>
      </c>
      <c r="E1923" s="18" t="s">
        <v>57</v>
      </c>
      <c r="F1923" s="18" t="s">
        <v>49</v>
      </c>
      <c r="G1923" s="18" t="s">
        <v>38</v>
      </c>
      <c r="H1923" s="18">
        <v>19</v>
      </c>
      <c r="I1923" s="20">
        <v>50</v>
      </c>
      <c r="J1923" s="21">
        <v>950</v>
      </c>
    </row>
    <row r="1924" spans="1:10">
      <c r="A1924" s="19">
        <v>35886</v>
      </c>
      <c r="B1924" s="18" t="s">
        <v>39</v>
      </c>
      <c r="C1924" s="18" t="s">
        <v>41</v>
      </c>
      <c r="D1924" s="18" t="s">
        <v>53</v>
      </c>
      <c r="E1924" s="18" t="s">
        <v>54</v>
      </c>
      <c r="F1924" s="18" t="s">
        <v>51</v>
      </c>
      <c r="G1924" s="18" t="s">
        <v>43</v>
      </c>
      <c r="H1924" s="18">
        <v>14</v>
      </c>
      <c r="I1924" s="20">
        <v>60</v>
      </c>
      <c r="J1924" s="21">
        <v>840</v>
      </c>
    </row>
    <row r="1925" spans="1:10">
      <c r="A1925" s="19">
        <v>35886</v>
      </c>
      <c r="B1925" s="18" t="s">
        <v>39</v>
      </c>
      <c r="C1925" s="18" t="s">
        <v>44</v>
      </c>
      <c r="D1925" s="18" t="s">
        <v>53</v>
      </c>
      <c r="E1925" s="18" t="s">
        <v>55</v>
      </c>
      <c r="F1925" s="18" t="s">
        <v>49</v>
      </c>
      <c r="G1925" s="18" t="s">
        <v>38</v>
      </c>
      <c r="H1925" s="18">
        <v>15</v>
      </c>
      <c r="I1925" s="20">
        <v>20</v>
      </c>
      <c r="J1925" s="21">
        <v>300</v>
      </c>
    </row>
    <row r="1926" spans="1:10">
      <c r="A1926" s="19">
        <v>35886</v>
      </c>
      <c r="B1926" s="18" t="s">
        <v>39</v>
      </c>
      <c r="C1926" s="18" t="s">
        <v>46</v>
      </c>
      <c r="D1926" s="18" t="s">
        <v>53</v>
      </c>
      <c r="E1926" s="18" t="s">
        <v>56</v>
      </c>
      <c r="F1926" s="18" t="s">
        <v>49</v>
      </c>
      <c r="G1926" s="18" t="s">
        <v>38</v>
      </c>
      <c r="H1926" s="18">
        <v>34.799999999999997</v>
      </c>
      <c r="I1926" s="20">
        <v>2</v>
      </c>
      <c r="J1926" s="21">
        <v>69.599999999999994</v>
      </c>
    </row>
    <row r="1927" spans="1:10">
      <c r="A1927" s="19">
        <v>35886</v>
      </c>
      <c r="B1927" s="18" t="s">
        <v>39</v>
      </c>
      <c r="C1927" s="18" t="s">
        <v>47</v>
      </c>
      <c r="D1927" s="18" t="s">
        <v>53</v>
      </c>
      <c r="E1927" s="18" t="s">
        <v>57</v>
      </c>
      <c r="F1927" s="18" t="s">
        <v>52</v>
      </c>
      <c r="G1927" s="18" t="s">
        <v>31</v>
      </c>
      <c r="H1927" s="18">
        <v>9.65</v>
      </c>
      <c r="I1927" s="20">
        <v>35</v>
      </c>
      <c r="J1927" s="21">
        <v>337.75</v>
      </c>
    </row>
    <row r="1928" spans="1:10">
      <c r="A1928" s="19">
        <v>35886</v>
      </c>
      <c r="B1928" s="18" t="s">
        <v>26</v>
      </c>
      <c r="C1928" s="18" t="s">
        <v>27</v>
      </c>
      <c r="D1928" s="18" t="s">
        <v>53</v>
      </c>
      <c r="E1928" s="18" t="s">
        <v>56</v>
      </c>
      <c r="F1928" s="18" t="s">
        <v>52</v>
      </c>
      <c r="G1928" s="18" t="s">
        <v>31</v>
      </c>
      <c r="H1928" s="18">
        <v>123.79</v>
      </c>
      <c r="I1928" s="20">
        <v>50</v>
      </c>
      <c r="J1928" s="21">
        <v>6189.5</v>
      </c>
    </row>
    <row r="1929" spans="1:10">
      <c r="A1929" s="19">
        <v>35886</v>
      </c>
      <c r="B1929" s="18" t="s">
        <v>26</v>
      </c>
      <c r="C1929" s="18" t="s">
        <v>32</v>
      </c>
      <c r="D1929" s="18" t="s">
        <v>53</v>
      </c>
      <c r="E1929" s="18" t="s">
        <v>54</v>
      </c>
      <c r="F1929" s="18" t="s">
        <v>51</v>
      </c>
      <c r="G1929" s="18" t="s">
        <v>43</v>
      </c>
      <c r="H1929" s="18">
        <v>24</v>
      </c>
      <c r="I1929" s="20">
        <v>65</v>
      </c>
      <c r="J1929" s="21">
        <v>1560</v>
      </c>
    </row>
    <row r="1930" spans="1:10">
      <c r="A1930" s="19">
        <v>35887</v>
      </c>
      <c r="B1930" s="18" t="s">
        <v>26</v>
      </c>
      <c r="C1930" s="18" t="s">
        <v>34</v>
      </c>
      <c r="D1930" s="18" t="s">
        <v>53</v>
      </c>
      <c r="E1930" s="18" t="s">
        <v>55</v>
      </c>
      <c r="F1930" s="18" t="s">
        <v>42</v>
      </c>
      <c r="G1930" s="18" t="s">
        <v>43</v>
      </c>
      <c r="H1930" s="18">
        <v>14</v>
      </c>
      <c r="I1930" s="20">
        <v>40</v>
      </c>
      <c r="J1930" s="21">
        <v>560</v>
      </c>
    </row>
    <row r="1931" spans="1:10">
      <c r="A1931" s="19">
        <v>35887</v>
      </c>
      <c r="B1931" s="18" t="s">
        <v>26</v>
      </c>
      <c r="C1931" s="18" t="s">
        <v>36</v>
      </c>
      <c r="D1931" s="18" t="s">
        <v>53</v>
      </c>
      <c r="E1931" s="18" t="s">
        <v>56</v>
      </c>
      <c r="F1931" s="18" t="s">
        <v>51</v>
      </c>
      <c r="G1931" s="18" t="s">
        <v>43</v>
      </c>
      <c r="H1931" s="18">
        <v>55</v>
      </c>
      <c r="I1931" s="20">
        <v>18</v>
      </c>
      <c r="J1931" s="21">
        <v>990</v>
      </c>
    </row>
    <row r="1932" spans="1:10">
      <c r="A1932" s="19">
        <v>35887</v>
      </c>
      <c r="B1932" s="18" t="s">
        <v>39</v>
      </c>
      <c r="C1932" s="18" t="s">
        <v>40</v>
      </c>
      <c r="D1932" s="18" t="s">
        <v>53</v>
      </c>
      <c r="E1932" s="18" t="s">
        <v>57</v>
      </c>
      <c r="F1932" s="18" t="s">
        <v>49</v>
      </c>
      <c r="G1932" s="18" t="s">
        <v>38</v>
      </c>
      <c r="H1932" s="18">
        <v>34</v>
      </c>
      <c r="I1932" s="20">
        <v>4</v>
      </c>
      <c r="J1932" s="21">
        <v>136</v>
      </c>
    </row>
    <row r="1933" spans="1:10">
      <c r="A1933" s="19">
        <v>35887</v>
      </c>
      <c r="B1933" s="18" t="s">
        <v>39</v>
      </c>
      <c r="C1933" s="18" t="s">
        <v>41</v>
      </c>
      <c r="D1933" s="18" t="s">
        <v>53</v>
      </c>
      <c r="E1933" s="18" t="s">
        <v>54</v>
      </c>
      <c r="F1933" s="18" t="s">
        <v>49</v>
      </c>
      <c r="G1933" s="18" t="s">
        <v>38</v>
      </c>
      <c r="H1933" s="18">
        <v>53</v>
      </c>
      <c r="I1933" s="20">
        <v>20</v>
      </c>
      <c r="J1933" s="21">
        <v>1060</v>
      </c>
    </row>
    <row r="1934" spans="1:10">
      <c r="A1934" s="19">
        <v>35888</v>
      </c>
      <c r="B1934" s="18" t="s">
        <v>39</v>
      </c>
      <c r="C1934" s="18" t="s">
        <v>44</v>
      </c>
      <c r="D1934" s="18" t="s">
        <v>53</v>
      </c>
      <c r="E1934" s="18" t="s">
        <v>55</v>
      </c>
      <c r="F1934" s="18" t="s">
        <v>50</v>
      </c>
      <c r="G1934" s="18" t="s">
        <v>31</v>
      </c>
      <c r="H1934" s="18">
        <v>32</v>
      </c>
      <c r="I1934" s="20">
        <v>50</v>
      </c>
      <c r="J1934" s="21">
        <v>1600</v>
      </c>
    </row>
    <row r="1935" spans="1:10">
      <c r="A1935" s="19">
        <v>35888</v>
      </c>
      <c r="B1935" s="18" t="s">
        <v>39</v>
      </c>
      <c r="C1935" s="18" t="s">
        <v>46</v>
      </c>
      <c r="D1935" s="18" t="s">
        <v>53</v>
      </c>
      <c r="E1935" s="18" t="s">
        <v>56</v>
      </c>
      <c r="F1935" s="18" t="s">
        <v>50</v>
      </c>
      <c r="G1935" s="18" t="s">
        <v>31</v>
      </c>
      <c r="H1935" s="18">
        <v>28.5</v>
      </c>
      <c r="I1935" s="20">
        <v>7</v>
      </c>
      <c r="J1935" s="21">
        <v>199.5</v>
      </c>
    </row>
    <row r="1936" spans="1:10">
      <c r="A1936" s="19">
        <v>35888</v>
      </c>
      <c r="B1936" s="18" t="s">
        <v>39</v>
      </c>
      <c r="C1936" s="18" t="s">
        <v>47</v>
      </c>
      <c r="D1936" s="18" t="s">
        <v>53</v>
      </c>
      <c r="E1936" s="18" t="s">
        <v>57</v>
      </c>
      <c r="F1936" s="18" t="s">
        <v>50</v>
      </c>
      <c r="G1936" s="18" t="s">
        <v>31</v>
      </c>
      <c r="H1936" s="18">
        <v>10</v>
      </c>
      <c r="I1936" s="20">
        <v>20</v>
      </c>
      <c r="J1936" s="21">
        <v>200</v>
      </c>
    </row>
    <row r="1937" spans="1:10">
      <c r="A1937" s="19">
        <v>35888</v>
      </c>
      <c r="B1937" s="18" t="s">
        <v>26</v>
      </c>
      <c r="C1937" s="18" t="s">
        <v>27</v>
      </c>
      <c r="D1937" s="18" t="s">
        <v>53</v>
      </c>
      <c r="E1937" s="18" t="s">
        <v>54</v>
      </c>
      <c r="F1937" s="18" t="s">
        <v>50</v>
      </c>
      <c r="G1937" s="18" t="s">
        <v>31</v>
      </c>
      <c r="H1937" s="18">
        <v>12</v>
      </c>
      <c r="I1937" s="20">
        <v>20</v>
      </c>
      <c r="J1937" s="21">
        <v>240</v>
      </c>
    </row>
    <row r="1938" spans="1:10">
      <c r="A1938" s="19">
        <v>35888</v>
      </c>
      <c r="B1938" s="18" t="s">
        <v>26</v>
      </c>
      <c r="C1938" s="18" t="s">
        <v>32</v>
      </c>
      <c r="D1938" s="18" t="s">
        <v>53</v>
      </c>
      <c r="E1938" s="18" t="s">
        <v>55</v>
      </c>
      <c r="F1938" s="18" t="s">
        <v>37</v>
      </c>
      <c r="G1938" s="18" t="s">
        <v>38</v>
      </c>
      <c r="H1938" s="18">
        <v>13</v>
      </c>
      <c r="I1938" s="20">
        <v>21</v>
      </c>
      <c r="J1938" s="21">
        <v>273</v>
      </c>
    </row>
    <row r="1939" spans="1:10">
      <c r="A1939" s="19">
        <v>35888</v>
      </c>
      <c r="B1939" s="18" t="s">
        <v>26</v>
      </c>
      <c r="C1939" s="18" t="s">
        <v>34</v>
      </c>
      <c r="D1939" s="18" t="s">
        <v>53</v>
      </c>
      <c r="E1939" s="18" t="s">
        <v>56</v>
      </c>
      <c r="F1939" s="18" t="s">
        <v>50</v>
      </c>
      <c r="G1939" s="18" t="s">
        <v>31</v>
      </c>
      <c r="H1939" s="18">
        <v>7.75</v>
      </c>
      <c r="I1939" s="20">
        <v>30</v>
      </c>
      <c r="J1939" s="21">
        <v>232.5</v>
      </c>
    </row>
    <row r="1940" spans="1:10">
      <c r="A1940" s="19">
        <v>35888</v>
      </c>
      <c r="B1940" s="18" t="s">
        <v>26</v>
      </c>
      <c r="C1940" s="18" t="s">
        <v>36</v>
      </c>
      <c r="D1940" s="18" t="s">
        <v>53</v>
      </c>
      <c r="E1940" s="18" t="s">
        <v>57</v>
      </c>
      <c r="F1940" s="18" t="s">
        <v>50</v>
      </c>
      <c r="G1940" s="18" t="s">
        <v>31</v>
      </c>
      <c r="H1940" s="18">
        <v>4.5</v>
      </c>
      <c r="I1940" s="20">
        <v>12</v>
      </c>
      <c r="J1940" s="21">
        <v>54</v>
      </c>
    </row>
    <row r="1941" spans="1:10">
      <c r="A1941" s="19">
        <v>35888</v>
      </c>
      <c r="B1941" s="18" t="s">
        <v>39</v>
      </c>
      <c r="C1941" s="18" t="s">
        <v>40</v>
      </c>
      <c r="D1941" s="18" t="s">
        <v>53</v>
      </c>
      <c r="E1941" s="18" t="s">
        <v>54</v>
      </c>
      <c r="F1941" s="18" t="s">
        <v>50</v>
      </c>
      <c r="G1941" s="18" t="s">
        <v>31</v>
      </c>
      <c r="H1941" s="18">
        <v>7</v>
      </c>
      <c r="I1941" s="20">
        <v>20</v>
      </c>
      <c r="J1941" s="21">
        <v>140</v>
      </c>
    </row>
    <row r="1942" spans="1:10">
      <c r="A1942" s="19">
        <v>35888</v>
      </c>
      <c r="B1942" s="18" t="s">
        <v>39</v>
      </c>
      <c r="C1942" s="18" t="s">
        <v>41</v>
      </c>
      <c r="D1942" s="18" t="s">
        <v>53</v>
      </c>
      <c r="E1942" s="18" t="s">
        <v>55</v>
      </c>
      <c r="F1942" s="18" t="s">
        <v>37</v>
      </c>
      <c r="G1942" s="18" t="s">
        <v>38</v>
      </c>
      <c r="H1942" s="18">
        <v>9.65</v>
      </c>
      <c r="I1942" s="20">
        <v>20</v>
      </c>
      <c r="J1942" s="21">
        <v>193</v>
      </c>
    </row>
    <row r="1943" spans="1:10">
      <c r="A1943" s="19">
        <v>35888</v>
      </c>
      <c r="B1943" s="18" t="s">
        <v>39</v>
      </c>
      <c r="C1943" s="18" t="s">
        <v>44</v>
      </c>
      <c r="D1943" s="18" t="s">
        <v>53</v>
      </c>
      <c r="E1943" s="18" t="s">
        <v>56</v>
      </c>
      <c r="F1943" s="18" t="s">
        <v>37</v>
      </c>
      <c r="G1943" s="18" t="s">
        <v>38</v>
      </c>
      <c r="H1943" s="18">
        <v>53</v>
      </c>
      <c r="I1943" s="20">
        <v>15</v>
      </c>
      <c r="J1943" s="21">
        <v>795</v>
      </c>
    </row>
    <row r="1944" spans="1:10">
      <c r="A1944" s="19">
        <v>35891</v>
      </c>
      <c r="B1944" s="18" t="s">
        <v>39</v>
      </c>
      <c r="C1944" s="18" t="s">
        <v>46</v>
      </c>
      <c r="D1944" s="18" t="s">
        <v>53</v>
      </c>
      <c r="E1944" s="18" t="s">
        <v>57</v>
      </c>
      <c r="F1944" s="18" t="s">
        <v>42</v>
      </c>
      <c r="G1944" s="18" t="s">
        <v>43</v>
      </c>
      <c r="H1944" s="18">
        <v>14</v>
      </c>
      <c r="I1944" s="20">
        <v>24</v>
      </c>
      <c r="J1944" s="21">
        <v>336</v>
      </c>
    </row>
    <row r="1945" spans="1:10">
      <c r="A1945" s="19">
        <v>35891</v>
      </c>
      <c r="B1945" s="18" t="s">
        <v>39</v>
      </c>
      <c r="C1945" s="18" t="s">
        <v>47</v>
      </c>
      <c r="D1945" s="18" t="s">
        <v>53</v>
      </c>
      <c r="E1945" s="18" t="s">
        <v>54</v>
      </c>
      <c r="F1945" s="18" t="s">
        <v>51</v>
      </c>
      <c r="G1945" s="18" t="s">
        <v>43</v>
      </c>
      <c r="H1945" s="18">
        <v>30</v>
      </c>
      <c r="I1945" s="20">
        <v>60</v>
      </c>
      <c r="J1945" s="21">
        <v>1800</v>
      </c>
    </row>
    <row r="1946" spans="1:10">
      <c r="A1946" s="19">
        <v>35891</v>
      </c>
      <c r="B1946" s="18" t="s">
        <v>26</v>
      </c>
      <c r="C1946" s="18" t="s">
        <v>27</v>
      </c>
      <c r="D1946" s="18" t="s">
        <v>53</v>
      </c>
      <c r="E1946" s="18" t="s">
        <v>55</v>
      </c>
      <c r="F1946" s="18" t="s">
        <v>51</v>
      </c>
      <c r="G1946" s="18" t="s">
        <v>43</v>
      </c>
      <c r="H1946" s="18">
        <v>12</v>
      </c>
      <c r="I1946" s="20">
        <v>25</v>
      </c>
      <c r="J1946" s="21">
        <v>300</v>
      </c>
    </row>
    <row r="1947" spans="1:10">
      <c r="A1947" s="19">
        <v>35891</v>
      </c>
      <c r="B1947" s="18" t="s">
        <v>26</v>
      </c>
      <c r="C1947" s="18" t="s">
        <v>32</v>
      </c>
      <c r="D1947" s="18" t="s">
        <v>53</v>
      </c>
      <c r="E1947" s="18" t="s">
        <v>56</v>
      </c>
      <c r="F1947" s="18" t="s">
        <v>51</v>
      </c>
      <c r="G1947" s="18" t="s">
        <v>43</v>
      </c>
      <c r="H1947" s="18">
        <v>13</v>
      </c>
      <c r="I1947" s="20">
        <v>30</v>
      </c>
      <c r="J1947" s="21">
        <v>390</v>
      </c>
    </row>
    <row r="1948" spans="1:10">
      <c r="A1948" s="19">
        <v>35891</v>
      </c>
      <c r="B1948" s="18" t="s">
        <v>26</v>
      </c>
      <c r="C1948" s="18" t="s">
        <v>34</v>
      </c>
      <c r="D1948" s="18" t="s">
        <v>53</v>
      </c>
      <c r="E1948" s="18" t="s">
        <v>57</v>
      </c>
      <c r="F1948" s="18" t="s">
        <v>42</v>
      </c>
      <c r="G1948" s="18" t="s">
        <v>43</v>
      </c>
      <c r="H1948" s="18">
        <v>6</v>
      </c>
      <c r="I1948" s="20">
        <v>56</v>
      </c>
      <c r="J1948" s="21">
        <v>336</v>
      </c>
    </row>
    <row r="1949" spans="1:10">
      <c r="A1949" s="19">
        <v>35891</v>
      </c>
      <c r="B1949" s="18" t="s">
        <v>26</v>
      </c>
      <c r="C1949" s="18" t="s">
        <v>36</v>
      </c>
      <c r="D1949" s="18" t="s">
        <v>53</v>
      </c>
      <c r="E1949" s="18" t="s">
        <v>54</v>
      </c>
      <c r="F1949" s="18" t="s">
        <v>42</v>
      </c>
      <c r="G1949" s="18" t="s">
        <v>43</v>
      </c>
      <c r="H1949" s="18">
        <v>18</v>
      </c>
      <c r="I1949" s="20">
        <v>15</v>
      </c>
      <c r="J1949" s="21">
        <v>270</v>
      </c>
    </row>
    <row r="1950" spans="1:10">
      <c r="A1950" s="19">
        <v>35891</v>
      </c>
      <c r="B1950" s="18" t="s">
        <v>39</v>
      </c>
      <c r="C1950" s="18" t="s">
        <v>40</v>
      </c>
      <c r="D1950" s="18" t="s">
        <v>53</v>
      </c>
      <c r="E1950" s="18" t="s">
        <v>55</v>
      </c>
      <c r="F1950" s="18" t="s">
        <v>51</v>
      </c>
      <c r="G1950" s="18" t="s">
        <v>43</v>
      </c>
      <c r="H1950" s="18">
        <v>21</v>
      </c>
      <c r="I1950" s="20">
        <v>25</v>
      </c>
      <c r="J1950" s="21">
        <v>525</v>
      </c>
    </row>
    <row r="1951" spans="1:10">
      <c r="A1951" s="19">
        <v>35891</v>
      </c>
      <c r="B1951" s="18" t="s">
        <v>39</v>
      </c>
      <c r="C1951" s="18" t="s">
        <v>41</v>
      </c>
      <c r="D1951" s="18" t="s">
        <v>53</v>
      </c>
      <c r="E1951" s="18" t="s">
        <v>56</v>
      </c>
      <c r="F1951" s="18" t="s">
        <v>45</v>
      </c>
      <c r="G1951" s="18" t="s">
        <v>38</v>
      </c>
      <c r="H1951" s="18">
        <v>18</v>
      </c>
      <c r="I1951" s="20">
        <v>4</v>
      </c>
      <c r="J1951" s="21">
        <v>72</v>
      </c>
    </row>
    <row r="1952" spans="1:10">
      <c r="A1952" s="19">
        <v>35891</v>
      </c>
      <c r="B1952" s="18" t="s">
        <v>39</v>
      </c>
      <c r="C1952" s="18" t="s">
        <v>44</v>
      </c>
      <c r="D1952" s="18" t="s">
        <v>53</v>
      </c>
      <c r="E1952" s="18" t="s">
        <v>57</v>
      </c>
      <c r="F1952" s="18" t="s">
        <v>51</v>
      </c>
      <c r="G1952" s="18" t="s">
        <v>43</v>
      </c>
      <c r="H1952" s="18">
        <v>4.5</v>
      </c>
      <c r="I1952" s="20">
        <v>30</v>
      </c>
      <c r="J1952" s="21">
        <v>135</v>
      </c>
    </row>
    <row r="1953" spans="1:10">
      <c r="A1953" s="19">
        <v>35891</v>
      </c>
      <c r="B1953" s="18" t="s">
        <v>39</v>
      </c>
      <c r="C1953" s="18" t="s">
        <v>46</v>
      </c>
      <c r="D1953" s="18" t="s">
        <v>53</v>
      </c>
      <c r="E1953" s="18" t="s">
        <v>54</v>
      </c>
      <c r="F1953" s="18" t="s">
        <v>45</v>
      </c>
      <c r="G1953" s="18" t="s">
        <v>38</v>
      </c>
      <c r="H1953" s="18">
        <v>7</v>
      </c>
      <c r="I1953" s="20">
        <v>10</v>
      </c>
      <c r="J1953" s="21">
        <v>70</v>
      </c>
    </row>
    <row r="1954" spans="1:10">
      <c r="A1954" s="19">
        <v>35891</v>
      </c>
      <c r="B1954" s="18" t="s">
        <v>39</v>
      </c>
      <c r="C1954" s="18" t="s">
        <v>47</v>
      </c>
      <c r="D1954" s="18" t="s">
        <v>53</v>
      </c>
      <c r="E1954" s="18" t="s">
        <v>55</v>
      </c>
      <c r="F1954" s="18" t="s">
        <v>45</v>
      </c>
      <c r="G1954" s="18" t="s">
        <v>38</v>
      </c>
      <c r="H1954" s="18">
        <v>18.399999999999999</v>
      </c>
      <c r="I1954" s="20">
        <v>10</v>
      </c>
      <c r="J1954" s="21">
        <v>184</v>
      </c>
    </row>
    <row r="1955" spans="1:10">
      <c r="A1955" s="19">
        <v>35891</v>
      </c>
      <c r="B1955" s="18" t="s">
        <v>26</v>
      </c>
      <c r="C1955" s="18" t="s">
        <v>27</v>
      </c>
      <c r="D1955" s="18" t="s">
        <v>53</v>
      </c>
      <c r="E1955" s="18" t="s">
        <v>56</v>
      </c>
      <c r="F1955" s="18" t="s">
        <v>51</v>
      </c>
      <c r="G1955" s="18" t="s">
        <v>43</v>
      </c>
      <c r="H1955" s="18">
        <v>24</v>
      </c>
      <c r="I1955" s="20">
        <v>6</v>
      </c>
      <c r="J1955" s="21">
        <v>144</v>
      </c>
    </row>
    <row r="1956" spans="1:10">
      <c r="A1956" s="19">
        <v>35891</v>
      </c>
      <c r="B1956" s="18" t="s">
        <v>26</v>
      </c>
      <c r="C1956" s="18" t="s">
        <v>32</v>
      </c>
      <c r="D1956" s="18" t="s">
        <v>53</v>
      </c>
      <c r="E1956" s="18" t="s">
        <v>57</v>
      </c>
      <c r="F1956" s="18" t="s">
        <v>42</v>
      </c>
      <c r="G1956" s="18" t="s">
        <v>43</v>
      </c>
      <c r="H1956" s="18">
        <v>24</v>
      </c>
      <c r="I1956" s="20">
        <v>40</v>
      </c>
      <c r="J1956" s="21">
        <v>960</v>
      </c>
    </row>
    <row r="1957" spans="1:10">
      <c r="A1957" s="19">
        <v>35891</v>
      </c>
      <c r="B1957" s="18" t="s">
        <v>26</v>
      </c>
      <c r="C1957" s="18" t="s">
        <v>34</v>
      </c>
      <c r="D1957" s="18" t="s">
        <v>53</v>
      </c>
      <c r="E1957" s="18" t="s">
        <v>56</v>
      </c>
      <c r="F1957" s="18" t="s">
        <v>51</v>
      </c>
      <c r="G1957" s="18" t="s">
        <v>43</v>
      </c>
      <c r="H1957" s="18">
        <v>22</v>
      </c>
      <c r="I1957" s="20">
        <v>25</v>
      </c>
      <c r="J1957" s="21">
        <v>550</v>
      </c>
    </row>
    <row r="1958" spans="1:10">
      <c r="A1958" s="19">
        <v>35892</v>
      </c>
      <c r="B1958" s="18" t="s">
        <v>26</v>
      </c>
      <c r="C1958" s="18" t="s">
        <v>36</v>
      </c>
      <c r="D1958" s="18" t="s">
        <v>53</v>
      </c>
      <c r="E1958" s="18" t="s">
        <v>54</v>
      </c>
      <c r="F1958" s="18" t="s">
        <v>51</v>
      </c>
      <c r="G1958" s="18" t="s">
        <v>43</v>
      </c>
      <c r="H1958" s="18">
        <v>55</v>
      </c>
      <c r="I1958" s="20">
        <v>10</v>
      </c>
      <c r="J1958" s="21">
        <v>550</v>
      </c>
    </row>
    <row r="1959" spans="1:10">
      <c r="A1959" s="19">
        <v>35892</v>
      </c>
      <c r="B1959" s="18" t="s">
        <v>39</v>
      </c>
      <c r="C1959" s="18" t="s">
        <v>40</v>
      </c>
      <c r="D1959" s="18" t="s">
        <v>53</v>
      </c>
      <c r="E1959" s="18" t="s">
        <v>55</v>
      </c>
      <c r="F1959" s="18" t="s">
        <v>45</v>
      </c>
      <c r="G1959" s="18" t="s">
        <v>38</v>
      </c>
      <c r="H1959" s="18">
        <v>31.23</v>
      </c>
      <c r="I1959" s="20">
        <v>6</v>
      </c>
      <c r="J1959" s="21">
        <v>187.38</v>
      </c>
    </row>
    <row r="1960" spans="1:10">
      <c r="A1960" s="19">
        <v>35892</v>
      </c>
      <c r="B1960" s="18" t="s">
        <v>39</v>
      </c>
      <c r="C1960" s="18" t="s">
        <v>41</v>
      </c>
      <c r="D1960" s="18" t="s">
        <v>53</v>
      </c>
      <c r="E1960" s="18" t="s">
        <v>56</v>
      </c>
      <c r="F1960" s="18" t="s">
        <v>45</v>
      </c>
      <c r="G1960" s="18" t="s">
        <v>38</v>
      </c>
      <c r="H1960" s="18">
        <v>18</v>
      </c>
      <c r="I1960" s="20">
        <v>6</v>
      </c>
      <c r="J1960" s="21">
        <v>108</v>
      </c>
    </row>
    <row r="1961" spans="1:10">
      <c r="A1961" s="19">
        <v>35892</v>
      </c>
      <c r="B1961" s="18" t="s">
        <v>39</v>
      </c>
      <c r="C1961" s="18" t="s">
        <v>44</v>
      </c>
      <c r="D1961" s="18" t="s">
        <v>53</v>
      </c>
      <c r="E1961" s="18" t="s">
        <v>57</v>
      </c>
      <c r="F1961" s="18" t="s">
        <v>51</v>
      </c>
      <c r="G1961" s="18" t="s">
        <v>43</v>
      </c>
      <c r="H1961" s="18">
        <v>18</v>
      </c>
      <c r="I1961" s="20">
        <v>2</v>
      </c>
      <c r="J1961" s="21">
        <v>36</v>
      </c>
    </row>
    <row r="1962" spans="1:10">
      <c r="A1962" s="19">
        <v>35892</v>
      </c>
      <c r="B1962" s="18" t="s">
        <v>39</v>
      </c>
      <c r="C1962" s="18" t="s">
        <v>46</v>
      </c>
      <c r="D1962" s="18" t="s">
        <v>53</v>
      </c>
      <c r="E1962" s="18" t="s">
        <v>54</v>
      </c>
      <c r="F1962" s="18" t="s">
        <v>45</v>
      </c>
      <c r="G1962" s="18" t="s">
        <v>38</v>
      </c>
      <c r="H1962" s="18">
        <v>18</v>
      </c>
      <c r="I1962" s="20">
        <v>8</v>
      </c>
      <c r="J1962" s="21">
        <v>144</v>
      </c>
    </row>
    <row r="1963" spans="1:10">
      <c r="A1963" s="19">
        <v>35892</v>
      </c>
      <c r="B1963" s="18" t="s">
        <v>39</v>
      </c>
      <c r="C1963" s="18" t="s">
        <v>47</v>
      </c>
      <c r="D1963" s="18" t="s">
        <v>53</v>
      </c>
      <c r="E1963" s="18" t="s">
        <v>55</v>
      </c>
      <c r="F1963" s="18" t="s">
        <v>45</v>
      </c>
      <c r="G1963" s="18" t="s">
        <v>38</v>
      </c>
      <c r="H1963" s="18">
        <v>123.79</v>
      </c>
      <c r="I1963" s="20">
        <v>2</v>
      </c>
      <c r="J1963" s="21">
        <v>247.58</v>
      </c>
    </row>
    <row r="1964" spans="1:10">
      <c r="A1964" s="19">
        <v>35893</v>
      </c>
      <c r="B1964" s="18" t="s">
        <v>26</v>
      </c>
      <c r="C1964" s="18" t="s">
        <v>27</v>
      </c>
      <c r="D1964" s="18" t="s">
        <v>53</v>
      </c>
      <c r="E1964" s="18" t="s">
        <v>56</v>
      </c>
      <c r="F1964" s="18" t="s">
        <v>50</v>
      </c>
      <c r="G1964" s="18" t="s">
        <v>31</v>
      </c>
      <c r="H1964" s="18">
        <v>14</v>
      </c>
      <c r="I1964" s="20">
        <v>14</v>
      </c>
      <c r="J1964" s="21">
        <v>196</v>
      </c>
    </row>
    <row r="1965" spans="1:10">
      <c r="A1965" s="19">
        <v>35893</v>
      </c>
      <c r="B1965" s="18" t="s">
        <v>26</v>
      </c>
      <c r="C1965" s="18" t="s">
        <v>32</v>
      </c>
      <c r="D1965" s="18" t="s">
        <v>53</v>
      </c>
      <c r="E1965" s="18" t="s">
        <v>57</v>
      </c>
      <c r="F1965" s="18" t="s">
        <v>50</v>
      </c>
      <c r="G1965" s="18" t="s">
        <v>31</v>
      </c>
      <c r="H1965" s="18">
        <v>40</v>
      </c>
      <c r="I1965" s="20">
        <v>30</v>
      </c>
      <c r="J1965" s="21">
        <v>1200</v>
      </c>
    </row>
    <row r="1966" spans="1:10">
      <c r="A1966" s="19">
        <v>35893</v>
      </c>
      <c r="B1966" s="18" t="s">
        <v>26</v>
      </c>
      <c r="C1966" s="18" t="s">
        <v>34</v>
      </c>
      <c r="D1966" s="18" t="s">
        <v>53</v>
      </c>
      <c r="E1966" s="18" t="s">
        <v>54</v>
      </c>
      <c r="F1966" s="18" t="s">
        <v>51</v>
      </c>
      <c r="G1966" s="18" t="s">
        <v>43</v>
      </c>
      <c r="H1966" s="18">
        <v>34</v>
      </c>
      <c r="I1966" s="20">
        <v>9</v>
      </c>
      <c r="J1966" s="21">
        <v>306</v>
      </c>
    </row>
    <row r="1967" spans="1:10">
      <c r="A1967" s="19">
        <v>35893</v>
      </c>
      <c r="B1967" s="18" t="s">
        <v>26</v>
      </c>
      <c r="C1967" s="18" t="s">
        <v>36</v>
      </c>
      <c r="D1967" s="18" t="s">
        <v>53</v>
      </c>
      <c r="E1967" s="18" t="s">
        <v>55</v>
      </c>
      <c r="F1967" s="18" t="s">
        <v>52</v>
      </c>
      <c r="G1967" s="18" t="s">
        <v>31</v>
      </c>
      <c r="H1967" s="18">
        <v>45.6</v>
      </c>
      <c r="I1967" s="20">
        <v>70</v>
      </c>
      <c r="J1967" s="21">
        <v>3192</v>
      </c>
    </row>
    <row r="1968" spans="1:10">
      <c r="A1968" s="19">
        <v>35893</v>
      </c>
      <c r="B1968" s="18" t="s">
        <v>39</v>
      </c>
      <c r="C1968" s="18" t="s">
        <v>40</v>
      </c>
      <c r="D1968" s="18" t="s">
        <v>53</v>
      </c>
      <c r="E1968" s="18" t="s">
        <v>56</v>
      </c>
      <c r="F1968" s="18" t="s">
        <v>52</v>
      </c>
      <c r="G1968" s="18" t="s">
        <v>31</v>
      </c>
      <c r="H1968" s="18">
        <v>14</v>
      </c>
      <c r="I1968" s="20">
        <v>90</v>
      </c>
      <c r="J1968" s="21">
        <v>1260</v>
      </c>
    </row>
    <row r="1969" spans="1:10">
      <c r="A1969" s="19">
        <v>35893</v>
      </c>
      <c r="B1969" s="18" t="s">
        <v>39</v>
      </c>
      <c r="C1969" s="18" t="s">
        <v>41</v>
      </c>
      <c r="D1969" s="18" t="s">
        <v>53</v>
      </c>
      <c r="E1969" s="18" t="s">
        <v>57</v>
      </c>
      <c r="F1969" s="18" t="s">
        <v>51</v>
      </c>
      <c r="G1969" s="18" t="s">
        <v>43</v>
      </c>
      <c r="H1969" s="18">
        <v>4.5</v>
      </c>
      <c r="I1969" s="20">
        <v>12</v>
      </c>
      <c r="J1969" s="21">
        <v>54</v>
      </c>
    </row>
    <row r="1970" spans="1:10">
      <c r="A1970" s="19">
        <v>35893</v>
      </c>
      <c r="B1970" s="18" t="s">
        <v>39</v>
      </c>
      <c r="C1970" s="18" t="s">
        <v>44</v>
      </c>
      <c r="D1970" s="18" t="s">
        <v>53</v>
      </c>
      <c r="E1970" s="18" t="s">
        <v>54</v>
      </c>
      <c r="F1970" s="18" t="s">
        <v>50</v>
      </c>
      <c r="G1970" s="18" t="s">
        <v>31</v>
      </c>
      <c r="H1970" s="18">
        <v>123.79</v>
      </c>
      <c r="I1970" s="20">
        <v>10</v>
      </c>
      <c r="J1970" s="21">
        <v>1237.9000000000001</v>
      </c>
    </row>
    <row r="1971" spans="1:10">
      <c r="A1971" s="19">
        <v>35893</v>
      </c>
      <c r="B1971" s="18" t="s">
        <v>39</v>
      </c>
      <c r="C1971" s="18" t="s">
        <v>46</v>
      </c>
      <c r="D1971" s="18" t="s">
        <v>53</v>
      </c>
      <c r="E1971" s="18" t="s">
        <v>55</v>
      </c>
      <c r="F1971" s="18" t="s">
        <v>52</v>
      </c>
      <c r="G1971" s="18" t="s">
        <v>31</v>
      </c>
      <c r="H1971" s="18">
        <v>21.5</v>
      </c>
      <c r="I1971" s="20">
        <v>21</v>
      </c>
      <c r="J1971" s="21">
        <v>451.5</v>
      </c>
    </row>
    <row r="1972" spans="1:10">
      <c r="A1972" s="19">
        <v>35893</v>
      </c>
      <c r="B1972" s="18" t="s">
        <v>39</v>
      </c>
      <c r="C1972" s="18" t="s">
        <v>47</v>
      </c>
      <c r="D1972" s="18" t="s">
        <v>53</v>
      </c>
      <c r="E1972" s="18" t="s">
        <v>56</v>
      </c>
      <c r="F1972" s="18" t="s">
        <v>51</v>
      </c>
      <c r="G1972" s="18" t="s">
        <v>43</v>
      </c>
      <c r="H1972" s="18">
        <v>19</v>
      </c>
      <c r="I1972" s="20">
        <v>18</v>
      </c>
      <c r="J1972" s="21">
        <v>342</v>
      </c>
    </row>
    <row r="1973" spans="1:10">
      <c r="A1973" s="19">
        <v>35894</v>
      </c>
      <c r="B1973" s="18" t="s">
        <v>26</v>
      </c>
      <c r="C1973" s="18" t="s">
        <v>27</v>
      </c>
      <c r="D1973" s="18" t="s">
        <v>53</v>
      </c>
      <c r="E1973" s="18" t="s">
        <v>57</v>
      </c>
      <c r="F1973" s="18" t="s">
        <v>51</v>
      </c>
      <c r="G1973" s="18" t="s">
        <v>43</v>
      </c>
      <c r="H1973" s="18">
        <v>14</v>
      </c>
      <c r="I1973" s="20">
        <v>4</v>
      </c>
      <c r="J1973" s="21">
        <v>56</v>
      </c>
    </row>
    <row r="1974" spans="1:10">
      <c r="A1974" s="19">
        <v>35894</v>
      </c>
      <c r="B1974" s="18" t="s">
        <v>26</v>
      </c>
      <c r="C1974" s="18" t="s">
        <v>32</v>
      </c>
      <c r="D1974" s="18" t="s">
        <v>53</v>
      </c>
      <c r="E1974" s="18" t="s">
        <v>54</v>
      </c>
      <c r="F1974" s="18" t="s">
        <v>45</v>
      </c>
      <c r="G1974" s="18" t="s">
        <v>38</v>
      </c>
      <c r="H1974" s="18">
        <v>13.25</v>
      </c>
      <c r="I1974" s="20">
        <v>40</v>
      </c>
      <c r="J1974" s="21">
        <v>530</v>
      </c>
    </row>
    <row r="1975" spans="1:10">
      <c r="A1975" s="19">
        <v>35894</v>
      </c>
      <c r="B1975" s="18" t="s">
        <v>26</v>
      </c>
      <c r="C1975" s="18" t="s">
        <v>34</v>
      </c>
      <c r="D1975" s="18" t="s">
        <v>53</v>
      </c>
      <c r="E1975" s="18" t="s">
        <v>55</v>
      </c>
      <c r="F1975" s="18" t="s">
        <v>51</v>
      </c>
      <c r="G1975" s="18" t="s">
        <v>43</v>
      </c>
      <c r="H1975" s="18">
        <v>30</v>
      </c>
      <c r="I1975" s="20">
        <v>20</v>
      </c>
      <c r="J1975" s="21">
        <v>600</v>
      </c>
    </row>
    <row r="1976" spans="1:10">
      <c r="A1976" s="19">
        <v>35894</v>
      </c>
      <c r="B1976" s="18" t="s">
        <v>26</v>
      </c>
      <c r="C1976" s="18" t="s">
        <v>36</v>
      </c>
      <c r="D1976" s="18" t="s">
        <v>53</v>
      </c>
      <c r="E1976" s="18" t="s">
        <v>56</v>
      </c>
      <c r="F1976" s="18" t="s">
        <v>49</v>
      </c>
      <c r="G1976" s="18" t="s">
        <v>38</v>
      </c>
      <c r="H1976" s="18">
        <v>34</v>
      </c>
      <c r="I1976" s="20">
        <v>36</v>
      </c>
      <c r="J1976" s="21">
        <v>1224</v>
      </c>
    </row>
    <row r="1977" spans="1:10">
      <c r="A1977" s="19">
        <v>35894</v>
      </c>
      <c r="B1977" s="18" t="s">
        <v>39</v>
      </c>
      <c r="C1977" s="18" t="s">
        <v>40</v>
      </c>
      <c r="D1977" s="18" t="s">
        <v>53</v>
      </c>
      <c r="E1977" s="18" t="s">
        <v>57</v>
      </c>
      <c r="F1977" s="18" t="s">
        <v>51</v>
      </c>
      <c r="G1977" s="18" t="s">
        <v>43</v>
      </c>
      <c r="H1977" s="18">
        <v>12.5</v>
      </c>
      <c r="I1977" s="20">
        <v>2</v>
      </c>
      <c r="J1977" s="21">
        <v>25</v>
      </c>
    </row>
    <row r="1978" spans="1:10">
      <c r="A1978" s="19">
        <v>35894</v>
      </c>
      <c r="B1978" s="18" t="s">
        <v>39</v>
      </c>
      <c r="C1978" s="18" t="s">
        <v>41</v>
      </c>
      <c r="D1978" s="18" t="s">
        <v>53</v>
      </c>
      <c r="E1978" s="18" t="s">
        <v>54</v>
      </c>
      <c r="F1978" s="18" t="s">
        <v>51</v>
      </c>
      <c r="G1978" s="18" t="s">
        <v>43</v>
      </c>
      <c r="H1978" s="18">
        <v>4.5</v>
      </c>
      <c r="I1978" s="20">
        <v>10</v>
      </c>
      <c r="J1978" s="21">
        <v>45</v>
      </c>
    </row>
    <row r="1979" spans="1:10">
      <c r="A1979" s="19">
        <v>35894</v>
      </c>
      <c r="B1979" s="18" t="s">
        <v>39</v>
      </c>
      <c r="C1979" s="18" t="s">
        <v>44</v>
      </c>
      <c r="D1979" s="18" t="s">
        <v>53</v>
      </c>
      <c r="E1979" s="18" t="s">
        <v>55</v>
      </c>
      <c r="F1979" s="18" t="s">
        <v>49</v>
      </c>
      <c r="G1979" s="18" t="s">
        <v>38</v>
      </c>
      <c r="H1979" s="18">
        <v>9.1999999999999993</v>
      </c>
      <c r="I1979" s="20">
        <v>50</v>
      </c>
      <c r="J1979" s="21">
        <v>459.99999999999994</v>
      </c>
    </row>
    <row r="1980" spans="1:10">
      <c r="A1980" s="19">
        <v>35894</v>
      </c>
      <c r="B1980" s="18" t="s">
        <v>39</v>
      </c>
      <c r="C1980" s="18" t="s">
        <v>46</v>
      </c>
      <c r="D1980" s="18" t="s">
        <v>53</v>
      </c>
      <c r="E1980" s="18" t="s">
        <v>56</v>
      </c>
      <c r="F1980" s="18" t="s">
        <v>51</v>
      </c>
      <c r="G1980" s="18" t="s">
        <v>43</v>
      </c>
      <c r="H1980" s="18">
        <v>9.5</v>
      </c>
      <c r="I1980" s="20">
        <v>20</v>
      </c>
      <c r="J1980" s="21">
        <v>190</v>
      </c>
    </row>
    <row r="1981" spans="1:10">
      <c r="A1981" s="19">
        <v>35894</v>
      </c>
      <c r="B1981" s="18" t="s">
        <v>39</v>
      </c>
      <c r="C1981" s="18" t="s">
        <v>47</v>
      </c>
      <c r="D1981" s="18" t="s">
        <v>53</v>
      </c>
      <c r="E1981" s="18" t="s">
        <v>57</v>
      </c>
      <c r="F1981" s="18" t="s">
        <v>51</v>
      </c>
      <c r="G1981" s="18" t="s">
        <v>43</v>
      </c>
      <c r="H1981" s="18">
        <v>9</v>
      </c>
      <c r="I1981" s="20">
        <v>10</v>
      </c>
      <c r="J1981" s="21">
        <v>90</v>
      </c>
    </row>
    <row r="1982" spans="1:10">
      <c r="A1982" s="19">
        <v>35894</v>
      </c>
      <c r="B1982" s="18" t="s">
        <v>26</v>
      </c>
      <c r="C1982" s="18" t="s">
        <v>27</v>
      </c>
      <c r="D1982" s="18" t="s">
        <v>53</v>
      </c>
      <c r="E1982" s="18" t="s">
        <v>54</v>
      </c>
      <c r="F1982" s="18" t="s">
        <v>45</v>
      </c>
      <c r="G1982" s="18" t="s">
        <v>38</v>
      </c>
      <c r="H1982" s="18">
        <v>21.5</v>
      </c>
      <c r="I1982" s="20">
        <v>20</v>
      </c>
      <c r="J1982" s="21">
        <v>430</v>
      </c>
    </row>
    <row r="1983" spans="1:10">
      <c r="A1983" s="19">
        <v>35894</v>
      </c>
      <c r="B1983" s="18" t="s">
        <v>26</v>
      </c>
      <c r="C1983" s="18" t="s">
        <v>32</v>
      </c>
      <c r="D1983" s="18" t="s">
        <v>53</v>
      </c>
      <c r="E1983" s="18" t="s">
        <v>55</v>
      </c>
      <c r="F1983" s="18" t="s">
        <v>49</v>
      </c>
      <c r="G1983" s="18" t="s">
        <v>38</v>
      </c>
      <c r="H1983" s="18">
        <v>21.5</v>
      </c>
      <c r="I1983" s="20">
        <v>60</v>
      </c>
      <c r="J1983" s="21">
        <v>1290</v>
      </c>
    </row>
    <row r="1984" spans="1:10">
      <c r="A1984" s="19">
        <v>35895</v>
      </c>
      <c r="B1984" s="18" t="s">
        <v>26</v>
      </c>
      <c r="C1984" s="18" t="s">
        <v>34</v>
      </c>
      <c r="D1984" s="18" t="s">
        <v>53</v>
      </c>
      <c r="E1984" s="18" t="s">
        <v>56</v>
      </c>
      <c r="F1984" s="18" t="s">
        <v>51</v>
      </c>
      <c r="G1984" s="18" t="s">
        <v>43</v>
      </c>
      <c r="H1984" s="18">
        <v>25.89</v>
      </c>
      <c r="I1984" s="20">
        <v>15</v>
      </c>
      <c r="J1984" s="21">
        <v>388.35</v>
      </c>
    </row>
    <row r="1985" spans="1:10">
      <c r="A1985" s="19">
        <v>35895</v>
      </c>
      <c r="B1985" s="18" t="s">
        <v>26</v>
      </c>
      <c r="C1985" s="18" t="s">
        <v>36</v>
      </c>
      <c r="D1985" s="18" t="s">
        <v>53</v>
      </c>
      <c r="E1985" s="18" t="s">
        <v>57</v>
      </c>
      <c r="F1985" s="18" t="s">
        <v>51</v>
      </c>
      <c r="G1985" s="18" t="s">
        <v>43</v>
      </c>
      <c r="H1985" s="18">
        <v>13</v>
      </c>
      <c r="I1985" s="20">
        <v>18</v>
      </c>
      <c r="J1985" s="21">
        <v>234</v>
      </c>
    </row>
    <row r="1986" spans="1:10">
      <c r="A1986" s="19">
        <v>35895</v>
      </c>
      <c r="B1986" s="18" t="s">
        <v>39</v>
      </c>
      <c r="C1986" s="18" t="s">
        <v>40</v>
      </c>
      <c r="D1986" s="18" t="s">
        <v>53</v>
      </c>
      <c r="E1986" s="18" t="s">
        <v>56</v>
      </c>
      <c r="F1986" s="18" t="s">
        <v>48</v>
      </c>
      <c r="G1986" s="18" t="s">
        <v>31</v>
      </c>
      <c r="H1986" s="18">
        <v>12.5</v>
      </c>
      <c r="I1986" s="20">
        <v>15</v>
      </c>
      <c r="J1986" s="21">
        <v>187.5</v>
      </c>
    </row>
    <row r="1987" spans="1:10">
      <c r="A1987" s="19">
        <v>35895</v>
      </c>
      <c r="B1987" s="18" t="s">
        <v>39</v>
      </c>
      <c r="C1987" s="18" t="s">
        <v>41</v>
      </c>
      <c r="D1987" s="18" t="s">
        <v>53</v>
      </c>
      <c r="E1987" s="18" t="s">
        <v>54</v>
      </c>
      <c r="F1987" s="18" t="s">
        <v>51</v>
      </c>
      <c r="G1987" s="18" t="s">
        <v>43</v>
      </c>
      <c r="H1987" s="18">
        <v>9.65</v>
      </c>
      <c r="I1987" s="20">
        <v>28</v>
      </c>
      <c r="J1987" s="21">
        <v>270.2</v>
      </c>
    </row>
    <row r="1988" spans="1:10">
      <c r="A1988" s="19">
        <v>35895</v>
      </c>
      <c r="B1988" s="18" t="s">
        <v>39</v>
      </c>
      <c r="C1988" s="18" t="s">
        <v>44</v>
      </c>
      <c r="D1988" s="18" t="s">
        <v>53</v>
      </c>
      <c r="E1988" s="18" t="s">
        <v>55</v>
      </c>
      <c r="F1988" s="18" t="s">
        <v>48</v>
      </c>
      <c r="G1988" s="18" t="s">
        <v>31</v>
      </c>
      <c r="H1988" s="18">
        <v>19</v>
      </c>
      <c r="I1988" s="20">
        <v>16</v>
      </c>
      <c r="J1988" s="21">
        <v>304</v>
      </c>
    </row>
    <row r="1989" spans="1:10">
      <c r="A1989" s="19">
        <v>35898</v>
      </c>
      <c r="B1989" s="18" t="s">
        <v>39</v>
      </c>
      <c r="C1989" s="18" t="s">
        <v>46</v>
      </c>
      <c r="D1989" s="18" t="s">
        <v>53</v>
      </c>
      <c r="E1989" s="18" t="s">
        <v>56</v>
      </c>
      <c r="F1989" s="18" t="s">
        <v>42</v>
      </c>
      <c r="G1989" s="18" t="s">
        <v>43</v>
      </c>
      <c r="H1989" s="18">
        <v>38</v>
      </c>
      <c r="I1989" s="20">
        <v>5</v>
      </c>
      <c r="J1989" s="21">
        <v>190</v>
      </c>
    </row>
    <row r="1990" spans="1:10">
      <c r="A1990" s="19">
        <v>35898</v>
      </c>
      <c r="B1990" s="18" t="s">
        <v>39</v>
      </c>
      <c r="C1990" s="18" t="s">
        <v>47</v>
      </c>
      <c r="D1990" s="18" t="s">
        <v>53</v>
      </c>
      <c r="E1990" s="18" t="s">
        <v>57</v>
      </c>
      <c r="F1990" s="18" t="s">
        <v>42</v>
      </c>
      <c r="G1990" s="18" t="s">
        <v>43</v>
      </c>
      <c r="H1990" s="18">
        <v>38</v>
      </c>
      <c r="I1990" s="20">
        <v>20</v>
      </c>
      <c r="J1990" s="21">
        <v>760</v>
      </c>
    </row>
    <row r="1991" spans="1:10">
      <c r="A1991" s="19">
        <v>35898</v>
      </c>
      <c r="B1991" s="18" t="s">
        <v>26</v>
      </c>
      <c r="C1991" s="18" t="s">
        <v>27</v>
      </c>
      <c r="D1991" s="18" t="s">
        <v>53</v>
      </c>
      <c r="E1991" s="18" t="s">
        <v>54</v>
      </c>
      <c r="F1991" s="18" t="s">
        <v>48</v>
      </c>
      <c r="G1991" s="18" t="s">
        <v>31</v>
      </c>
      <c r="H1991" s="18">
        <v>10</v>
      </c>
      <c r="I1991" s="20">
        <v>25</v>
      </c>
      <c r="J1991" s="21">
        <v>250</v>
      </c>
    </row>
    <row r="1992" spans="1:10">
      <c r="A1992" s="19">
        <v>35898</v>
      </c>
      <c r="B1992" s="18" t="s">
        <v>26</v>
      </c>
      <c r="C1992" s="18" t="s">
        <v>32</v>
      </c>
      <c r="D1992" s="18" t="s">
        <v>53</v>
      </c>
      <c r="E1992" s="18" t="s">
        <v>55</v>
      </c>
      <c r="F1992" s="18" t="s">
        <v>48</v>
      </c>
      <c r="G1992" s="18" t="s">
        <v>31</v>
      </c>
      <c r="H1992" s="18">
        <v>55</v>
      </c>
      <c r="I1992" s="20">
        <v>110</v>
      </c>
      <c r="J1992" s="21">
        <v>6050</v>
      </c>
    </row>
    <row r="1993" spans="1:10">
      <c r="A1993" s="19">
        <v>35898</v>
      </c>
      <c r="B1993" s="18" t="s">
        <v>26</v>
      </c>
      <c r="C1993" s="18" t="s">
        <v>34</v>
      </c>
      <c r="D1993" s="18" t="s">
        <v>53</v>
      </c>
      <c r="E1993" s="18" t="s">
        <v>56</v>
      </c>
      <c r="F1993" s="18" t="s">
        <v>37</v>
      </c>
      <c r="G1993" s="18" t="s">
        <v>38</v>
      </c>
      <c r="H1993" s="18">
        <v>12</v>
      </c>
      <c r="I1993" s="20">
        <v>3</v>
      </c>
      <c r="J1993" s="21">
        <v>36</v>
      </c>
    </row>
    <row r="1994" spans="1:10">
      <c r="A1994" s="19">
        <v>35898</v>
      </c>
      <c r="B1994" s="18" t="s">
        <v>26</v>
      </c>
      <c r="C1994" s="18" t="s">
        <v>36</v>
      </c>
      <c r="D1994" s="18" t="s">
        <v>53</v>
      </c>
      <c r="E1994" s="18" t="s">
        <v>57</v>
      </c>
      <c r="F1994" s="18" t="s">
        <v>42</v>
      </c>
      <c r="G1994" s="18" t="s">
        <v>43</v>
      </c>
      <c r="H1994" s="18">
        <v>62.5</v>
      </c>
      <c r="I1994" s="20">
        <v>10</v>
      </c>
      <c r="J1994" s="21">
        <v>625</v>
      </c>
    </row>
    <row r="1995" spans="1:10">
      <c r="A1995" s="19">
        <v>35898</v>
      </c>
      <c r="B1995" s="18" t="s">
        <v>39</v>
      </c>
      <c r="C1995" s="18" t="s">
        <v>40</v>
      </c>
      <c r="D1995" s="18" t="s">
        <v>53</v>
      </c>
      <c r="E1995" s="18" t="s">
        <v>54</v>
      </c>
      <c r="F1995" s="18" t="s">
        <v>37</v>
      </c>
      <c r="G1995" s="18" t="s">
        <v>38</v>
      </c>
      <c r="H1995" s="18">
        <v>20</v>
      </c>
      <c r="I1995" s="20">
        <v>2</v>
      </c>
      <c r="J1995" s="21">
        <v>40</v>
      </c>
    </row>
    <row r="1996" spans="1:10">
      <c r="A1996" s="19">
        <v>35898</v>
      </c>
      <c r="B1996" s="18" t="s">
        <v>39</v>
      </c>
      <c r="C1996" s="18" t="s">
        <v>41</v>
      </c>
      <c r="D1996" s="18" t="s">
        <v>53</v>
      </c>
      <c r="E1996" s="18" t="s">
        <v>55</v>
      </c>
      <c r="F1996" s="18" t="s">
        <v>48</v>
      </c>
      <c r="G1996" s="18" t="s">
        <v>31</v>
      </c>
      <c r="H1996" s="18">
        <v>15</v>
      </c>
      <c r="I1996" s="20">
        <v>30</v>
      </c>
      <c r="J1996" s="21">
        <v>450</v>
      </c>
    </row>
    <row r="1997" spans="1:10">
      <c r="A1997" s="19">
        <v>35899</v>
      </c>
      <c r="B1997" s="18" t="s">
        <v>39</v>
      </c>
      <c r="C1997" s="18" t="s">
        <v>44</v>
      </c>
      <c r="D1997" s="18" t="s">
        <v>53</v>
      </c>
      <c r="E1997" s="18" t="s">
        <v>56</v>
      </c>
      <c r="F1997" s="18" t="s">
        <v>45</v>
      </c>
      <c r="G1997" s="18" t="s">
        <v>38</v>
      </c>
      <c r="H1997" s="18">
        <v>81</v>
      </c>
      <c r="I1997" s="20">
        <v>15</v>
      </c>
      <c r="J1997" s="21">
        <v>1215</v>
      </c>
    </row>
    <row r="1998" spans="1:10">
      <c r="A1998" s="19">
        <v>35899</v>
      </c>
      <c r="B1998" s="18" t="s">
        <v>39</v>
      </c>
      <c r="C1998" s="18" t="s">
        <v>46</v>
      </c>
      <c r="D1998" s="18" t="s">
        <v>53</v>
      </c>
      <c r="E1998" s="18" t="s">
        <v>57</v>
      </c>
      <c r="F1998" s="18" t="s">
        <v>49</v>
      </c>
      <c r="G1998" s="18" t="s">
        <v>38</v>
      </c>
      <c r="H1998" s="18">
        <v>30</v>
      </c>
      <c r="I1998" s="20">
        <v>4</v>
      </c>
      <c r="J1998" s="21">
        <v>120</v>
      </c>
    </row>
    <row r="1999" spans="1:10">
      <c r="A1999" s="19">
        <v>35899</v>
      </c>
      <c r="B1999" s="18" t="s">
        <v>39</v>
      </c>
      <c r="C1999" s="18" t="s">
        <v>47</v>
      </c>
      <c r="D1999" s="18" t="s">
        <v>53</v>
      </c>
      <c r="E1999" s="18" t="s">
        <v>54</v>
      </c>
      <c r="F1999" s="18" t="s">
        <v>48</v>
      </c>
      <c r="G1999" s="18" t="s">
        <v>31</v>
      </c>
      <c r="H1999" s="18">
        <v>36</v>
      </c>
      <c r="I1999" s="20">
        <v>30</v>
      </c>
      <c r="J1999" s="21">
        <v>1080</v>
      </c>
    </row>
    <row r="2000" spans="1:10">
      <c r="A2000" s="19">
        <v>35899</v>
      </c>
      <c r="B2000" s="18" t="s">
        <v>26</v>
      </c>
      <c r="C2000" s="18" t="s">
        <v>27</v>
      </c>
      <c r="D2000" s="18" t="s">
        <v>53</v>
      </c>
      <c r="E2000" s="18" t="s">
        <v>55</v>
      </c>
      <c r="F2000" s="18" t="s">
        <v>49</v>
      </c>
      <c r="G2000" s="18" t="s">
        <v>38</v>
      </c>
      <c r="H2000" s="18">
        <v>46</v>
      </c>
      <c r="I2000" s="20">
        <v>30</v>
      </c>
      <c r="J2000" s="21">
        <v>1380</v>
      </c>
    </row>
    <row r="2001" spans="1:10">
      <c r="A2001" s="19">
        <v>35899</v>
      </c>
      <c r="B2001" s="18" t="s">
        <v>26</v>
      </c>
      <c r="C2001" s="18" t="s">
        <v>32</v>
      </c>
      <c r="D2001" s="18" t="s">
        <v>53</v>
      </c>
      <c r="E2001" s="18" t="s">
        <v>56</v>
      </c>
      <c r="F2001" s="18" t="s">
        <v>45</v>
      </c>
      <c r="G2001" s="18" t="s">
        <v>38</v>
      </c>
      <c r="H2001" s="18">
        <v>31.23</v>
      </c>
      <c r="I2001" s="20">
        <v>63</v>
      </c>
      <c r="J2001" s="21">
        <v>1967.49</v>
      </c>
    </row>
    <row r="2002" spans="1:10">
      <c r="A2002" s="19">
        <v>35899</v>
      </c>
      <c r="B2002" s="18" t="s">
        <v>26</v>
      </c>
      <c r="C2002" s="18" t="s">
        <v>34</v>
      </c>
      <c r="D2002" s="18" t="s">
        <v>53</v>
      </c>
      <c r="E2002" s="18" t="s">
        <v>57</v>
      </c>
      <c r="F2002" s="18" t="s">
        <v>45</v>
      </c>
      <c r="G2002" s="18" t="s">
        <v>38</v>
      </c>
      <c r="H2002" s="18">
        <v>19</v>
      </c>
      <c r="I2002" s="20">
        <v>11</v>
      </c>
      <c r="J2002" s="21">
        <v>209</v>
      </c>
    </row>
    <row r="2003" spans="1:10">
      <c r="A2003" s="19">
        <v>35899</v>
      </c>
      <c r="B2003" s="18" t="s">
        <v>26</v>
      </c>
      <c r="C2003" s="18" t="s">
        <v>36</v>
      </c>
      <c r="D2003" s="18" t="s">
        <v>53</v>
      </c>
      <c r="E2003" s="18" t="s">
        <v>54</v>
      </c>
      <c r="F2003" s="18" t="s">
        <v>45</v>
      </c>
      <c r="G2003" s="18" t="s">
        <v>38</v>
      </c>
      <c r="H2003" s="18">
        <v>34.799999999999997</v>
      </c>
      <c r="I2003" s="20">
        <v>35</v>
      </c>
      <c r="J2003" s="21">
        <v>1218</v>
      </c>
    </row>
    <row r="2004" spans="1:10">
      <c r="A2004" s="19">
        <v>35899</v>
      </c>
      <c r="B2004" s="18" t="s">
        <v>39</v>
      </c>
      <c r="C2004" s="18" t="s">
        <v>40</v>
      </c>
      <c r="D2004" s="18" t="s">
        <v>53</v>
      </c>
      <c r="E2004" s="18" t="s">
        <v>55</v>
      </c>
      <c r="F2004" s="18" t="s">
        <v>48</v>
      </c>
      <c r="G2004" s="18" t="s">
        <v>31</v>
      </c>
      <c r="H2004" s="18">
        <v>9.1999999999999993</v>
      </c>
      <c r="I2004" s="20">
        <v>35</v>
      </c>
      <c r="J2004" s="21">
        <v>322</v>
      </c>
    </row>
    <row r="2005" spans="1:10">
      <c r="A2005" s="19">
        <v>35899</v>
      </c>
      <c r="B2005" s="18" t="s">
        <v>39</v>
      </c>
      <c r="C2005" s="18" t="s">
        <v>41</v>
      </c>
      <c r="D2005" s="18" t="s">
        <v>53</v>
      </c>
      <c r="E2005" s="18" t="s">
        <v>56</v>
      </c>
      <c r="F2005" s="18" t="s">
        <v>51</v>
      </c>
      <c r="G2005" s="18" t="s">
        <v>43</v>
      </c>
      <c r="H2005" s="18">
        <v>31</v>
      </c>
      <c r="I2005" s="20">
        <v>24</v>
      </c>
      <c r="J2005" s="21">
        <v>744</v>
      </c>
    </row>
    <row r="2006" spans="1:10">
      <c r="A2006" s="19">
        <v>35899</v>
      </c>
      <c r="B2006" s="18" t="s">
        <v>39</v>
      </c>
      <c r="C2006" s="18" t="s">
        <v>44</v>
      </c>
      <c r="D2006" s="18" t="s">
        <v>53</v>
      </c>
      <c r="E2006" s="18" t="s">
        <v>57</v>
      </c>
      <c r="F2006" s="18" t="s">
        <v>45</v>
      </c>
      <c r="G2006" s="18" t="s">
        <v>38</v>
      </c>
      <c r="H2006" s="18">
        <v>53</v>
      </c>
      <c r="I2006" s="20">
        <v>44</v>
      </c>
      <c r="J2006" s="21">
        <v>2332</v>
      </c>
    </row>
    <row r="2007" spans="1:10">
      <c r="A2007" s="19">
        <v>35900</v>
      </c>
      <c r="B2007" s="18" t="s">
        <v>39</v>
      </c>
      <c r="C2007" s="18" t="s">
        <v>46</v>
      </c>
      <c r="D2007" s="18" t="s">
        <v>53</v>
      </c>
      <c r="E2007" s="18" t="s">
        <v>54</v>
      </c>
      <c r="F2007" s="18" t="s">
        <v>42</v>
      </c>
      <c r="G2007" s="18" t="s">
        <v>43</v>
      </c>
      <c r="H2007" s="18">
        <v>21.05</v>
      </c>
      <c r="I2007" s="20">
        <v>21</v>
      </c>
      <c r="J2007" s="21">
        <v>442.05</v>
      </c>
    </row>
    <row r="2008" spans="1:10">
      <c r="A2008" s="19">
        <v>35900</v>
      </c>
      <c r="B2008" s="18" t="s">
        <v>39</v>
      </c>
      <c r="C2008" s="18" t="s">
        <v>47</v>
      </c>
      <c r="D2008" s="18" t="s">
        <v>53</v>
      </c>
      <c r="E2008" s="18" t="s">
        <v>55</v>
      </c>
      <c r="F2008" s="18" t="s">
        <v>42</v>
      </c>
      <c r="G2008" s="18" t="s">
        <v>43</v>
      </c>
      <c r="H2008" s="18">
        <v>2.5</v>
      </c>
      <c r="I2008" s="20">
        <v>30</v>
      </c>
      <c r="J2008" s="21">
        <v>75</v>
      </c>
    </row>
    <row r="2009" spans="1:10">
      <c r="A2009" s="19">
        <v>35900</v>
      </c>
      <c r="B2009" s="18" t="s">
        <v>26</v>
      </c>
      <c r="C2009" s="18" t="s">
        <v>27</v>
      </c>
      <c r="D2009" s="18" t="s">
        <v>53</v>
      </c>
      <c r="E2009" s="18" t="s">
        <v>56</v>
      </c>
      <c r="F2009" s="18" t="s">
        <v>37</v>
      </c>
      <c r="G2009" s="18" t="s">
        <v>38</v>
      </c>
      <c r="H2009" s="18">
        <v>6</v>
      </c>
      <c r="I2009" s="20">
        <v>20</v>
      </c>
      <c r="J2009" s="21">
        <v>120</v>
      </c>
    </row>
    <row r="2010" spans="1:10">
      <c r="A2010" s="19">
        <v>35900</v>
      </c>
      <c r="B2010" s="18" t="s">
        <v>26</v>
      </c>
      <c r="C2010" s="18" t="s">
        <v>32</v>
      </c>
      <c r="D2010" s="18" t="s">
        <v>53</v>
      </c>
      <c r="E2010" s="18" t="s">
        <v>57</v>
      </c>
      <c r="F2010" s="18" t="s">
        <v>42</v>
      </c>
      <c r="G2010" s="18" t="s">
        <v>43</v>
      </c>
      <c r="H2010" s="18">
        <v>31.23</v>
      </c>
      <c r="I2010" s="20">
        <v>12</v>
      </c>
      <c r="J2010" s="21">
        <v>374.76</v>
      </c>
    </row>
    <row r="2011" spans="1:10">
      <c r="A2011" s="19">
        <v>35900</v>
      </c>
      <c r="B2011" s="18" t="s">
        <v>26</v>
      </c>
      <c r="C2011" s="18" t="s">
        <v>34</v>
      </c>
      <c r="D2011" s="18" t="s">
        <v>53</v>
      </c>
      <c r="E2011" s="18" t="s">
        <v>54</v>
      </c>
      <c r="F2011" s="18" t="s">
        <v>42</v>
      </c>
      <c r="G2011" s="18" t="s">
        <v>43</v>
      </c>
      <c r="H2011" s="18">
        <v>62.5</v>
      </c>
      <c r="I2011" s="20">
        <v>8</v>
      </c>
      <c r="J2011" s="21">
        <v>500</v>
      </c>
    </row>
    <row r="2012" spans="1:10">
      <c r="A2012" s="19">
        <v>35900</v>
      </c>
      <c r="B2012" s="18" t="s">
        <v>26</v>
      </c>
      <c r="C2012" s="18" t="s">
        <v>36</v>
      </c>
      <c r="D2012" s="18" t="s">
        <v>53</v>
      </c>
      <c r="E2012" s="18" t="s">
        <v>55</v>
      </c>
      <c r="F2012" s="18" t="s">
        <v>37</v>
      </c>
      <c r="G2012" s="18" t="s">
        <v>38</v>
      </c>
      <c r="H2012" s="18">
        <v>18</v>
      </c>
      <c r="I2012" s="20">
        <v>10</v>
      </c>
      <c r="J2012" s="21">
        <v>180</v>
      </c>
    </row>
    <row r="2013" spans="1:10">
      <c r="A2013" s="19">
        <v>35900</v>
      </c>
      <c r="B2013" s="18" t="s">
        <v>39</v>
      </c>
      <c r="C2013" s="18" t="s">
        <v>40</v>
      </c>
      <c r="D2013" s="18" t="s">
        <v>53</v>
      </c>
      <c r="E2013" s="18" t="s">
        <v>56</v>
      </c>
      <c r="F2013" s="18" t="s">
        <v>42</v>
      </c>
      <c r="G2013" s="18" t="s">
        <v>43</v>
      </c>
      <c r="H2013" s="18">
        <v>21.5</v>
      </c>
      <c r="I2013" s="20">
        <v>50</v>
      </c>
      <c r="J2013" s="21">
        <v>1075</v>
      </c>
    </row>
    <row r="2014" spans="1:10">
      <c r="A2014" s="19">
        <v>35900</v>
      </c>
      <c r="B2014" s="18" t="s">
        <v>39</v>
      </c>
      <c r="C2014" s="18" t="s">
        <v>41</v>
      </c>
      <c r="D2014" s="18" t="s">
        <v>53</v>
      </c>
      <c r="E2014" s="18" t="s">
        <v>57</v>
      </c>
      <c r="F2014" s="18" t="s">
        <v>42</v>
      </c>
      <c r="G2014" s="18" t="s">
        <v>43</v>
      </c>
      <c r="H2014" s="18">
        <v>53</v>
      </c>
      <c r="I2014" s="20">
        <v>10</v>
      </c>
      <c r="J2014" s="21">
        <v>530</v>
      </c>
    </row>
    <row r="2015" spans="1:10">
      <c r="A2015" s="19">
        <v>35901</v>
      </c>
      <c r="B2015" s="18" t="s">
        <v>39</v>
      </c>
      <c r="C2015" s="18" t="s">
        <v>44</v>
      </c>
      <c r="D2015" s="18" t="s">
        <v>53</v>
      </c>
      <c r="E2015" s="18" t="s">
        <v>56</v>
      </c>
      <c r="F2015" s="18" t="s">
        <v>42</v>
      </c>
      <c r="G2015" s="18" t="s">
        <v>43</v>
      </c>
      <c r="H2015" s="18">
        <v>38</v>
      </c>
      <c r="I2015" s="20">
        <v>20</v>
      </c>
      <c r="J2015" s="21">
        <v>760</v>
      </c>
    </row>
    <row r="2016" spans="1:10">
      <c r="A2016" s="19">
        <v>35901</v>
      </c>
      <c r="B2016" s="18" t="s">
        <v>39</v>
      </c>
      <c r="C2016" s="18" t="s">
        <v>46</v>
      </c>
      <c r="D2016" s="18" t="s">
        <v>53</v>
      </c>
      <c r="E2016" s="18" t="s">
        <v>54</v>
      </c>
      <c r="F2016" s="18" t="s">
        <v>51</v>
      </c>
      <c r="G2016" s="18" t="s">
        <v>43</v>
      </c>
      <c r="H2016" s="18">
        <v>55</v>
      </c>
      <c r="I2016" s="20">
        <v>24</v>
      </c>
      <c r="J2016" s="21">
        <v>1320</v>
      </c>
    </row>
    <row r="2017" spans="1:10">
      <c r="A2017" s="19">
        <v>35901</v>
      </c>
      <c r="B2017" s="18" t="s">
        <v>39</v>
      </c>
      <c r="C2017" s="18" t="s">
        <v>47</v>
      </c>
      <c r="D2017" s="18" t="s">
        <v>53</v>
      </c>
      <c r="E2017" s="18" t="s">
        <v>55</v>
      </c>
      <c r="F2017" s="18" t="s">
        <v>49</v>
      </c>
      <c r="G2017" s="18" t="s">
        <v>38</v>
      </c>
      <c r="H2017" s="18">
        <v>4.5</v>
      </c>
      <c r="I2017" s="20">
        <v>30</v>
      </c>
      <c r="J2017" s="21">
        <v>135</v>
      </c>
    </row>
    <row r="2018" spans="1:10">
      <c r="A2018" s="19">
        <v>35901</v>
      </c>
      <c r="B2018" s="18" t="s">
        <v>26</v>
      </c>
      <c r="C2018" s="18" t="s">
        <v>27</v>
      </c>
      <c r="D2018" s="18" t="s">
        <v>53</v>
      </c>
      <c r="E2018" s="18" t="s">
        <v>56</v>
      </c>
      <c r="F2018" s="18" t="s">
        <v>49</v>
      </c>
      <c r="G2018" s="18" t="s">
        <v>38</v>
      </c>
      <c r="H2018" s="18">
        <v>49.3</v>
      </c>
      <c r="I2018" s="20">
        <v>21</v>
      </c>
      <c r="J2018" s="21">
        <v>1035.3</v>
      </c>
    </row>
    <row r="2019" spans="1:10">
      <c r="A2019" s="19">
        <v>35901</v>
      </c>
      <c r="B2019" s="18" t="s">
        <v>26</v>
      </c>
      <c r="C2019" s="18" t="s">
        <v>32</v>
      </c>
      <c r="D2019" s="18" t="s">
        <v>53</v>
      </c>
      <c r="E2019" s="18" t="s">
        <v>57</v>
      </c>
      <c r="F2019" s="18" t="s">
        <v>42</v>
      </c>
      <c r="G2019" s="18" t="s">
        <v>43</v>
      </c>
      <c r="H2019" s="18">
        <v>43.9</v>
      </c>
      <c r="I2019" s="20">
        <v>12</v>
      </c>
      <c r="J2019" s="21">
        <v>526.79999999999995</v>
      </c>
    </row>
    <row r="2020" spans="1:10">
      <c r="A2020" s="19">
        <v>35901</v>
      </c>
      <c r="B2020" s="18" t="s">
        <v>26</v>
      </c>
      <c r="C2020" s="18" t="s">
        <v>34</v>
      </c>
      <c r="D2020" s="18" t="s">
        <v>53</v>
      </c>
      <c r="E2020" s="18" t="s">
        <v>54</v>
      </c>
      <c r="F2020" s="18" t="s">
        <v>51</v>
      </c>
      <c r="G2020" s="18" t="s">
        <v>43</v>
      </c>
      <c r="H2020" s="18">
        <v>24</v>
      </c>
      <c r="I2020" s="20">
        <v>35</v>
      </c>
      <c r="J2020" s="21">
        <v>840</v>
      </c>
    </row>
    <row r="2021" spans="1:10">
      <c r="A2021" s="19">
        <v>35902</v>
      </c>
      <c r="B2021" s="18" t="s">
        <v>26</v>
      </c>
      <c r="C2021" s="18" t="s">
        <v>36</v>
      </c>
      <c r="D2021" s="18" t="s">
        <v>53</v>
      </c>
      <c r="E2021" s="18" t="s">
        <v>55</v>
      </c>
      <c r="F2021" s="18" t="s">
        <v>52</v>
      </c>
      <c r="G2021" s="18" t="s">
        <v>31</v>
      </c>
      <c r="H2021" s="18">
        <v>55</v>
      </c>
      <c r="I2021" s="20">
        <v>100</v>
      </c>
      <c r="J2021" s="21">
        <v>5500</v>
      </c>
    </row>
    <row r="2022" spans="1:10">
      <c r="A2022" s="19">
        <v>35902</v>
      </c>
      <c r="B2022" s="18" t="s">
        <v>39</v>
      </c>
      <c r="C2022" s="18" t="s">
        <v>40</v>
      </c>
      <c r="D2022" s="18" t="s">
        <v>53</v>
      </c>
      <c r="E2022" s="18" t="s">
        <v>56</v>
      </c>
      <c r="F2022" s="18" t="s">
        <v>51</v>
      </c>
      <c r="G2022" s="18" t="s">
        <v>43</v>
      </c>
      <c r="H2022" s="18">
        <v>55</v>
      </c>
      <c r="I2022" s="20">
        <v>30</v>
      </c>
      <c r="J2022" s="21">
        <v>1650</v>
      </c>
    </row>
    <row r="2023" spans="1:10">
      <c r="A2023" s="19">
        <v>35902</v>
      </c>
      <c r="B2023" s="18" t="s">
        <v>39</v>
      </c>
      <c r="C2023" s="18" t="s">
        <v>41</v>
      </c>
      <c r="D2023" s="18" t="s">
        <v>53</v>
      </c>
      <c r="E2023" s="18" t="s">
        <v>57</v>
      </c>
      <c r="F2023" s="18" t="s">
        <v>52</v>
      </c>
      <c r="G2023" s="18" t="s">
        <v>31</v>
      </c>
      <c r="H2023" s="18">
        <v>36</v>
      </c>
      <c r="I2023" s="20">
        <v>36</v>
      </c>
      <c r="J2023" s="21">
        <v>1296</v>
      </c>
    </row>
    <row r="2024" spans="1:10">
      <c r="A2024" s="19">
        <v>35902</v>
      </c>
      <c r="B2024" s="18" t="s">
        <v>39</v>
      </c>
      <c r="C2024" s="18" t="s">
        <v>44</v>
      </c>
      <c r="D2024" s="18" t="s">
        <v>53</v>
      </c>
      <c r="E2024" s="18" t="s">
        <v>54</v>
      </c>
      <c r="F2024" s="18" t="s">
        <v>37</v>
      </c>
      <c r="G2024" s="18" t="s">
        <v>38</v>
      </c>
      <c r="H2024" s="18">
        <v>33.25</v>
      </c>
      <c r="I2024" s="20">
        <v>20</v>
      </c>
      <c r="J2024" s="21">
        <v>665</v>
      </c>
    </row>
    <row r="2025" spans="1:10">
      <c r="A2025" s="19">
        <v>35902</v>
      </c>
      <c r="B2025" s="18" t="s">
        <v>39</v>
      </c>
      <c r="C2025" s="18" t="s">
        <v>46</v>
      </c>
      <c r="D2025" s="18" t="s">
        <v>53</v>
      </c>
      <c r="E2025" s="18" t="s">
        <v>55</v>
      </c>
      <c r="F2025" s="18" t="s">
        <v>37</v>
      </c>
      <c r="G2025" s="18" t="s">
        <v>38</v>
      </c>
      <c r="H2025" s="18">
        <v>6</v>
      </c>
      <c r="I2025" s="20">
        <v>80</v>
      </c>
      <c r="J2025" s="21">
        <v>480</v>
      </c>
    </row>
    <row r="2026" spans="1:10">
      <c r="A2026" s="19">
        <v>35902</v>
      </c>
      <c r="B2026" s="18" t="s">
        <v>39</v>
      </c>
      <c r="C2026" s="18" t="s">
        <v>47</v>
      </c>
      <c r="D2026" s="18" t="s">
        <v>53</v>
      </c>
      <c r="E2026" s="18" t="s">
        <v>56</v>
      </c>
      <c r="F2026" s="18" t="s">
        <v>51</v>
      </c>
      <c r="G2026" s="18" t="s">
        <v>43</v>
      </c>
      <c r="H2026" s="18">
        <v>263.5</v>
      </c>
      <c r="I2026" s="20">
        <v>25</v>
      </c>
      <c r="J2026" s="21">
        <v>6587.5</v>
      </c>
    </row>
    <row r="2027" spans="1:10">
      <c r="A2027" s="19">
        <v>35902</v>
      </c>
      <c r="B2027" s="18" t="s">
        <v>26</v>
      </c>
      <c r="C2027" s="18" t="s">
        <v>27</v>
      </c>
      <c r="D2027" s="18" t="s">
        <v>53</v>
      </c>
      <c r="E2027" s="18" t="s">
        <v>57</v>
      </c>
      <c r="F2027" s="18" t="s">
        <v>52</v>
      </c>
      <c r="G2027" s="18" t="s">
        <v>31</v>
      </c>
      <c r="H2027" s="18">
        <v>21.35</v>
      </c>
      <c r="I2027" s="20">
        <v>70</v>
      </c>
      <c r="J2027" s="21">
        <v>1494.5</v>
      </c>
    </row>
    <row r="2028" spans="1:10">
      <c r="A2028" s="19">
        <v>35902</v>
      </c>
      <c r="B2028" s="18" t="s">
        <v>26</v>
      </c>
      <c r="C2028" s="18" t="s">
        <v>32</v>
      </c>
      <c r="D2028" s="18" t="s">
        <v>53</v>
      </c>
      <c r="E2028" s="18" t="s">
        <v>54</v>
      </c>
      <c r="F2028" s="18" t="s">
        <v>52</v>
      </c>
      <c r="G2028" s="18" t="s">
        <v>31</v>
      </c>
      <c r="H2028" s="18">
        <v>19</v>
      </c>
      <c r="I2028" s="20">
        <v>100</v>
      </c>
      <c r="J2028" s="21">
        <v>1900</v>
      </c>
    </row>
    <row r="2029" spans="1:10">
      <c r="A2029" s="19">
        <v>35902</v>
      </c>
      <c r="B2029" s="18" t="s">
        <v>26</v>
      </c>
      <c r="C2029" s="18" t="s">
        <v>34</v>
      </c>
      <c r="D2029" s="18" t="s">
        <v>53</v>
      </c>
      <c r="E2029" s="18" t="s">
        <v>55</v>
      </c>
      <c r="F2029" s="18" t="s">
        <v>37</v>
      </c>
      <c r="G2029" s="18" t="s">
        <v>38</v>
      </c>
      <c r="H2029" s="18">
        <v>18</v>
      </c>
      <c r="I2029" s="20">
        <v>45</v>
      </c>
      <c r="J2029" s="21">
        <v>810</v>
      </c>
    </row>
    <row r="2030" spans="1:10">
      <c r="A2030" s="19">
        <v>35902</v>
      </c>
      <c r="B2030" s="18" t="s">
        <v>26</v>
      </c>
      <c r="C2030" s="18" t="s">
        <v>36</v>
      </c>
      <c r="D2030" s="18" t="s">
        <v>53</v>
      </c>
      <c r="E2030" s="18" t="s">
        <v>56</v>
      </c>
      <c r="F2030" s="18" t="s">
        <v>37</v>
      </c>
      <c r="G2030" s="18" t="s">
        <v>38</v>
      </c>
      <c r="H2030" s="18">
        <v>4.5</v>
      </c>
      <c r="I2030" s="20">
        <v>21</v>
      </c>
      <c r="J2030" s="21">
        <v>94.5</v>
      </c>
    </row>
    <row r="2031" spans="1:10">
      <c r="A2031" s="19">
        <v>35902</v>
      </c>
      <c r="B2031" s="18" t="s">
        <v>39</v>
      </c>
      <c r="C2031" s="18" t="s">
        <v>40</v>
      </c>
      <c r="D2031" s="18" t="s">
        <v>53</v>
      </c>
      <c r="E2031" s="18" t="s">
        <v>57</v>
      </c>
      <c r="F2031" s="18" t="s">
        <v>52</v>
      </c>
      <c r="G2031" s="18" t="s">
        <v>31</v>
      </c>
      <c r="H2031" s="18">
        <v>123.79</v>
      </c>
      <c r="I2031" s="20">
        <v>60</v>
      </c>
      <c r="J2031" s="21">
        <v>7427.4000000000005</v>
      </c>
    </row>
    <row r="2032" spans="1:10">
      <c r="A2032" s="19">
        <v>35902</v>
      </c>
      <c r="B2032" s="18" t="s">
        <v>39</v>
      </c>
      <c r="C2032" s="18" t="s">
        <v>41</v>
      </c>
      <c r="D2032" s="18" t="s">
        <v>53</v>
      </c>
      <c r="E2032" s="18" t="s">
        <v>54</v>
      </c>
      <c r="F2032" s="18" t="s">
        <v>52</v>
      </c>
      <c r="G2032" s="18" t="s">
        <v>31</v>
      </c>
      <c r="H2032" s="18">
        <v>32.799999999999997</v>
      </c>
      <c r="I2032" s="20">
        <v>70</v>
      </c>
      <c r="J2032" s="21">
        <v>2296</v>
      </c>
    </row>
    <row r="2033" spans="1:10">
      <c r="A2033" s="19">
        <v>35902</v>
      </c>
      <c r="B2033" s="18" t="s">
        <v>39</v>
      </c>
      <c r="C2033" s="18" t="s">
        <v>44</v>
      </c>
      <c r="D2033" s="18" t="s">
        <v>53</v>
      </c>
      <c r="E2033" s="18" t="s">
        <v>55</v>
      </c>
      <c r="F2033" s="18" t="s">
        <v>37</v>
      </c>
      <c r="G2033" s="18" t="s">
        <v>38</v>
      </c>
      <c r="H2033" s="18">
        <v>21.5</v>
      </c>
      <c r="I2033" s="20">
        <v>16</v>
      </c>
      <c r="J2033" s="21">
        <v>344</v>
      </c>
    </row>
    <row r="2034" spans="1:10">
      <c r="A2034" s="19">
        <v>35902</v>
      </c>
      <c r="B2034" s="18" t="s">
        <v>39</v>
      </c>
      <c r="C2034" s="18" t="s">
        <v>46</v>
      </c>
      <c r="D2034" s="18" t="s">
        <v>53</v>
      </c>
      <c r="E2034" s="18" t="s">
        <v>56</v>
      </c>
      <c r="F2034" s="18" t="s">
        <v>51</v>
      </c>
      <c r="G2034" s="18" t="s">
        <v>43</v>
      </c>
      <c r="H2034" s="18">
        <v>19</v>
      </c>
      <c r="I2034" s="20">
        <v>35</v>
      </c>
      <c r="J2034" s="21">
        <v>665</v>
      </c>
    </row>
    <row r="2035" spans="1:10">
      <c r="A2035" s="19">
        <v>35905</v>
      </c>
      <c r="B2035" s="18" t="s">
        <v>39</v>
      </c>
      <c r="C2035" s="18" t="s">
        <v>47</v>
      </c>
      <c r="D2035" s="18" t="s">
        <v>53</v>
      </c>
      <c r="E2035" s="18" t="s">
        <v>57</v>
      </c>
      <c r="F2035" s="18" t="s">
        <v>51</v>
      </c>
      <c r="G2035" s="18" t="s">
        <v>43</v>
      </c>
      <c r="H2035" s="18">
        <v>14</v>
      </c>
      <c r="I2035" s="20">
        <v>30</v>
      </c>
      <c r="J2035" s="21">
        <v>420</v>
      </c>
    </row>
    <row r="2036" spans="1:10">
      <c r="A2036" s="19">
        <v>35905</v>
      </c>
      <c r="B2036" s="18" t="s">
        <v>26</v>
      </c>
      <c r="C2036" s="18" t="s">
        <v>27</v>
      </c>
      <c r="D2036" s="18" t="s">
        <v>53</v>
      </c>
      <c r="E2036" s="18" t="s">
        <v>54</v>
      </c>
      <c r="F2036" s="18" t="s">
        <v>50</v>
      </c>
      <c r="G2036" s="18" t="s">
        <v>31</v>
      </c>
      <c r="H2036" s="18">
        <v>55</v>
      </c>
      <c r="I2036" s="20">
        <v>30</v>
      </c>
      <c r="J2036" s="21">
        <v>1650</v>
      </c>
    </row>
    <row r="2037" spans="1:10">
      <c r="A2037" s="19">
        <v>35905</v>
      </c>
      <c r="B2037" s="18" t="s">
        <v>26</v>
      </c>
      <c r="C2037" s="18" t="s">
        <v>32</v>
      </c>
      <c r="D2037" s="18" t="s">
        <v>53</v>
      </c>
      <c r="E2037" s="18" t="s">
        <v>55</v>
      </c>
      <c r="F2037" s="18" t="s">
        <v>50</v>
      </c>
      <c r="G2037" s="18" t="s">
        <v>31</v>
      </c>
      <c r="H2037" s="18">
        <v>28.5</v>
      </c>
      <c r="I2037" s="20">
        <v>6</v>
      </c>
      <c r="J2037" s="21">
        <v>171</v>
      </c>
    </row>
    <row r="2038" spans="1:10">
      <c r="A2038" s="19">
        <v>35905</v>
      </c>
      <c r="B2038" s="18" t="s">
        <v>26</v>
      </c>
      <c r="C2038" s="18" t="s">
        <v>34</v>
      </c>
      <c r="D2038" s="18" t="s">
        <v>53</v>
      </c>
      <c r="E2038" s="18" t="s">
        <v>56</v>
      </c>
      <c r="F2038" s="18" t="s">
        <v>50</v>
      </c>
      <c r="G2038" s="18" t="s">
        <v>31</v>
      </c>
      <c r="H2038" s="18">
        <v>19.45</v>
      </c>
      <c r="I2038" s="20">
        <v>12</v>
      </c>
      <c r="J2038" s="21">
        <v>233.39999999999998</v>
      </c>
    </row>
    <row r="2039" spans="1:10">
      <c r="A2039" s="19">
        <v>35905</v>
      </c>
      <c r="B2039" s="18" t="s">
        <v>26</v>
      </c>
      <c r="C2039" s="18" t="s">
        <v>36</v>
      </c>
      <c r="D2039" s="18" t="s">
        <v>53</v>
      </c>
      <c r="E2039" s="18" t="s">
        <v>57</v>
      </c>
      <c r="F2039" s="18" t="s">
        <v>50</v>
      </c>
      <c r="G2039" s="18" t="s">
        <v>31</v>
      </c>
      <c r="H2039" s="18">
        <v>10</v>
      </c>
      <c r="I2039" s="20">
        <v>15</v>
      </c>
      <c r="J2039" s="21">
        <v>150</v>
      </c>
    </row>
    <row r="2040" spans="1:10">
      <c r="A2040" s="19">
        <v>35905</v>
      </c>
      <c r="B2040" s="18" t="s">
        <v>39</v>
      </c>
      <c r="C2040" s="18" t="s">
        <v>40</v>
      </c>
      <c r="D2040" s="18" t="s">
        <v>53</v>
      </c>
      <c r="E2040" s="18" t="s">
        <v>54</v>
      </c>
      <c r="F2040" s="18" t="s">
        <v>51</v>
      </c>
      <c r="G2040" s="18" t="s">
        <v>43</v>
      </c>
      <c r="H2040" s="18">
        <v>7.45</v>
      </c>
      <c r="I2040" s="20">
        <v>10</v>
      </c>
      <c r="J2040" s="21">
        <v>74.5</v>
      </c>
    </row>
    <row r="2041" spans="1:10">
      <c r="A2041" s="19">
        <v>35905</v>
      </c>
      <c r="B2041" s="18" t="s">
        <v>39</v>
      </c>
      <c r="C2041" s="18" t="s">
        <v>41</v>
      </c>
      <c r="D2041" s="18" t="s">
        <v>53</v>
      </c>
      <c r="E2041" s="18" t="s">
        <v>55</v>
      </c>
      <c r="F2041" s="18" t="s">
        <v>50</v>
      </c>
      <c r="G2041" s="18" t="s">
        <v>31</v>
      </c>
      <c r="H2041" s="18">
        <v>6</v>
      </c>
      <c r="I2041" s="20">
        <v>7</v>
      </c>
      <c r="J2041" s="21">
        <v>42</v>
      </c>
    </row>
    <row r="2042" spans="1:10">
      <c r="A2042" s="19">
        <v>35905</v>
      </c>
      <c r="B2042" s="18" t="s">
        <v>39</v>
      </c>
      <c r="C2042" s="18" t="s">
        <v>44</v>
      </c>
      <c r="D2042" s="18" t="s">
        <v>53</v>
      </c>
      <c r="E2042" s="18" t="s">
        <v>56</v>
      </c>
      <c r="F2042" s="18" t="s">
        <v>51</v>
      </c>
      <c r="G2042" s="18" t="s">
        <v>43</v>
      </c>
      <c r="H2042" s="18">
        <v>18</v>
      </c>
      <c r="I2042" s="20">
        <v>60</v>
      </c>
      <c r="J2042" s="21">
        <v>1080</v>
      </c>
    </row>
    <row r="2043" spans="1:10">
      <c r="A2043" s="19">
        <v>35905</v>
      </c>
      <c r="B2043" s="18" t="s">
        <v>39</v>
      </c>
      <c r="C2043" s="18" t="s">
        <v>46</v>
      </c>
      <c r="D2043" s="18" t="s">
        <v>53</v>
      </c>
      <c r="E2043" s="18" t="s">
        <v>57</v>
      </c>
      <c r="F2043" s="18" t="s">
        <v>51</v>
      </c>
      <c r="G2043" s="18" t="s">
        <v>43</v>
      </c>
      <c r="H2043" s="18">
        <v>18</v>
      </c>
      <c r="I2043" s="20">
        <v>10</v>
      </c>
      <c r="J2043" s="21">
        <v>180</v>
      </c>
    </row>
    <row r="2044" spans="1:10">
      <c r="A2044" s="19">
        <v>35906</v>
      </c>
      <c r="B2044" s="18" t="s">
        <v>39</v>
      </c>
      <c r="C2044" s="18" t="s">
        <v>47</v>
      </c>
      <c r="D2044" s="18" t="s">
        <v>53</v>
      </c>
      <c r="E2044" s="18" t="s">
        <v>56</v>
      </c>
      <c r="F2044" s="18" t="s">
        <v>49</v>
      </c>
      <c r="G2044" s="18" t="s">
        <v>38</v>
      </c>
      <c r="H2044" s="18">
        <v>45.6</v>
      </c>
      <c r="I2044" s="20">
        <v>20</v>
      </c>
      <c r="J2044" s="21">
        <v>912</v>
      </c>
    </row>
    <row r="2045" spans="1:10">
      <c r="A2045" s="19">
        <v>35906</v>
      </c>
      <c r="B2045" s="18" t="s">
        <v>26</v>
      </c>
      <c r="C2045" s="18" t="s">
        <v>27</v>
      </c>
      <c r="D2045" s="18" t="s">
        <v>53</v>
      </c>
      <c r="E2045" s="18" t="s">
        <v>54</v>
      </c>
      <c r="F2045" s="18" t="s">
        <v>49</v>
      </c>
      <c r="G2045" s="18" t="s">
        <v>38</v>
      </c>
      <c r="H2045" s="18">
        <v>18</v>
      </c>
      <c r="I2045" s="20">
        <v>24</v>
      </c>
      <c r="J2045" s="21">
        <v>432</v>
      </c>
    </row>
    <row r="2046" spans="1:10">
      <c r="A2046" s="19">
        <v>35906</v>
      </c>
      <c r="B2046" s="18" t="s">
        <v>26</v>
      </c>
      <c r="C2046" s="18" t="s">
        <v>32</v>
      </c>
      <c r="D2046" s="18" t="s">
        <v>53</v>
      </c>
      <c r="E2046" s="18" t="s">
        <v>55</v>
      </c>
      <c r="F2046" s="18" t="s">
        <v>49</v>
      </c>
      <c r="G2046" s="18" t="s">
        <v>38</v>
      </c>
      <c r="H2046" s="18">
        <v>7</v>
      </c>
      <c r="I2046" s="20">
        <v>2</v>
      </c>
      <c r="J2046" s="21">
        <v>14</v>
      </c>
    </row>
    <row r="2047" spans="1:10">
      <c r="A2047" s="19">
        <v>35906</v>
      </c>
      <c r="B2047" s="18" t="s">
        <v>26</v>
      </c>
      <c r="C2047" s="18" t="s">
        <v>34</v>
      </c>
      <c r="D2047" s="18" t="s">
        <v>53</v>
      </c>
      <c r="E2047" s="18" t="s">
        <v>56</v>
      </c>
      <c r="F2047" s="18" t="s">
        <v>49</v>
      </c>
      <c r="G2047" s="18" t="s">
        <v>38</v>
      </c>
      <c r="H2047" s="18">
        <v>20</v>
      </c>
      <c r="I2047" s="20">
        <v>60</v>
      </c>
      <c r="J2047" s="21">
        <v>1200</v>
      </c>
    </row>
    <row r="2048" spans="1:10">
      <c r="A2048" s="19">
        <v>35906</v>
      </c>
      <c r="B2048" s="18" t="s">
        <v>26</v>
      </c>
      <c r="C2048" s="18" t="s">
        <v>36</v>
      </c>
      <c r="D2048" s="18" t="s">
        <v>53</v>
      </c>
      <c r="E2048" s="18" t="s">
        <v>57</v>
      </c>
      <c r="F2048" s="18" t="s">
        <v>52</v>
      </c>
      <c r="G2048" s="18" t="s">
        <v>31</v>
      </c>
      <c r="H2048" s="18">
        <v>15</v>
      </c>
      <c r="I2048" s="20">
        <v>4</v>
      </c>
      <c r="J2048" s="21">
        <v>60</v>
      </c>
    </row>
    <row r="2049" spans="1:10">
      <c r="A2049" s="19">
        <v>35906</v>
      </c>
      <c r="B2049" s="18" t="s">
        <v>39</v>
      </c>
      <c r="C2049" s="18" t="s">
        <v>40</v>
      </c>
      <c r="D2049" s="18" t="s">
        <v>53</v>
      </c>
      <c r="E2049" s="18" t="s">
        <v>54</v>
      </c>
      <c r="F2049" s="18" t="s">
        <v>49</v>
      </c>
      <c r="G2049" s="18" t="s">
        <v>38</v>
      </c>
      <c r="H2049" s="18">
        <v>18.399999999999999</v>
      </c>
      <c r="I2049" s="20">
        <v>5</v>
      </c>
      <c r="J2049" s="21">
        <v>92</v>
      </c>
    </row>
    <row r="2050" spans="1:10">
      <c r="A2050" s="19">
        <v>35906</v>
      </c>
      <c r="B2050" s="18" t="s">
        <v>39</v>
      </c>
      <c r="C2050" s="18" t="s">
        <v>41</v>
      </c>
      <c r="D2050" s="18" t="s">
        <v>53</v>
      </c>
      <c r="E2050" s="18" t="s">
        <v>55</v>
      </c>
      <c r="F2050" s="18" t="s">
        <v>49</v>
      </c>
      <c r="G2050" s="18" t="s">
        <v>38</v>
      </c>
      <c r="H2050" s="18">
        <v>19.5</v>
      </c>
      <c r="I2050" s="20">
        <v>28</v>
      </c>
      <c r="J2050" s="21">
        <v>546</v>
      </c>
    </row>
    <row r="2051" spans="1:10">
      <c r="A2051" s="19">
        <v>35906</v>
      </c>
      <c r="B2051" s="18" t="s">
        <v>39</v>
      </c>
      <c r="C2051" s="18" t="s">
        <v>44</v>
      </c>
      <c r="D2051" s="18" t="s">
        <v>53</v>
      </c>
      <c r="E2051" s="18" t="s">
        <v>56</v>
      </c>
      <c r="F2051" s="18" t="s">
        <v>49</v>
      </c>
      <c r="G2051" s="18" t="s">
        <v>38</v>
      </c>
      <c r="H2051" s="18">
        <v>21.5</v>
      </c>
      <c r="I2051" s="20">
        <v>30</v>
      </c>
      <c r="J2051" s="21">
        <v>645</v>
      </c>
    </row>
    <row r="2052" spans="1:10">
      <c r="A2052" s="19">
        <v>35907</v>
      </c>
      <c r="B2052" s="18" t="s">
        <v>39</v>
      </c>
      <c r="C2052" s="18" t="s">
        <v>46</v>
      </c>
      <c r="D2052" s="18" t="s">
        <v>53</v>
      </c>
      <c r="E2052" s="18" t="s">
        <v>57</v>
      </c>
      <c r="F2052" s="18" t="s">
        <v>30</v>
      </c>
      <c r="G2052" s="18" t="s">
        <v>31</v>
      </c>
      <c r="H2052" s="18">
        <v>21</v>
      </c>
      <c r="I2052" s="20">
        <v>10</v>
      </c>
      <c r="J2052" s="21">
        <v>210</v>
      </c>
    </row>
    <row r="2053" spans="1:10">
      <c r="A2053" s="19">
        <v>35907</v>
      </c>
      <c r="B2053" s="18" t="s">
        <v>39</v>
      </c>
      <c r="C2053" s="18" t="s">
        <v>47</v>
      </c>
      <c r="D2053" s="18" t="s">
        <v>53</v>
      </c>
      <c r="E2053" s="18" t="s">
        <v>54</v>
      </c>
      <c r="F2053" s="18" t="s">
        <v>51</v>
      </c>
      <c r="G2053" s="18" t="s">
        <v>43</v>
      </c>
      <c r="H2053" s="18">
        <v>28.5</v>
      </c>
      <c r="I2053" s="20">
        <v>4</v>
      </c>
      <c r="J2053" s="21">
        <v>114</v>
      </c>
    </row>
    <row r="2054" spans="1:10">
      <c r="A2054" s="19">
        <v>35907</v>
      </c>
      <c r="B2054" s="18" t="s">
        <v>26</v>
      </c>
      <c r="C2054" s="18" t="s">
        <v>27</v>
      </c>
      <c r="D2054" s="18" t="s">
        <v>53</v>
      </c>
      <c r="E2054" s="18" t="s">
        <v>55</v>
      </c>
      <c r="F2054" s="18" t="s">
        <v>51</v>
      </c>
      <c r="G2054" s="18" t="s">
        <v>43</v>
      </c>
      <c r="H2054" s="18">
        <v>19.45</v>
      </c>
      <c r="I2054" s="20">
        <v>15</v>
      </c>
      <c r="J2054" s="21">
        <v>291.75</v>
      </c>
    </row>
    <row r="2055" spans="1:10">
      <c r="A2055" s="19">
        <v>35907</v>
      </c>
      <c r="B2055" s="18" t="s">
        <v>26</v>
      </c>
      <c r="C2055" s="18" t="s">
        <v>32</v>
      </c>
      <c r="D2055" s="18" t="s">
        <v>53</v>
      </c>
      <c r="E2055" s="18" t="s">
        <v>56</v>
      </c>
      <c r="F2055" s="18" t="s">
        <v>42</v>
      </c>
      <c r="G2055" s="18" t="s">
        <v>43</v>
      </c>
      <c r="H2055" s="18">
        <v>10</v>
      </c>
      <c r="I2055" s="20">
        <v>20</v>
      </c>
      <c r="J2055" s="21">
        <v>200</v>
      </c>
    </row>
    <row r="2056" spans="1:10">
      <c r="A2056" s="19">
        <v>35907</v>
      </c>
      <c r="B2056" s="18" t="s">
        <v>26</v>
      </c>
      <c r="C2056" s="18" t="s">
        <v>34</v>
      </c>
      <c r="D2056" s="18" t="s">
        <v>53</v>
      </c>
      <c r="E2056" s="18" t="s">
        <v>57</v>
      </c>
      <c r="F2056" s="18" t="s">
        <v>45</v>
      </c>
      <c r="G2056" s="18" t="s">
        <v>38</v>
      </c>
      <c r="H2056" s="18">
        <v>19</v>
      </c>
      <c r="I2056" s="20">
        <v>30</v>
      </c>
      <c r="J2056" s="21">
        <v>570</v>
      </c>
    </row>
    <row r="2057" spans="1:10">
      <c r="A2057" s="19">
        <v>35907</v>
      </c>
      <c r="B2057" s="18" t="s">
        <v>26</v>
      </c>
      <c r="C2057" s="18" t="s">
        <v>36</v>
      </c>
      <c r="D2057" s="18" t="s">
        <v>53</v>
      </c>
      <c r="E2057" s="18" t="s">
        <v>54</v>
      </c>
      <c r="F2057" s="18" t="s">
        <v>45</v>
      </c>
      <c r="G2057" s="18" t="s">
        <v>38</v>
      </c>
      <c r="H2057" s="18">
        <v>43.9</v>
      </c>
      <c r="I2057" s="20">
        <v>30</v>
      </c>
      <c r="J2057" s="21">
        <v>1317</v>
      </c>
    </row>
    <row r="2058" spans="1:10">
      <c r="A2058" s="19">
        <v>35908</v>
      </c>
      <c r="B2058" s="18" t="s">
        <v>39</v>
      </c>
      <c r="C2058" s="18" t="s">
        <v>40</v>
      </c>
      <c r="D2058" s="18" t="s">
        <v>53</v>
      </c>
      <c r="E2058" s="18" t="s">
        <v>55</v>
      </c>
      <c r="F2058" s="18" t="s">
        <v>50</v>
      </c>
      <c r="G2058" s="18" t="s">
        <v>31</v>
      </c>
      <c r="H2058" s="18">
        <v>32</v>
      </c>
      <c r="I2058" s="20">
        <v>15</v>
      </c>
      <c r="J2058" s="21">
        <v>480</v>
      </c>
    </row>
    <row r="2059" spans="1:10">
      <c r="A2059" s="19">
        <v>35908</v>
      </c>
      <c r="B2059" s="18" t="s">
        <v>39</v>
      </c>
      <c r="C2059" s="18" t="s">
        <v>41</v>
      </c>
      <c r="D2059" s="18" t="s">
        <v>53</v>
      </c>
      <c r="E2059" s="18" t="s">
        <v>56</v>
      </c>
      <c r="F2059" s="18" t="s">
        <v>50</v>
      </c>
      <c r="G2059" s="18" t="s">
        <v>31</v>
      </c>
      <c r="H2059" s="18">
        <v>38</v>
      </c>
      <c r="I2059" s="20">
        <v>20</v>
      </c>
      <c r="J2059" s="21">
        <v>760</v>
      </c>
    </row>
    <row r="2060" spans="1:10">
      <c r="A2060" s="19">
        <v>35908</v>
      </c>
      <c r="B2060" s="18" t="s">
        <v>39</v>
      </c>
      <c r="C2060" s="18" t="s">
        <v>44</v>
      </c>
      <c r="D2060" s="18" t="s">
        <v>53</v>
      </c>
      <c r="E2060" s="18" t="s">
        <v>57</v>
      </c>
      <c r="F2060" s="18" t="s">
        <v>37</v>
      </c>
      <c r="G2060" s="18" t="s">
        <v>38</v>
      </c>
      <c r="H2060" s="18">
        <v>2.5</v>
      </c>
      <c r="I2060" s="20">
        <v>15</v>
      </c>
      <c r="J2060" s="21">
        <v>37.5</v>
      </c>
    </row>
    <row r="2061" spans="1:10">
      <c r="A2061" s="19">
        <v>35908</v>
      </c>
      <c r="B2061" s="18" t="s">
        <v>39</v>
      </c>
      <c r="C2061" s="18" t="s">
        <v>46</v>
      </c>
      <c r="D2061" s="18" t="s">
        <v>53</v>
      </c>
      <c r="E2061" s="18" t="s">
        <v>54</v>
      </c>
      <c r="F2061" s="18" t="s">
        <v>50</v>
      </c>
      <c r="G2061" s="18" t="s">
        <v>31</v>
      </c>
      <c r="H2061" s="18">
        <v>18</v>
      </c>
      <c r="I2061" s="20">
        <v>18</v>
      </c>
      <c r="J2061" s="21">
        <v>324</v>
      </c>
    </row>
    <row r="2062" spans="1:10">
      <c r="A2062" s="19">
        <v>35908</v>
      </c>
      <c r="B2062" s="18" t="s">
        <v>39</v>
      </c>
      <c r="C2062" s="18" t="s">
        <v>47</v>
      </c>
      <c r="D2062" s="18" t="s">
        <v>53</v>
      </c>
      <c r="E2062" s="18" t="s">
        <v>55</v>
      </c>
      <c r="F2062" s="18" t="s">
        <v>42</v>
      </c>
      <c r="G2062" s="18" t="s">
        <v>43</v>
      </c>
      <c r="H2062" s="18">
        <v>49.3</v>
      </c>
      <c r="I2062" s="20">
        <v>12</v>
      </c>
      <c r="J2062" s="21">
        <v>591.59999999999991</v>
      </c>
    </row>
    <row r="2063" spans="1:10">
      <c r="A2063" s="19">
        <v>35908</v>
      </c>
      <c r="B2063" s="18" t="s">
        <v>26</v>
      </c>
      <c r="C2063" s="18" t="s">
        <v>27</v>
      </c>
      <c r="D2063" s="18" t="s">
        <v>53</v>
      </c>
      <c r="E2063" s="18" t="s">
        <v>56</v>
      </c>
      <c r="F2063" s="18" t="s">
        <v>37</v>
      </c>
      <c r="G2063" s="18" t="s">
        <v>38</v>
      </c>
      <c r="H2063" s="18">
        <v>53</v>
      </c>
      <c r="I2063" s="20">
        <v>24</v>
      </c>
      <c r="J2063" s="21">
        <v>1272</v>
      </c>
    </row>
    <row r="2064" spans="1:10">
      <c r="A2064" s="19">
        <v>35909</v>
      </c>
      <c r="B2064" s="18" t="s">
        <v>26</v>
      </c>
      <c r="C2064" s="18" t="s">
        <v>32</v>
      </c>
      <c r="D2064" s="18" t="s">
        <v>53</v>
      </c>
      <c r="E2064" s="18" t="s">
        <v>57</v>
      </c>
      <c r="F2064" s="18" t="s">
        <v>45</v>
      </c>
      <c r="G2064" s="18" t="s">
        <v>38</v>
      </c>
      <c r="H2064" s="18">
        <v>38</v>
      </c>
      <c r="I2064" s="20">
        <v>4</v>
      </c>
      <c r="J2064" s="21">
        <v>152</v>
      </c>
    </row>
    <row r="2065" spans="1:10">
      <c r="A2065" s="19">
        <v>35909</v>
      </c>
      <c r="B2065" s="18" t="s">
        <v>26</v>
      </c>
      <c r="C2065" s="18" t="s">
        <v>34</v>
      </c>
      <c r="D2065" s="18" t="s">
        <v>53</v>
      </c>
      <c r="E2065" s="18" t="s">
        <v>54</v>
      </c>
      <c r="F2065" s="18" t="s">
        <v>52</v>
      </c>
      <c r="G2065" s="18" t="s">
        <v>31</v>
      </c>
      <c r="H2065" s="18">
        <v>12.5</v>
      </c>
      <c r="I2065" s="20">
        <v>42</v>
      </c>
      <c r="J2065" s="21">
        <v>525</v>
      </c>
    </row>
    <row r="2066" spans="1:10">
      <c r="A2066" s="19">
        <v>35909</v>
      </c>
      <c r="B2066" s="18" t="s">
        <v>26</v>
      </c>
      <c r="C2066" s="18" t="s">
        <v>36</v>
      </c>
      <c r="D2066" s="18" t="s">
        <v>53</v>
      </c>
      <c r="E2066" s="18" t="s">
        <v>55</v>
      </c>
      <c r="F2066" s="18" t="s">
        <v>52</v>
      </c>
      <c r="G2066" s="18" t="s">
        <v>31</v>
      </c>
      <c r="H2066" s="18">
        <v>21.35</v>
      </c>
      <c r="I2066" s="20">
        <v>30</v>
      </c>
      <c r="J2066" s="21">
        <v>640.5</v>
      </c>
    </row>
    <row r="2067" spans="1:10">
      <c r="A2067" s="19">
        <v>35909</v>
      </c>
      <c r="B2067" s="18" t="s">
        <v>39</v>
      </c>
      <c r="C2067" s="18" t="s">
        <v>40</v>
      </c>
      <c r="D2067" s="18" t="s">
        <v>53</v>
      </c>
      <c r="E2067" s="18" t="s">
        <v>56</v>
      </c>
      <c r="F2067" s="18" t="s">
        <v>45</v>
      </c>
      <c r="G2067" s="18" t="s">
        <v>38</v>
      </c>
      <c r="H2067" s="18">
        <v>19</v>
      </c>
      <c r="I2067" s="20">
        <v>10</v>
      </c>
      <c r="J2067" s="21">
        <v>190</v>
      </c>
    </row>
    <row r="2068" spans="1:10">
      <c r="A2068" s="19">
        <v>35909</v>
      </c>
      <c r="B2068" s="18" t="s">
        <v>39</v>
      </c>
      <c r="C2068" s="18" t="s">
        <v>41</v>
      </c>
      <c r="D2068" s="18" t="s">
        <v>53</v>
      </c>
      <c r="E2068" s="18" t="s">
        <v>57</v>
      </c>
      <c r="F2068" s="18" t="s">
        <v>52</v>
      </c>
      <c r="G2068" s="18" t="s">
        <v>31</v>
      </c>
      <c r="H2068" s="18">
        <v>18</v>
      </c>
      <c r="I2068" s="20">
        <v>25</v>
      </c>
      <c r="J2068" s="21">
        <v>450</v>
      </c>
    </row>
    <row r="2069" spans="1:10">
      <c r="A2069" s="19">
        <v>35912</v>
      </c>
      <c r="B2069" s="18" t="s">
        <v>39</v>
      </c>
      <c r="C2069" s="18" t="s">
        <v>44</v>
      </c>
      <c r="D2069" s="18" t="s">
        <v>53</v>
      </c>
      <c r="E2069" s="18" t="s">
        <v>54</v>
      </c>
      <c r="F2069" s="18" t="s">
        <v>51</v>
      </c>
      <c r="G2069" s="18" t="s">
        <v>43</v>
      </c>
      <c r="H2069" s="18">
        <v>32</v>
      </c>
      <c r="I2069" s="20">
        <v>20</v>
      </c>
      <c r="J2069" s="21">
        <v>640</v>
      </c>
    </row>
    <row r="2070" spans="1:10">
      <c r="A2070" s="19">
        <v>35912</v>
      </c>
      <c r="B2070" s="18" t="s">
        <v>39</v>
      </c>
      <c r="C2070" s="18" t="s">
        <v>46</v>
      </c>
      <c r="D2070" s="18" t="s">
        <v>53</v>
      </c>
      <c r="E2070" s="18" t="s">
        <v>55</v>
      </c>
      <c r="F2070" s="18" t="s">
        <v>45</v>
      </c>
      <c r="G2070" s="18" t="s">
        <v>38</v>
      </c>
      <c r="H2070" s="18">
        <v>28.5</v>
      </c>
      <c r="I2070" s="20">
        <v>10</v>
      </c>
      <c r="J2070" s="21">
        <v>285</v>
      </c>
    </row>
    <row r="2071" spans="1:10">
      <c r="A2071" s="19">
        <v>35912</v>
      </c>
      <c r="B2071" s="18" t="s">
        <v>39</v>
      </c>
      <c r="C2071" s="18" t="s">
        <v>47</v>
      </c>
      <c r="D2071" s="18" t="s">
        <v>53</v>
      </c>
      <c r="E2071" s="18" t="s">
        <v>56</v>
      </c>
      <c r="F2071" s="18" t="s">
        <v>51</v>
      </c>
      <c r="G2071" s="18" t="s">
        <v>43</v>
      </c>
      <c r="H2071" s="18">
        <v>33.25</v>
      </c>
      <c r="I2071" s="20">
        <v>25</v>
      </c>
      <c r="J2071" s="21">
        <v>831.25</v>
      </c>
    </row>
    <row r="2072" spans="1:10">
      <c r="A2072" s="19">
        <v>35912</v>
      </c>
      <c r="B2072" s="18" t="s">
        <v>26</v>
      </c>
      <c r="C2072" s="18" t="s">
        <v>27</v>
      </c>
      <c r="D2072" s="18" t="s">
        <v>53</v>
      </c>
      <c r="E2072" s="18" t="s">
        <v>57</v>
      </c>
      <c r="F2072" s="18" t="s">
        <v>45</v>
      </c>
      <c r="G2072" s="18" t="s">
        <v>38</v>
      </c>
      <c r="H2072" s="18">
        <v>46</v>
      </c>
      <c r="I2072" s="20">
        <v>30</v>
      </c>
      <c r="J2072" s="21">
        <v>1380</v>
      </c>
    </row>
    <row r="2073" spans="1:10">
      <c r="A2073" s="19">
        <v>35912</v>
      </c>
      <c r="B2073" s="18" t="s">
        <v>26</v>
      </c>
      <c r="C2073" s="18" t="s">
        <v>32</v>
      </c>
      <c r="D2073" s="18" t="s">
        <v>53</v>
      </c>
      <c r="E2073" s="18" t="s">
        <v>56</v>
      </c>
      <c r="F2073" s="18" t="s">
        <v>51</v>
      </c>
      <c r="G2073" s="18" t="s">
        <v>43</v>
      </c>
      <c r="H2073" s="18">
        <v>62.5</v>
      </c>
      <c r="I2073" s="20">
        <v>35</v>
      </c>
      <c r="J2073" s="21">
        <v>2187.5</v>
      </c>
    </row>
    <row r="2074" spans="1:10">
      <c r="A2074" s="19">
        <v>35912</v>
      </c>
      <c r="B2074" s="18" t="s">
        <v>26</v>
      </c>
      <c r="C2074" s="18" t="s">
        <v>34</v>
      </c>
      <c r="D2074" s="18" t="s">
        <v>53</v>
      </c>
      <c r="E2074" s="18" t="s">
        <v>54</v>
      </c>
      <c r="F2074" s="18" t="s">
        <v>50</v>
      </c>
      <c r="G2074" s="18" t="s">
        <v>31</v>
      </c>
      <c r="H2074" s="18">
        <v>18</v>
      </c>
      <c r="I2074" s="20">
        <v>50</v>
      </c>
      <c r="J2074" s="21">
        <v>900</v>
      </c>
    </row>
    <row r="2075" spans="1:10">
      <c r="A2075" s="19">
        <v>35912</v>
      </c>
      <c r="B2075" s="18" t="s">
        <v>26</v>
      </c>
      <c r="C2075" s="18" t="s">
        <v>36</v>
      </c>
      <c r="D2075" s="18" t="s">
        <v>53</v>
      </c>
      <c r="E2075" s="18" t="s">
        <v>55</v>
      </c>
      <c r="F2075" s="18" t="s">
        <v>52</v>
      </c>
      <c r="G2075" s="18" t="s">
        <v>31</v>
      </c>
      <c r="H2075" s="18">
        <v>4.5</v>
      </c>
      <c r="I2075" s="20">
        <v>10</v>
      </c>
      <c r="J2075" s="21">
        <v>45</v>
      </c>
    </row>
    <row r="2076" spans="1:10">
      <c r="A2076" s="19">
        <v>35913</v>
      </c>
      <c r="B2076" s="18" t="s">
        <v>39</v>
      </c>
      <c r="C2076" s="18" t="s">
        <v>40</v>
      </c>
      <c r="D2076" s="18" t="s">
        <v>53</v>
      </c>
      <c r="E2076" s="18" t="s">
        <v>56</v>
      </c>
      <c r="F2076" s="18" t="s">
        <v>50</v>
      </c>
      <c r="G2076" s="18" t="s">
        <v>31</v>
      </c>
      <c r="H2076" s="18">
        <v>30</v>
      </c>
      <c r="I2076" s="20">
        <v>40</v>
      </c>
      <c r="J2076" s="21">
        <v>1200</v>
      </c>
    </row>
    <row r="2077" spans="1:10">
      <c r="A2077" s="19">
        <v>35913</v>
      </c>
      <c r="B2077" s="18" t="s">
        <v>39</v>
      </c>
      <c r="C2077" s="18" t="s">
        <v>41</v>
      </c>
      <c r="D2077" s="18" t="s">
        <v>53</v>
      </c>
      <c r="E2077" s="18" t="s">
        <v>57</v>
      </c>
      <c r="F2077" s="18" t="s">
        <v>50</v>
      </c>
      <c r="G2077" s="18" t="s">
        <v>31</v>
      </c>
      <c r="H2077" s="18">
        <v>34</v>
      </c>
      <c r="I2077" s="20">
        <v>50</v>
      </c>
      <c r="J2077" s="21">
        <v>1700</v>
      </c>
    </row>
    <row r="2078" spans="1:10">
      <c r="A2078" s="19">
        <v>35913</v>
      </c>
      <c r="B2078" s="18" t="s">
        <v>39</v>
      </c>
      <c r="C2078" s="18" t="s">
        <v>44</v>
      </c>
      <c r="D2078" s="18" t="s">
        <v>53</v>
      </c>
      <c r="E2078" s="18" t="s">
        <v>54</v>
      </c>
      <c r="F2078" s="18" t="s">
        <v>50</v>
      </c>
      <c r="G2078" s="18" t="s">
        <v>31</v>
      </c>
      <c r="H2078" s="18">
        <v>14</v>
      </c>
      <c r="I2078" s="20">
        <v>20</v>
      </c>
      <c r="J2078" s="21">
        <v>280</v>
      </c>
    </row>
    <row r="2079" spans="1:10">
      <c r="A2079" s="19">
        <v>35913</v>
      </c>
      <c r="B2079" s="18" t="s">
        <v>39</v>
      </c>
      <c r="C2079" s="18" t="s">
        <v>46</v>
      </c>
      <c r="D2079" s="18" t="s">
        <v>53</v>
      </c>
      <c r="E2079" s="18" t="s">
        <v>55</v>
      </c>
      <c r="F2079" s="18" t="s">
        <v>50</v>
      </c>
      <c r="G2079" s="18" t="s">
        <v>31</v>
      </c>
      <c r="H2079" s="18">
        <v>2.5</v>
      </c>
      <c r="I2079" s="20">
        <v>10</v>
      </c>
      <c r="J2079" s="21">
        <v>25</v>
      </c>
    </row>
    <row r="2080" spans="1:10">
      <c r="A2080" s="19">
        <v>35913</v>
      </c>
      <c r="B2080" s="18" t="s">
        <v>39</v>
      </c>
      <c r="C2080" s="18" t="s">
        <v>47</v>
      </c>
      <c r="D2080" s="18" t="s">
        <v>53</v>
      </c>
      <c r="E2080" s="18" t="s">
        <v>56</v>
      </c>
      <c r="F2080" s="18" t="s">
        <v>52</v>
      </c>
      <c r="G2080" s="18" t="s">
        <v>31</v>
      </c>
      <c r="H2080" s="18">
        <v>4.5</v>
      </c>
      <c r="I2080" s="20">
        <v>15</v>
      </c>
      <c r="J2080" s="21">
        <v>67.5</v>
      </c>
    </row>
    <row r="2081" spans="1:10">
      <c r="A2081" s="19">
        <v>35913</v>
      </c>
      <c r="B2081" s="18" t="s">
        <v>26</v>
      </c>
      <c r="C2081" s="18" t="s">
        <v>27</v>
      </c>
      <c r="D2081" s="18" t="s">
        <v>53</v>
      </c>
      <c r="E2081" s="18" t="s">
        <v>57</v>
      </c>
      <c r="F2081" s="18" t="s">
        <v>52</v>
      </c>
      <c r="G2081" s="18" t="s">
        <v>31</v>
      </c>
      <c r="H2081" s="18">
        <v>14</v>
      </c>
      <c r="I2081" s="20">
        <v>15</v>
      </c>
      <c r="J2081" s="21">
        <v>210</v>
      </c>
    </row>
    <row r="2082" spans="1:10">
      <c r="A2082" s="19">
        <v>35913</v>
      </c>
      <c r="B2082" s="18" t="s">
        <v>26</v>
      </c>
      <c r="C2082" s="18" t="s">
        <v>32</v>
      </c>
      <c r="D2082" s="18" t="s">
        <v>53</v>
      </c>
      <c r="E2082" s="18" t="s">
        <v>54</v>
      </c>
      <c r="F2082" s="18" t="s">
        <v>52</v>
      </c>
      <c r="G2082" s="18" t="s">
        <v>31</v>
      </c>
      <c r="H2082" s="18">
        <v>19.5</v>
      </c>
      <c r="I2082" s="20">
        <v>20</v>
      </c>
      <c r="J2082" s="21">
        <v>390</v>
      </c>
    </row>
    <row r="2083" spans="1:10">
      <c r="A2083" s="19">
        <v>35913</v>
      </c>
      <c r="B2083" s="18" t="s">
        <v>26</v>
      </c>
      <c r="C2083" s="18" t="s">
        <v>34</v>
      </c>
      <c r="D2083" s="18" t="s">
        <v>53</v>
      </c>
      <c r="E2083" s="18" t="s">
        <v>55</v>
      </c>
      <c r="F2083" s="18" t="s">
        <v>50</v>
      </c>
      <c r="G2083" s="18" t="s">
        <v>31</v>
      </c>
      <c r="H2083" s="18">
        <v>24</v>
      </c>
      <c r="I2083" s="20">
        <v>35</v>
      </c>
      <c r="J2083" s="21">
        <v>840</v>
      </c>
    </row>
    <row r="2084" spans="1:10">
      <c r="A2084" s="19">
        <v>35913</v>
      </c>
      <c r="B2084" s="18" t="s">
        <v>26</v>
      </c>
      <c r="C2084" s="18" t="s">
        <v>36</v>
      </c>
      <c r="D2084" s="18" t="s">
        <v>53</v>
      </c>
      <c r="E2084" s="18" t="s">
        <v>56</v>
      </c>
      <c r="F2084" s="18" t="s">
        <v>52</v>
      </c>
      <c r="G2084" s="18" t="s">
        <v>31</v>
      </c>
      <c r="H2084" s="18">
        <v>53</v>
      </c>
      <c r="I2084" s="20">
        <v>20</v>
      </c>
      <c r="J2084" s="21">
        <v>1060</v>
      </c>
    </row>
    <row r="2085" spans="1:10">
      <c r="A2085" s="19">
        <v>35914</v>
      </c>
      <c r="B2085" s="18" t="s">
        <v>39</v>
      </c>
      <c r="C2085" s="18" t="s">
        <v>40</v>
      </c>
      <c r="D2085" s="18" t="s">
        <v>53</v>
      </c>
      <c r="E2085" s="18" t="s">
        <v>57</v>
      </c>
      <c r="F2085" s="18" t="s">
        <v>48</v>
      </c>
      <c r="G2085" s="18" t="s">
        <v>31</v>
      </c>
      <c r="H2085" s="18">
        <v>28.5</v>
      </c>
      <c r="I2085" s="20">
        <v>4</v>
      </c>
      <c r="J2085" s="21">
        <v>114</v>
      </c>
    </row>
    <row r="2086" spans="1:10">
      <c r="A2086" s="19">
        <v>35914</v>
      </c>
      <c r="B2086" s="18" t="s">
        <v>39</v>
      </c>
      <c r="C2086" s="18" t="s">
        <v>41</v>
      </c>
      <c r="D2086" s="18" t="s">
        <v>53</v>
      </c>
      <c r="E2086" s="18" t="s">
        <v>54</v>
      </c>
      <c r="F2086" s="18" t="s">
        <v>48</v>
      </c>
      <c r="G2086" s="18" t="s">
        <v>31</v>
      </c>
      <c r="H2086" s="18">
        <v>34</v>
      </c>
      <c r="I2086" s="20">
        <v>21</v>
      </c>
      <c r="J2086" s="21">
        <v>714</v>
      </c>
    </row>
    <row r="2087" spans="1:10">
      <c r="A2087" s="19">
        <v>35914</v>
      </c>
      <c r="B2087" s="18" t="s">
        <v>39</v>
      </c>
      <c r="C2087" s="18" t="s">
        <v>44</v>
      </c>
      <c r="D2087" s="18" t="s">
        <v>53</v>
      </c>
      <c r="E2087" s="18" t="s">
        <v>55</v>
      </c>
      <c r="F2087" s="18" t="s">
        <v>51</v>
      </c>
      <c r="G2087" s="18" t="s">
        <v>43</v>
      </c>
      <c r="H2087" s="18">
        <v>34</v>
      </c>
      <c r="I2087" s="20">
        <v>35</v>
      </c>
      <c r="J2087" s="21">
        <v>1190</v>
      </c>
    </row>
    <row r="2088" spans="1:10">
      <c r="A2088" s="19">
        <v>35914</v>
      </c>
      <c r="B2088" s="18" t="s">
        <v>39</v>
      </c>
      <c r="C2088" s="18" t="s">
        <v>46</v>
      </c>
      <c r="D2088" s="18" t="s">
        <v>53</v>
      </c>
      <c r="E2088" s="18" t="s">
        <v>56</v>
      </c>
      <c r="F2088" s="18" t="s">
        <v>48</v>
      </c>
      <c r="G2088" s="18" t="s">
        <v>31</v>
      </c>
      <c r="H2088" s="18">
        <v>10</v>
      </c>
      <c r="I2088" s="20">
        <v>3</v>
      </c>
      <c r="J2088" s="21">
        <v>30</v>
      </c>
    </row>
    <row r="2089" spans="1:10">
      <c r="A2089" s="19">
        <v>35914</v>
      </c>
      <c r="B2089" s="18" t="s">
        <v>39</v>
      </c>
      <c r="C2089" s="18" t="s">
        <v>47</v>
      </c>
      <c r="D2089" s="18" t="s">
        <v>53</v>
      </c>
      <c r="E2089" s="18" t="s">
        <v>57</v>
      </c>
      <c r="F2089" s="18" t="s">
        <v>51</v>
      </c>
      <c r="G2089" s="18" t="s">
        <v>43</v>
      </c>
      <c r="H2089" s="18">
        <v>6</v>
      </c>
      <c r="I2089" s="20">
        <v>30</v>
      </c>
      <c r="J2089" s="21">
        <v>180</v>
      </c>
    </row>
    <row r="2090" spans="1:10">
      <c r="A2090" s="19">
        <v>35914</v>
      </c>
      <c r="B2090" s="18" t="s">
        <v>26</v>
      </c>
      <c r="C2090" s="18" t="s">
        <v>27</v>
      </c>
      <c r="D2090" s="18" t="s">
        <v>53</v>
      </c>
      <c r="E2090" s="18" t="s">
        <v>54</v>
      </c>
      <c r="F2090" s="18" t="s">
        <v>45</v>
      </c>
      <c r="G2090" s="18" t="s">
        <v>38</v>
      </c>
      <c r="H2090" s="18">
        <v>15</v>
      </c>
      <c r="I2090" s="20">
        <v>3</v>
      </c>
      <c r="J2090" s="21">
        <v>45</v>
      </c>
    </row>
    <row r="2091" spans="1:10">
      <c r="A2091" s="19">
        <v>35914</v>
      </c>
      <c r="B2091" s="18" t="s">
        <v>26</v>
      </c>
      <c r="C2091" s="18" t="s">
        <v>32</v>
      </c>
      <c r="D2091" s="18" t="s">
        <v>53</v>
      </c>
      <c r="E2091" s="18" t="s">
        <v>55</v>
      </c>
      <c r="F2091" s="18" t="s">
        <v>51</v>
      </c>
      <c r="G2091" s="18" t="s">
        <v>43</v>
      </c>
      <c r="H2091" s="18">
        <v>39</v>
      </c>
      <c r="I2091" s="20">
        <v>12</v>
      </c>
      <c r="J2091" s="21">
        <v>468</v>
      </c>
    </row>
    <row r="2092" spans="1:10">
      <c r="A2092" s="19">
        <v>35915</v>
      </c>
      <c r="B2092" s="18" t="s">
        <v>26</v>
      </c>
      <c r="C2092" s="18" t="s">
        <v>34</v>
      </c>
      <c r="D2092" s="18" t="s">
        <v>53</v>
      </c>
      <c r="E2092" s="18" t="s">
        <v>56</v>
      </c>
      <c r="F2092" s="18" t="s">
        <v>51</v>
      </c>
      <c r="G2092" s="18" t="s">
        <v>43</v>
      </c>
      <c r="H2092" s="18">
        <v>34</v>
      </c>
      <c r="I2092" s="20">
        <v>4</v>
      </c>
      <c r="J2092" s="21">
        <v>136</v>
      </c>
    </row>
    <row r="2093" spans="1:10">
      <c r="A2093" s="19">
        <v>35915</v>
      </c>
      <c r="B2093" s="18" t="s">
        <v>26</v>
      </c>
      <c r="C2093" s="18" t="s">
        <v>36</v>
      </c>
      <c r="D2093" s="18" t="s">
        <v>53</v>
      </c>
      <c r="E2093" s="18" t="s">
        <v>57</v>
      </c>
      <c r="F2093" s="18" t="s">
        <v>42</v>
      </c>
      <c r="G2093" s="18" t="s">
        <v>43</v>
      </c>
      <c r="H2093" s="18">
        <v>34</v>
      </c>
      <c r="I2093" s="20">
        <v>15</v>
      </c>
      <c r="J2093" s="21">
        <v>510</v>
      </c>
    </row>
    <row r="2094" spans="1:10">
      <c r="A2094" s="19">
        <v>35915</v>
      </c>
      <c r="B2094" s="18" t="s">
        <v>39</v>
      </c>
      <c r="C2094" s="18" t="s">
        <v>40</v>
      </c>
      <c r="D2094" s="18" t="s">
        <v>53</v>
      </c>
      <c r="E2094" s="18" t="s">
        <v>54</v>
      </c>
      <c r="F2094" s="18" t="s">
        <v>51</v>
      </c>
      <c r="G2094" s="18" t="s">
        <v>43</v>
      </c>
      <c r="H2094" s="18">
        <v>13</v>
      </c>
      <c r="I2094" s="20">
        <v>10</v>
      </c>
      <c r="J2094" s="21">
        <v>130</v>
      </c>
    </row>
    <row r="2095" spans="1:10">
      <c r="A2095" s="19">
        <v>35915</v>
      </c>
      <c r="B2095" s="18" t="s">
        <v>39</v>
      </c>
      <c r="C2095" s="18" t="s">
        <v>41</v>
      </c>
      <c r="D2095" s="18" t="s">
        <v>53</v>
      </c>
      <c r="E2095" s="18" t="s">
        <v>55</v>
      </c>
      <c r="F2095" s="18" t="s">
        <v>45</v>
      </c>
      <c r="G2095" s="18" t="s">
        <v>38</v>
      </c>
      <c r="H2095" s="18">
        <v>14</v>
      </c>
      <c r="I2095" s="20">
        <v>30</v>
      </c>
      <c r="J2095" s="21">
        <v>420</v>
      </c>
    </row>
    <row r="2096" spans="1:10">
      <c r="A2096" s="19">
        <v>35915</v>
      </c>
      <c r="B2096" s="18" t="s">
        <v>39</v>
      </c>
      <c r="C2096" s="18" t="s">
        <v>44</v>
      </c>
      <c r="D2096" s="18" t="s">
        <v>53</v>
      </c>
      <c r="E2096" s="18" t="s">
        <v>56</v>
      </c>
      <c r="F2096" s="18" t="s">
        <v>42</v>
      </c>
      <c r="G2096" s="18" t="s">
        <v>43</v>
      </c>
      <c r="H2096" s="18">
        <v>15</v>
      </c>
      <c r="I2096" s="20">
        <v>12</v>
      </c>
      <c r="J2096" s="21">
        <v>180</v>
      </c>
    </row>
    <row r="2097" spans="1:10">
      <c r="A2097" s="19">
        <v>35915</v>
      </c>
      <c r="B2097" s="18" t="s">
        <v>39</v>
      </c>
      <c r="C2097" s="18" t="s">
        <v>46</v>
      </c>
      <c r="D2097" s="18" t="s">
        <v>53</v>
      </c>
      <c r="E2097" s="18" t="s">
        <v>57</v>
      </c>
      <c r="F2097" s="18" t="s">
        <v>45</v>
      </c>
      <c r="G2097" s="18" t="s">
        <v>38</v>
      </c>
      <c r="H2097" s="18">
        <v>18.399999999999999</v>
      </c>
      <c r="I2097" s="20">
        <v>40</v>
      </c>
      <c r="J2097" s="21">
        <v>736</v>
      </c>
    </row>
    <row r="2098" spans="1:10">
      <c r="A2098" s="19">
        <v>35915</v>
      </c>
      <c r="B2098" s="18" t="s">
        <v>39</v>
      </c>
      <c r="C2098" s="18" t="s">
        <v>47</v>
      </c>
      <c r="D2098" s="18" t="s">
        <v>53</v>
      </c>
      <c r="E2098" s="18" t="s">
        <v>54</v>
      </c>
      <c r="F2098" s="18" t="s">
        <v>45</v>
      </c>
      <c r="G2098" s="18" t="s">
        <v>38</v>
      </c>
      <c r="H2098" s="18">
        <v>9.65</v>
      </c>
      <c r="I2098" s="20">
        <v>30</v>
      </c>
      <c r="J2098" s="21">
        <v>289.5</v>
      </c>
    </row>
    <row r="2099" spans="1:10">
      <c r="A2099" s="19">
        <v>35915</v>
      </c>
      <c r="B2099" s="18" t="s">
        <v>26</v>
      </c>
      <c r="C2099" s="18" t="s">
        <v>27</v>
      </c>
      <c r="D2099" s="18" t="s">
        <v>53</v>
      </c>
      <c r="E2099" s="18" t="s">
        <v>55</v>
      </c>
      <c r="F2099" s="18" t="s">
        <v>42</v>
      </c>
      <c r="G2099" s="18" t="s">
        <v>43</v>
      </c>
      <c r="H2099" s="18">
        <v>32.799999999999997</v>
      </c>
      <c r="I2099" s="20">
        <v>10</v>
      </c>
      <c r="J2099" s="21">
        <v>328</v>
      </c>
    </row>
    <row r="2100" spans="1:10">
      <c r="A2100" s="19">
        <v>35916</v>
      </c>
      <c r="B2100" s="18" t="s">
        <v>26</v>
      </c>
      <c r="C2100" s="18" t="s">
        <v>32</v>
      </c>
      <c r="D2100" s="18" t="s">
        <v>53</v>
      </c>
      <c r="E2100" s="18" t="s">
        <v>56</v>
      </c>
      <c r="F2100" s="18" t="s">
        <v>52</v>
      </c>
      <c r="G2100" s="18" t="s">
        <v>31</v>
      </c>
      <c r="H2100" s="18">
        <v>17.45</v>
      </c>
      <c r="I2100" s="20">
        <v>3</v>
      </c>
      <c r="J2100" s="21">
        <v>52.349999999999994</v>
      </c>
    </row>
    <row r="2101" spans="1:10">
      <c r="A2101" s="19">
        <v>35916</v>
      </c>
      <c r="B2101" s="18" t="s">
        <v>26</v>
      </c>
      <c r="C2101" s="18" t="s">
        <v>34</v>
      </c>
      <c r="D2101" s="18" t="s">
        <v>53</v>
      </c>
      <c r="E2101" s="18" t="s">
        <v>57</v>
      </c>
      <c r="F2101" s="18" t="s">
        <v>50</v>
      </c>
      <c r="G2101" s="18" t="s">
        <v>31</v>
      </c>
      <c r="H2101" s="18">
        <v>25.89</v>
      </c>
      <c r="I2101" s="20">
        <v>4</v>
      </c>
      <c r="J2101" s="21">
        <v>103.56</v>
      </c>
    </row>
    <row r="2102" spans="1:10">
      <c r="A2102" s="19">
        <v>35916</v>
      </c>
      <c r="B2102" s="18" t="s">
        <v>26</v>
      </c>
      <c r="C2102" s="18" t="s">
        <v>36</v>
      </c>
      <c r="D2102" s="18" t="s">
        <v>53</v>
      </c>
      <c r="E2102" s="18" t="s">
        <v>56</v>
      </c>
      <c r="F2102" s="18" t="s">
        <v>50</v>
      </c>
      <c r="G2102" s="18" t="s">
        <v>31</v>
      </c>
      <c r="H2102" s="18">
        <v>7.45</v>
      </c>
      <c r="I2102" s="20">
        <v>20</v>
      </c>
      <c r="J2102" s="21">
        <v>149</v>
      </c>
    </row>
    <row r="2103" spans="1:10">
      <c r="A2103" s="19">
        <v>35916</v>
      </c>
      <c r="B2103" s="18" t="s">
        <v>39</v>
      </c>
      <c r="C2103" s="18" t="s">
        <v>40</v>
      </c>
      <c r="D2103" s="18" t="s">
        <v>53</v>
      </c>
      <c r="E2103" s="18" t="s">
        <v>54</v>
      </c>
      <c r="F2103" s="18" t="s">
        <v>49</v>
      </c>
      <c r="G2103" s="18" t="s">
        <v>38</v>
      </c>
      <c r="H2103" s="18">
        <v>12.5</v>
      </c>
      <c r="I2103" s="20">
        <v>55</v>
      </c>
      <c r="J2103" s="21">
        <v>687.5</v>
      </c>
    </row>
    <row r="2104" spans="1:10">
      <c r="A2104" s="19">
        <v>35916</v>
      </c>
      <c r="B2104" s="18" t="s">
        <v>39</v>
      </c>
      <c r="C2104" s="18" t="s">
        <v>41</v>
      </c>
      <c r="D2104" s="18" t="s">
        <v>53</v>
      </c>
      <c r="E2104" s="18" t="s">
        <v>55</v>
      </c>
      <c r="F2104" s="18" t="s">
        <v>52</v>
      </c>
      <c r="G2104" s="18" t="s">
        <v>31</v>
      </c>
      <c r="H2104" s="18">
        <v>14</v>
      </c>
      <c r="I2104" s="20">
        <v>35</v>
      </c>
      <c r="J2104" s="21">
        <v>490</v>
      </c>
    </row>
    <row r="2105" spans="1:10">
      <c r="A2105" s="19">
        <v>35916</v>
      </c>
      <c r="B2105" s="18" t="s">
        <v>39</v>
      </c>
      <c r="C2105" s="18" t="s">
        <v>44</v>
      </c>
      <c r="D2105" s="18" t="s">
        <v>53</v>
      </c>
      <c r="E2105" s="18" t="s">
        <v>56</v>
      </c>
      <c r="F2105" s="18" t="s">
        <v>52</v>
      </c>
      <c r="G2105" s="18" t="s">
        <v>31</v>
      </c>
      <c r="H2105" s="18">
        <v>9.1999999999999993</v>
      </c>
      <c r="I2105" s="20">
        <v>42</v>
      </c>
      <c r="J2105" s="21">
        <v>386.4</v>
      </c>
    </row>
    <row r="2106" spans="1:10">
      <c r="A2106" s="19">
        <v>35916</v>
      </c>
      <c r="B2106" s="18" t="s">
        <v>39</v>
      </c>
      <c r="C2106" s="18" t="s">
        <v>46</v>
      </c>
      <c r="D2106" s="18" t="s">
        <v>53</v>
      </c>
      <c r="E2106" s="18" t="s">
        <v>57</v>
      </c>
      <c r="F2106" s="18" t="s">
        <v>49</v>
      </c>
      <c r="G2106" s="18" t="s">
        <v>38</v>
      </c>
      <c r="H2106" s="18">
        <v>9.65</v>
      </c>
      <c r="I2106" s="20">
        <v>12</v>
      </c>
      <c r="J2106" s="21">
        <v>115.80000000000001</v>
      </c>
    </row>
    <row r="2107" spans="1:10">
      <c r="A2107" s="19">
        <v>35916</v>
      </c>
      <c r="B2107" s="18" t="s">
        <v>39</v>
      </c>
      <c r="C2107" s="18" t="s">
        <v>47</v>
      </c>
      <c r="D2107" s="18" t="s">
        <v>53</v>
      </c>
      <c r="E2107" s="18" t="s">
        <v>54</v>
      </c>
      <c r="F2107" s="18" t="s">
        <v>49</v>
      </c>
      <c r="G2107" s="18" t="s">
        <v>38</v>
      </c>
      <c r="H2107" s="18">
        <v>24</v>
      </c>
      <c r="I2107" s="20">
        <v>4</v>
      </c>
      <c r="J2107" s="21">
        <v>96</v>
      </c>
    </row>
    <row r="2108" spans="1:10">
      <c r="A2108" s="19">
        <v>35916</v>
      </c>
      <c r="B2108" s="18" t="s">
        <v>26</v>
      </c>
      <c r="C2108" s="18" t="s">
        <v>27</v>
      </c>
      <c r="D2108" s="18" t="s">
        <v>53</v>
      </c>
      <c r="E2108" s="18" t="s">
        <v>55</v>
      </c>
      <c r="F2108" s="18" t="s">
        <v>49</v>
      </c>
      <c r="G2108" s="18" t="s">
        <v>38</v>
      </c>
      <c r="H2108" s="18">
        <v>32.799999999999997</v>
      </c>
      <c r="I2108" s="20">
        <v>25</v>
      </c>
      <c r="J2108" s="21">
        <v>819.99999999999989</v>
      </c>
    </row>
    <row r="2109" spans="1:10">
      <c r="A2109" s="19">
        <v>35916</v>
      </c>
      <c r="B2109" s="18" t="s">
        <v>26</v>
      </c>
      <c r="C2109" s="18" t="s">
        <v>32</v>
      </c>
      <c r="D2109" s="18" t="s">
        <v>53</v>
      </c>
      <c r="E2109" s="18" t="s">
        <v>56</v>
      </c>
      <c r="F2109" s="18" t="s">
        <v>49</v>
      </c>
      <c r="G2109" s="18" t="s">
        <v>38</v>
      </c>
      <c r="H2109" s="18">
        <v>39</v>
      </c>
      <c r="I2109" s="20">
        <v>77</v>
      </c>
      <c r="J2109" s="21">
        <v>3003</v>
      </c>
    </row>
    <row r="2110" spans="1:10">
      <c r="A2110" s="19">
        <v>35919</v>
      </c>
      <c r="B2110" s="18" t="s">
        <v>26</v>
      </c>
      <c r="C2110" s="18" t="s">
        <v>34</v>
      </c>
      <c r="D2110" s="18" t="s">
        <v>53</v>
      </c>
      <c r="E2110" s="18" t="s">
        <v>57</v>
      </c>
      <c r="F2110" s="18" t="s">
        <v>50</v>
      </c>
      <c r="G2110" s="18" t="s">
        <v>31</v>
      </c>
      <c r="H2110" s="18">
        <v>45.6</v>
      </c>
      <c r="I2110" s="20">
        <v>8</v>
      </c>
      <c r="J2110" s="21">
        <v>364.8</v>
      </c>
    </row>
    <row r="2111" spans="1:10">
      <c r="A2111" s="19">
        <v>35919</v>
      </c>
      <c r="B2111" s="18" t="s">
        <v>26</v>
      </c>
      <c r="C2111" s="18" t="s">
        <v>36</v>
      </c>
      <c r="D2111" s="18" t="s">
        <v>53</v>
      </c>
      <c r="E2111" s="18" t="s">
        <v>54</v>
      </c>
      <c r="F2111" s="18" t="s">
        <v>50</v>
      </c>
      <c r="G2111" s="18" t="s">
        <v>31</v>
      </c>
      <c r="H2111" s="18">
        <v>13</v>
      </c>
      <c r="I2111" s="20">
        <v>28</v>
      </c>
      <c r="J2111" s="21">
        <v>364</v>
      </c>
    </row>
    <row r="2112" spans="1:10">
      <c r="A2112" s="19">
        <v>35919</v>
      </c>
      <c r="B2112" s="18" t="s">
        <v>39</v>
      </c>
      <c r="C2112" s="18" t="s">
        <v>40</v>
      </c>
      <c r="D2112" s="18" t="s">
        <v>53</v>
      </c>
      <c r="E2112" s="18" t="s">
        <v>55</v>
      </c>
      <c r="F2112" s="18" t="s">
        <v>50</v>
      </c>
      <c r="G2112" s="18" t="s">
        <v>31</v>
      </c>
      <c r="H2112" s="18">
        <v>46</v>
      </c>
      <c r="I2112" s="20">
        <v>36</v>
      </c>
      <c r="J2112" s="21">
        <v>1656</v>
      </c>
    </row>
    <row r="2113" spans="1:10">
      <c r="A2113" s="19">
        <v>35919</v>
      </c>
      <c r="B2113" s="18" t="s">
        <v>39</v>
      </c>
      <c r="C2113" s="18" t="s">
        <v>41</v>
      </c>
      <c r="D2113" s="18" t="s">
        <v>53</v>
      </c>
      <c r="E2113" s="18" t="s">
        <v>56</v>
      </c>
      <c r="F2113" s="18" t="s">
        <v>49</v>
      </c>
      <c r="G2113" s="18" t="s">
        <v>38</v>
      </c>
      <c r="H2113" s="18">
        <v>9.65</v>
      </c>
      <c r="I2113" s="20">
        <v>9</v>
      </c>
      <c r="J2113" s="21">
        <v>86.850000000000009</v>
      </c>
    </row>
    <row r="2114" spans="1:10">
      <c r="A2114" s="19">
        <v>35919</v>
      </c>
      <c r="B2114" s="18" t="s">
        <v>39</v>
      </c>
      <c r="C2114" s="18" t="s">
        <v>44</v>
      </c>
      <c r="D2114" s="18" t="s">
        <v>53</v>
      </c>
      <c r="E2114" s="18" t="s">
        <v>57</v>
      </c>
      <c r="F2114" s="18" t="s">
        <v>49</v>
      </c>
      <c r="G2114" s="18" t="s">
        <v>38</v>
      </c>
      <c r="H2114" s="18">
        <v>18</v>
      </c>
      <c r="I2114" s="20">
        <v>20</v>
      </c>
      <c r="J2114" s="21">
        <v>360</v>
      </c>
    </row>
    <row r="2115" spans="1:10">
      <c r="A2115" s="19">
        <v>35920</v>
      </c>
      <c r="B2115" s="18" t="s">
        <v>39</v>
      </c>
      <c r="C2115" s="18" t="s">
        <v>46</v>
      </c>
      <c r="D2115" s="18" t="s">
        <v>53</v>
      </c>
      <c r="E2115" s="18" t="s">
        <v>54</v>
      </c>
      <c r="F2115" s="18" t="s">
        <v>51</v>
      </c>
      <c r="G2115" s="18" t="s">
        <v>43</v>
      </c>
      <c r="H2115" s="18">
        <v>17.45</v>
      </c>
      <c r="I2115" s="20">
        <v>30</v>
      </c>
      <c r="J2115" s="21">
        <v>523.5</v>
      </c>
    </row>
    <row r="2116" spans="1:10">
      <c r="A2116" s="19">
        <v>35920</v>
      </c>
      <c r="B2116" s="18" t="s">
        <v>39</v>
      </c>
      <c r="C2116" s="18" t="s">
        <v>47</v>
      </c>
      <c r="D2116" s="18" t="s">
        <v>53</v>
      </c>
      <c r="E2116" s="18" t="s">
        <v>55</v>
      </c>
      <c r="F2116" s="18" t="s">
        <v>51</v>
      </c>
      <c r="G2116" s="18" t="s">
        <v>43</v>
      </c>
      <c r="H2116" s="18">
        <v>21</v>
      </c>
      <c r="I2116" s="20">
        <v>10</v>
      </c>
      <c r="J2116" s="21">
        <v>210</v>
      </c>
    </row>
    <row r="2117" spans="1:10">
      <c r="A2117" s="19">
        <v>35920</v>
      </c>
      <c r="B2117" s="18" t="s">
        <v>26</v>
      </c>
      <c r="C2117" s="18" t="s">
        <v>27</v>
      </c>
      <c r="D2117" s="18" t="s">
        <v>53</v>
      </c>
      <c r="E2117" s="18" t="s">
        <v>56</v>
      </c>
      <c r="F2117" s="18" t="s">
        <v>49</v>
      </c>
      <c r="G2117" s="18" t="s">
        <v>38</v>
      </c>
      <c r="H2117" s="18">
        <v>30</v>
      </c>
      <c r="I2117" s="20">
        <v>15</v>
      </c>
      <c r="J2117" s="21">
        <v>450</v>
      </c>
    </row>
    <row r="2118" spans="1:10">
      <c r="A2118" s="19">
        <v>35920</v>
      </c>
      <c r="B2118" s="18" t="s">
        <v>26</v>
      </c>
      <c r="C2118" s="18" t="s">
        <v>32</v>
      </c>
      <c r="D2118" s="18" t="s">
        <v>53</v>
      </c>
      <c r="E2118" s="18" t="s">
        <v>57</v>
      </c>
      <c r="F2118" s="18" t="s">
        <v>42</v>
      </c>
      <c r="G2118" s="18" t="s">
        <v>43</v>
      </c>
      <c r="H2118" s="18">
        <v>33.25</v>
      </c>
      <c r="I2118" s="20">
        <v>130</v>
      </c>
      <c r="J2118" s="21">
        <v>4322.5</v>
      </c>
    </row>
    <row r="2119" spans="1:10">
      <c r="A2119" s="19">
        <v>35920</v>
      </c>
      <c r="B2119" s="18" t="s">
        <v>26</v>
      </c>
      <c r="C2119" s="18" t="s">
        <v>34</v>
      </c>
      <c r="D2119" s="18" t="s">
        <v>53</v>
      </c>
      <c r="E2119" s="18" t="s">
        <v>54</v>
      </c>
      <c r="F2119" s="18" t="s">
        <v>49</v>
      </c>
      <c r="G2119" s="18" t="s">
        <v>38</v>
      </c>
      <c r="H2119" s="18">
        <v>6</v>
      </c>
      <c r="I2119" s="20">
        <v>10</v>
      </c>
      <c r="J2119" s="21">
        <v>60</v>
      </c>
    </row>
    <row r="2120" spans="1:10">
      <c r="A2120" s="19">
        <v>35920</v>
      </c>
      <c r="B2120" s="18" t="s">
        <v>26</v>
      </c>
      <c r="C2120" s="18" t="s">
        <v>36</v>
      </c>
      <c r="D2120" s="18" t="s">
        <v>53</v>
      </c>
      <c r="E2120" s="18" t="s">
        <v>55</v>
      </c>
      <c r="F2120" s="18" t="s">
        <v>51</v>
      </c>
      <c r="G2120" s="18" t="s">
        <v>43</v>
      </c>
      <c r="H2120" s="18">
        <v>19</v>
      </c>
      <c r="I2120" s="20">
        <v>20</v>
      </c>
      <c r="J2120" s="21">
        <v>380</v>
      </c>
    </row>
    <row r="2121" spans="1:10">
      <c r="A2121" s="19">
        <v>35920</v>
      </c>
      <c r="B2121" s="18" t="s">
        <v>39</v>
      </c>
      <c r="C2121" s="18" t="s">
        <v>40</v>
      </c>
      <c r="D2121" s="18" t="s">
        <v>53</v>
      </c>
      <c r="E2121" s="18" t="s">
        <v>56</v>
      </c>
      <c r="F2121" s="18" t="s">
        <v>42</v>
      </c>
      <c r="G2121" s="18" t="s">
        <v>43</v>
      </c>
      <c r="H2121" s="18">
        <v>19</v>
      </c>
      <c r="I2121" s="20">
        <v>8</v>
      </c>
      <c r="J2121" s="21">
        <v>152</v>
      </c>
    </row>
    <row r="2122" spans="1:10">
      <c r="A2122" s="19">
        <v>35920</v>
      </c>
      <c r="B2122" s="18" t="s">
        <v>39</v>
      </c>
      <c r="C2122" s="18" t="s">
        <v>41</v>
      </c>
      <c r="D2122" s="18" t="s">
        <v>53</v>
      </c>
      <c r="E2122" s="18" t="s">
        <v>57</v>
      </c>
      <c r="F2122" s="18" t="s">
        <v>51</v>
      </c>
      <c r="G2122" s="18" t="s">
        <v>43</v>
      </c>
      <c r="H2122" s="18">
        <v>18</v>
      </c>
      <c r="I2122" s="20">
        <v>40</v>
      </c>
      <c r="J2122" s="21">
        <v>720</v>
      </c>
    </row>
    <row r="2123" spans="1:10">
      <c r="A2123" s="19">
        <v>35920</v>
      </c>
      <c r="B2123" s="18" t="s">
        <v>39</v>
      </c>
      <c r="C2123" s="18" t="s">
        <v>44</v>
      </c>
      <c r="D2123" s="18" t="s">
        <v>53</v>
      </c>
      <c r="E2123" s="18" t="s">
        <v>54</v>
      </c>
      <c r="F2123" s="18" t="s">
        <v>51</v>
      </c>
      <c r="G2123" s="18" t="s">
        <v>43</v>
      </c>
      <c r="H2123" s="18">
        <v>4.5</v>
      </c>
      <c r="I2123" s="20">
        <v>20</v>
      </c>
      <c r="J2123" s="21">
        <v>90</v>
      </c>
    </row>
    <row r="2124" spans="1:10">
      <c r="A2124" s="19">
        <v>35920</v>
      </c>
      <c r="B2124" s="18" t="s">
        <v>39</v>
      </c>
      <c r="C2124" s="18" t="s">
        <v>46</v>
      </c>
      <c r="D2124" s="18" t="s">
        <v>53</v>
      </c>
      <c r="E2124" s="18" t="s">
        <v>55</v>
      </c>
      <c r="F2124" s="18" t="s">
        <v>51</v>
      </c>
      <c r="G2124" s="18" t="s">
        <v>43</v>
      </c>
      <c r="H2124" s="18">
        <v>12.5</v>
      </c>
      <c r="I2124" s="20">
        <v>20</v>
      </c>
      <c r="J2124" s="21">
        <v>250</v>
      </c>
    </row>
    <row r="2125" spans="1:10">
      <c r="A2125" s="19">
        <v>35920</v>
      </c>
      <c r="B2125" s="18" t="s">
        <v>39</v>
      </c>
      <c r="C2125" s="18" t="s">
        <v>47</v>
      </c>
      <c r="D2125" s="18" t="s">
        <v>53</v>
      </c>
      <c r="E2125" s="18" t="s">
        <v>56</v>
      </c>
      <c r="F2125" s="18" t="s">
        <v>42</v>
      </c>
      <c r="G2125" s="18" t="s">
        <v>43</v>
      </c>
      <c r="H2125" s="18">
        <v>9.65</v>
      </c>
      <c r="I2125" s="20">
        <v>40</v>
      </c>
      <c r="J2125" s="21">
        <v>386</v>
      </c>
    </row>
    <row r="2126" spans="1:10">
      <c r="A2126" s="19">
        <v>35920</v>
      </c>
      <c r="B2126" s="18" t="s">
        <v>26</v>
      </c>
      <c r="C2126" s="18" t="s">
        <v>27</v>
      </c>
      <c r="D2126" s="18" t="s">
        <v>53</v>
      </c>
      <c r="E2126" s="18" t="s">
        <v>57</v>
      </c>
      <c r="F2126" s="18" t="s">
        <v>42</v>
      </c>
      <c r="G2126" s="18" t="s">
        <v>43</v>
      </c>
      <c r="H2126" s="18">
        <v>16.25</v>
      </c>
      <c r="I2126" s="20">
        <v>22</v>
      </c>
      <c r="J2126" s="21">
        <v>357.5</v>
      </c>
    </row>
    <row r="2127" spans="1:10">
      <c r="A2127" s="19">
        <v>35921</v>
      </c>
      <c r="B2127" s="18" t="s">
        <v>26</v>
      </c>
      <c r="C2127" s="18" t="s">
        <v>32</v>
      </c>
      <c r="D2127" s="18" t="s">
        <v>53</v>
      </c>
      <c r="E2127" s="18" t="s">
        <v>54</v>
      </c>
      <c r="F2127" s="18" t="s">
        <v>49</v>
      </c>
      <c r="G2127" s="18" t="s">
        <v>38</v>
      </c>
      <c r="H2127" s="18">
        <v>32</v>
      </c>
      <c r="I2127" s="20">
        <v>1</v>
      </c>
      <c r="J2127" s="21">
        <v>32</v>
      </c>
    </row>
    <row r="2128" spans="1:10">
      <c r="A2128" s="19">
        <v>35921</v>
      </c>
      <c r="B2128" s="18" t="s">
        <v>26</v>
      </c>
      <c r="C2128" s="18" t="s">
        <v>34</v>
      </c>
      <c r="D2128" s="18" t="s">
        <v>53</v>
      </c>
      <c r="E2128" s="18" t="s">
        <v>55</v>
      </c>
      <c r="F2128" s="18" t="s">
        <v>52</v>
      </c>
      <c r="G2128" s="18" t="s">
        <v>31</v>
      </c>
      <c r="H2128" s="18">
        <v>17.45</v>
      </c>
      <c r="I2128" s="20">
        <v>14</v>
      </c>
      <c r="J2128" s="21">
        <v>244.29999999999998</v>
      </c>
    </row>
    <row r="2129" spans="1:10">
      <c r="A2129" s="19">
        <v>35921</v>
      </c>
      <c r="B2129" s="18" t="s">
        <v>26</v>
      </c>
      <c r="C2129" s="18" t="s">
        <v>36</v>
      </c>
      <c r="D2129" s="18" t="s">
        <v>53</v>
      </c>
      <c r="E2129" s="18" t="s">
        <v>56</v>
      </c>
      <c r="F2129" s="18" t="s">
        <v>49</v>
      </c>
      <c r="G2129" s="18" t="s">
        <v>38</v>
      </c>
      <c r="H2129" s="18">
        <v>17.45</v>
      </c>
      <c r="I2129" s="20">
        <v>2</v>
      </c>
      <c r="J2129" s="21">
        <v>34.9</v>
      </c>
    </row>
    <row r="2130" spans="1:10">
      <c r="A2130" s="19">
        <v>35921</v>
      </c>
      <c r="B2130" s="18" t="s">
        <v>39</v>
      </c>
      <c r="C2130" s="18" t="s">
        <v>40</v>
      </c>
      <c r="D2130" s="18" t="s">
        <v>53</v>
      </c>
      <c r="E2130" s="18" t="s">
        <v>57</v>
      </c>
      <c r="F2130" s="18" t="s">
        <v>49</v>
      </c>
      <c r="G2130" s="18" t="s">
        <v>38</v>
      </c>
      <c r="H2130" s="18">
        <v>38</v>
      </c>
      <c r="I2130" s="20">
        <v>2</v>
      </c>
      <c r="J2130" s="21">
        <v>76</v>
      </c>
    </row>
    <row r="2131" spans="1:10">
      <c r="A2131" s="19">
        <v>35921</v>
      </c>
      <c r="B2131" s="18" t="s">
        <v>39</v>
      </c>
      <c r="C2131" s="18" t="s">
        <v>41</v>
      </c>
      <c r="D2131" s="18" t="s">
        <v>53</v>
      </c>
      <c r="E2131" s="18" t="s">
        <v>56</v>
      </c>
      <c r="F2131" s="18" t="s">
        <v>49</v>
      </c>
      <c r="G2131" s="18" t="s">
        <v>38</v>
      </c>
      <c r="H2131" s="18">
        <v>10</v>
      </c>
      <c r="I2131" s="20">
        <v>4</v>
      </c>
      <c r="J2131" s="21">
        <v>40</v>
      </c>
    </row>
    <row r="2132" spans="1:10">
      <c r="A2132" s="19">
        <v>35921</v>
      </c>
      <c r="B2132" s="18" t="s">
        <v>39</v>
      </c>
      <c r="C2132" s="18" t="s">
        <v>44</v>
      </c>
      <c r="D2132" s="18" t="s">
        <v>53</v>
      </c>
      <c r="E2132" s="18" t="s">
        <v>54</v>
      </c>
      <c r="F2132" s="18" t="s">
        <v>49</v>
      </c>
      <c r="G2132" s="18" t="s">
        <v>38</v>
      </c>
      <c r="H2132" s="18">
        <v>81</v>
      </c>
      <c r="I2132" s="20">
        <v>1</v>
      </c>
      <c r="J2132" s="21">
        <v>81</v>
      </c>
    </row>
    <row r="2133" spans="1:10">
      <c r="A2133" s="19">
        <v>35921</v>
      </c>
      <c r="B2133" s="18" t="s">
        <v>39</v>
      </c>
      <c r="C2133" s="18" t="s">
        <v>46</v>
      </c>
      <c r="D2133" s="18" t="s">
        <v>53</v>
      </c>
      <c r="E2133" s="18" t="s">
        <v>55</v>
      </c>
      <c r="F2133" s="18" t="s">
        <v>49</v>
      </c>
      <c r="G2133" s="18" t="s">
        <v>38</v>
      </c>
      <c r="H2133" s="18">
        <v>30</v>
      </c>
      <c r="I2133" s="20">
        <v>1</v>
      </c>
      <c r="J2133" s="21">
        <v>30</v>
      </c>
    </row>
    <row r="2134" spans="1:10">
      <c r="A2134" s="19">
        <v>35921</v>
      </c>
      <c r="B2134" s="18" t="s">
        <v>39</v>
      </c>
      <c r="C2134" s="18" t="s">
        <v>47</v>
      </c>
      <c r="D2134" s="18" t="s">
        <v>53</v>
      </c>
      <c r="E2134" s="18" t="s">
        <v>56</v>
      </c>
      <c r="F2134" s="18" t="s">
        <v>49</v>
      </c>
      <c r="G2134" s="18" t="s">
        <v>38</v>
      </c>
      <c r="H2134" s="18">
        <v>15</v>
      </c>
      <c r="I2134" s="20">
        <v>2</v>
      </c>
      <c r="J2134" s="21">
        <v>30</v>
      </c>
    </row>
    <row r="2135" spans="1:10">
      <c r="A2135" s="19">
        <v>35921</v>
      </c>
      <c r="B2135" s="18" t="s">
        <v>26</v>
      </c>
      <c r="C2135" s="18" t="s">
        <v>27</v>
      </c>
      <c r="D2135" s="18" t="s">
        <v>53</v>
      </c>
      <c r="E2135" s="18" t="s">
        <v>57</v>
      </c>
      <c r="F2135" s="18" t="s">
        <v>49</v>
      </c>
      <c r="G2135" s="18" t="s">
        <v>38</v>
      </c>
      <c r="H2135" s="18">
        <v>40</v>
      </c>
      <c r="I2135" s="20">
        <v>2</v>
      </c>
      <c r="J2135" s="21">
        <v>80</v>
      </c>
    </row>
    <row r="2136" spans="1:10">
      <c r="A2136" s="19">
        <v>35921</v>
      </c>
      <c r="B2136" s="18" t="s">
        <v>26</v>
      </c>
      <c r="C2136" s="18" t="s">
        <v>32</v>
      </c>
      <c r="D2136" s="18" t="s">
        <v>53</v>
      </c>
      <c r="E2136" s="18" t="s">
        <v>54</v>
      </c>
      <c r="F2136" s="18" t="s">
        <v>49</v>
      </c>
      <c r="G2136" s="18" t="s">
        <v>38</v>
      </c>
      <c r="H2136" s="18">
        <v>34</v>
      </c>
      <c r="I2136" s="20">
        <v>2</v>
      </c>
      <c r="J2136" s="21">
        <v>68</v>
      </c>
    </row>
    <row r="2137" spans="1:10">
      <c r="A2137" s="19">
        <v>35921</v>
      </c>
      <c r="B2137" s="18" t="s">
        <v>26</v>
      </c>
      <c r="C2137" s="18" t="s">
        <v>34</v>
      </c>
      <c r="D2137" s="18" t="s">
        <v>53</v>
      </c>
      <c r="E2137" s="18" t="s">
        <v>55</v>
      </c>
      <c r="F2137" s="18" t="s">
        <v>49</v>
      </c>
      <c r="G2137" s="18" t="s">
        <v>38</v>
      </c>
      <c r="H2137" s="18">
        <v>33.25</v>
      </c>
      <c r="I2137" s="20">
        <v>2</v>
      </c>
      <c r="J2137" s="21">
        <v>66.5</v>
      </c>
    </row>
    <row r="2138" spans="1:10">
      <c r="A2138" s="19">
        <v>35921</v>
      </c>
      <c r="B2138" s="18" t="s">
        <v>26</v>
      </c>
      <c r="C2138" s="18" t="s">
        <v>36</v>
      </c>
      <c r="D2138" s="18" t="s">
        <v>53</v>
      </c>
      <c r="E2138" s="18" t="s">
        <v>56</v>
      </c>
      <c r="F2138" s="18" t="s">
        <v>42</v>
      </c>
      <c r="G2138" s="18" t="s">
        <v>43</v>
      </c>
      <c r="H2138" s="18">
        <v>25</v>
      </c>
      <c r="I2138" s="20">
        <v>20</v>
      </c>
      <c r="J2138" s="21">
        <v>500</v>
      </c>
    </row>
    <row r="2139" spans="1:10">
      <c r="A2139" s="19">
        <v>35921</v>
      </c>
      <c r="B2139" s="18" t="s">
        <v>39</v>
      </c>
      <c r="C2139" s="18" t="s">
        <v>40</v>
      </c>
      <c r="D2139" s="18" t="s">
        <v>53</v>
      </c>
      <c r="E2139" s="18" t="s">
        <v>57</v>
      </c>
      <c r="F2139" s="18" t="s">
        <v>49</v>
      </c>
      <c r="G2139" s="18" t="s">
        <v>38</v>
      </c>
      <c r="H2139" s="18">
        <v>25</v>
      </c>
      <c r="I2139" s="20">
        <v>1</v>
      </c>
      <c r="J2139" s="21">
        <v>25</v>
      </c>
    </row>
    <row r="2140" spans="1:10">
      <c r="A2140" s="19">
        <v>35921</v>
      </c>
      <c r="B2140" s="18" t="s">
        <v>39</v>
      </c>
      <c r="C2140" s="18" t="s">
        <v>41</v>
      </c>
      <c r="D2140" s="18" t="s">
        <v>53</v>
      </c>
      <c r="E2140" s="18" t="s">
        <v>54</v>
      </c>
      <c r="F2140" s="18" t="s">
        <v>50</v>
      </c>
      <c r="G2140" s="18" t="s">
        <v>31</v>
      </c>
      <c r="H2140" s="18">
        <v>12</v>
      </c>
      <c r="I2140" s="20">
        <v>30</v>
      </c>
      <c r="J2140" s="21">
        <v>360</v>
      </c>
    </row>
    <row r="2141" spans="1:10">
      <c r="A2141" s="19">
        <v>35921</v>
      </c>
      <c r="B2141" s="18" t="s">
        <v>39</v>
      </c>
      <c r="C2141" s="18" t="s">
        <v>44</v>
      </c>
      <c r="D2141" s="18" t="s">
        <v>53</v>
      </c>
      <c r="E2141" s="18" t="s">
        <v>55</v>
      </c>
      <c r="F2141" s="18" t="s">
        <v>49</v>
      </c>
      <c r="G2141" s="18" t="s">
        <v>38</v>
      </c>
      <c r="H2141" s="18">
        <v>12</v>
      </c>
      <c r="I2141" s="20">
        <v>3</v>
      </c>
      <c r="J2141" s="21">
        <v>36</v>
      </c>
    </row>
    <row r="2142" spans="1:10">
      <c r="A2142" s="19">
        <v>35921</v>
      </c>
      <c r="B2142" s="18" t="s">
        <v>39</v>
      </c>
      <c r="C2142" s="18" t="s">
        <v>46</v>
      </c>
      <c r="D2142" s="18" t="s">
        <v>53</v>
      </c>
      <c r="E2142" s="18" t="s">
        <v>56</v>
      </c>
      <c r="F2142" s="18" t="s">
        <v>49</v>
      </c>
      <c r="G2142" s="18" t="s">
        <v>38</v>
      </c>
      <c r="H2142" s="18">
        <v>13</v>
      </c>
      <c r="I2142" s="20">
        <v>2</v>
      </c>
      <c r="J2142" s="21">
        <v>26</v>
      </c>
    </row>
    <row r="2143" spans="1:10">
      <c r="A2143" s="19">
        <v>35921</v>
      </c>
      <c r="B2143" s="18" t="s">
        <v>39</v>
      </c>
      <c r="C2143" s="18" t="s">
        <v>47</v>
      </c>
      <c r="D2143" s="18" t="s">
        <v>53</v>
      </c>
      <c r="E2143" s="18" t="s">
        <v>57</v>
      </c>
      <c r="F2143" s="18" t="s">
        <v>49</v>
      </c>
      <c r="G2143" s="18" t="s">
        <v>38</v>
      </c>
      <c r="H2143" s="18">
        <v>6</v>
      </c>
      <c r="I2143" s="20">
        <v>4</v>
      </c>
      <c r="J2143" s="21">
        <v>24</v>
      </c>
    </row>
    <row r="2144" spans="1:10">
      <c r="A2144" s="19">
        <v>35921</v>
      </c>
      <c r="B2144" s="18" t="s">
        <v>26</v>
      </c>
      <c r="C2144" s="18" t="s">
        <v>27</v>
      </c>
      <c r="D2144" s="18" t="s">
        <v>53</v>
      </c>
      <c r="E2144" s="18" t="s">
        <v>54</v>
      </c>
      <c r="F2144" s="18" t="s">
        <v>50</v>
      </c>
      <c r="G2144" s="18" t="s">
        <v>31</v>
      </c>
      <c r="H2144" s="18">
        <v>18</v>
      </c>
      <c r="I2144" s="20">
        <v>2</v>
      </c>
      <c r="J2144" s="21">
        <v>36</v>
      </c>
    </row>
    <row r="2145" spans="1:10">
      <c r="A2145" s="19">
        <v>35921</v>
      </c>
      <c r="B2145" s="18" t="s">
        <v>26</v>
      </c>
      <c r="C2145" s="18" t="s">
        <v>32</v>
      </c>
      <c r="D2145" s="18" t="s">
        <v>53</v>
      </c>
      <c r="E2145" s="18" t="s">
        <v>55</v>
      </c>
      <c r="F2145" s="18" t="s">
        <v>50</v>
      </c>
      <c r="G2145" s="18" t="s">
        <v>31</v>
      </c>
      <c r="H2145" s="18">
        <v>19</v>
      </c>
      <c r="I2145" s="20">
        <v>10</v>
      </c>
      <c r="J2145" s="21">
        <v>190</v>
      </c>
    </row>
    <row r="2146" spans="1:10">
      <c r="A2146" s="19">
        <v>35921</v>
      </c>
      <c r="B2146" s="18" t="s">
        <v>26</v>
      </c>
      <c r="C2146" s="18" t="s">
        <v>34</v>
      </c>
      <c r="D2146" s="18" t="s">
        <v>53</v>
      </c>
      <c r="E2146" s="18" t="s">
        <v>56</v>
      </c>
      <c r="F2146" s="18" t="s">
        <v>49</v>
      </c>
      <c r="G2146" s="18" t="s">
        <v>38</v>
      </c>
      <c r="H2146" s="18">
        <v>19</v>
      </c>
      <c r="I2146" s="20">
        <v>24</v>
      </c>
      <c r="J2146" s="21">
        <v>456</v>
      </c>
    </row>
    <row r="2147" spans="1:10">
      <c r="A2147" s="19">
        <v>35921</v>
      </c>
      <c r="B2147" s="18" t="s">
        <v>26</v>
      </c>
      <c r="C2147" s="18" t="s">
        <v>36</v>
      </c>
      <c r="D2147" s="18" t="s">
        <v>53</v>
      </c>
      <c r="E2147" s="18" t="s">
        <v>57</v>
      </c>
      <c r="F2147" s="18" t="s">
        <v>49</v>
      </c>
      <c r="G2147" s="18" t="s">
        <v>38</v>
      </c>
      <c r="H2147" s="18">
        <v>7.75</v>
      </c>
      <c r="I2147" s="20">
        <v>4</v>
      </c>
      <c r="J2147" s="21">
        <v>31</v>
      </c>
    </row>
    <row r="2148" spans="1:10">
      <c r="A2148" s="19">
        <v>35921</v>
      </c>
      <c r="B2148" s="18" t="s">
        <v>39</v>
      </c>
      <c r="C2148" s="18" t="s">
        <v>40</v>
      </c>
      <c r="D2148" s="18" t="s">
        <v>53</v>
      </c>
      <c r="E2148" s="18" t="s">
        <v>54</v>
      </c>
      <c r="F2148" s="18" t="s">
        <v>49</v>
      </c>
      <c r="G2148" s="18" t="s">
        <v>38</v>
      </c>
      <c r="H2148" s="18">
        <v>17</v>
      </c>
      <c r="I2148" s="20">
        <v>1</v>
      </c>
      <c r="J2148" s="21">
        <v>17</v>
      </c>
    </row>
    <row r="2149" spans="1:10">
      <c r="A2149" s="19">
        <v>35921</v>
      </c>
      <c r="B2149" s="18" t="s">
        <v>39</v>
      </c>
      <c r="C2149" s="18" t="s">
        <v>41</v>
      </c>
      <c r="D2149" s="18" t="s">
        <v>53</v>
      </c>
      <c r="E2149" s="18" t="s">
        <v>55</v>
      </c>
      <c r="F2149" s="18" t="s">
        <v>49</v>
      </c>
      <c r="G2149" s="18" t="s">
        <v>38</v>
      </c>
      <c r="H2149" s="18">
        <v>7</v>
      </c>
      <c r="I2149" s="20">
        <v>2</v>
      </c>
      <c r="J2149" s="21">
        <v>14</v>
      </c>
    </row>
    <row r="2150" spans="1:10">
      <c r="A2150" s="19">
        <v>35921</v>
      </c>
      <c r="B2150" s="18" t="s">
        <v>39</v>
      </c>
      <c r="C2150" s="18" t="s">
        <v>44</v>
      </c>
      <c r="D2150" s="18" t="s">
        <v>53</v>
      </c>
      <c r="E2150" s="18" t="s">
        <v>56</v>
      </c>
      <c r="F2150" s="18" t="s">
        <v>42</v>
      </c>
      <c r="G2150" s="18" t="s">
        <v>43</v>
      </c>
      <c r="H2150" s="18">
        <v>23.25</v>
      </c>
      <c r="I2150" s="20">
        <v>20</v>
      </c>
      <c r="J2150" s="21">
        <v>465</v>
      </c>
    </row>
    <row r="2151" spans="1:10">
      <c r="A2151" s="19">
        <v>35921</v>
      </c>
      <c r="B2151" s="18" t="s">
        <v>39</v>
      </c>
      <c r="C2151" s="18" t="s">
        <v>46</v>
      </c>
      <c r="D2151" s="18" t="s">
        <v>53</v>
      </c>
      <c r="E2151" s="18" t="s">
        <v>57</v>
      </c>
      <c r="F2151" s="18" t="s">
        <v>49</v>
      </c>
      <c r="G2151" s="18" t="s">
        <v>38</v>
      </c>
      <c r="H2151" s="18">
        <v>23.25</v>
      </c>
      <c r="I2151" s="20">
        <v>1</v>
      </c>
      <c r="J2151" s="21">
        <v>23.25</v>
      </c>
    </row>
    <row r="2152" spans="1:10">
      <c r="A2152" s="19">
        <v>35921</v>
      </c>
      <c r="B2152" s="18" t="s">
        <v>39</v>
      </c>
      <c r="C2152" s="18" t="s">
        <v>47</v>
      </c>
      <c r="D2152" s="18" t="s">
        <v>53</v>
      </c>
      <c r="E2152" s="18" t="s">
        <v>54</v>
      </c>
      <c r="F2152" s="18" t="s">
        <v>42</v>
      </c>
      <c r="G2152" s="18" t="s">
        <v>43</v>
      </c>
      <c r="H2152" s="18">
        <v>9.1999999999999993</v>
      </c>
      <c r="I2152" s="20">
        <v>10</v>
      </c>
      <c r="J2152" s="21">
        <v>92</v>
      </c>
    </row>
    <row r="2153" spans="1:10">
      <c r="A2153" s="19">
        <v>35921</v>
      </c>
      <c r="B2153" s="18" t="s">
        <v>26</v>
      </c>
      <c r="C2153" s="18" t="s">
        <v>27</v>
      </c>
      <c r="D2153" s="18" t="s">
        <v>53</v>
      </c>
      <c r="E2153" s="18" t="s">
        <v>55</v>
      </c>
      <c r="F2153" s="18" t="s">
        <v>49</v>
      </c>
      <c r="G2153" s="18" t="s">
        <v>38</v>
      </c>
      <c r="H2153" s="18">
        <v>9.65</v>
      </c>
      <c r="I2153" s="20">
        <v>3</v>
      </c>
      <c r="J2153" s="21">
        <v>28.950000000000003</v>
      </c>
    </row>
    <row r="2154" spans="1:10">
      <c r="A2154" s="19">
        <v>35921</v>
      </c>
      <c r="B2154" s="18" t="s">
        <v>26</v>
      </c>
      <c r="C2154" s="18" t="s">
        <v>32</v>
      </c>
      <c r="D2154" s="18" t="s">
        <v>53</v>
      </c>
      <c r="E2154" s="18" t="s">
        <v>56</v>
      </c>
      <c r="F2154" s="18" t="s">
        <v>49</v>
      </c>
      <c r="G2154" s="18" t="s">
        <v>38</v>
      </c>
      <c r="H2154" s="18">
        <v>31</v>
      </c>
      <c r="I2154" s="20">
        <v>1</v>
      </c>
      <c r="J2154" s="21">
        <v>31</v>
      </c>
    </row>
    <row r="2155" spans="1:10">
      <c r="A2155" s="19">
        <v>35921</v>
      </c>
      <c r="B2155" s="18" t="s">
        <v>26</v>
      </c>
      <c r="C2155" s="18" t="s">
        <v>34</v>
      </c>
      <c r="D2155" s="18" t="s">
        <v>53</v>
      </c>
      <c r="E2155" s="18" t="s">
        <v>57</v>
      </c>
      <c r="F2155" s="18" t="s">
        <v>49</v>
      </c>
      <c r="G2155" s="18" t="s">
        <v>38</v>
      </c>
      <c r="H2155" s="18">
        <v>24</v>
      </c>
      <c r="I2155" s="20">
        <v>2</v>
      </c>
      <c r="J2155" s="21">
        <v>48</v>
      </c>
    </row>
    <row r="2156" spans="1:10">
      <c r="A2156" s="19">
        <v>35921</v>
      </c>
      <c r="B2156" s="18" t="s">
        <v>26</v>
      </c>
      <c r="C2156" s="18" t="s">
        <v>36</v>
      </c>
      <c r="D2156" s="18" t="s">
        <v>53</v>
      </c>
      <c r="E2156" s="18" t="s">
        <v>54</v>
      </c>
      <c r="F2156" s="18" t="s">
        <v>49</v>
      </c>
      <c r="G2156" s="18" t="s">
        <v>38</v>
      </c>
      <c r="H2156" s="18">
        <v>22</v>
      </c>
      <c r="I2156" s="20">
        <v>1</v>
      </c>
      <c r="J2156" s="21">
        <v>22</v>
      </c>
    </row>
    <row r="2157" spans="1:10">
      <c r="A2157" s="19">
        <v>35921</v>
      </c>
      <c r="B2157" s="18" t="s">
        <v>39</v>
      </c>
      <c r="C2157" s="18" t="s">
        <v>40</v>
      </c>
      <c r="D2157" s="18" t="s">
        <v>53</v>
      </c>
      <c r="E2157" s="18" t="s">
        <v>55</v>
      </c>
      <c r="F2157" s="18" t="s">
        <v>49</v>
      </c>
      <c r="G2157" s="18" t="s">
        <v>38</v>
      </c>
      <c r="H2157" s="18">
        <v>9</v>
      </c>
      <c r="I2157" s="20">
        <v>2</v>
      </c>
      <c r="J2157" s="21">
        <v>18</v>
      </c>
    </row>
    <row r="2158" spans="1:10">
      <c r="A2158" s="19">
        <v>35921</v>
      </c>
      <c r="B2158" s="18" t="s">
        <v>39</v>
      </c>
      <c r="C2158" s="18" t="s">
        <v>41</v>
      </c>
      <c r="D2158" s="18" t="s">
        <v>53</v>
      </c>
      <c r="E2158" s="18" t="s">
        <v>56</v>
      </c>
      <c r="F2158" s="18" t="s">
        <v>49</v>
      </c>
      <c r="G2158" s="18" t="s">
        <v>38</v>
      </c>
      <c r="H2158" s="18">
        <v>18</v>
      </c>
      <c r="I2158" s="20">
        <v>2</v>
      </c>
      <c r="J2158" s="21">
        <v>36</v>
      </c>
    </row>
  </sheetData>
  <sortState xmlns:xlrd2="http://schemas.microsoft.com/office/spreadsheetml/2017/richdata2" ref="L2:L10">
    <sortCondition ref="L2:L10"/>
  </sortState>
  <phoneticPr fontId="1" type="noConversion"/>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4" r:id="rId4" name="List Box 2">
              <controlPr defaultSize="0" autoLine="0" autoPict="0">
                <anchor moveWithCells="1">
                  <from>
                    <xdr:col>18</xdr:col>
                    <xdr:colOff>213360</xdr:colOff>
                    <xdr:row>12</xdr:row>
                    <xdr:rowOff>68580</xdr:rowOff>
                  </from>
                  <to>
                    <xdr:col>19</xdr:col>
                    <xdr:colOff>434340</xdr:colOff>
                    <xdr:row>14</xdr:row>
                    <xdr:rowOff>22860</xdr:rowOff>
                  </to>
                </anchor>
              </controlPr>
            </control>
          </mc:Choice>
        </mc:AlternateContent>
        <mc:AlternateContent xmlns:mc="http://schemas.openxmlformats.org/markup-compatibility/2006">
          <mc:Choice Requires="x14">
            <control shapeId="3075" r:id="rId5" name="List Box 3">
              <controlPr defaultSize="0" autoLine="0" autoPict="0">
                <anchor moveWithCells="1">
                  <from>
                    <xdr:col>14</xdr:col>
                    <xdr:colOff>106680</xdr:colOff>
                    <xdr:row>11</xdr:row>
                    <xdr:rowOff>83820</xdr:rowOff>
                  </from>
                  <to>
                    <xdr:col>15</xdr:col>
                    <xdr:colOff>472440</xdr:colOff>
                    <xdr:row>14</xdr:row>
                    <xdr:rowOff>22860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7"/>
  <sheetViews>
    <sheetView workbookViewId="0">
      <selection activeCell="B3" sqref="B3"/>
    </sheetView>
  </sheetViews>
  <sheetFormatPr defaultRowHeight="14.4"/>
  <cols>
    <col min="1" max="1" width="10.109375" bestFit="1" customWidth="1"/>
    <col min="2" max="2" width="11.21875" bestFit="1" customWidth="1"/>
    <col min="3" max="3" width="28.6640625" bestFit="1" customWidth="1"/>
    <col min="4" max="5" width="29.88671875" bestFit="1" customWidth="1"/>
  </cols>
  <sheetData>
    <row r="3" spans="1:3">
      <c r="A3" s="72" t="s">
        <v>108</v>
      </c>
      <c r="B3" t="s">
        <v>121</v>
      </c>
      <c r="C3" t="s">
        <v>120</v>
      </c>
    </row>
    <row r="4" spans="1:3">
      <c r="A4" s="73" t="s">
        <v>117</v>
      </c>
      <c r="B4" s="74">
        <v>2258</v>
      </c>
      <c r="C4" s="74">
        <v>927455</v>
      </c>
    </row>
    <row r="5" spans="1:3">
      <c r="A5" s="73" t="s">
        <v>118</v>
      </c>
      <c r="B5" s="74">
        <v>1525</v>
      </c>
      <c r="C5" s="74">
        <v>571962</v>
      </c>
    </row>
    <row r="6" spans="1:3">
      <c r="A6" s="73" t="s">
        <v>119</v>
      </c>
      <c r="B6" s="74">
        <v>3784</v>
      </c>
      <c r="C6" s="74"/>
    </row>
    <row r="7" spans="1:3">
      <c r="A7" s="73" t="s">
        <v>109</v>
      </c>
      <c r="B7" s="74">
        <v>7567</v>
      </c>
      <c r="C7" s="74">
        <v>1499417</v>
      </c>
    </row>
  </sheetData>
  <phoneticPr fontId="12"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tabSelected="1" workbookViewId="0">
      <selection activeCell="J26" sqref="J26"/>
    </sheetView>
  </sheetViews>
  <sheetFormatPr defaultRowHeight="14.4"/>
  <cols>
    <col min="1" max="1" width="4.88671875" style="33" bestFit="1" customWidth="1"/>
    <col min="2" max="2" width="8.88671875" style="33"/>
    <col min="3" max="3" width="12" style="18" bestFit="1" customWidth="1"/>
    <col min="4" max="4" width="4.6640625" style="18" customWidth="1"/>
    <col min="5" max="5" width="6.6640625" style="18" customWidth="1"/>
    <col min="6" max="6" width="23.44140625" style="18" bestFit="1" customWidth="1"/>
    <col min="7" max="7" width="8.88671875" style="18"/>
  </cols>
  <sheetData>
    <row r="1" spans="1:7">
      <c r="A1" s="22" t="s">
        <v>58</v>
      </c>
      <c r="B1" s="23" t="s">
        <v>59</v>
      </c>
      <c r="C1" s="24" t="s">
        <v>60</v>
      </c>
    </row>
    <row r="2" spans="1:7">
      <c r="A2" s="22">
        <v>1</v>
      </c>
      <c r="B2" s="23">
        <v>27861.894956517215</v>
      </c>
      <c r="C2" s="25"/>
    </row>
    <row r="3" spans="1:7">
      <c r="A3" s="22">
        <v>2</v>
      </c>
      <c r="B3" s="23">
        <v>75485.274986581499</v>
      </c>
      <c r="C3" s="25"/>
    </row>
    <row r="4" spans="1:7">
      <c r="A4" s="22">
        <v>3</v>
      </c>
      <c r="B4" s="23">
        <v>26381.399988487363</v>
      </c>
      <c r="C4" s="25"/>
      <c r="F4" s="26" t="s">
        <v>61</v>
      </c>
      <c r="G4" s="27"/>
    </row>
    <row r="5" spans="1:7">
      <c r="A5" s="22">
        <v>4</v>
      </c>
      <c r="B5" s="23">
        <v>55931.7249145143</v>
      </c>
      <c r="C5" s="25"/>
      <c r="F5" s="28" t="s">
        <v>62</v>
      </c>
      <c r="G5" s="29"/>
    </row>
    <row r="6" spans="1:7">
      <c r="A6" s="22">
        <v>5</v>
      </c>
      <c r="B6" s="23">
        <v>47184.044943096116</v>
      </c>
      <c r="C6" s="25"/>
      <c r="F6" s="30"/>
      <c r="G6" s="30"/>
    </row>
    <row r="7" spans="1:7">
      <c r="A7" s="22">
        <v>6</v>
      </c>
      <c r="B7" s="23">
        <v>35239.629965431901</v>
      </c>
      <c r="C7" s="25"/>
      <c r="F7" s="26" t="s">
        <v>63</v>
      </c>
      <c r="G7" s="29"/>
    </row>
    <row r="8" spans="1:7">
      <c r="A8" s="22">
        <v>7</v>
      </c>
      <c r="B8" s="23">
        <v>52540.244943848258</v>
      </c>
      <c r="C8" s="25"/>
      <c r="F8" s="28" t="s">
        <v>64</v>
      </c>
      <c r="G8" s="29"/>
    </row>
    <row r="9" spans="1:7">
      <c r="A9" s="22">
        <v>8</v>
      </c>
      <c r="B9" s="23">
        <v>47201.459929579491</v>
      </c>
      <c r="C9" s="25"/>
      <c r="F9" s="31" t="s">
        <v>65</v>
      </c>
      <c r="G9" s="32"/>
    </row>
    <row r="10" spans="1:7">
      <c r="A10" s="22">
        <v>9</v>
      </c>
      <c r="B10" s="23">
        <v>35124.514971709257</v>
      </c>
      <c r="C10" s="25"/>
    </row>
    <row r="11" spans="1:7">
      <c r="A11" s="22">
        <v>10</v>
      </c>
      <c r="B11" s="23">
        <v>56455.657425116151</v>
      </c>
      <c r="C11" s="25"/>
    </row>
    <row r="12" spans="1:7">
      <c r="A12" s="22">
        <v>11</v>
      </c>
      <c r="B12" s="23">
        <v>53781.28992798589</v>
      </c>
      <c r="C12" s="25"/>
    </row>
    <row r="13" spans="1:7">
      <c r="A13" s="22">
        <v>12</v>
      </c>
      <c r="B13" s="23">
        <v>36362.802448423208</v>
      </c>
      <c r="C13" s="25"/>
    </row>
    <row r="14" spans="1:7">
      <c r="A14" s="22">
        <v>13</v>
      </c>
      <c r="B14" s="23">
        <v>51020.857452724988</v>
      </c>
      <c r="C14" s="25"/>
    </row>
    <row r="15" spans="1:7">
      <c r="A15" s="22">
        <v>14</v>
      </c>
      <c r="B15" s="23">
        <v>27287.669948245901</v>
      </c>
      <c r="C15" s="25"/>
    </row>
    <row r="16" spans="1:7">
      <c r="A16" s="22">
        <v>15</v>
      </c>
      <c r="B16" s="23">
        <v>55629.242456566535</v>
      </c>
      <c r="C16" s="25"/>
    </row>
    <row r="17" spans="1:3">
      <c r="A17" s="22">
        <v>16</v>
      </c>
      <c r="B17" s="23">
        <v>66461.425951800222</v>
      </c>
      <c r="C17" s="25"/>
    </row>
    <row r="18" spans="1:3">
      <c r="A18" s="22">
        <v>17</v>
      </c>
      <c r="B18" s="23">
        <v>43821.608967249282</v>
      </c>
      <c r="C18" s="25"/>
    </row>
    <row r="19" spans="1:3">
      <c r="A19" s="22">
        <v>18</v>
      </c>
      <c r="B19" s="23">
        <v>71398.428446732913</v>
      </c>
      <c r="C19" s="25"/>
    </row>
    <row r="20" spans="1:3">
      <c r="A20" s="22">
        <v>19</v>
      </c>
      <c r="B20" s="23">
        <v>90120.910382874907</v>
      </c>
      <c r="C20" s="25"/>
    </row>
    <row r="21" spans="1:3">
      <c r="A21" s="22">
        <v>20</v>
      </c>
      <c r="B21" s="23">
        <v>53519.687455869003</v>
      </c>
      <c r="C21" s="25"/>
    </row>
    <row r="22" spans="1:3">
      <c r="A22" s="22">
        <v>21</v>
      </c>
      <c r="B22" s="23">
        <v>34854.154937672</v>
      </c>
      <c r="C22" s="25"/>
    </row>
    <row r="23" spans="1:3">
      <c r="A23" s="22">
        <v>22</v>
      </c>
      <c r="B23" s="23">
        <v>69247.252415380004</v>
      </c>
      <c r="C23" s="25"/>
    </row>
    <row r="24" spans="1:3">
      <c r="A24" s="22">
        <v>23</v>
      </c>
      <c r="B24" s="23">
        <v>53783.28992798589</v>
      </c>
      <c r="C24" s="25"/>
    </row>
    <row r="25" spans="1:3">
      <c r="A25" s="22">
        <v>24</v>
      </c>
      <c r="B25" s="23">
        <v>36364.802448423208</v>
      </c>
      <c r="C25" s="25"/>
    </row>
    <row r="26" spans="1:3">
      <c r="A26" s="22">
        <v>25</v>
      </c>
      <c r="B26" s="25"/>
      <c r="C26" s="25"/>
    </row>
  </sheetData>
  <phoneticPr fontId="1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671"/>
  <sheetViews>
    <sheetView workbookViewId="0">
      <selection activeCell="E23" sqref="E23"/>
    </sheetView>
  </sheetViews>
  <sheetFormatPr defaultColWidth="9" defaultRowHeight="15.6"/>
  <cols>
    <col min="1" max="1" width="4.6640625" style="49" bestFit="1" customWidth="1"/>
    <col min="2" max="2" width="8.21875" style="49" bestFit="1" customWidth="1"/>
    <col min="3" max="3" width="9" style="49"/>
    <col min="4" max="4" width="9" style="43"/>
    <col min="5" max="5" width="18.77734375" style="43" customWidth="1"/>
    <col min="6" max="6" width="9" style="43"/>
    <col min="7" max="9" width="13.21875" customWidth="1"/>
    <col min="10" max="10" width="2.33203125" customWidth="1"/>
    <col min="11" max="11" width="9.88671875" customWidth="1"/>
    <col min="12" max="12" width="11.21875" bestFit="1" customWidth="1"/>
    <col min="13" max="13" width="2.33203125" customWidth="1"/>
    <col min="14" max="15" width="8.88671875" customWidth="1"/>
    <col min="16" max="16384" width="9" style="13"/>
  </cols>
  <sheetData>
    <row r="1" spans="1:24">
      <c r="A1" s="34" t="s">
        <v>66</v>
      </c>
      <c r="B1" s="34" t="s">
        <v>67</v>
      </c>
      <c r="C1" s="34" t="s">
        <v>68</v>
      </c>
      <c r="D1" s="35"/>
      <c r="E1" s="36" t="s">
        <v>69</v>
      </c>
      <c r="F1" s="37"/>
      <c r="P1" s="14"/>
      <c r="Q1" s="14"/>
      <c r="R1" s="14"/>
      <c r="S1" s="14"/>
      <c r="T1" s="14"/>
      <c r="U1" s="14"/>
      <c r="V1" s="14"/>
      <c r="W1" s="14"/>
      <c r="X1" s="14"/>
    </row>
    <row r="2" spans="1:24">
      <c r="A2" s="34">
        <v>1</v>
      </c>
      <c r="B2" s="38">
        <v>7.6244000000000005</v>
      </c>
      <c r="C2" s="39"/>
      <c r="D2" s="35"/>
      <c r="E2" s="36" t="s">
        <v>62</v>
      </c>
      <c r="F2" s="40"/>
    </row>
    <row r="3" spans="1:24">
      <c r="A3" s="34">
        <v>2</v>
      </c>
      <c r="B3" s="38">
        <v>7.6244000000000005</v>
      </c>
      <c r="C3" s="41"/>
      <c r="D3" s="35"/>
      <c r="E3" s="42"/>
      <c r="F3" s="42"/>
    </row>
    <row r="4" spans="1:24">
      <c r="A4" s="34">
        <v>3</v>
      </c>
      <c r="B4" s="38">
        <v>7.6341999999999999</v>
      </c>
      <c r="C4" s="39"/>
      <c r="D4" s="35"/>
      <c r="E4" s="36" t="s">
        <v>70</v>
      </c>
      <c r="F4" s="40"/>
    </row>
    <row r="5" spans="1:24">
      <c r="A5" s="34">
        <v>4</v>
      </c>
      <c r="B5" s="38">
        <v>7.6048</v>
      </c>
      <c r="C5" s="39"/>
      <c r="D5" s="35"/>
      <c r="E5" s="36" t="s">
        <v>71</v>
      </c>
      <c r="F5" s="40"/>
    </row>
    <row r="6" spans="1:24">
      <c r="A6" s="34">
        <v>5</v>
      </c>
      <c r="B6" s="38">
        <v>7.6145999999999994</v>
      </c>
      <c r="C6" s="39"/>
      <c r="D6" s="35"/>
      <c r="E6" s="35"/>
      <c r="F6" s="35"/>
    </row>
    <row r="7" spans="1:24">
      <c r="A7" s="34">
        <v>6</v>
      </c>
      <c r="B7" s="38">
        <v>7.5949999999999998</v>
      </c>
      <c r="C7" s="39"/>
    </row>
    <row r="8" spans="1:24">
      <c r="A8" s="34">
        <v>7</v>
      </c>
      <c r="B8" s="38">
        <v>7.6048</v>
      </c>
      <c r="C8" s="39"/>
    </row>
    <row r="9" spans="1:24">
      <c r="A9" s="34">
        <v>8</v>
      </c>
      <c r="B9" s="38">
        <v>7.6244000000000005</v>
      </c>
      <c r="C9" s="39"/>
    </row>
    <row r="10" spans="1:24">
      <c r="A10" s="34">
        <v>9</v>
      </c>
      <c r="B10" s="38">
        <v>7.6145999999999994</v>
      </c>
      <c r="C10" s="39"/>
    </row>
    <row r="11" spans="1:24">
      <c r="A11" s="34">
        <v>10</v>
      </c>
      <c r="B11" s="38">
        <v>7.5852000000000004</v>
      </c>
      <c r="C11" s="39"/>
    </row>
    <row r="12" spans="1:24">
      <c r="A12" s="34">
        <v>11</v>
      </c>
      <c r="B12" s="38">
        <v>7.6048</v>
      </c>
      <c r="C12" s="39"/>
    </row>
    <row r="13" spans="1:24">
      <c r="A13" s="34">
        <v>12</v>
      </c>
      <c r="B13" s="38">
        <v>7.5852000000000004</v>
      </c>
      <c r="C13" s="39"/>
    </row>
    <row r="14" spans="1:24">
      <c r="A14" s="34">
        <v>13</v>
      </c>
      <c r="B14" s="38">
        <v>7.5481560000000005</v>
      </c>
      <c r="C14" s="39"/>
    </row>
    <row r="15" spans="1:24">
      <c r="A15" s="34">
        <v>14</v>
      </c>
      <c r="B15" s="38">
        <v>7.5481560000000005</v>
      </c>
      <c r="C15" s="39"/>
      <c r="D15" s="44"/>
    </row>
    <row r="16" spans="1:24">
      <c r="A16" s="34">
        <v>15</v>
      </c>
      <c r="B16" s="38">
        <v>7.66</v>
      </c>
      <c r="C16" s="39"/>
      <c r="D16" s="44"/>
    </row>
    <row r="17" spans="1:4">
      <c r="A17" s="34">
        <v>16</v>
      </c>
      <c r="B17" s="38">
        <v>7.5287519999999999</v>
      </c>
      <c r="C17" s="39"/>
      <c r="D17" s="44"/>
    </row>
    <row r="18" spans="1:4">
      <c r="A18" s="34">
        <v>17</v>
      </c>
      <c r="B18" s="38">
        <v>7.5384539999999989</v>
      </c>
      <c r="C18" s="39"/>
      <c r="D18" s="44"/>
    </row>
    <row r="19" spans="1:4">
      <c r="A19" s="34">
        <v>18</v>
      </c>
      <c r="B19" s="38">
        <v>7.51905</v>
      </c>
      <c r="C19" s="39"/>
      <c r="D19" s="44"/>
    </row>
    <row r="20" spans="1:4">
      <c r="A20" s="34">
        <v>19</v>
      </c>
      <c r="B20" s="38">
        <v>7.5287519999999999</v>
      </c>
      <c r="C20" s="39"/>
      <c r="D20" s="44"/>
    </row>
    <row r="21" spans="1:4">
      <c r="A21" s="34">
        <v>20</v>
      </c>
      <c r="B21" s="38">
        <v>7.65</v>
      </c>
      <c r="C21" s="39"/>
      <c r="D21" s="44"/>
    </row>
    <row r="22" spans="1:4">
      <c r="A22" s="34">
        <v>21</v>
      </c>
      <c r="B22" s="38">
        <v>7.5384539999999989</v>
      </c>
      <c r="C22" s="39"/>
      <c r="D22" s="44"/>
    </row>
    <row r="23" spans="1:4">
      <c r="A23" s="34">
        <v>22</v>
      </c>
      <c r="B23" s="38">
        <v>7.5093480000000001</v>
      </c>
      <c r="C23" s="39"/>
      <c r="D23" s="44"/>
    </row>
    <row r="24" spans="1:4">
      <c r="A24" s="34">
        <v>23</v>
      </c>
      <c r="B24" s="38">
        <v>7.63</v>
      </c>
      <c r="C24" s="39"/>
      <c r="D24" s="44"/>
    </row>
    <row r="25" spans="1:4">
      <c r="A25" s="34">
        <v>24</v>
      </c>
      <c r="B25" s="38">
        <v>7.61</v>
      </c>
      <c r="C25" s="39"/>
      <c r="D25" s="44"/>
    </row>
    <row r="26" spans="1:4">
      <c r="A26" s="45">
        <v>25</v>
      </c>
      <c r="B26" s="46"/>
      <c r="C26" s="39"/>
      <c r="D26" s="44"/>
    </row>
    <row r="27" spans="1:4">
      <c r="A27" s="47"/>
      <c r="B27" s="48"/>
      <c r="C27" s="48"/>
      <c r="D27" s="44"/>
    </row>
    <row r="28" spans="1:4">
      <c r="A28" s="47"/>
      <c r="B28" s="48"/>
      <c r="C28" s="48"/>
      <c r="D28" s="44"/>
    </row>
    <row r="29" spans="1:4">
      <c r="A29" s="47"/>
      <c r="B29" s="48"/>
      <c r="C29" s="48"/>
      <c r="D29" s="44"/>
    </row>
    <row r="30" spans="1:4">
      <c r="A30" s="47"/>
      <c r="B30" s="48"/>
      <c r="C30" s="48"/>
      <c r="D30" s="44"/>
    </row>
    <row r="31" spans="1:4">
      <c r="A31" s="47"/>
      <c r="B31" s="48"/>
      <c r="C31" s="48"/>
      <c r="D31" s="44"/>
    </row>
    <row r="32" spans="1:4">
      <c r="A32" s="47"/>
      <c r="B32" s="48"/>
      <c r="C32" s="48"/>
      <c r="D32" s="44"/>
    </row>
    <row r="33" spans="1:4">
      <c r="A33" s="47"/>
      <c r="B33" s="48"/>
      <c r="C33" s="48"/>
      <c r="D33" s="44"/>
    </row>
    <row r="34" spans="1:4">
      <c r="A34" s="47"/>
      <c r="B34" s="48"/>
      <c r="C34" s="48"/>
      <c r="D34" s="44"/>
    </row>
    <row r="35" spans="1:4">
      <c r="A35" s="47"/>
      <c r="B35" s="48"/>
      <c r="C35" s="48"/>
      <c r="D35" s="44"/>
    </row>
    <row r="36" spans="1:4">
      <c r="A36" s="47"/>
      <c r="B36" s="48"/>
      <c r="C36" s="48"/>
      <c r="D36" s="44"/>
    </row>
    <row r="37" spans="1:4">
      <c r="A37" s="47"/>
      <c r="B37" s="48"/>
      <c r="C37" s="48"/>
      <c r="D37" s="44"/>
    </row>
    <row r="38" spans="1:4">
      <c r="A38" s="47"/>
      <c r="B38" s="48"/>
      <c r="C38" s="48"/>
      <c r="D38" s="44"/>
    </row>
    <row r="39" spans="1:4">
      <c r="A39" s="47"/>
      <c r="B39" s="48"/>
      <c r="C39" s="48"/>
      <c r="D39" s="44"/>
    </row>
    <row r="40" spans="1:4">
      <c r="A40" s="47"/>
      <c r="B40" s="48"/>
      <c r="C40" s="48"/>
      <c r="D40" s="44"/>
    </row>
    <row r="41" spans="1:4">
      <c r="A41" s="47"/>
      <c r="B41" s="48"/>
      <c r="C41" s="48"/>
      <c r="D41" s="44"/>
    </row>
    <row r="42" spans="1:4">
      <c r="A42" s="47"/>
      <c r="B42" s="48"/>
      <c r="C42" s="48"/>
      <c r="D42" s="44"/>
    </row>
    <row r="43" spans="1:4">
      <c r="A43" s="47"/>
      <c r="B43" s="48"/>
      <c r="C43" s="48"/>
      <c r="D43" s="44"/>
    </row>
    <row r="44" spans="1:4">
      <c r="A44" s="47"/>
      <c r="B44" s="48"/>
      <c r="C44" s="48"/>
      <c r="D44" s="44"/>
    </row>
    <row r="45" spans="1:4">
      <c r="A45" s="47"/>
      <c r="B45" s="48"/>
      <c r="C45" s="48"/>
      <c r="D45" s="44"/>
    </row>
    <row r="46" spans="1:4">
      <c r="A46" s="47"/>
      <c r="B46" s="48"/>
      <c r="C46" s="48"/>
      <c r="D46" s="44"/>
    </row>
    <row r="47" spans="1:4">
      <c r="A47" s="47"/>
      <c r="B47" s="48"/>
      <c r="C47" s="48"/>
      <c r="D47" s="44"/>
    </row>
    <row r="48" spans="1:4">
      <c r="A48" s="47"/>
      <c r="B48" s="48"/>
      <c r="C48" s="48"/>
      <c r="D48" s="44"/>
    </row>
    <row r="49" spans="1:4">
      <c r="A49" s="47"/>
      <c r="B49" s="48"/>
      <c r="C49" s="48"/>
      <c r="D49" s="44"/>
    </row>
    <row r="50" spans="1:4">
      <c r="A50" s="47"/>
      <c r="B50" s="48"/>
      <c r="C50" s="48"/>
      <c r="D50" s="44"/>
    </row>
    <row r="51" spans="1:4">
      <c r="A51" s="47"/>
      <c r="B51" s="48"/>
      <c r="C51" s="48"/>
      <c r="D51" s="44"/>
    </row>
    <row r="52" spans="1:4">
      <c r="A52" s="47"/>
      <c r="B52" s="48"/>
      <c r="C52" s="48"/>
      <c r="D52" s="44"/>
    </row>
    <row r="53" spans="1:4">
      <c r="A53" s="47"/>
      <c r="B53" s="48"/>
      <c r="C53" s="48"/>
      <c r="D53" s="44"/>
    </row>
    <row r="54" spans="1:4">
      <c r="A54" s="47"/>
      <c r="B54" s="48"/>
      <c r="C54" s="48"/>
      <c r="D54" s="44"/>
    </row>
    <row r="55" spans="1:4">
      <c r="A55" s="47"/>
      <c r="B55" s="48"/>
      <c r="C55" s="48"/>
      <c r="D55" s="44"/>
    </row>
    <row r="56" spans="1:4">
      <c r="A56" s="47"/>
      <c r="B56" s="48"/>
      <c r="C56" s="48"/>
      <c r="D56" s="44"/>
    </row>
    <row r="57" spans="1:4">
      <c r="A57" s="47"/>
      <c r="B57" s="48"/>
      <c r="C57" s="48"/>
      <c r="D57" s="44"/>
    </row>
    <row r="58" spans="1:4">
      <c r="A58" s="47"/>
      <c r="B58" s="48"/>
      <c r="C58" s="48"/>
      <c r="D58" s="44"/>
    </row>
    <row r="59" spans="1:4">
      <c r="A59" s="47"/>
      <c r="B59" s="48"/>
      <c r="C59" s="48"/>
      <c r="D59" s="44"/>
    </row>
    <row r="60" spans="1:4">
      <c r="A60" s="47"/>
      <c r="B60" s="48"/>
      <c r="C60" s="48"/>
      <c r="D60" s="44"/>
    </row>
    <row r="61" spans="1:4">
      <c r="A61" s="47"/>
      <c r="B61" s="48"/>
      <c r="C61" s="48"/>
      <c r="D61" s="44"/>
    </row>
    <row r="62" spans="1:4">
      <c r="A62" s="47"/>
      <c r="B62" s="48"/>
      <c r="C62" s="48"/>
      <c r="D62" s="44"/>
    </row>
    <row r="63" spans="1:4">
      <c r="A63" s="47"/>
      <c r="B63" s="48"/>
      <c r="C63" s="48"/>
      <c r="D63" s="44"/>
    </row>
    <row r="64" spans="1:4">
      <c r="A64" s="47"/>
      <c r="B64" s="48"/>
      <c r="C64" s="48"/>
      <c r="D64" s="44"/>
    </row>
    <row r="65" spans="1:4">
      <c r="A65" s="47"/>
      <c r="B65" s="48"/>
      <c r="C65" s="48"/>
      <c r="D65" s="44"/>
    </row>
    <row r="66" spans="1:4">
      <c r="A66" s="47"/>
      <c r="B66" s="48"/>
      <c r="C66" s="48"/>
      <c r="D66" s="44"/>
    </row>
    <row r="67" spans="1:4">
      <c r="A67" s="47"/>
      <c r="B67" s="48"/>
      <c r="C67" s="48"/>
      <c r="D67" s="44"/>
    </row>
    <row r="68" spans="1:4">
      <c r="A68" s="47"/>
      <c r="B68" s="48"/>
      <c r="C68" s="48"/>
      <c r="D68" s="44"/>
    </row>
    <row r="69" spans="1:4">
      <c r="A69" s="47"/>
      <c r="B69" s="48"/>
      <c r="C69" s="48"/>
      <c r="D69" s="44"/>
    </row>
    <row r="70" spans="1:4">
      <c r="A70" s="47"/>
      <c r="B70" s="48"/>
      <c r="C70" s="48"/>
      <c r="D70" s="44"/>
    </row>
    <row r="71" spans="1:4">
      <c r="A71" s="47"/>
      <c r="B71" s="48"/>
      <c r="C71" s="48"/>
      <c r="D71" s="44"/>
    </row>
    <row r="72" spans="1:4">
      <c r="A72" s="47"/>
      <c r="B72" s="48"/>
      <c r="C72" s="48"/>
      <c r="D72" s="44"/>
    </row>
    <row r="73" spans="1:4">
      <c r="A73" s="47"/>
      <c r="B73" s="48"/>
      <c r="C73" s="48"/>
      <c r="D73" s="44"/>
    </row>
    <row r="74" spans="1:4">
      <c r="A74" s="47"/>
      <c r="B74" s="48"/>
      <c r="C74" s="48"/>
      <c r="D74" s="44"/>
    </row>
    <row r="75" spans="1:4">
      <c r="A75" s="47"/>
      <c r="B75" s="48"/>
      <c r="C75" s="48"/>
      <c r="D75" s="44"/>
    </row>
    <row r="76" spans="1:4">
      <c r="A76" s="47"/>
      <c r="B76" s="48"/>
      <c r="C76" s="48"/>
      <c r="D76" s="44"/>
    </row>
    <row r="77" spans="1:4">
      <c r="A77" s="47"/>
      <c r="B77" s="48"/>
      <c r="C77" s="48"/>
      <c r="D77" s="44"/>
    </row>
    <row r="78" spans="1:4">
      <c r="A78" s="47"/>
      <c r="B78" s="48"/>
      <c r="C78" s="48"/>
      <c r="D78" s="44"/>
    </row>
    <row r="79" spans="1:4">
      <c r="A79" s="47"/>
      <c r="B79" s="48"/>
      <c r="C79" s="48"/>
      <c r="D79" s="44"/>
    </row>
    <row r="80" spans="1:4">
      <c r="A80" s="47"/>
      <c r="B80" s="48"/>
      <c r="C80" s="48"/>
      <c r="D80" s="44"/>
    </row>
    <row r="81" spans="1:4">
      <c r="A81" s="47"/>
      <c r="B81" s="48"/>
      <c r="C81" s="48"/>
      <c r="D81" s="44"/>
    </row>
    <row r="82" spans="1:4">
      <c r="A82" s="47"/>
      <c r="B82" s="48"/>
      <c r="C82" s="48"/>
      <c r="D82" s="44"/>
    </row>
    <row r="83" spans="1:4">
      <c r="A83" s="47"/>
      <c r="B83" s="48"/>
      <c r="C83" s="48"/>
      <c r="D83" s="44"/>
    </row>
    <row r="84" spans="1:4">
      <c r="A84" s="47"/>
      <c r="B84" s="48"/>
      <c r="C84" s="48"/>
      <c r="D84" s="44"/>
    </row>
    <row r="85" spans="1:4">
      <c r="A85" s="47"/>
      <c r="B85" s="48"/>
      <c r="C85" s="48"/>
      <c r="D85" s="44"/>
    </row>
    <row r="86" spans="1:4">
      <c r="A86" s="47"/>
      <c r="B86" s="48"/>
      <c r="C86" s="48"/>
      <c r="D86" s="44"/>
    </row>
    <row r="87" spans="1:4">
      <c r="A87" s="47"/>
      <c r="B87" s="48"/>
      <c r="C87" s="48"/>
      <c r="D87" s="44"/>
    </row>
    <row r="88" spans="1:4">
      <c r="A88" s="47"/>
      <c r="B88" s="48"/>
      <c r="C88" s="48"/>
      <c r="D88" s="44"/>
    </row>
    <row r="89" spans="1:4">
      <c r="A89" s="47"/>
      <c r="B89" s="48"/>
      <c r="C89" s="48"/>
      <c r="D89" s="44"/>
    </row>
    <row r="90" spans="1:4">
      <c r="A90" s="47"/>
      <c r="B90" s="48"/>
      <c r="C90" s="48"/>
      <c r="D90" s="44"/>
    </row>
    <row r="91" spans="1:4">
      <c r="A91" s="47"/>
      <c r="B91" s="48"/>
      <c r="C91" s="48"/>
      <c r="D91" s="44"/>
    </row>
    <row r="92" spans="1:4">
      <c r="A92" s="47"/>
      <c r="B92" s="48"/>
      <c r="C92" s="48"/>
      <c r="D92" s="44"/>
    </row>
    <row r="93" spans="1:4">
      <c r="A93" s="47"/>
      <c r="B93" s="48"/>
      <c r="C93" s="48"/>
      <c r="D93" s="44"/>
    </row>
    <row r="94" spans="1:4">
      <c r="A94" s="47"/>
      <c r="B94" s="48"/>
      <c r="C94" s="48"/>
      <c r="D94" s="44"/>
    </row>
    <row r="95" spans="1:4">
      <c r="A95" s="47"/>
      <c r="B95" s="48"/>
      <c r="C95" s="48"/>
      <c r="D95" s="44"/>
    </row>
    <row r="96" spans="1:4">
      <c r="A96" s="47"/>
      <c r="B96" s="48"/>
      <c r="C96" s="48"/>
      <c r="D96" s="44"/>
    </row>
    <row r="97" spans="1:4">
      <c r="A97" s="47"/>
      <c r="B97" s="48"/>
      <c r="C97" s="48"/>
      <c r="D97" s="44"/>
    </row>
    <row r="98" spans="1:4">
      <c r="A98" s="47"/>
      <c r="B98" s="48"/>
      <c r="C98" s="48"/>
      <c r="D98" s="44"/>
    </row>
    <row r="99" spans="1:4">
      <c r="A99" s="47"/>
      <c r="B99" s="48"/>
      <c r="C99" s="48"/>
      <c r="D99" s="44"/>
    </row>
    <row r="100" spans="1:4">
      <c r="A100" s="47"/>
      <c r="B100" s="48"/>
      <c r="C100" s="48"/>
      <c r="D100" s="44"/>
    </row>
    <row r="101" spans="1:4">
      <c r="A101" s="47"/>
      <c r="B101" s="48"/>
      <c r="C101" s="48"/>
      <c r="D101" s="44"/>
    </row>
    <row r="102" spans="1:4">
      <c r="A102" s="47"/>
      <c r="B102" s="48"/>
      <c r="C102" s="48"/>
      <c r="D102" s="44"/>
    </row>
    <row r="103" spans="1:4">
      <c r="A103" s="47"/>
      <c r="B103" s="48"/>
      <c r="C103" s="48"/>
      <c r="D103" s="44"/>
    </row>
    <row r="104" spans="1:4">
      <c r="A104" s="47"/>
      <c r="B104" s="48"/>
      <c r="C104" s="48"/>
      <c r="D104" s="44"/>
    </row>
    <row r="105" spans="1:4">
      <c r="A105" s="47"/>
      <c r="B105" s="48"/>
      <c r="C105" s="48"/>
      <c r="D105" s="44"/>
    </row>
    <row r="106" spans="1:4">
      <c r="A106" s="47"/>
      <c r="B106" s="48"/>
      <c r="C106" s="48"/>
      <c r="D106" s="44"/>
    </row>
    <row r="107" spans="1:4">
      <c r="A107" s="47"/>
      <c r="B107" s="48"/>
      <c r="C107" s="48"/>
      <c r="D107" s="44"/>
    </row>
    <row r="108" spans="1:4">
      <c r="A108" s="47"/>
      <c r="B108" s="48"/>
      <c r="C108" s="48"/>
      <c r="D108" s="44"/>
    </row>
    <row r="109" spans="1:4">
      <c r="A109" s="47"/>
      <c r="B109" s="48"/>
      <c r="C109" s="48"/>
      <c r="D109" s="44"/>
    </row>
    <row r="110" spans="1:4">
      <c r="A110" s="47"/>
      <c r="B110" s="48"/>
      <c r="C110" s="48"/>
      <c r="D110" s="44"/>
    </row>
    <row r="111" spans="1:4">
      <c r="A111" s="47"/>
      <c r="B111" s="48"/>
      <c r="C111" s="48"/>
      <c r="D111" s="44"/>
    </row>
    <row r="112" spans="1:4">
      <c r="A112" s="47"/>
      <c r="B112" s="48"/>
      <c r="C112" s="48"/>
      <c r="D112" s="44"/>
    </row>
    <row r="113" spans="1:4">
      <c r="A113" s="47"/>
      <c r="B113" s="48"/>
      <c r="C113" s="48"/>
      <c r="D113" s="44"/>
    </row>
    <row r="114" spans="1:4">
      <c r="A114" s="47"/>
      <c r="B114" s="48"/>
      <c r="C114" s="48"/>
      <c r="D114" s="44"/>
    </row>
    <row r="115" spans="1:4">
      <c r="A115" s="47"/>
      <c r="B115" s="48"/>
      <c r="C115" s="48"/>
      <c r="D115" s="44"/>
    </row>
    <row r="116" spans="1:4">
      <c r="A116" s="47"/>
      <c r="B116" s="48"/>
      <c r="C116" s="48"/>
      <c r="D116" s="44"/>
    </row>
    <row r="117" spans="1:4">
      <c r="A117" s="47"/>
      <c r="B117" s="48"/>
      <c r="C117" s="48"/>
      <c r="D117" s="44"/>
    </row>
    <row r="118" spans="1:4">
      <c r="A118" s="47"/>
      <c r="B118" s="48"/>
      <c r="C118" s="48"/>
      <c r="D118" s="44"/>
    </row>
    <row r="119" spans="1:4">
      <c r="A119" s="47"/>
      <c r="B119" s="48"/>
      <c r="C119" s="48"/>
      <c r="D119" s="44"/>
    </row>
    <row r="120" spans="1:4">
      <c r="A120" s="47"/>
      <c r="B120" s="48"/>
      <c r="C120" s="48"/>
      <c r="D120" s="44"/>
    </row>
    <row r="121" spans="1:4">
      <c r="A121" s="47"/>
      <c r="B121" s="48"/>
      <c r="C121" s="48"/>
      <c r="D121" s="44"/>
    </row>
    <row r="122" spans="1:4">
      <c r="A122" s="47"/>
      <c r="B122" s="48"/>
      <c r="C122" s="48"/>
      <c r="D122" s="44"/>
    </row>
    <row r="123" spans="1:4">
      <c r="A123" s="47"/>
      <c r="B123" s="48"/>
      <c r="C123" s="48"/>
      <c r="D123" s="44"/>
    </row>
    <row r="124" spans="1:4">
      <c r="A124" s="47"/>
      <c r="B124" s="48"/>
      <c r="C124" s="48"/>
      <c r="D124" s="44"/>
    </row>
    <row r="125" spans="1:4">
      <c r="A125" s="47"/>
      <c r="B125" s="48"/>
      <c r="C125" s="48"/>
      <c r="D125" s="44"/>
    </row>
    <row r="126" spans="1:4">
      <c r="A126" s="47"/>
      <c r="B126" s="48"/>
      <c r="C126" s="48"/>
      <c r="D126" s="44"/>
    </row>
    <row r="127" spans="1:4">
      <c r="A127" s="47"/>
      <c r="B127" s="48"/>
      <c r="C127" s="48"/>
      <c r="D127" s="44"/>
    </row>
    <row r="128" spans="1:4">
      <c r="A128" s="47"/>
      <c r="B128" s="48"/>
      <c r="C128" s="48"/>
      <c r="D128" s="44"/>
    </row>
    <row r="129" spans="1:4">
      <c r="A129" s="47"/>
      <c r="B129" s="48"/>
      <c r="C129" s="48"/>
      <c r="D129" s="44"/>
    </row>
    <row r="130" spans="1:4">
      <c r="A130" s="47"/>
      <c r="B130" s="48"/>
      <c r="C130" s="48"/>
      <c r="D130" s="44"/>
    </row>
    <row r="131" spans="1:4">
      <c r="A131" s="47"/>
      <c r="B131" s="48"/>
      <c r="C131" s="48"/>
      <c r="D131" s="44"/>
    </row>
    <row r="132" spans="1:4">
      <c r="A132" s="47"/>
      <c r="B132" s="48"/>
      <c r="C132" s="48"/>
      <c r="D132" s="44"/>
    </row>
    <row r="133" spans="1:4">
      <c r="A133" s="47"/>
      <c r="B133" s="48"/>
      <c r="C133" s="48"/>
      <c r="D133" s="44"/>
    </row>
    <row r="134" spans="1:4">
      <c r="A134" s="47"/>
      <c r="B134" s="48"/>
      <c r="C134" s="48"/>
      <c r="D134" s="44"/>
    </row>
    <row r="135" spans="1:4">
      <c r="A135" s="47"/>
      <c r="B135" s="48"/>
      <c r="C135" s="48"/>
      <c r="D135" s="44"/>
    </row>
    <row r="136" spans="1:4">
      <c r="A136" s="47"/>
      <c r="B136" s="48"/>
      <c r="C136" s="48"/>
      <c r="D136" s="44"/>
    </row>
    <row r="137" spans="1:4">
      <c r="A137" s="47"/>
      <c r="B137" s="48"/>
      <c r="C137" s="48"/>
      <c r="D137" s="44"/>
    </row>
    <row r="138" spans="1:4">
      <c r="A138" s="47"/>
      <c r="B138" s="48"/>
      <c r="C138" s="48"/>
      <c r="D138" s="44"/>
    </row>
    <row r="139" spans="1:4">
      <c r="A139" s="47"/>
      <c r="B139" s="48"/>
      <c r="C139" s="48"/>
      <c r="D139" s="44"/>
    </row>
    <row r="140" spans="1:4">
      <c r="A140" s="47"/>
      <c r="B140" s="48"/>
      <c r="C140" s="48"/>
      <c r="D140" s="44"/>
    </row>
    <row r="141" spans="1:4">
      <c r="A141" s="47"/>
      <c r="B141" s="48"/>
      <c r="C141" s="48"/>
      <c r="D141" s="44"/>
    </row>
    <row r="142" spans="1:4">
      <c r="A142" s="47"/>
      <c r="B142" s="48"/>
      <c r="C142" s="48"/>
      <c r="D142" s="44"/>
    </row>
    <row r="143" spans="1:4">
      <c r="A143" s="47"/>
      <c r="B143" s="48"/>
      <c r="C143" s="48"/>
      <c r="D143" s="44"/>
    </row>
    <row r="144" spans="1:4">
      <c r="A144" s="47"/>
      <c r="B144" s="48"/>
      <c r="C144" s="48"/>
      <c r="D144" s="44"/>
    </row>
    <row r="145" spans="1:4">
      <c r="A145" s="47"/>
      <c r="B145" s="48"/>
      <c r="C145" s="48"/>
      <c r="D145" s="44"/>
    </row>
    <row r="146" spans="1:4">
      <c r="A146" s="47"/>
      <c r="B146" s="48"/>
      <c r="C146" s="48"/>
      <c r="D146" s="44"/>
    </row>
    <row r="147" spans="1:4">
      <c r="A147" s="47"/>
      <c r="B147" s="48"/>
      <c r="C147" s="48"/>
      <c r="D147" s="44"/>
    </row>
    <row r="148" spans="1:4">
      <c r="A148" s="47"/>
      <c r="B148" s="48"/>
      <c r="C148" s="48"/>
      <c r="D148" s="44"/>
    </row>
    <row r="149" spans="1:4">
      <c r="A149" s="47"/>
      <c r="B149" s="48"/>
      <c r="C149" s="48"/>
      <c r="D149" s="44"/>
    </row>
    <row r="150" spans="1:4">
      <c r="A150" s="47"/>
      <c r="B150" s="48"/>
      <c r="C150" s="48"/>
      <c r="D150" s="44"/>
    </row>
    <row r="151" spans="1:4">
      <c r="A151" s="47"/>
      <c r="B151" s="48"/>
      <c r="C151" s="48"/>
      <c r="D151" s="44"/>
    </row>
    <row r="152" spans="1:4">
      <c r="A152" s="47"/>
      <c r="B152" s="48"/>
      <c r="C152" s="48"/>
      <c r="D152" s="44"/>
    </row>
    <row r="153" spans="1:4">
      <c r="A153" s="47"/>
      <c r="B153" s="48"/>
      <c r="C153" s="48"/>
      <c r="D153" s="44"/>
    </row>
    <row r="154" spans="1:4">
      <c r="A154" s="47"/>
      <c r="B154" s="48"/>
      <c r="C154" s="48"/>
      <c r="D154" s="44"/>
    </row>
    <row r="155" spans="1:4">
      <c r="A155" s="47"/>
      <c r="B155" s="48"/>
      <c r="C155" s="48"/>
      <c r="D155" s="44"/>
    </row>
    <row r="156" spans="1:4">
      <c r="A156" s="47"/>
      <c r="B156" s="48"/>
      <c r="C156" s="48"/>
      <c r="D156" s="44"/>
    </row>
    <row r="157" spans="1:4">
      <c r="A157" s="47"/>
      <c r="B157" s="48"/>
      <c r="C157" s="48"/>
      <c r="D157" s="44"/>
    </row>
    <row r="158" spans="1:4">
      <c r="A158" s="47"/>
      <c r="B158" s="48"/>
      <c r="C158" s="48"/>
      <c r="D158" s="44"/>
    </row>
    <row r="159" spans="1:4">
      <c r="A159" s="47"/>
      <c r="B159" s="48"/>
      <c r="C159" s="48"/>
      <c r="D159" s="44"/>
    </row>
    <row r="160" spans="1:4">
      <c r="A160" s="47"/>
      <c r="B160" s="48"/>
      <c r="C160" s="48"/>
      <c r="D160" s="44"/>
    </row>
    <row r="161" spans="1:4">
      <c r="A161" s="47"/>
      <c r="B161" s="48"/>
      <c r="C161" s="48"/>
      <c r="D161" s="44"/>
    </row>
    <row r="162" spans="1:4">
      <c r="A162" s="47"/>
      <c r="B162" s="48"/>
      <c r="C162" s="48"/>
      <c r="D162" s="44"/>
    </row>
    <row r="163" spans="1:4">
      <c r="A163" s="47"/>
      <c r="B163" s="48"/>
      <c r="C163" s="48"/>
      <c r="D163" s="44"/>
    </row>
    <row r="164" spans="1:4">
      <c r="A164" s="47"/>
      <c r="B164" s="48"/>
      <c r="C164" s="48"/>
      <c r="D164" s="44"/>
    </row>
    <row r="165" spans="1:4">
      <c r="A165" s="47"/>
      <c r="B165" s="48"/>
      <c r="C165" s="48"/>
      <c r="D165" s="44"/>
    </row>
    <row r="166" spans="1:4">
      <c r="A166" s="47"/>
      <c r="B166" s="48"/>
      <c r="C166" s="48"/>
      <c r="D166" s="44"/>
    </row>
    <row r="167" spans="1:4">
      <c r="A167" s="47"/>
      <c r="B167" s="48"/>
      <c r="C167" s="48"/>
      <c r="D167" s="44"/>
    </row>
    <row r="168" spans="1:4">
      <c r="A168" s="47"/>
      <c r="B168" s="48"/>
      <c r="C168" s="48"/>
      <c r="D168" s="44"/>
    </row>
    <row r="169" spans="1:4">
      <c r="A169" s="47"/>
      <c r="B169" s="48"/>
      <c r="C169" s="48"/>
      <c r="D169" s="44"/>
    </row>
    <row r="170" spans="1:4">
      <c r="A170" s="47"/>
      <c r="B170" s="48"/>
      <c r="C170" s="48"/>
      <c r="D170" s="44"/>
    </row>
    <row r="171" spans="1:4">
      <c r="A171" s="47"/>
      <c r="B171" s="48"/>
      <c r="C171" s="48"/>
      <c r="D171" s="44"/>
    </row>
    <row r="172" spans="1:4">
      <c r="A172" s="47"/>
      <c r="B172" s="48"/>
      <c r="C172" s="48"/>
      <c r="D172" s="44"/>
    </row>
    <row r="173" spans="1:4">
      <c r="A173" s="47"/>
      <c r="B173" s="48"/>
      <c r="C173" s="48"/>
      <c r="D173" s="44"/>
    </row>
    <row r="174" spans="1:4">
      <c r="A174" s="47"/>
      <c r="B174" s="48"/>
      <c r="C174" s="48"/>
      <c r="D174" s="44"/>
    </row>
    <row r="175" spans="1:4">
      <c r="A175" s="47"/>
      <c r="B175" s="48"/>
      <c r="C175" s="48"/>
      <c r="D175" s="44"/>
    </row>
    <row r="176" spans="1:4">
      <c r="A176" s="47"/>
      <c r="B176" s="48"/>
      <c r="C176" s="48"/>
      <c r="D176" s="44"/>
    </row>
    <row r="177" spans="1:4">
      <c r="A177" s="47"/>
      <c r="B177" s="48"/>
      <c r="C177" s="48"/>
      <c r="D177" s="44"/>
    </row>
    <row r="178" spans="1:4">
      <c r="A178" s="47"/>
      <c r="B178" s="48"/>
      <c r="C178" s="48"/>
      <c r="D178" s="44"/>
    </row>
    <row r="179" spans="1:4">
      <c r="A179" s="47"/>
      <c r="B179" s="48"/>
      <c r="C179" s="48"/>
      <c r="D179" s="44"/>
    </row>
    <row r="180" spans="1:4">
      <c r="A180" s="47"/>
      <c r="B180" s="48"/>
      <c r="C180" s="48"/>
      <c r="D180" s="44"/>
    </row>
    <row r="181" spans="1:4">
      <c r="A181" s="47"/>
      <c r="B181" s="48"/>
      <c r="C181" s="48"/>
      <c r="D181" s="44"/>
    </row>
    <row r="182" spans="1:4">
      <c r="A182" s="47"/>
      <c r="B182" s="48"/>
      <c r="C182" s="48"/>
      <c r="D182" s="44"/>
    </row>
    <row r="183" spans="1:4">
      <c r="A183" s="47"/>
      <c r="B183" s="48"/>
      <c r="C183" s="48"/>
      <c r="D183" s="44"/>
    </row>
    <row r="184" spans="1:4">
      <c r="A184" s="47"/>
      <c r="B184" s="48"/>
      <c r="C184" s="48"/>
      <c r="D184" s="44"/>
    </row>
    <row r="185" spans="1:4">
      <c r="A185" s="47"/>
      <c r="B185" s="48"/>
      <c r="C185" s="48"/>
      <c r="D185" s="44"/>
    </row>
    <row r="186" spans="1:4">
      <c r="A186" s="47"/>
      <c r="B186" s="48"/>
      <c r="C186" s="48"/>
      <c r="D186" s="44"/>
    </row>
    <row r="187" spans="1:4">
      <c r="A187" s="47"/>
      <c r="B187" s="48"/>
      <c r="C187" s="48"/>
      <c r="D187" s="44"/>
    </row>
    <row r="188" spans="1:4">
      <c r="A188" s="47"/>
      <c r="B188" s="48"/>
      <c r="C188" s="48"/>
      <c r="D188" s="44"/>
    </row>
    <row r="189" spans="1:4">
      <c r="A189" s="47"/>
      <c r="B189" s="48"/>
      <c r="C189" s="48"/>
      <c r="D189" s="44"/>
    </row>
    <row r="190" spans="1:4">
      <c r="A190" s="47"/>
      <c r="B190" s="48"/>
      <c r="C190" s="48"/>
      <c r="D190" s="44"/>
    </row>
    <row r="191" spans="1:4">
      <c r="A191" s="47"/>
      <c r="B191" s="48"/>
      <c r="C191" s="48"/>
      <c r="D191" s="44"/>
    </row>
    <row r="192" spans="1:4">
      <c r="A192" s="47"/>
      <c r="B192" s="48"/>
      <c r="C192" s="48"/>
      <c r="D192" s="44"/>
    </row>
    <row r="193" spans="1:4">
      <c r="A193" s="47"/>
      <c r="B193" s="48"/>
      <c r="C193" s="48"/>
      <c r="D193" s="44"/>
    </row>
    <row r="194" spans="1:4">
      <c r="A194" s="47"/>
      <c r="B194" s="48"/>
      <c r="C194" s="48"/>
      <c r="D194" s="44"/>
    </row>
    <row r="195" spans="1:4">
      <c r="A195" s="47"/>
      <c r="B195" s="48"/>
      <c r="C195" s="48"/>
      <c r="D195" s="44"/>
    </row>
    <row r="196" spans="1:4">
      <c r="A196" s="47"/>
      <c r="B196" s="48"/>
      <c r="C196" s="48"/>
      <c r="D196" s="44"/>
    </row>
    <row r="197" spans="1:4">
      <c r="A197" s="47"/>
      <c r="B197" s="48"/>
      <c r="C197" s="48"/>
      <c r="D197" s="44"/>
    </row>
    <row r="198" spans="1:4">
      <c r="A198" s="47"/>
      <c r="B198" s="48"/>
      <c r="C198" s="48"/>
      <c r="D198" s="44"/>
    </row>
    <row r="199" spans="1:4">
      <c r="A199" s="47"/>
      <c r="B199" s="48"/>
      <c r="C199" s="48"/>
      <c r="D199" s="44"/>
    </row>
    <row r="200" spans="1:4">
      <c r="A200" s="47"/>
      <c r="B200" s="48"/>
      <c r="C200" s="48"/>
      <c r="D200" s="44"/>
    </row>
    <row r="201" spans="1:4">
      <c r="A201" s="47"/>
      <c r="B201" s="48"/>
      <c r="C201" s="48"/>
      <c r="D201" s="44"/>
    </row>
    <row r="202" spans="1:4">
      <c r="A202" s="47"/>
      <c r="B202" s="48"/>
      <c r="C202" s="48"/>
      <c r="D202" s="44"/>
    </row>
    <row r="203" spans="1:4">
      <c r="A203" s="47"/>
      <c r="B203" s="48"/>
      <c r="C203" s="48"/>
      <c r="D203" s="44"/>
    </row>
    <row r="204" spans="1:4">
      <c r="A204" s="47"/>
      <c r="B204" s="48"/>
      <c r="C204" s="48"/>
      <c r="D204" s="44"/>
    </row>
    <row r="205" spans="1:4">
      <c r="A205" s="47"/>
      <c r="B205" s="48"/>
      <c r="C205" s="48"/>
      <c r="D205" s="44"/>
    </row>
    <row r="206" spans="1:4">
      <c r="A206" s="47"/>
      <c r="B206" s="48"/>
      <c r="C206" s="48"/>
      <c r="D206" s="44"/>
    </row>
    <row r="207" spans="1:4">
      <c r="A207" s="47"/>
      <c r="B207" s="48"/>
      <c r="C207" s="48"/>
      <c r="D207" s="44"/>
    </row>
    <row r="208" spans="1:4">
      <c r="A208" s="47"/>
      <c r="B208" s="48"/>
      <c r="C208" s="48"/>
      <c r="D208" s="44"/>
    </row>
    <row r="209" spans="1:4">
      <c r="A209" s="47"/>
      <c r="B209" s="48"/>
      <c r="C209" s="48"/>
      <c r="D209" s="44"/>
    </row>
    <row r="210" spans="1:4">
      <c r="A210" s="47"/>
      <c r="B210" s="48"/>
      <c r="C210" s="48"/>
      <c r="D210" s="44"/>
    </row>
    <row r="211" spans="1:4">
      <c r="A211" s="47"/>
      <c r="B211" s="48"/>
      <c r="C211" s="48"/>
      <c r="D211" s="44"/>
    </row>
    <row r="212" spans="1:4">
      <c r="A212" s="47"/>
      <c r="B212" s="48"/>
      <c r="C212" s="48"/>
      <c r="D212" s="44"/>
    </row>
    <row r="213" spans="1:4">
      <c r="A213" s="47"/>
      <c r="B213" s="48"/>
      <c r="C213" s="48"/>
      <c r="D213" s="44"/>
    </row>
    <row r="214" spans="1:4">
      <c r="A214" s="47"/>
      <c r="B214" s="48"/>
      <c r="C214" s="48"/>
      <c r="D214" s="44"/>
    </row>
    <row r="215" spans="1:4">
      <c r="A215" s="47"/>
      <c r="B215" s="48"/>
      <c r="C215" s="48"/>
      <c r="D215" s="44"/>
    </row>
    <row r="216" spans="1:4">
      <c r="A216" s="47"/>
      <c r="B216" s="48"/>
      <c r="C216" s="48"/>
      <c r="D216" s="44"/>
    </row>
    <row r="217" spans="1:4">
      <c r="A217" s="47"/>
      <c r="B217" s="48"/>
      <c r="C217" s="48"/>
      <c r="D217" s="44"/>
    </row>
    <row r="218" spans="1:4">
      <c r="A218" s="47"/>
      <c r="B218" s="48"/>
      <c r="C218" s="48"/>
      <c r="D218" s="44"/>
    </row>
    <row r="219" spans="1:4">
      <c r="A219" s="47"/>
      <c r="B219" s="48"/>
      <c r="C219" s="48"/>
      <c r="D219" s="44"/>
    </row>
    <row r="220" spans="1:4">
      <c r="A220" s="47"/>
      <c r="B220" s="48"/>
      <c r="C220" s="48"/>
      <c r="D220" s="44"/>
    </row>
    <row r="221" spans="1:4">
      <c r="A221" s="47"/>
      <c r="B221" s="48"/>
      <c r="C221" s="48"/>
      <c r="D221" s="44"/>
    </row>
    <row r="222" spans="1:4">
      <c r="A222" s="47"/>
      <c r="B222" s="48"/>
      <c r="C222" s="48"/>
      <c r="D222" s="44"/>
    </row>
    <row r="223" spans="1:4">
      <c r="A223" s="47"/>
      <c r="B223" s="48"/>
      <c r="C223" s="48"/>
      <c r="D223" s="44"/>
    </row>
    <row r="224" spans="1:4">
      <c r="A224" s="47"/>
      <c r="B224" s="48"/>
      <c r="C224" s="48"/>
      <c r="D224" s="44"/>
    </row>
    <row r="225" spans="1:4">
      <c r="A225" s="47"/>
      <c r="B225" s="48"/>
      <c r="C225" s="48"/>
      <c r="D225" s="44"/>
    </row>
    <row r="226" spans="1:4">
      <c r="A226" s="47"/>
      <c r="B226" s="48"/>
      <c r="C226" s="48"/>
      <c r="D226" s="44"/>
    </row>
    <row r="227" spans="1:4">
      <c r="A227" s="47"/>
      <c r="B227" s="48"/>
      <c r="C227" s="48"/>
      <c r="D227" s="44"/>
    </row>
    <row r="228" spans="1:4">
      <c r="A228" s="47"/>
      <c r="B228" s="48"/>
      <c r="C228" s="48"/>
      <c r="D228" s="44"/>
    </row>
    <row r="229" spans="1:4">
      <c r="A229" s="47"/>
      <c r="B229" s="48"/>
      <c r="C229" s="48"/>
      <c r="D229" s="44"/>
    </row>
    <row r="230" spans="1:4">
      <c r="A230" s="47"/>
      <c r="B230" s="48"/>
      <c r="C230" s="48"/>
      <c r="D230" s="44"/>
    </row>
    <row r="231" spans="1:4">
      <c r="A231" s="47"/>
      <c r="B231" s="48"/>
      <c r="C231" s="48"/>
      <c r="D231" s="44"/>
    </row>
    <row r="232" spans="1:4">
      <c r="A232" s="47"/>
      <c r="B232" s="48"/>
      <c r="C232" s="48"/>
      <c r="D232" s="44"/>
    </row>
    <row r="233" spans="1:4">
      <c r="A233" s="47"/>
      <c r="B233" s="48"/>
      <c r="C233" s="48"/>
      <c r="D233" s="44"/>
    </row>
    <row r="234" spans="1:4">
      <c r="A234" s="47"/>
      <c r="B234" s="48"/>
      <c r="C234" s="48"/>
      <c r="D234" s="44"/>
    </row>
    <row r="235" spans="1:4">
      <c r="A235" s="47"/>
      <c r="B235" s="48"/>
      <c r="C235" s="48"/>
      <c r="D235" s="44"/>
    </row>
    <row r="236" spans="1:4">
      <c r="A236" s="47"/>
      <c r="B236" s="48"/>
      <c r="C236" s="48"/>
      <c r="D236" s="44"/>
    </row>
    <row r="237" spans="1:4">
      <c r="A237" s="47"/>
      <c r="B237" s="48"/>
      <c r="C237" s="48"/>
      <c r="D237" s="44"/>
    </row>
    <row r="238" spans="1:4">
      <c r="A238" s="47"/>
      <c r="B238" s="48"/>
      <c r="C238" s="48"/>
      <c r="D238" s="44"/>
    </row>
    <row r="239" spans="1:4">
      <c r="A239" s="47"/>
      <c r="B239" s="48"/>
      <c r="C239" s="48"/>
      <c r="D239" s="44"/>
    </row>
    <row r="240" spans="1:4">
      <c r="A240" s="47"/>
      <c r="B240" s="48"/>
      <c r="C240" s="48"/>
      <c r="D240" s="44"/>
    </row>
    <row r="241" spans="1:4">
      <c r="A241" s="47"/>
      <c r="B241" s="48"/>
      <c r="C241" s="48"/>
      <c r="D241" s="44"/>
    </row>
    <row r="242" spans="1:4">
      <c r="A242" s="47"/>
      <c r="B242" s="48"/>
      <c r="C242" s="48"/>
      <c r="D242" s="44"/>
    </row>
    <row r="243" spans="1:4">
      <c r="A243" s="47"/>
      <c r="B243" s="48"/>
      <c r="C243" s="48"/>
      <c r="D243" s="44"/>
    </row>
    <row r="244" spans="1:4">
      <c r="A244" s="47"/>
      <c r="B244" s="48"/>
      <c r="C244" s="48"/>
      <c r="D244" s="44"/>
    </row>
    <row r="245" spans="1:4">
      <c r="A245" s="47"/>
      <c r="B245" s="48"/>
      <c r="C245" s="48"/>
      <c r="D245" s="44"/>
    </row>
    <row r="246" spans="1:4">
      <c r="A246" s="47"/>
      <c r="B246" s="48"/>
      <c r="C246" s="48"/>
      <c r="D246" s="44"/>
    </row>
    <row r="247" spans="1:4">
      <c r="A247" s="47"/>
      <c r="B247" s="48"/>
      <c r="C247" s="48"/>
      <c r="D247" s="44"/>
    </row>
    <row r="248" spans="1:4">
      <c r="A248" s="47"/>
      <c r="B248" s="48"/>
      <c r="C248" s="48"/>
      <c r="D248" s="44"/>
    </row>
    <row r="249" spans="1:4">
      <c r="A249" s="47"/>
      <c r="B249" s="48"/>
      <c r="C249" s="48"/>
      <c r="D249" s="44"/>
    </row>
    <row r="250" spans="1:4">
      <c r="A250" s="47"/>
      <c r="B250" s="48"/>
      <c r="C250" s="48"/>
      <c r="D250" s="44"/>
    </row>
    <row r="251" spans="1:4">
      <c r="A251" s="47"/>
      <c r="B251" s="48"/>
      <c r="C251" s="48"/>
      <c r="D251" s="44"/>
    </row>
    <row r="252" spans="1:4">
      <c r="A252" s="47"/>
      <c r="B252" s="48"/>
      <c r="C252" s="48"/>
      <c r="D252" s="44"/>
    </row>
    <row r="253" spans="1:4">
      <c r="A253" s="47"/>
      <c r="B253" s="48"/>
      <c r="C253" s="48"/>
      <c r="D253" s="44"/>
    </row>
    <row r="254" spans="1:4">
      <c r="A254" s="47"/>
      <c r="B254" s="48"/>
      <c r="C254" s="48"/>
      <c r="D254" s="44"/>
    </row>
    <row r="255" spans="1:4">
      <c r="A255" s="47"/>
      <c r="B255" s="48"/>
      <c r="C255" s="48"/>
      <c r="D255" s="44"/>
    </row>
    <row r="256" spans="1:4">
      <c r="A256" s="47"/>
      <c r="B256" s="48"/>
      <c r="C256" s="48"/>
      <c r="D256" s="44"/>
    </row>
    <row r="257" spans="1:4">
      <c r="A257" s="47"/>
      <c r="B257" s="48"/>
      <c r="C257" s="48"/>
      <c r="D257" s="44"/>
    </row>
    <row r="258" spans="1:4">
      <c r="A258" s="47"/>
      <c r="B258" s="48"/>
      <c r="C258" s="48"/>
      <c r="D258" s="44"/>
    </row>
    <row r="259" spans="1:4">
      <c r="A259" s="47"/>
      <c r="B259" s="48"/>
      <c r="C259" s="48"/>
      <c r="D259" s="44"/>
    </row>
    <row r="260" spans="1:4">
      <c r="A260" s="47"/>
      <c r="B260" s="48"/>
      <c r="C260" s="48"/>
      <c r="D260" s="44"/>
    </row>
    <row r="261" spans="1:4">
      <c r="A261" s="47"/>
      <c r="B261" s="48"/>
      <c r="C261" s="48"/>
      <c r="D261" s="44"/>
    </row>
    <row r="262" spans="1:4">
      <c r="A262" s="47"/>
      <c r="B262" s="48"/>
      <c r="C262" s="48"/>
      <c r="D262" s="44"/>
    </row>
    <row r="263" spans="1:4">
      <c r="A263" s="47"/>
      <c r="B263" s="48"/>
      <c r="C263" s="48"/>
      <c r="D263" s="44"/>
    </row>
    <row r="264" spans="1:4">
      <c r="A264" s="47"/>
      <c r="B264" s="48"/>
      <c r="C264" s="48"/>
      <c r="D264" s="44"/>
    </row>
    <row r="265" spans="1:4">
      <c r="A265" s="47"/>
      <c r="B265" s="48"/>
      <c r="C265" s="48"/>
      <c r="D265" s="44"/>
    </row>
    <row r="266" spans="1:4">
      <c r="A266" s="47"/>
      <c r="B266" s="48"/>
      <c r="C266" s="48"/>
      <c r="D266" s="44"/>
    </row>
    <row r="267" spans="1:4">
      <c r="A267" s="47"/>
      <c r="B267" s="48"/>
      <c r="C267" s="48"/>
      <c r="D267" s="44"/>
    </row>
    <row r="268" spans="1:4">
      <c r="A268" s="47"/>
      <c r="B268" s="48"/>
      <c r="C268" s="48"/>
      <c r="D268" s="44"/>
    </row>
    <row r="269" spans="1:4">
      <c r="A269" s="47"/>
      <c r="B269" s="48"/>
      <c r="C269" s="48"/>
      <c r="D269" s="44"/>
    </row>
    <row r="270" spans="1:4">
      <c r="A270" s="47"/>
      <c r="B270" s="48"/>
      <c r="C270" s="48"/>
      <c r="D270" s="44"/>
    </row>
    <row r="271" spans="1:4">
      <c r="A271" s="47"/>
      <c r="B271" s="48"/>
      <c r="C271" s="48"/>
      <c r="D271" s="44"/>
    </row>
    <row r="272" spans="1:4">
      <c r="A272" s="47"/>
      <c r="B272" s="48"/>
      <c r="C272" s="48"/>
      <c r="D272" s="44"/>
    </row>
    <row r="273" spans="1:4">
      <c r="A273" s="47"/>
      <c r="B273" s="48"/>
      <c r="C273" s="48"/>
      <c r="D273" s="44"/>
    </row>
    <row r="274" spans="1:4">
      <c r="A274" s="47"/>
      <c r="B274" s="48"/>
      <c r="C274" s="48"/>
      <c r="D274" s="44"/>
    </row>
    <row r="275" spans="1:4">
      <c r="A275" s="47"/>
      <c r="B275" s="48"/>
      <c r="C275" s="48"/>
      <c r="D275" s="44"/>
    </row>
    <row r="276" spans="1:4">
      <c r="A276" s="47"/>
      <c r="B276" s="48"/>
      <c r="C276" s="48"/>
      <c r="D276" s="44"/>
    </row>
    <row r="277" spans="1:4">
      <c r="A277" s="47"/>
      <c r="B277" s="48"/>
      <c r="C277" s="48"/>
      <c r="D277" s="44"/>
    </row>
    <row r="278" spans="1:4">
      <c r="A278" s="47"/>
      <c r="B278" s="48"/>
      <c r="C278" s="48"/>
      <c r="D278" s="44"/>
    </row>
    <row r="279" spans="1:4">
      <c r="A279" s="47"/>
      <c r="B279" s="48"/>
      <c r="C279" s="48"/>
      <c r="D279" s="44"/>
    </row>
    <row r="280" spans="1:4">
      <c r="A280" s="47"/>
      <c r="B280" s="48"/>
      <c r="C280" s="48"/>
      <c r="D280" s="44"/>
    </row>
    <row r="281" spans="1:4">
      <c r="A281" s="47"/>
      <c r="B281" s="48"/>
      <c r="C281" s="48"/>
      <c r="D281" s="44"/>
    </row>
    <row r="282" spans="1:4">
      <c r="A282" s="47"/>
      <c r="B282" s="48"/>
      <c r="C282" s="48"/>
      <c r="D282" s="44"/>
    </row>
    <row r="283" spans="1:4">
      <c r="A283" s="47"/>
      <c r="B283" s="48"/>
      <c r="C283" s="48"/>
      <c r="D283" s="44"/>
    </row>
    <row r="284" spans="1:4">
      <c r="A284" s="47"/>
      <c r="B284" s="48"/>
      <c r="C284" s="48"/>
      <c r="D284" s="44"/>
    </row>
    <row r="285" spans="1:4">
      <c r="A285" s="47"/>
      <c r="B285" s="48"/>
      <c r="C285" s="48"/>
      <c r="D285" s="44"/>
    </row>
    <row r="286" spans="1:4">
      <c r="A286" s="47"/>
      <c r="B286" s="48"/>
      <c r="C286" s="48"/>
      <c r="D286" s="44"/>
    </row>
    <row r="287" spans="1:4">
      <c r="A287" s="47"/>
      <c r="B287" s="48"/>
      <c r="C287" s="48"/>
      <c r="D287" s="44"/>
    </row>
    <row r="288" spans="1:4">
      <c r="A288" s="47"/>
      <c r="B288" s="48"/>
      <c r="C288" s="48"/>
      <c r="D288" s="44"/>
    </row>
    <row r="289" spans="1:4">
      <c r="A289" s="47"/>
      <c r="B289" s="48"/>
      <c r="C289" s="48"/>
      <c r="D289" s="44"/>
    </row>
    <row r="290" spans="1:4">
      <c r="A290" s="47"/>
      <c r="B290" s="48"/>
      <c r="C290" s="48"/>
      <c r="D290" s="44"/>
    </row>
    <row r="291" spans="1:4">
      <c r="A291" s="47"/>
      <c r="B291" s="48"/>
      <c r="C291" s="48"/>
      <c r="D291" s="44"/>
    </row>
    <row r="292" spans="1:4">
      <c r="A292" s="47"/>
      <c r="B292" s="48"/>
      <c r="C292" s="48"/>
      <c r="D292" s="44"/>
    </row>
    <row r="293" spans="1:4">
      <c r="A293" s="47"/>
      <c r="B293" s="48"/>
      <c r="C293" s="48"/>
      <c r="D293" s="44"/>
    </row>
    <row r="294" spans="1:4">
      <c r="A294" s="47"/>
      <c r="B294" s="48"/>
      <c r="C294" s="48"/>
      <c r="D294" s="44"/>
    </row>
    <row r="295" spans="1:4">
      <c r="A295" s="47"/>
      <c r="B295" s="48"/>
      <c r="C295" s="48"/>
      <c r="D295" s="44"/>
    </row>
    <row r="296" spans="1:4">
      <c r="A296" s="47"/>
      <c r="B296" s="48"/>
      <c r="C296" s="48"/>
      <c r="D296" s="44"/>
    </row>
    <row r="297" spans="1:4">
      <c r="A297" s="47"/>
      <c r="B297" s="48"/>
      <c r="C297" s="48"/>
      <c r="D297" s="44"/>
    </row>
    <row r="298" spans="1:4">
      <c r="A298" s="47"/>
      <c r="B298" s="48"/>
      <c r="C298" s="48"/>
      <c r="D298" s="44"/>
    </row>
    <row r="299" spans="1:4">
      <c r="A299" s="47"/>
      <c r="B299" s="48"/>
      <c r="C299" s="48"/>
      <c r="D299" s="44"/>
    </row>
    <row r="300" spans="1:4">
      <c r="A300" s="47"/>
      <c r="B300" s="48"/>
      <c r="C300" s="48"/>
      <c r="D300" s="44"/>
    </row>
    <row r="301" spans="1:4">
      <c r="A301" s="47"/>
      <c r="B301" s="48"/>
      <c r="C301" s="48"/>
      <c r="D301" s="44"/>
    </row>
    <row r="302" spans="1:4">
      <c r="A302" s="47"/>
      <c r="B302" s="48"/>
      <c r="C302" s="48"/>
      <c r="D302" s="44"/>
    </row>
    <row r="303" spans="1:4">
      <c r="A303" s="47"/>
      <c r="B303" s="48"/>
      <c r="C303" s="48"/>
      <c r="D303" s="44"/>
    </row>
    <row r="304" spans="1:4">
      <c r="A304" s="47"/>
      <c r="B304" s="48"/>
      <c r="C304" s="48"/>
      <c r="D304" s="44"/>
    </row>
    <row r="305" spans="1:4">
      <c r="A305" s="47"/>
      <c r="B305" s="48"/>
      <c r="C305" s="48"/>
      <c r="D305" s="44"/>
    </row>
    <row r="306" spans="1:4">
      <c r="A306" s="47"/>
      <c r="B306" s="48"/>
      <c r="C306" s="48"/>
      <c r="D306" s="44"/>
    </row>
    <row r="307" spans="1:4">
      <c r="A307" s="47"/>
      <c r="B307" s="48"/>
      <c r="C307" s="48"/>
      <c r="D307" s="44"/>
    </row>
    <row r="308" spans="1:4">
      <c r="A308" s="47"/>
      <c r="B308" s="48"/>
      <c r="C308" s="48"/>
      <c r="D308" s="44"/>
    </row>
    <row r="309" spans="1:4">
      <c r="A309" s="47"/>
      <c r="B309" s="48"/>
      <c r="C309" s="48"/>
      <c r="D309" s="44"/>
    </row>
    <row r="310" spans="1:4">
      <c r="A310" s="47"/>
      <c r="B310" s="48"/>
      <c r="C310" s="48"/>
      <c r="D310" s="44"/>
    </row>
    <row r="311" spans="1:4">
      <c r="A311" s="47"/>
      <c r="B311" s="48"/>
      <c r="C311" s="48"/>
      <c r="D311" s="44"/>
    </row>
    <row r="312" spans="1:4">
      <c r="A312" s="47"/>
      <c r="B312" s="48"/>
      <c r="C312" s="48"/>
      <c r="D312" s="44"/>
    </row>
    <row r="313" spans="1:4">
      <c r="A313" s="47"/>
      <c r="B313" s="48"/>
      <c r="C313" s="48"/>
      <c r="D313" s="44"/>
    </row>
    <row r="314" spans="1:4">
      <c r="A314" s="47"/>
      <c r="B314" s="48"/>
      <c r="C314" s="48"/>
      <c r="D314" s="44"/>
    </row>
    <row r="315" spans="1:4">
      <c r="A315" s="47"/>
      <c r="B315" s="48"/>
      <c r="C315" s="48"/>
      <c r="D315" s="44"/>
    </row>
    <row r="316" spans="1:4">
      <c r="A316" s="47"/>
      <c r="B316" s="48"/>
      <c r="C316" s="48"/>
      <c r="D316" s="44"/>
    </row>
    <row r="317" spans="1:4">
      <c r="A317" s="47"/>
      <c r="B317" s="48"/>
      <c r="C317" s="48"/>
      <c r="D317" s="44"/>
    </row>
    <row r="318" spans="1:4">
      <c r="A318" s="47"/>
      <c r="B318" s="48"/>
      <c r="C318" s="48"/>
      <c r="D318" s="44"/>
    </row>
    <row r="319" spans="1:4">
      <c r="A319" s="47"/>
      <c r="B319" s="48"/>
      <c r="C319" s="48"/>
      <c r="D319" s="44"/>
    </row>
    <row r="320" spans="1:4">
      <c r="A320" s="47"/>
      <c r="B320" s="48"/>
      <c r="C320" s="48"/>
      <c r="D320" s="44"/>
    </row>
    <row r="321" spans="1:4">
      <c r="A321" s="47"/>
      <c r="B321" s="48"/>
      <c r="C321" s="48"/>
      <c r="D321" s="44"/>
    </row>
    <row r="322" spans="1:4">
      <c r="A322" s="47"/>
      <c r="B322" s="48"/>
      <c r="C322" s="48"/>
      <c r="D322" s="44"/>
    </row>
    <row r="323" spans="1:4">
      <c r="A323" s="47"/>
      <c r="B323" s="48"/>
      <c r="C323" s="48"/>
      <c r="D323" s="44"/>
    </row>
    <row r="324" spans="1:4">
      <c r="A324" s="47"/>
      <c r="B324" s="48"/>
      <c r="C324" s="48"/>
      <c r="D324" s="44"/>
    </row>
    <row r="325" spans="1:4">
      <c r="A325" s="47"/>
      <c r="B325" s="48"/>
      <c r="C325" s="48"/>
      <c r="D325" s="44"/>
    </row>
    <row r="326" spans="1:4">
      <c r="A326" s="47"/>
      <c r="B326" s="48"/>
      <c r="C326" s="48"/>
      <c r="D326" s="44"/>
    </row>
    <row r="327" spans="1:4">
      <c r="A327" s="47"/>
      <c r="B327" s="48"/>
      <c r="C327" s="48"/>
      <c r="D327" s="44"/>
    </row>
    <row r="328" spans="1:4">
      <c r="A328" s="47"/>
      <c r="B328" s="48"/>
      <c r="C328" s="48"/>
      <c r="D328" s="44"/>
    </row>
    <row r="329" spans="1:4">
      <c r="A329" s="47"/>
      <c r="B329" s="48"/>
      <c r="C329" s="48"/>
      <c r="D329" s="44"/>
    </row>
    <row r="330" spans="1:4">
      <c r="A330" s="47"/>
      <c r="B330" s="48"/>
      <c r="C330" s="48"/>
      <c r="D330" s="44"/>
    </row>
    <row r="331" spans="1:4">
      <c r="A331" s="47"/>
      <c r="B331" s="48"/>
      <c r="C331" s="48"/>
      <c r="D331" s="44"/>
    </row>
    <row r="332" spans="1:4">
      <c r="A332" s="47"/>
      <c r="B332" s="48"/>
      <c r="C332" s="48"/>
      <c r="D332" s="44"/>
    </row>
    <row r="333" spans="1:4">
      <c r="A333" s="47"/>
      <c r="B333" s="48"/>
      <c r="C333" s="48"/>
      <c r="D333" s="44"/>
    </row>
    <row r="334" spans="1:4">
      <c r="A334" s="47"/>
      <c r="B334" s="48"/>
      <c r="C334" s="48"/>
      <c r="D334" s="44"/>
    </row>
    <row r="335" spans="1:4">
      <c r="A335" s="47"/>
      <c r="B335" s="48"/>
      <c r="C335" s="48"/>
      <c r="D335" s="44"/>
    </row>
    <row r="336" spans="1:4">
      <c r="A336" s="47"/>
      <c r="B336" s="48"/>
      <c r="C336" s="48"/>
      <c r="D336" s="44"/>
    </row>
    <row r="337" spans="1:4">
      <c r="A337" s="47"/>
      <c r="B337" s="48"/>
      <c r="C337" s="48"/>
      <c r="D337" s="44"/>
    </row>
    <row r="338" spans="1:4">
      <c r="A338" s="47"/>
      <c r="B338" s="48"/>
      <c r="C338" s="48"/>
      <c r="D338" s="44"/>
    </row>
    <row r="339" spans="1:4">
      <c r="A339" s="47"/>
      <c r="B339" s="48"/>
      <c r="C339" s="48"/>
      <c r="D339" s="44"/>
    </row>
    <row r="340" spans="1:4">
      <c r="A340" s="47"/>
      <c r="B340" s="48"/>
      <c r="C340" s="48"/>
      <c r="D340" s="44"/>
    </row>
    <row r="341" spans="1:4">
      <c r="A341" s="47"/>
      <c r="B341" s="48"/>
      <c r="C341" s="48"/>
      <c r="D341" s="44"/>
    </row>
    <row r="342" spans="1:4">
      <c r="A342" s="47"/>
      <c r="B342" s="48"/>
      <c r="C342" s="48"/>
      <c r="D342" s="44"/>
    </row>
    <row r="343" spans="1:4">
      <c r="A343" s="47"/>
      <c r="B343" s="48"/>
      <c r="C343" s="48"/>
      <c r="D343" s="44"/>
    </row>
    <row r="344" spans="1:4">
      <c r="A344" s="47"/>
      <c r="B344" s="48"/>
      <c r="C344" s="48"/>
      <c r="D344" s="44"/>
    </row>
    <row r="345" spans="1:4">
      <c r="A345" s="47"/>
      <c r="B345" s="48"/>
      <c r="C345" s="48"/>
      <c r="D345" s="44"/>
    </row>
    <row r="346" spans="1:4">
      <c r="A346" s="47"/>
      <c r="B346" s="48"/>
      <c r="C346" s="48"/>
      <c r="D346" s="44"/>
    </row>
    <row r="347" spans="1:4">
      <c r="A347" s="47"/>
      <c r="B347" s="48"/>
      <c r="C347" s="48"/>
      <c r="D347" s="44"/>
    </row>
    <row r="348" spans="1:4">
      <c r="A348" s="47"/>
      <c r="B348" s="48"/>
      <c r="C348" s="48"/>
      <c r="D348" s="44"/>
    </row>
    <row r="349" spans="1:4">
      <c r="A349" s="47"/>
      <c r="B349" s="48"/>
      <c r="C349" s="48"/>
      <c r="D349" s="44"/>
    </row>
    <row r="350" spans="1:4">
      <c r="A350" s="47"/>
      <c r="B350" s="48"/>
      <c r="C350" s="48"/>
      <c r="D350" s="44"/>
    </row>
    <row r="351" spans="1:4">
      <c r="A351" s="47"/>
      <c r="B351" s="48"/>
      <c r="C351" s="48"/>
      <c r="D351" s="44"/>
    </row>
    <row r="352" spans="1:4">
      <c r="A352" s="47"/>
      <c r="B352" s="48"/>
      <c r="C352" s="48"/>
      <c r="D352" s="44"/>
    </row>
    <row r="353" spans="1:4">
      <c r="A353" s="47"/>
      <c r="B353" s="48"/>
      <c r="C353" s="48"/>
      <c r="D353" s="44"/>
    </row>
    <row r="354" spans="1:4">
      <c r="A354" s="47"/>
      <c r="B354" s="48"/>
      <c r="C354" s="48"/>
      <c r="D354" s="44"/>
    </row>
    <row r="355" spans="1:4">
      <c r="A355" s="47"/>
      <c r="B355" s="48"/>
      <c r="C355" s="48"/>
      <c r="D355" s="44"/>
    </row>
    <row r="356" spans="1:4">
      <c r="A356" s="47"/>
      <c r="B356" s="48"/>
      <c r="C356" s="48"/>
      <c r="D356" s="44"/>
    </row>
    <row r="357" spans="1:4">
      <c r="A357" s="47"/>
      <c r="B357" s="48"/>
      <c r="C357" s="48"/>
      <c r="D357" s="44"/>
    </row>
    <row r="358" spans="1:4">
      <c r="A358" s="47"/>
      <c r="B358" s="48"/>
      <c r="C358" s="48"/>
      <c r="D358" s="44"/>
    </row>
    <row r="359" spans="1:4">
      <c r="A359" s="47"/>
      <c r="B359" s="48"/>
      <c r="C359" s="48"/>
      <c r="D359" s="44"/>
    </row>
    <row r="360" spans="1:4">
      <c r="A360" s="47"/>
      <c r="B360" s="48"/>
      <c r="C360" s="48"/>
      <c r="D360" s="44"/>
    </row>
    <row r="361" spans="1:4">
      <c r="A361" s="47"/>
      <c r="B361" s="48"/>
      <c r="C361" s="48"/>
      <c r="D361" s="44"/>
    </row>
    <row r="362" spans="1:4">
      <c r="A362" s="47"/>
      <c r="B362" s="48"/>
      <c r="C362" s="48"/>
      <c r="D362" s="44"/>
    </row>
    <row r="363" spans="1:4">
      <c r="A363" s="47"/>
      <c r="B363" s="48"/>
      <c r="C363" s="48"/>
      <c r="D363" s="44"/>
    </row>
    <row r="364" spans="1:4">
      <c r="A364" s="47"/>
      <c r="B364" s="48"/>
      <c r="C364" s="48"/>
      <c r="D364" s="44"/>
    </row>
    <row r="365" spans="1:4">
      <c r="A365" s="47"/>
      <c r="B365" s="48"/>
      <c r="C365" s="48"/>
      <c r="D365" s="44"/>
    </row>
    <row r="366" spans="1:4">
      <c r="A366" s="47"/>
      <c r="B366" s="48"/>
      <c r="C366" s="48"/>
      <c r="D366" s="44"/>
    </row>
    <row r="367" spans="1:4">
      <c r="A367" s="47"/>
      <c r="B367" s="48"/>
      <c r="C367" s="48"/>
      <c r="D367" s="44"/>
    </row>
    <row r="368" spans="1:4">
      <c r="A368" s="47"/>
      <c r="B368" s="48"/>
      <c r="C368" s="48"/>
      <c r="D368" s="44"/>
    </row>
    <row r="369" spans="1:4">
      <c r="A369" s="47"/>
      <c r="B369" s="48"/>
      <c r="C369" s="48"/>
      <c r="D369" s="44"/>
    </row>
    <row r="370" spans="1:4">
      <c r="A370" s="47"/>
      <c r="B370" s="48"/>
      <c r="C370" s="48"/>
      <c r="D370" s="44"/>
    </row>
    <row r="371" spans="1:4">
      <c r="A371" s="47"/>
      <c r="B371" s="48"/>
      <c r="C371" s="48"/>
      <c r="D371" s="44"/>
    </row>
    <row r="372" spans="1:4">
      <c r="A372" s="47"/>
      <c r="B372" s="48"/>
      <c r="C372" s="48"/>
      <c r="D372" s="44"/>
    </row>
    <row r="373" spans="1:4">
      <c r="A373" s="47"/>
      <c r="B373" s="48"/>
      <c r="C373" s="48"/>
      <c r="D373" s="44"/>
    </row>
    <row r="374" spans="1:4">
      <c r="A374" s="47"/>
      <c r="B374" s="48"/>
      <c r="C374" s="48"/>
      <c r="D374" s="44"/>
    </row>
    <row r="375" spans="1:4">
      <c r="A375" s="47"/>
      <c r="B375" s="48"/>
      <c r="C375" s="48"/>
      <c r="D375" s="44"/>
    </row>
    <row r="376" spans="1:4">
      <c r="A376" s="47"/>
      <c r="B376" s="48"/>
      <c r="C376" s="48"/>
      <c r="D376" s="44"/>
    </row>
    <row r="377" spans="1:4">
      <c r="A377" s="47"/>
      <c r="B377" s="48"/>
      <c r="C377" s="48"/>
      <c r="D377" s="44"/>
    </row>
    <row r="378" spans="1:4">
      <c r="A378" s="47"/>
      <c r="B378" s="48"/>
      <c r="C378" s="48"/>
      <c r="D378" s="44"/>
    </row>
    <row r="379" spans="1:4">
      <c r="A379" s="47"/>
      <c r="B379" s="48"/>
      <c r="C379" s="48"/>
      <c r="D379" s="44"/>
    </row>
    <row r="380" spans="1:4">
      <c r="A380" s="47"/>
      <c r="B380" s="48"/>
      <c r="C380" s="48"/>
      <c r="D380" s="44"/>
    </row>
    <row r="381" spans="1:4">
      <c r="A381" s="47"/>
      <c r="B381" s="48"/>
      <c r="C381" s="48"/>
      <c r="D381" s="44"/>
    </row>
    <row r="382" spans="1:4">
      <c r="A382" s="47"/>
      <c r="B382" s="48"/>
      <c r="C382" s="48"/>
      <c r="D382" s="44"/>
    </row>
    <row r="383" spans="1:4">
      <c r="A383" s="47"/>
      <c r="B383" s="48"/>
      <c r="C383" s="48"/>
      <c r="D383" s="44"/>
    </row>
    <row r="384" spans="1:4">
      <c r="A384" s="47"/>
      <c r="B384" s="48"/>
      <c r="C384" s="48"/>
      <c r="D384" s="44"/>
    </row>
    <row r="385" spans="1:4">
      <c r="A385" s="47"/>
      <c r="B385" s="48"/>
      <c r="C385" s="48"/>
      <c r="D385" s="44"/>
    </row>
    <row r="386" spans="1:4">
      <c r="A386" s="47"/>
      <c r="B386" s="48"/>
      <c r="C386" s="48"/>
      <c r="D386" s="44"/>
    </row>
    <row r="387" spans="1:4">
      <c r="A387" s="47"/>
      <c r="B387" s="48"/>
      <c r="C387" s="48"/>
      <c r="D387" s="44"/>
    </row>
    <row r="388" spans="1:4">
      <c r="A388" s="47"/>
      <c r="B388" s="48"/>
      <c r="C388" s="48"/>
      <c r="D388" s="44"/>
    </row>
    <row r="389" spans="1:4">
      <c r="A389" s="47"/>
      <c r="B389" s="48"/>
      <c r="C389" s="48"/>
      <c r="D389" s="44"/>
    </row>
    <row r="390" spans="1:4">
      <c r="A390" s="47"/>
      <c r="B390" s="48"/>
      <c r="C390" s="48"/>
      <c r="D390" s="44"/>
    </row>
    <row r="391" spans="1:4">
      <c r="A391" s="47"/>
      <c r="B391" s="48"/>
      <c r="C391" s="48"/>
      <c r="D391" s="44"/>
    </row>
    <row r="392" spans="1:4">
      <c r="A392" s="47"/>
      <c r="B392" s="48"/>
      <c r="C392" s="48"/>
      <c r="D392" s="44"/>
    </row>
    <row r="393" spans="1:4">
      <c r="A393" s="47"/>
      <c r="B393" s="48"/>
      <c r="C393" s="48"/>
      <c r="D393" s="44"/>
    </row>
    <row r="394" spans="1:4">
      <c r="A394" s="47"/>
      <c r="B394" s="48"/>
      <c r="C394" s="48"/>
      <c r="D394" s="44"/>
    </row>
    <row r="395" spans="1:4">
      <c r="A395" s="47"/>
      <c r="B395" s="48"/>
      <c r="C395" s="48"/>
      <c r="D395" s="44"/>
    </row>
    <row r="396" spans="1:4">
      <c r="A396" s="47"/>
      <c r="B396" s="48"/>
      <c r="C396" s="48"/>
      <c r="D396" s="44"/>
    </row>
    <row r="397" spans="1:4">
      <c r="A397" s="47"/>
      <c r="B397" s="48"/>
      <c r="C397" s="48"/>
      <c r="D397" s="44"/>
    </row>
    <row r="398" spans="1:4">
      <c r="A398" s="47"/>
      <c r="B398" s="48"/>
      <c r="C398" s="48"/>
      <c r="D398" s="44"/>
    </row>
    <row r="399" spans="1:4">
      <c r="A399" s="47"/>
      <c r="B399" s="48"/>
      <c r="C399" s="48"/>
      <c r="D399" s="44"/>
    </row>
    <row r="400" spans="1:4">
      <c r="A400" s="47"/>
      <c r="B400" s="48"/>
      <c r="C400" s="48"/>
      <c r="D400" s="44"/>
    </row>
    <row r="401" spans="1:4">
      <c r="A401" s="47"/>
      <c r="B401" s="48"/>
      <c r="C401" s="48"/>
      <c r="D401" s="44"/>
    </row>
    <row r="402" spans="1:4">
      <c r="A402" s="47"/>
      <c r="B402" s="48"/>
      <c r="C402" s="48"/>
      <c r="D402" s="44"/>
    </row>
    <row r="403" spans="1:4">
      <c r="A403" s="47"/>
      <c r="B403" s="48"/>
      <c r="C403" s="48"/>
      <c r="D403" s="44"/>
    </row>
    <row r="404" spans="1:4">
      <c r="A404" s="47"/>
      <c r="B404" s="48"/>
      <c r="C404" s="48"/>
      <c r="D404" s="44"/>
    </row>
    <row r="405" spans="1:4">
      <c r="A405" s="47"/>
      <c r="B405" s="48"/>
      <c r="C405" s="48"/>
      <c r="D405" s="44"/>
    </row>
    <row r="406" spans="1:4">
      <c r="A406" s="47"/>
      <c r="B406" s="48"/>
      <c r="C406" s="48"/>
      <c r="D406" s="44"/>
    </row>
    <row r="407" spans="1:4">
      <c r="A407" s="47"/>
      <c r="B407" s="48"/>
      <c r="C407" s="48"/>
      <c r="D407" s="44"/>
    </row>
    <row r="408" spans="1:4">
      <c r="A408" s="47"/>
      <c r="B408" s="48"/>
      <c r="C408" s="48"/>
      <c r="D408" s="44"/>
    </row>
    <row r="409" spans="1:4">
      <c r="A409" s="47"/>
      <c r="B409" s="48"/>
      <c r="C409" s="48"/>
      <c r="D409" s="44"/>
    </row>
    <row r="410" spans="1:4">
      <c r="A410" s="47"/>
      <c r="B410" s="48"/>
      <c r="C410" s="48"/>
      <c r="D410" s="44"/>
    </row>
    <row r="411" spans="1:4">
      <c r="A411" s="47"/>
      <c r="B411" s="48"/>
      <c r="C411" s="48"/>
      <c r="D411" s="44"/>
    </row>
    <row r="412" spans="1:4">
      <c r="A412" s="47"/>
      <c r="B412" s="48"/>
      <c r="C412" s="48"/>
      <c r="D412" s="44"/>
    </row>
    <row r="413" spans="1:4">
      <c r="A413" s="47"/>
      <c r="B413" s="48"/>
      <c r="C413" s="48"/>
      <c r="D413" s="44"/>
    </row>
    <row r="414" spans="1:4">
      <c r="A414" s="47"/>
      <c r="B414" s="48"/>
      <c r="C414" s="48"/>
      <c r="D414" s="44"/>
    </row>
    <row r="415" spans="1:4">
      <c r="A415" s="47"/>
      <c r="B415" s="48"/>
      <c r="C415" s="48"/>
      <c r="D415" s="44"/>
    </row>
    <row r="416" spans="1:4">
      <c r="A416" s="47"/>
      <c r="B416" s="48"/>
      <c r="C416" s="48"/>
      <c r="D416" s="44"/>
    </row>
    <row r="417" spans="1:4">
      <c r="A417" s="47"/>
      <c r="B417" s="48"/>
      <c r="C417" s="48"/>
      <c r="D417" s="44"/>
    </row>
    <row r="418" spans="1:4">
      <c r="A418" s="47"/>
      <c r="B418" s="48"/>
      <c r="C418" s="48"/>
      <c r="D418" s="44"/>
    </row>
    <row r="419" spans="1:4">
      <c r="A419" s="47"/>
      <c r="B419" s="48"/>
      <c r="C419" s="48"/>
      <c r="D419" s="44"/>
    </row>
    <row r="420" spans="1:4">
      <c r="A420" s="47"/>
      <c r="B420" s="48"/>
      <c r="C420" s="48"/>
      <c r="D420" s="44"/>
    </row>
    <row r="421" spans="1:4">
      <c r="A421" s="47"/>
      <c r="B421" s="48"/>
      <c r="C421" s="48"/>
      <c r="D421" s="44"/>
    </row>
    <row r="422" spans="1:4">
      <c r="A422" s="47"/>
      <c r="B422" s="48"/>
      <c r="C422" s="48"/>
      <c r="D422" s="44"/>
    </row>
    <row r="423" spans="1:4">
      <c r="A423" s="47"/>
      <c r="B423" s="48"/>
      <c r="C423" s="48"/>
      <c r="D423" s="44"/>
    </row>
    <row r="424" spans="1:4">
      <c r="A424" s="47"/>
      <c r="B424" s="48"/>
      <c r="C424" s="48"/>
      <c r="D424" s="44"/>
    </row>
    <row r="425" spans="1:4">
      <c r="A425" s="47"/>
      <c r="B425" s="48"/>
      <c r="C425" s="48"/>
      <c r="D425" s="44"/>
    </row>
    <row r="426" spans="1:4">
      <c r="A426" s="47"/>
      <c r="B426" s="48"/>
      <c r="C426" s="48"/>
      <c r="D426" s="44"/>
    </row>
    <row r="427" spans="1:4">
      <c r="A427" s="47"/>
      <c r="B427" s="48"/>
      <c r="C427" s="48"/>
      <c r="D427" s="44"/>
    </row>
    <row r="428" spans="1:4">
      <c r="A428" s="47"/>
      <c r="B428" s="48"/>
      <c r="C428" s="48"/>
      <c r="D428" s="44"/>
    </row>
    <row r="429" spans="1:4">
      <c r="A429" s="47"/>
      <c r="B429" s="48"/>
      <c r="C429" s="48"/>
      <c r="D429" s="44"/>
    </row>
    <row r="430" spans="1:4">
      <c r="A430" s="47"/>
      <c r="B430" s="48"/>
      <c r="C430" s="48"/>
      <c r="D430" s="44"/>
    </row>
    <row r="431" spans="1:4">
      <c r="A431" s="47"/>
      <c r="B431" s="48"/>
      <c r="C431" s="48"/>
      <c r="D431" s="44"/>
    </row>
    <row r="432" spans="1:4">
      <c r="A432" s="47"/>
      <c r="B432" s="48"/>
      <c r="C432" s="48"/>
      <c r="D432" s="44"/>
    </row>
    <row r="433" spans="1:4">
      <c r="A433" s="47"/>
      <c r="B433" s="48"/>
      <c r="C433" s="48"/>
      <c r="D433" s="44"/>
    </row>
    <row r="434" spans="1:4">
      <c r="A434" s="47"/>
      <c r="B434" s="48"/>
      <c r="C434" s="48"/>
      <c r="D434" s="44"/>
    </row>
    <row r="435" spans="1:4">
      <c r="A435" s="47"/>
      <c r="B435" s="48"/>
      <c r="C435" s="48"/>
      <c r="D435" s="44"/>
    </row>
    <row r="436" spans="1:4">
      <c r="A436" s="47"/>
      <c r="B436" s="48"/>
      <c r="C436" s="48"/>
      <c r="D436" s="44"/>
    </row>
    <row r="437" spans="1:4">
      <c r="A437" s="47"/>
      <c r="B437" s="48"/>
      <c r="C437" s="48"/>
      <c r="D437" s="44"/>
    </row>
    <row r="438" spans="1:4">
      <c r="A438" s="47"/>
      <c r="B438" s="48"/>
      <c r="C438" s="48"/>
      <c r="D438" s="44"/>
    </row>
    <row r="439" spans="1:4">
      <c r="A439" s="47"/>
      <c r="B439" s="48"/>
      <c r="C439" s="48"/>
      <c r="D439" s="44"/>
    </row>
    <row r="440" spans="1:4">
      <c r="A440" s="47"/>
      <c r="B440" s="48"/>
      <c r="C440" s="48"/>
      <c r="D440" s="44"/>
    </row>
    <row r="441" spans="1:4">
      <c r="A441" s="47"/>
      <c r="B441" s="48"/>
      <c r="C441" s="48"/>
      <c r="D441" s="44"/>
    </row>
    <row r="442" spans="1:4">
      <c r="A442" s="47"/>
      <c r="B442" s="48"/>
      <c r="C442" s="48"/>
      <c r="D442" s="44"/>
    </row>
    <row r="443" spans="1:4">
      <c r="A443" s="47"/>
      <c r="B443" s="48"/>
      <c r="C443" s="48"/>
      <c r="D443" s="44"/>
    </row>
    <row r="444" spans="1:4">
      <c r="A444" s="47"/>
      <c r="B444" s="48"/>
      <c r="C444" s="48"/>
      <c r="D444" s="44"/>
    </row>
    <row r="445" spans="1:4">
      <c r="A445" s="47"/>
      <c r="B445" s="48"/>
      <c r="C445" s="48"/>
      <c r="D445" s="44"/>
    </row>
    <row r="446" spans="1:4">
      <c r="A446" s="47"/>
      <c r="B446" s="48"/>
      <c r="C446" s="48"/>
      <c r="D446" s="44"/>
    </row>
    <row r="447" spans="1:4">
      <c r="A447" s="47"/>
      <c r="B447" s="48"/>
      <c r="C447" s="48"/>
      <c r="D447" s="44"/>
    </row>
    <row r="448" spans="1:4">
      <c r="A448" s="47"/>
      <c r="B448" s="48"/>
      <c r="C448" s="48"/>
      <c r="D448" s="44"/>
    </row>
    <row r="449" spans="1:4">
      <c r="A449" s="47"/>
      <c r="B449" s="48"/>
      <c r="C449" s="48"/>
      <c r="D449" s="44"/>
    </row>
    <row r="450" spans="1:4">
      <c r="A450" s="47"/>
      <c r="B450" s="48"/>
      <c r="C450" s="48"/>
      <c r="D450" s="44"/>
    </row>
    <row r="451" spans="1:4">
      <c r="A451" s="47"/>
      <c r="B451" s="48"/>
      <c r="C451" s="48"/>
      <c r="D451" s="44"/>
    </row>
    <row r="452" spans="1:4">
      <c r="A452" s="47"/>
      <c r="B452" s="48"/>
      <c r="C452" s="48"/>
      <c r="D452" s="44"/>
    </row>
    <row r="453" spans="1:4">
      <c r="A453" s="47"/>
      <c r="B453" s="48"/>
      <c r="C453" s="48"/>
      <c r="D453" s="44"/>
    </row>
    <row r="454" spans="1:4">
      <c r="A454" s="47"/>
      <c r="B454" s="48"/>
      <c r="C454" s="48"/>
      <c r="D454" s="44"/>
    </row>
    <row r="455" spans="1:4">
      <c r="A455" s="47"/>
      <c r="B455" s="48"/>
      <c r="C455" s="48"/>
      <c r="D455" s="44"/>
    </row>
    <row r="456" spans="1:4">
      <c r="A456" s="47"/>
      <c r="B456" s="48"/>
      <c r="C456" s="48"/>
      <c r="D456" s="44"/>
    </row>
    <row r="457" spans="1:4">
      <c r="A457" s="47"/>
      <c r="B457" s="48"/>
      <c r="C457" s="48"/>
      <c r="D457" s="44"/>
    </row>
    <row r="458" spans="1:4">
      <c r="A458" s="47"/>
      <c r="B458" s="48"/>
      <c r="C458" s="48"/>
      <c r="D458" s="44"/>
    </row>
    <row r="459" spans="1:4">
      <c r="A459" s="47"/>
      <c r="B459" s="48"/>
      <c r="C459" s="48"/>
      <c r="D459" s="44"/>
    </row>
    <row r="460" spans="1:4">
      <c r="A460" s="47"/>
      <c r="B460" s="48"/>
      <c r="C460" s="48"/>
      <c r="D460" s="44"/>
    </row>
    <row r="461" spans="1:4">
      <c r="A461" s="47"/>
      <c r="B461" s="48"/>
      <c r="C461" s="48"/>
      <c r="D461" s="44"/>
    </row>
    <row r="462" spans="1:4">
      <c r="A462" s="47"/>
      <c r="B462" s="48"/>
      <c r="C462" s="48"/>
      <c r="D462" s="44"/>
    </row>
    <row r="463" spans="1:4">
      <c r="A463" s="47"/>
      <c r="B463" s="48"/>
      <c r="C463" s="48"/>
      <c r="D463" s="44"/>
    </row>
    <row r="464" spans="1:4">
      <c r="A464" s="47"/>
      <c r="B464" s="48"/>
      <c r="C464" s="48"/>
      <c r="D464" s="44"/>
    </row>
    <row r="465" spans="1:4">
      <c r="A465" s="47"/>
      <c r="B465" s="48"/>
      <c r="C465" s="48"/>
      <c r="D465" s="44"/>
    </row>
    <row r="466" spans="1:4">
      <c r="A466" s="47"/>
      <c r="B466" s="48"/>
      <c r="C466" s="48"/>
      <c r="D466" s="44"/>
    </row>
    <row r="467" spans="1:4">
      <c r="A467" s="47"/>
      <c r="B467" s="48"/>
      <c r="C467" s="48"/>
      <c r="D467" s="44"/>
    </row>
    <row r="468" spans="1:4">
      <c r="A468" s="47"/>
      <c r="B468" s="48"/>
      <c r="C468" s="48"/>
      <c r="D468" s="44"/>
    </row>
    <row r="469" spans="1:4">
      <c r="A469" s="47"/>
      <c r="B469" s="48"/>
      <c r="C469" s="48"/>
      <c r="D469" s="44"/>
    </row>
    <row r="470" spans="1:4">
      <c r="A470" s="47"/>
      <c r="B470" s="48"/>
      <c r="C470" s="48"/>
      <c r="D470" s="44"/>
    </row>
    <row r="471" spans="1:4">
      <c r="A471" s="47"/>
      <c r="B471" s="48"/>
      <c r="C471" s="48"/>
      <c r="D471" s="44"/>
    </row>
    <row r="472" spans="1:4">
      <c r="A472" s="47"/>
      <c r="B472" s="48"/>
      <c r="C472" s="48"/>
      <c r="D472" s="44"/>
    </row>
    <row r="473" spans="1:4">
      <c r="A473" s="47"/>
      <c r="B473" s="48"/>
      <c r="C473" s="48"/>
      <c r="D473" s="44"/>
    </row>
    <row r="474" spans="1:4">
      <c r="A474" s="47"/>
      <c r="B474" s="48"/>
      <c r="C474" s="48"/>
      <c r="D474" s="44"/>
    </row>
    <row r="475" spans="1:4">
      <c r="A475" s="47"/>
      <c r="B475" s="48"/>
      <c r="C475" s="48"/>
      <c r="D475" s="44"/>
    </row>
    <row r="476" spans="1:4">
      <c r="A476" s="47"/>
      <c r="B476" s="48"/>
      <c r="C476" s="48"/>
      <c r="D476" s="44"/>
    </row>
    <row r="477" spans="1:4">
      <c r="A477" s="47"/>
      <c r="B477" s="48"/>
      <c r="C477" s="48"/>
      <c r="D477" s="44"/>
    </row>
    <row r="478" spans="1:4">
      <c r="A478" s="47"/>
      <c r="B478" s="48"/>
      <c r="C478" s="48"/>
      <c r="D478" s="44"/>
    </row>
    <row r="479" spans="1:4">
      <c r="A479" s="47"/>
      <c r="B479" s="48"/>
      <c r="C479" s="48"/>
      <c r="D479" s="44"/>
    </row>
    <row r="480" spans="1:4">
      <c r="A480" s="47"/>
      <c r="B480" s="48"/>
      <c r="C480" s="48"/>
      <c r="D480" s="44"/>
    </row>
    <row r="481" spans="1:4">
      <c r="A481" s="47"/>
      <c r="B481" s="48"/>
      <c r="C481" s="48"/>
      <c r="D481" s="44"/>
    </row>
    <row r="482" spans="1:4">
      <c r="A482" s="47"/>
      <c r="B482" s="48"/>
      <c r="C482" s="48"/>
      <c r="D482" s="44"/>
    </row>
    <row r="483" spans="1:4">
      <c r="A483" s="47"/>
      <c r="B483" s="48"/>
      <c r="C483" s="48"/>
      <c r="D483" s="44"/>
    </row>
    <row r="484" spans="1:4">
      <c r="A484" s="47"/>
      <c r="B484" s="48"/>
      <c r="C484" s="48"/>
      <c r="D484" s="44"/>
    </row>
    <row r="485" spans="1:4">
      <c r="A485" s="47"/>
      <c r="B485" s="48"/>
      <c r="C485" s="48"/>
      <c r="D485" s="44"/>
    </row>
    <row r="486" spans="1:4">
      <c r="A486" s="47"/>
      <c r="B486" s="48"/>
      <c r="C486" s="48"/>
      <c r="D486" s="44"/>
    </row>
    <row r="487" spans="1:4">
      <c r="A487" s="47"/>
      <c r="B487" s="48"/>
      <c r="C487" s="48"/>
      <c r="D487" s="44"/>
    </row>
    <row r="488" spans="1:4">
      <c r="A488" s="47"/>
      <c r="B488" s="48"/>
      <c r="C488" s="48"/>
      <c r="D488" s="44"/>
    </row>
    <row r="489" spans="1:4">
      <c r="A489" s="47"/>
      <c r="B489" s="48"/>
      <c r="C489" s="48"/>
      <c r="D489" s="44"/>
    </row>
    <row r="490" spans="1:4">
      <c r="A490" s="47"/>
      <c r="B490" s="48"/>
      <c r="C490" s="48"/>
      <c r="D490" s="44"/>
    </row>
    <row r="491" spans="1:4">
      <c r="A491" s="47"/>
      <c r="B491" s="48"/>
      <c r="C491" s="48"/>
      <c r="D491" s="44"/>
    </row>
    <row r="492" spans="1:4">
      <c r="A492" s="47"/>
      <c r="B492" s="48"/>
      <c r="C492" s="48"/>
      <c r="D492" s="44"/>
    </row>
    <row r="493" spans="1:4">
      <c r="A493" s="47"/>
      <c r="B493" s="48"/>
      <c r="C493" s="48"/>
      <c r="D493" s="44"/>
    </row>
    <row r="494" spans="1:4">
      <c r="A494" s="47"/>
      <c r="B494" s="48"/>
      <c r="C494" s="48"/>
      <c r="D494" s="44"/>
    </row>
    <row r="495" spans="1:4">
      <c r="A495" s="47"/>
      <c r="B495" s="48"/>
      <c r="C495" s="48"/>
      <c r="D495" s="44"/>
    </row>
    <row r="496" spans="1:4">
      <c r="A496" s="47"/>
      <c r="B496" s="48"/>
      <c r="C496" s="48"/>
      <c r="D496" s="44"/>
    </row>
    <row r="497" spans="1:4">
      <c r="A497" s="47"/>
      <c r="B497" s="48"/>
      <c r="C497" s="48"/>
      <c r="D497" s="44"/>
    </row>
    <row r="498" spans="1:4">
      <c r="A498" s="47"/>
      <c r="B498" s="48"/>
      <c r="C498" s="48"/>
      <c r="D498" s="44"/>
    </row>
    <row r="499" spans="1:4">
      <c r="A499" s="47"/>
      <c r="B499" s="48"/>
      <c r="C499" s="48"/>
      <c r="D499" s="44"/>
    </row>
    <row r="500" spans="1:4">
      <c r="A500" s="47"/>
      <c r="B500" s="48"/>
      <c r="C500" s="48"/>
      <c r="D500" s="44"/>
    </row>
    <row r="501" spans="1:4">
      <c r="A501" s="47"/>
      <c r="B501" s="48"/>
      <c r="C501" s="48"/>
      <c r="D501" s="44"/>
    </row>
    <row r="502" spans="1:4">
      <c r="A502" s="47"/>
      <c r="B502" s="48"/>
      <c r="C502" s="48"/>
      <c r="D502" s="44"/>
    </row>
    <row r="503" spans="1:4">
      <c r="A503" s="47"/>
      <c r="B503" s="48"/>
      <c r="C503" s="48"/>
      <c r="D503" s="44"/>
    </row>
    <row r="504" spans="1:4">
      <c r="A504" s="47"/>
      <c r="B504" s="48"/>
      <c r="C504" s="48"/>
      <c r="D504" s="44"/>
    </row>
    <row r="505" spans="1:4">
      <c r="A505" s="47"/>
      <c r="B505" s="48"/>
      <c r="C505" s="48"/>
      <c r="D505" s="44"/>
    </row>
    <row r="506" spans="1:4">
      <c r="A506" s="47"/>
      <c r="B506" s="48"/>
      <c r="C506" s="48"/>
      <c r="D506" s="44"/>
    </row>
    <row r="507" spans="1:4">
      <c r="A507" s="47"/>
      <c r="B507" s="48"/>
      <c r="C507" s="48"/>
      <c r="D507" s="44"/>
    </row>
    <row r="508" spans="1:4">
      <c r="A508" s="47"/>
      <c r="B508" s="48"/>
      <c r="C508" s="48"/>
      <c r="D508" s="44"/>
    </row>
    <row r="509" spans="1:4">
      <c r="A509" s="47"/>
      <c r="B509" s="48"/>
      <c r="C509" s="48"/>
      <c r="D509" s="44"/>
    </row>
    <row r="510" spans="1:4">
      <c r="A510" s="47"/>
      <c r="B510" s="48"/>
      <c r="C510" s="48"/>
      <c r="D510" s="44"/>
    </row>
    <row r="511" spans="1:4">
      <c r="A511" s="47"/>
      <c r="B511" s="48"/>
      <c r="C511" s="48"/>
      <c r="D511" s="44"/>
    </row>
    <row r="512" spans="1:4">
      <c r="A512" s="47"/>
      <c r="B512" s="48"/>
      <c r="C512" s="48"/>
      <c r="D512" s="44"/>
    </row>
    <row r="513" spans="1:4">
      <c r="A513" s="47"/>
      <c r="B513" s="48"/>
      <c r="C513" s="48"/>
      <c r="D513" s="44"/>
    </row>
    <row r="514" spans="1:4">
      <c r="A514" s="47"/>
      <c r="B514" s="48"/>
      <c r="C514" s="48"/>
      <c r="D514" s="44"/>
    </row>
    <row r="515" spans="1:4">
      <c r="A515" s="47"/>
      <c r="B515" s="48"/>
      <c r="C515" s="48"/>
      <c r="D515" s="44"/>
    </row>
    <row r="516" spans="1:4">
      <c r="A516" s="47"/>
      <c r="B516" s="48"/>
      <c r="C516" s="48"/>
      <c r="D516" s="44"/>
    </row>
    <row r="517" spans="1:4">
      <c r="A517" s="47"/>
      <c r="B517" s="48"/>
      <c r="C517" s="48"/>
      <c r="D517" s="44"/>
    </row>
    <row r="518" spans="1:4">
      <c r="A518" s="47"/>
      <c r="B518" s="48"/>
      <c r="C518" s="48"/>
      <c r="D518" s="44"/>
    </row>
    <row r="519" spans="1:4">
      <c r="A519" s="47"/>
      <c r="B519" s="48"/>
      <c r="C519" s="48"/>
      <c r="D519" s="44"/>
    </row>
    <row r="520" spans="1:4">
      <c r="A520" s="47"/>
      <c r="B520" s="48"/>
      <c r="C520" s="48"/>
      <c r="D520" s="44"/>
    </row>
    <row r="521" spans="1:4">
      <c r="A521" s="47"/>
      <c r="B521" s="48"/>
      <c r="C521" s="48"/>
      <c r="D521" s="44"/>
    </row>
    <row r="522" spans="1:4">
      <c r="A522" s="47"/>
      <c r="B522" s="48"/>
      <c r="C522" s="48"/>
      <c r="D522" s="44"/>
    </row>
    <row r="523" spans="1:4">
      <c r="A523" s="47"/>
      <c r="B523" s="48"/>
      <c r="C523" s="48"/>
      <c r="D523" s="44"/>
    </row>
    <row r="524" spans="1:4">
      <c r="A524" s="47"/>
      <c r="B524" s="48"/>
      <c r="C524" s="48"/>
      <c r="D524" s="44"/>
    </row>
    <row r="525" spans="1:4">
      <c r="A525" s="47"/>
      <c r="B525" s="48"/>
      <c r="C525" s="48"/>
      <c r="D525" s="44"/>
    </row>
    <row r="526" spans="1:4">
      <c r="A526" s="47"/>
      <c r="B526" s="48"/>
      <c r="C526" s="48"/>
      <c r="D526" s="44"/>
    </row>
    <row r="527" spans="1:4">
      <c r="A527" s="47"/>
      <c r="B527" s="48"/>
      <c r="C527" s="48"/>
      <c r="D527" s="44"/>
    </row>
    <row r="528" spans="1:4">
      <c r="A528" s="47"/>
      <c r="B528" s="48"/>
      <c r="C528" s="48"/>
      <c r="D528" s="44"/>
    </row>
    <row r="529" spans="1:4">
      <c r="A529" s="47"/>
      <c r="B529" s="48"/>
      <c r="C529" s="48"/>
      <c r="D529" s="44"/>
    </row>
    <row r="530" spans="1:4">
      <c r="A530" s="47"/>
      <c r="B530" s="48"/>
      <c r="C530" s="48"/>
      <c r="D530" s="44"/>
    </row>
    <row r="531" spans="1:4">
      <c r="A531" s="47"/>
      <c r="B531" s="48"/>
      <c r="C531" s="48"/>
      <c r="D531" s="44"/>
    </row>
    <row r="532" spans="1:4">
      <c r="A532" s="47"/>
      <c r="B532" s="48"/>
      <c r="C532" s="48"/>
      <c r="D532" s="44"/>
    </row>
    <row r="533" spans="1:4">
      <c r="A533" s="47"/>
      <c r="B533" s="48"/>
      <c r="C533" s="48"/>
      <c r="D533" s="44"/>
    </row>
    <row r="534" spans="1:4">
      <c r="A534" s="47"/>
      <c r="B534" s="48"/>
      <c r="C534" s="48"/>
      <c r="D534" s="44"/>
    </row>
    <row r="535" spans="1:4">
      <c r="A535" s="47"/>
      <c r="B535" s="48"/>
      <c r="C535" s="48"/>
      <c r="D535" s="44"/>
    </row>
    <row r="536" spans="1:4">
      <c r="A536" s="47"/>
      <c r="B536" s="48"/>
      <c r="C536" s="48"/>
      <c r="D536" s="44"/>
    </row>
    <row r="537" spans="1:4">
      <c r="A537" s="47"/>
      <c r="B537" s="48"/>
      <c r="C537" s="48"/>
      <c r="D537" s="44"/>
    </row>
    <row r="538" spans="1:4">
      <c r="A538" s="47"/>
      <c r="B538" s="48"/>
      <c r="C538" s="48"/>
      <c r="D538" s="44"/>
    </row>
    <row r="539" spans="1:4">
      <c r="A539" s="47"/>
      <c r="B539" s="48"/>
      <c r="C539" s="48"/>
      <c r="D539" s="44"/>
    </row>
    <row r="540" spans="1:4">
      <c r="A540" s="47"/>
      <c r="B540" s="48"/>
      <c r="C540" s="48"/>
      <c r="D540" s="44"/>
    </row>
    <row r="541" spans="1:4">
      <c r="A541" s="47"/>
      <c r="B541" s="48"/>
      <c r="C541" s="48"/>
      <c r="D541" s="44"/>
    </row>
    <row r="542" spans="1:4">
      <c r="A542" s="47"/>
      <c r="B542" s="48"/>
      <c r="C542" s="48"/>
      <c r="D542" s="44"/>
    </row>
    <row r="543" spans="1:4">
      <c r="A543" s="47"/>
      <c r="B543" s="48"/>
      <c r="C543" s="48"/>
      <c r="D543" s="44"/>
    </row>
    <row r="544" spans="1:4">
      <c r="A544" s="47"/>
      <c r="B544" s="48"/>
      <c r="C544" s="48"/>
      <c r="D544" s="44"/>
    </row>
    <row r="545" spans="1:4">
      <c r="A545" s="47"/>
      <c r="B545" s="48"/>
      <c r="C545" s="48"/>
      <c r="D545" s="44"/>
    </row>
    <row r="546" spans="1:4">
      <c r="A546" s="47"/>
      <c r="B546" s="48"/>
      <c r="C546" s="48"/>
      <c r="D546" s="44"/>
    </row>
    <row r="547" spans="1:4">
      <c r="A547" s="47"/>
      <c r="B547" s="48"/>
      <c r="C547" s="48"/>
      <c r="D547" s="44"/>
    </row>
    <row r="548" spans="1:4">
      <c r="A548" s="47"/>
      <c r="B548" s="48"/>
      <c r="C548" s="48"/>
      <c r="D548" s="44"/>
    </row>
    <row r="549" spans="1:4">
      <c r="A549" s="47"/>
      <c r="B549" s="48"/>
      <c r="C549" s="48"/>
      <c r="D549" s="44"/>
    </row>
    <row r="550" spans="1:4">
      <c r="A550" s="47"/>
      <c r="B550" s="48"/>
      <c r="C550" s="48"/>
      <c r="D550" s="44"/>
    </row>
    <row r="551" spans="1:4">
      <c r="A551" s="47"/>
      <c r="B551" s="48"/>
      <c r="C551" s="48"/>
      <c r="D551" s="44"/>
    </row>
    <row r="552" spans="1:4">
      <c r="A552" s="47"/>
      <c r="B552" s="48"/>
      <c r="C552" s="48"/>
      <c r="D552" s="44"/>
    </row>
    <row r="553" spans="1:4">
      <c r="A553" s="47"/>
      <c r="B553" s="48"/>
      <c r="C553" s="48"/>
      <c r="D553" s="44"/>
    </row>
    <row r="554" spans="1:4">
      <c r="A554" s="47"/>
      <c r="B554" s="48"/>
      <c r="C554" s="48"/>
      <c r="D554" s="44"/>
    </row>
    <row r="555" spans="1:4">
      <c r="A555" s="47"/>
      <c r="B555" s="48"/>
      <c r="C555" s="48"/>
      <c r="D555" s="44"/>
    </row>
    <row r="556" spans="1:4">
      <c r="A556" s="47"/>
      <c r="B556" s="48"/>
      <c r="C556" s="48"/>
      <c r="D556" s="44"/>
    </row>
    <row r="557" spans="1:4">
      <c r="A557" s="47"/>
      <c r="B557" s="48"/>
      <c r="C557" s="48"/>
      <c r="D557" s="44"/>
    </row>
    <row r="558" spans="1:4">
      <c r="A558" s="47"/>
      <c r="B558" s="48"/>
      <c r="C558" s="48"/>
      <c r="D558" s="44"/>
    </row>
    <row r="559" spans="1:4">
      <c r="A559" s="47"/>
      <c r="B559" s="48"/>
      <c r="C559" s="48"/>
      <c r="D559" s="44"/>
    </row>
    <row r="560" spans="1:4">
      <c r="A560" s="47"/>
      <c r="B560" s="48"/>
      <c r="C560" s="48"/>
      <c r="D560" s="44"/>
    </row>
    <row r="561" spans="1:4">
      <c r="A561" s="47"/>
      <c r="B561" s="48"/>
      <c r="C561" s="48"/>
      <c r="D561" s="44"/>
    </row>
    <row r="562" spans="1:4">
      <c r="A562" s="47"/>
      <c r="B562" s="48"/>
      <c r="C562" s="48"/>
      <c r="D562" s="44"/>
    </row>
    <row r="563" spans="1:4">
      <c r="A563" s="47"/>
      <c r="B563" s="48"/>
      <c r="C563" s="48"/>
      <c r="D563" s="44"/>
    </row>
    <row r="564" spans="1:4">
      <c r="A564" s="47"/>
      <c r="B564" s="48"/>
      <c r="C564" s="48"/>
      <c r="D564" s="44"/>
    </row>
    <row r="565" spans="1:4">
      <c r="A565" s="47"/>
      <c r="B565" s="48"/>
      <c r="C565" s="48"/>
      <c r="D565" s="44"/>
    </row>
    <row r="566" spans="1:4">
      <c r="A566" s="47"/>
      <c r="B566" s="48"/>
      <c r="C566" s="48"/>
      <c r="D566" s="44"/>
    </row>
    <row r="567" spans="1:4">
      <c r="A567" s="47"/>
      <c r="B567" s="48"/>
      <c r="C567" s="48"/>
      <c r="D567" s="44"/>
    </row>
    <row r="568" spans="1:4">
      <c r="A568" s="47"/>
      <c r="B568" s="48"/>
      <c r="C568" s="48"/>
      <c r="D568" s="44"/>
    </row>
    <row r="569" spans="1:4">
      <c r="A569" s="47"/>
      <c r="B569" s="48"/>
      <c r="C569" s="48"/>
      <c r="D569" s="44"/>
    </row>
    <row r="570" spans="1:4">
      <c r="A570" s="47"/>
      <c r="B570" s="48"/>
      <c r="C570" s="48"/>
      <c r="D570" s="44"/>
    </row>
    <row r="571" spans="1:4">
      <c r="A571" s="47"/>
      <c r="B571" s="48"/>
      <c r="C571" s="48"/>
      <c r="D571" s="44"/>
    </row>
    <row r="572" spans="1:4">
      <c r="A572" s="47"/>
      <c r="B572" s="48"/>
      <c r="C572" s="48"/>
      <c r="D572" s="44"/>
    </row>
    <row r="573" spans="1:4">
      <c r="A573" s="47"/>
      <c r="B573" s="48"/>
      <c r="C573" s="48"/>
      <c r="D573" s="44"/>
    </row>
    <row r="574" spans="1:4">
      <c r="A574" s="47"/>
      <c r="B574" s="48"/>
      <c r="C574" s="48"/>
      <c r="D574" s="44"/>
    </row>
    <row r="575" spans="1:4">
      <c r="A575" s="47"/>
      <c r="B575" s="48"/>
      <c r="C575" s="48"/>
      <c r="D575" s="44"/>
    </row>
    <row r="576" spans="1:4">
      <c r="A576" s="47"/>
      <c r="B576" s="48"/>
      <c r="C576" s="48"/>
      <c r="D576" s="44"/>
    </row>
    <row r="577" spans="1:4">
      <c r="A577" s="47"/>
      <c r="B577" s="48"/>
      <c r="C577" s="48"/>
      <c r="D577" s="44"/>
    </row>
    <row r="578" spans="1:4">
      <c r="A578" s="47"/>
      <c r="B578" s="48"/>
      <c r="C578" s="48"/>
      <c r="D578" s="44"/>
    </row>
    <row r="579" spans="1:4">
      <c r="A579" s="47"/>
      <c r="B579" s="48"/>
      <c r="C579" s="48"/>
      <c r="D579" s="44"/>
    </row>
    <row r="580" spans="1:4">
      <c r="A580" s="47"/>
      <c r="B580" s="48"/>
      <c r="C580" s="48"/>
      <c r="D580" s="44"/>
    </row>
    <row r="581" spans="1:4">
      <c r="A581" s="47"/>
      <c r="B581" s="48"/>
      <c r="C581" s="48"/>
      <c r="D581" s="44"/>
    </row>
    <row r="582" spans="1:4">
      <c r="A582" s="47"/>
      <c r="B582" s="48"/>
      <c r="C582" s="48"/>
      <c r="D582" s="44"/>
    </row>
    <row r="583" spans="1:4">
      <c r="A583" s="47"/>
      <c r="B583" s="48"/>
      <c r="C583" s="48"/>
      <c r="D583" s="44"/>
    </row>
    <row r="584" spans="1:4">
      <c r="A584" s="47"/>
      <c r="B584" s="48"/>
      <c r="C584" s="48"/>
      <c r="D584" s="44"/>
    </row>
    <row r="585" spans="1:4">
      <c r="A585" s="47"/>
      <c r="B585" s="48"/>
      <c r="C585" s="48"/>
      <c r="D585" s="44"/>
    </row>
    <row r="586" spans="1:4">
      <c r="A586" s="47"/>
      <c r="B586" s="48"/>
      <c r="C586" s="48"/>
      <c r="D586" s="44"/>
    </row>
    <row r="587" spans="1:4">
      <c r="A587" s="47"/>
      <c r="B587" s="48"/>
      <c r="C587" s="48"/>
      <c r="D587" s="44"/>
    </row>
    <row r="588" spans="1:4">
      <c r="A588" s="47"/>
      <c r="B588" s="48"/>
      <c r="C588" s="48"/>
      <c r="D588" s="44"/>
    </row>
    <row r="589" spans="1:4">
      <c r="A589" s="47"/>
      <c r="B589" s="48"/>
      <c r="C589" s="48"/>
      <c r="D589" s="44"/>
    </row>
    <row r="590" spans="1:4">
      <c r="A590" s="47"/>
      <c r="B590" s="48"/>
      <c r="C590" s="48"/>
      <c r="D590" s="44"/>
    </row>
    <row r="591" spans="1:4">
      <c r="A591" s="47"/>
      <c r="B591" s="48"/>
      <c r="C591" s="48"/>
      <c r="D591" s="44"/>
    </row>
    <row r="592" spans="1:4">
      <c r="A592" s="47"/>
      <c r="B592" s="48"/>
      <c r="C592" s="48"/>
      <c r="D592" s="44"/>
    </row>
    <row r="593" spans="1:4">
      <c r="A593" s="47"/>
      <c r="B593" s="48"/>
      <c r="C593" s="48"/>
      <c r="D593" s="44"/>
    </row>
    <row r="594" spans="1:4">
      <c r="A594" s="47"/>
      <c r="B594" s="48"/>
      <c r="C594" s="48"/>
      <c r="D594" s="44"/>
    </row>
    <row r="595" spans="1:4">
      <c r="A595" s="47"/>
      <c r="B595" s="48"/>
      <c r="C595" s="48"/>
      <c r="D595" s="44"/>
    </row>
    <row r="596" spans="1:4">
      <c r="A596" s="47"/>
      <c r="B596" s="48"/>
      <c r="C596" s="48"/>
      <c r="D596" s="44"/>
    </row>
    <row r="597" spans="1:4">
      <c r="A597" s="47"/>
      <c r="B597" s="48"/>
      <c r="C597" s="48"/>
      <c r="D597" s="44"/>
    </row>
    <row r="598" spans="1:4">
      <c r="A598" s="47"/>
      <c r="B598" s="48"/>
      <c r="C598" s="48"/>
      <c r="D598" s="44"/>
    </row>
    <row r="599" spans="1:4">
      <c r="A599" s="47"/>
      <c r="B599" s="48"/>
      <c r="C599" s="48"/>
      <c r="D599" s="44"/>
    </row>
    <row r="600" spans="1:4">
      <c r="A600" s="47"/>
      <c r="B600" s="48"/>
      <c r="C600" s="48"/>
      <c r="D600" s="44"/>
    </row>
    <row r="601" spans="1:4">
      <c r="A601" s="47"/>
      <c r="B601" s="48"/>
      <c r="C601" s="48"/>
      <c r="D601" s="44"/>
    </row>
    <row r="602" spans="1:4">
      <c r="A602" s="47"/>
      <c r="B602" s="48"/>
      <c r="C602" s="48"/>
      <c r="D602" s="44"/>
    </row>
    <row r="603" spans="1:4">
      <c r="A603" s="47"/>
      <c r="B603" s="48"/>
      <c r="C603" s="48"/>
      <c r="D603" s="44"/>
    </row>
    <row r="604" spans="1:4">
      <c r="A604" s="47"/>
      <c r="B604" s="48"/>
      <c r="C604" s="48"/>
      <c r="D604" s="44"/>
    </row>
    <row r="605" spans="1:4">
      <c r="A605" s="47"/>
      <c r="B605" s="48"/>
      <c r="C605" s="48"/>
      <c r="D605" s="44"/>
    </row>
    <row r="606" spans="1:4">
      <c r="A606" s="47"/>
      <c r="B606" s="48"/>
      <c r="C606" s="48"/>
      <c r="D606" s="44"/>
    </row>
    <row r="607" spans="1:4">
      <c r="A607" s="47"/>
      <c r="B607" s="48"/>
      <c r="C607" s="48"/>
      <c r="D607" s="44"/>
    </row>
    <row r="608" spans="1:4">
      <c r="A608" s="47"/>
      <c r="B608" s="48"/>
      <c r="C608" s="48"/>
      <c r="D608" s="44"/>
    </row>
    <row r="609" spans="1:4">
      <c r="A609" s="47"/>
      <c r="B609" s="48"/>
      <c r="C609" s="48"/>
      <c r="D609" s="44"/>
    </row>
    <row r="610" spans="1:4">
      <c r="A610" s="47"/>
      <c r="B610" s="48"/>
      <c r="C610" s="48"/>
      <c r="D610" s="44"/>
    </row>
    <row r="611" spans="1:4">
      <c r="A611" s="47"/>
      <c r="B611" s="48"/>
      <c r="C611" s="48"/>
      <c r="D611" s="44"/>
    </row>
    <row r="612" spans="1:4">
      <c r="A612" s="47"/>
      <c r="B612" s="48"/>
      <c r="C612" s="48"/>
      <c r="D612" s="44"/>
    </row>
    <row r="613" spans="1:4">
      <c r="A613" s="47"/>
      <c r="B613" s="48"/>
      <c r="C613" s="48"/>
      <c r="D613" s="44"/>
    </row>
    <row r="614" spans="1:4">
      <c r="A614" s="47"/>
      <c r="B614" s="48"/>
      <c r="C614" s="48"/>
      <c r="D614" s="44"/>
    </row>
    <row r="615" spans="1:4">
      <c r="A615" s="47"/>
      <c r="B615" s="48"/>
      <c r="C615" s="48"/>
      <c r="D615" s="44"/>
    </row>
    <row r="616" spans="1:4">
      <c r="A616" s="47"/>
      <c r="B616" s="48"/>
      <c r="C616" s="48"/>
      <c r="D616" s="44"/>
    </row>
    <row r="617" spans="1:4">
      <c r="A617" s="47"/>
      <c r="B617" s="48"/>
      <c r="C617" s="48"/>
      <c r="D617" s="44"/>
    </row>
    <row r="618" spans="1:4">
      <c r="A618" s="47"/>
      <c r="B618" s="48"/>
      <c r="C618" s="48"/>
      <c r="D618" s="44"/>
    </row>
    <row r="619" spans="1:4">
      <c r="A619" s="47"/>
      <c r="B619" s="48"/>
      <c r="C619" s="48"/>
      <c r="D619" s="44"/>
    </row>
    <row r="620" spans="1:4">
      <c r="A620" s="47"/>
      <c r="B620" s="48"/>
      <c r="C620" s="48"/>
      <c r="D620" s="44"/>
    </row>
    <row r="621" spans="1:4">
      <c r="A621" s="47"/>
      <c r="B621" s="48"/>
      <c r="C621" s="48"/>
      <c r="D621" s="44"/>
    </row>
    <row r="622" spans="1:4">
      <c r="A622" s="47"/>
      <c r="B622" s="48"/>
      <c r="C622" s="48"/>
      <c r="D622" s="44"/>
    </row>
    <row r="623" spans="1:4">
      <c r="A623" s="47"/>
      <c r="B623" s="48"/>
      <c r="C623" s="48"/>
      <c r="D623" s="44"/>
    </row>
    <row r="624" spans="1:4">
      <c r="A624" s="47"/>
      <c r="B624" s="48"/>
      <c r="C624" s="48"/>
      <c r="D624" s="44"/>
    </row>
    <row r="625" spans="1:4">
      <c r="A625" s="47"/>
      <c r="B625" s="48"/>
      <c r="C625" s="48"/>
      <c r="D625" s="44"/>
    </row>
    <row r="626" spans="1:4">
      <c r="A626" s="47"/>
      <c r="B626" s="48"/>
      <c r="C626" s="48"/>
      <c r="D626" s="44"/>
    </row>
    <row r="627" spans="1:4">
      <c r="A627" s="47"/>
      <c r="B627" s="48"/>
      <c r="C627" s="48"/>
      <c r="D627" s="44"/>
    </row>
    <row r="628" spans="1:4">
      <c r="A628" s="47"/>
      <c r="B628" s="48"/>
      <c r="C628" s="48"/>
      <c r="D628" s="44"/>
    </row>
    <row r="629" spans="1:4">
      <c r="A629" s="47"/>
      <c r="B629" s="48"/>
      <c r="C629" s="48"/>
      <c r="D629" s="44"/>
    </row>
    <row r="630" spans="1:4">
      <c r="A630" s="47"/>
      <c r="B630" s="48"/>
      <c r="C630" s="48"/>
      <c r="D630" s="44"/>
    </row>
    <row r="631" spans="1:4">
      <c r="A631" s="47"/>
      <c r="B631" s="48"/>
      <c r="C631" s="48"/>
      <c r="D631" s="44"/>
    </row>
    <row r="632" spans="1:4">
      <c r="A632" s="47"/>
      <c r="B632" s="48"/>
      <c r="C632" s="48"/>
      <c r="D632" s="44"/>
    </row>
    <row r="633" spans="1:4">
      <c r="A633" s="47"/>
      <c r="B633" s="48"/>
      <c r="C633" s="48"/>
      <c r="D633" s="44"/>
    </row>
    <row r="634" spans="1:4">
      <c r="A634" s="47"/>
      <c r="B634" s="48"/>
      <c r="C634" s="48"/>
      <c r="D634" s="44"/>
    </row>
    <row r="635" spans="1:4">
      <c r="A635" s="47"/>
      <c r="B635" s="48"/>
      <c r="C635" s="48"/>
      <c r="D635" s="44"/>
    </row>
    <row r="636" spans="1:4">
      <c r="A636" s="47"/>
      <c r="B636" s="48"/>
      <c r="C636" s="48"/>
      <c r="D636" s="44"/>
    </row>
    <row r="637" spans="1:4">
      <c r="A637" s="47"/>
      <c r="B637" s="48"/>
      <c r="C637" s="48"/>
      <c r="D637" s="44"/>
    </row>
    <row r="638" spans="1:4">
      <c r="A638" s="47"/>
      <c r="B638" s="48"/>
      <c r="C638" s="48"/>
      <c r="D638" s="44"/>
    </row>
    <row r="639" spans="1:4">
      <c r="A639" s="47"/>
      <c r="B639" s="48"/>
      <c r="C639" s="48"/>
      <c r="D639" s="44"/>
    </row>
    <row r="640" spans="1:4">
      <c r="A640" s="47"/>
      <c r="B640" s="48"/>
      <c r="C640" s="48"/>
      <c r="D640" s="44"/>
    </row>
    <row r="641" spans="1:4">
      <c r="A641" s="47"/>
      <c r="B641" s="48"/>
      <c r="C641" s="48"/>
      <c r="D641" s="44"/>
    </row>
    <row r="642" spans="1:4">
      <c r="A642" s="47"/>
      <c r="B642" s="48"/>
      <c r="C642" s="48"/>
      <c r="D642" s="44"/>
    </row>
    <row r="643" spans="1:4">
      <c r="A643" s="47"/>
      <c r="B643" s="48"/>
      <c r="C643" s="48"/>
      <c r="D643" s="44"/>
    </row>
    <row r="644" spans="1:4">
      <c r="A644" s="47"/>
      <c r="B644" s="48"/>
      <c r="C644" s="48"/>
      <c r="D644" s="44"/>
    </row>
    <row r="645" spans="1:4">
      <c r="A645" s="47"/>
      <c r="B645" s="48"/>
      <c r="C645" s="48"/>
      <c r="D645" s="44"/>
    </row>
    <row r="646" spans="1:4">
      <c r="A646" s="47"/>
      <c r="B646" s="48"/>
      <c r="C646" s="48"/>
      <c r="D646" s="44"/>
    </row>
    <row r="647" spans="1:4">
      <c r="A647" s="47"/>
      <c r="B647" s="48"/>
      <c r="C647" s="48"/>
      <c r="D647" s="44"/>
    </row>
    <row r="648" spans="1:4">
      <c r="A648" s="47"/>
      <c r="B648" s="48"/>
      <c r="C648" s="48"/>
      <c r="D648" s="44"/>
    </row>
    <row r="649" spans="1:4">
      <c r="A649" s="47"/>
      <c r="B649" s="48"/>
      <c r="C649" s="48"/>
      <c r="D649" s="44"/>
    </row>
    <row r="650" spans="1:4">
      <c r="A650" s="47"/>
      <c r="B650" s="48"/>
      <c r="C650" s="48"/>
      <c r="D650" s="44"/>
    </row>
    <row r="651" spans="1:4">
      <c r="A651" s="47"/>
      <c r="B651" s="48"/>
      <c r="C651" s="48"/>
      <c r="D651" s="44"/>
    </row>
    <row r="652" spans="1:4">
      <c r="A652" s="47"/>
      <c r="B652" s="48"/>
      <c r="C652" s="48"/>
      <c r="D652" s="44"/>
    </row>
    <row r="653" spans="1:4">
      <c r="A653" s="47"/>
      <c r="B653" s="48"/>
      <c r="C653" s="48"/>
      <c r="D653" s="44"/>
    </row>
    <row r="654" spans="1:4">
      <c r="A654" s="47"/>
      <c r="B654" s="48"/>
      <c r="C654" s="48"/>
      <c r="D654" s="44"/>
    </row>
    <row r="655" spans="1:4">
      <c r="A655" s="47"/>
      <c r="B655" s="48"/>
      <c r="C655" s="48"/>
      <c r="D655" s="44"/>
    </row>
    <row r="656" spans="1:4">
      <c r="A656" s="47"/>
      <c r="B656" s="48"/>
      <c r="C656" s="48"/>
      <c r="D656" s="44"/>
    </row>
    <row r="657" spans="1:4">
      <c r="A657" s="47"/>
      <c r="B657" s="48"/>
      <c r="C657" s="48"/>
      <c r="D657" s="44"/>
    </row>
    <row r="658" spans="1:4">
      <c r="A658" s="47"/>
      <c r="B658" s="48"/>
      <c r="C658" s="48"/>
      <c r="D658" s="44"/>
    </row>
    <row r="659" spans="1:4">
      <c r="A659" s="47"/>
      <c r="B659" s="48"/>
      <c r="C659" s="48"/>
      <c r="D659" s="44"/>
    </row>
    <row r="660" spans="1:4">
      <c r="A660" s="47"/>
      <c r="B660" s="48"/>
      <c r="C660" s="48"/>
      <c r="D660" s="44"/>
    </row>
    <row r="661" spans="1:4">
      <c r="A661" s="47"/>
      <c r="B661" s="48"/>
      <c r="C661" s="48"/>
      <c r="D661" s="44"/>
    </row>
    <row r="662" spans="1:4">
      <c r="A662" s="47"/>
      <c r="B662" s="48"/>
      <c r="C662" s="48"/>
      <c r="D662" s="44"/>
    </row>
    <row r="663" spans="1:4">
      <c r="A663" s="47"/>
      <c r="B663" s="48"/>
      <c r="C663" s="48"/>
      <c r="D663" s="44"/>
    </row>
    <row r="664" spans="1:4">
      <c r="A664" s="47"/>
      <c r="B664" s="48"/>
      <c r="C664" s="48"/>
      <c r="D664" s="44"/>
    </row>
    <row r="665" spans="1:4">
      <c r="A665" s="47"/>
      <c r="B665" s="48"/>
      <c r="C665" s="48"/>
      <c r="D665" s="44"/>
    </row>
    <row r="666" spans="1:4">
      <c r="A666" s="47"/>
      <c r="B666" s="48"/>
      <c r="C666" s="48"/>
      <c r="D666" s="44"/>
    </row>
    <row r="667" spans="1:4">
      <c r="A667" s="47"/>
      <c r="B667" s="48"/>
      <c r="C667" s="48"/>
      <c r="D667" s="44"/>
    </row>
    <row r="668" spans="1:4">
      <c r="A668" s="47"/>
      <c r="B668" s="48"/>
      <c r="C668" s="48"/>
      <c r="D668" s="44"/>
    </row>
    <row r="669" spans="1:4">
      <c r="A669" s="47"/>
      <c r="B669" s="48"/>
      <c r="C669" s="48"/>
      <c r="D669" s="44"/>
    </row>
    <row r="670" spans="1:4">
      <c r="A670" s="47"/>
      <c r="B670" s="48"/>
      <c r="C670" s="48"/>
      <c r="D670" s="44"/>
    </row>
    <row r="671" spans="1:4">
      <c r="A671" s="47"/>
      <c r="B671" s="48"/>
      <c r="C671" s="48"/>
      <c r="D671" s="44"/>
    </row>
  </sheetData>
  <phoneticPr fontId="1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workbookViewId="0">
      <selection activeCell="N17" activeCellId="1" sqref="C1:C1048576 N17"/>
    </sheetView>
  </sheetViews>
  <sheetFormatPr defaultColWidth="9" defaultRowHeight="15.6"/>
  <cols>
    <col min="1" max="3" width="9.109375" style="43"/>
    <col min="4" max="9" width="8.88671875" style="18"/>
    <col min="10" max="10" width="9" style="18"/>
    <col min="15" max="16384" width="9" style="13"/>
  </cols>
  <sheetData>
    <row r="1" spans="1:9" ht="14.4">
      <c r="A1" s="50" t="s">
        <v>12</v>
      </c>
      <c r="B1" s="50" t="s">
        <v>72</v>
      </c>
      <c r="C1" s="50" t="s">
        <v>73</v>
      </c>
    </row>
    <row r="2" spans="1:9" ht="14.4">
      <c r="A2" s="51">
        <v>1</v>
      </c>
      <c r="B2" s="51">
        <v>1</v>
      </c>
      <c r="C2" s="51">
        <v>5.3999999999999995</v>
      </c>
    </row>
    <row r="3" spans="1:9" ht="14.4">
      <c r="A3" s="51"/>
      <c r="B3" s="51">
        <v>2</v>
      </c>
      <c r="C3" s="51">
        <v>5.76</v>
      </c>
    </row>
    <row r="4" spans="1:9">
      <c r="A4" s="51"/>
      <c r="B4" s="51">
        <v>3</v>
      </c>
      <c r="C4" s="51">
        <v>7.08</v>
      </c>
      <c r="G4" s="43" t="s">
        <v>74</v>
      </c>
      <c r="H4" s="43"/>
      <c r="I4" s="43"/>
    </row>
    <row r="5" spans="1:9">
      <c r="A5" s="52"/>
      <c r="B5" s="52">
        <v>4</v>
      </c>
      <c r="C5" s="52">
        <v>7.68</v>
      </c>
      <c r="G5" s="39">
        <v>1</v>
      </c>
      <c r="H5" s="53"/>
      <c r="I5" s="43"/>
    </row>
    <row r="6" spans="1:9">
      <c r="A6" s="51">
        <v>2</v>
      </c>
      <c r="B6" s="51">
        <v>1</v>
      </c>
      <c r="C6" s="51">
        <v>6.1199999999999992</v>
      </c>
      <c r="G6" s="39">
        <v>2</v>
      </c>
      <c r="H6" s="53"/>
      <c r="I6" s="43"/>
    </row>
    <row r="7" spans="1:9">
      <c r="A7" s="51"/>
      <c r="B7" s="51">
        <v>2</v>
      </c>
      <c r="C7" s="51">
        <v>6.3599999999999994</v>
      </c>
      <c r="G7" s="39">
        <v>3</v>
      </c>
      <c r="H7" s="53"/>
      <c r="I7" s="43"/>
    </row>
    <row r="8" spans="1:9">
      <c r="A8" s="51"/>
      <c r="B8" s="51">
        <v>3</v>
      </c>
      <c r="C8" s="51">
        <v>8.52</v>
      </c>
      <c r="G8" s="50">
        <v>4</v>
      </c>
      <c r="H8" s="53"/>
      <c r="I8" s="43"/>
    </row>
    <row r="9" spans="1:9">
      <c r="A9" s="52"/>
      <c r="B9" s="52">
        <v>4</v>
      </c>
      <c r="C9" s="52">
        <v>9.1199999999999992</v>
      </c>
      <c r="G9" s="43"/>
      <c r="H9" s="43"/>
      <c r="I9" s="43"/>
    </row>
    <row r="10" spans="1:9">
      <c r="A10" s="51">
        <v>3</v>
      </c>
      <c r="B10" s="51">
        <v>1</v>
      </c>
      <c r="C10" s="51">
        <v>6.6</v>
      </c>
      <c r="G10" s="43" t="s">
        <v>75</v>
      </c>
      <c r="H10" s="43"/>
      <c r="I10" s="43"/>
    </row>
    <row r="11" spans="1:9">
      <c r="A11" s="51"/>
      <c r="B11" s="51">
        <v>2</v>
      </c>
      <c r="C11" s="51">
        <v>6.6</v>
      </c>
      <c r="G11" s="70" t="s">
        <v>76</v>
      </c>
      <c r="H11" s="50" t="s">
        <v>77</v>
      </c>
      <c r="I11" s="53"/>
    </row>
    <row r="12" spans="1:9">
      <c r="A12" s="51"/>
      <c r="B12" s="51">
        <v>3</v>
      </c>
      <c r="C12" s="51">
        <v>8.76</v>
      </c>
      <c r="G12" s="70"/>
      <c r="H12" s="50" t="s">
        <v>78</v>
      </c>
      <c r="I12" s="53"/>
    </row>
    <row r="13" spans="1:9">
      <c r="A13" s="52"/>
      <c r="B13" s="52">
        <v>4</v>
      </c>
      <c r="C13" s="52">
        <v>9.6</v>
      </c>
      <c r="G13" s="70"/>
      <c r="H13" s="50" t="s">
        <v>79</v>
      </c>
      <c r="I13" s="53"/>
    </row>
    <row r="14" spans="1:9">
      <c r="A14" s="51">
        <v>4</v>
      </c>
      <c r="B14" s="51">
        <v>1</v>
      </c>
      <c r="C14" s="51">
        <v>7.4399999999999995</v>
      </c>
      <c r="G14" s="70"/>
      <c r="H14" s="50" t="s">
        <v>80</v>
      </c>
      <c r="I14" s="53"/>
    </row>
    <row r="15" spans="1:9" ht="14.4">
      <c r="A15" s="51"/>
      <c r="B15" s="51">
        <v>2</v>
      </c>
      <c r="C15" s="51">
        <v>7.56</v>
      </c>
    </row>
    <row r="16" spans="1:9" ht="14.4">
      <c r="A16" s="51"/>
      <c r="B16" s="51">
        <v>3</v>
      </c>
      <c r="C16" s="51">
        <v>9.6</v>
      </c>
    </row>
    <row r="17" spans="1:3" ht="14.4">
      <c r="A17" s="52"/>
      <c r="B17" s="52">
        <v>4</v>
      </c>
      <c r="C17" s="52">
        <v>10.199999999999999</v>
      </c>
    </row>
    <row r="18" spans="1:3" ht="14.4">
      <c r="A18" s="51">
        <v>5</v>
      </c>
      <c r="B18" s="51">
        <v>1</v>
      </c>
      <c r="C18" s="51">
        <v>8.52</v>
      </c>
    </row>
    <row r="19" spans="1:3" ht="14.4">
      <c r="A19" s="51"/>
      <c r="B19" s="51">
        <v>2</v>
      </c>
      <c r="C19" s="51">
        <v>8.76</v>
      </c>
    </row>
    <row r="20" spans="1:3" ht="14.4">
      <c r="A20" s="51"/>
      <c r="B20" s="51">
        <v>3</v>
      </c>
      <c r="C20" s="51">
        <v>10.199999999999999</v>
      </c>
    </row>
    <row r="21" spans="1:3" ht="14.4">
      <c r="A21" s="52"/>
      <c r="B21" s="52">
        <v>4</v>
      </c>
      <c r="C21" s="52">
        <v>10.56</v>
      </c>
    </row>
    <row r="22" spans="1:3" ht="14.4">
      <c r="A22" s="51">
        <v>6</v>
      </c>
      <c r="B22" s="51">
        <v>1</v>
      </c>
      <c r="C22" s="51">
        <v>9.8399999999999981</v>
      </c>
    </row>
    <row r="23" spans="1:3" ht="14.4">
      <c r="A23" s="51"/>
      <c r="B23" s="51">
        <v>2</v>
      </c>
      <c r="C23" s="51">
        <v>9.9600000000000009</v>
      </c>
    </row>
    <row r="24" spans="1:3" ht="14.4">
      <c r="A24" s="51"/>
      <c r="B24" s="51">
        <v>3</v>
      </c>
      <c r="C24" s="51">
        <v>10.799999999999999</v>
      </c>
    </row>
    <row r="25" spans="1:3" ht="14.4">
      <c r="A25" s="52"/>
      <c r="B25" s="52">
        <v>4</v>
      </c>
      <c r="C25" s="52">
        <v>11.04</v>
      </c>
    </row>
    <row r="26" spans="1:3" ht="14.4">
      <c r="A26" s="51">
        <v>7</v>
      </c>
      <c r="B26" s="51">
        <v>1</v>
      </c>
      <c r="C26" s="51">
        <v>10.199999999999999</v>
      </c>
    </row>
    <row r="27" spans="1:3" ht="14.4">
      <c r="A27" s="51"/>
      <c r="B27" s="51">
        <v>2</v>
      </c>
      <c r="C27" s="51">
        <v>10.56</v>
      </c>
    </row>
    <row r="28" spans="1:3" ht="14.4">
      <c r="A28" s="51"/>
      <c r="B28" s="51">
        <v>3</v>
      </c>
      <c r="C28" s="51">
        <v>11.76</v>
      </c>
    </row>
    <row r="29" spans="1:3" ht="14.4">
      <c r="A29" s="52"/>
      <c r="B29" s="52">
        <v>4</v>
      </c>
      <c r="C29" s="52">
        <v>11.88</v>
      </c>
    </row>
    <row r="30" spans="1:3" ht="14.4">
      <c r="A30" s="51">
        <v>8</v>
      </c>
      <c r="B30" s="51">
        <v>1</v>
      </c>
      <c r="C30" s="51">
        <v>11.28</v>
      </c>
    </row>
    <row r="31" spans="1:3" ht="14.4">
      <c r="A31" s="51"/>
      <c r="B31" s="51">
        <v>2</v>
      </c>
      <c r="C31" s="51">
        <v>11.16</v>
      </c>
    </row>
    <row r="32" spans="1:3" ht="14.4">
      <c r="A32" s="51"/>
      <c r="B32" s="51">
        <v>3</v>
      </c>
      <c r="C32" s="51">
        <v>12.719999999999999</v>
      </c>
    </row>
    <row r="33" spans="1:3" ht="14.4">
      <c r="A33" s="52"/>
      <c r="B33" s="52">
        <v>4</v>
      </c>
      <c r="C33" s="52">
        <v>12.839999999999998</v>
      </c>
    </row>
    <row r="34" spans="1:3" ht="14.4">
      <c r="A34" s="51">
        <v>9</v>
      </c>
      <c r="B34" s="51">
        <v>1</v>
      </c>
      <c r="C34" s="51">
        <v>12</v>
      </c>
    </row>
    <row r="35" spans="1:3" ht="14.4">
      <c r="A35" s="51"/>
      <c r="B35" s="51">
        <v>2</v>
      </c>
      <c r="C35" s="51">
        <v>12.239999999999998</v>
      </c>
    </row>
    <row r="36" spans="1:3" ht="14.4">
      <c r="A36" s="51"/>
      <c r="B36" s="51">
        <v>3</v>
      </c>
      <c r="C36" s="51">
        <v>13.2</v>
      </c>
    </row>
    <row r="37" spans="1:3" ht="14.4">
      <c r="A37" s="52"/>
      <c r="B37" s="52">
        <v>4</v>
      </c>
      <c r="C37" s="52">
        <v>13.56</v>
      </c>
    </row>
    <row r="38" spans="1:3" ht="14.4">
      <c r="A38" s="51">
        <v>10</v>
      </c>
      <c r="B38" s="51">
        <v>1</v>
      </c>
      <c r="C38" s="51">
        <v>12.96</v>
      </c>
    </row>
    <row r="39" spans="1:3" ht="14.4">
      <c r="A39" s="51"/>
      <c r="B39" s="51">
        <v>2</v>
      </c>
      <c r="C39" s="51">
        <v>12.719999999999999</v>
      </c>
    </row>
    <row r="40" spans="1:3" ht="14.4">
      <c r="A40" s="51"/>
      <c r="B40" s="51">
        <v>3</v>
      </c>
      <c r="C40" s="51">
        <v>13.92</v>
      </c>
    </row>
    <row r="41" spans="1:3" ht="14.4">
      <c r="A41" s="52"/>
      <c r="B41" s="52">
        <v>4</v>
      </c>
      <c r="C41" s="52">
        <v>13.68</v>
      </c>
    </row>
    <row r="42" spans="1:3" ht="14.4">
      <c r="A42" s="51">
        <v>11</v>
      </c>
      <c r="B42" s="51">
        <v>1</v>
      </c>
      <c r="C42" s="51">
        <v>13.2</v>
      </c>
    </row>
    <row r="43" spans="1:3" ht="14.4">
      <c r="A43" s="51"/>
      <c r="B43" s="51">
        <v>2</v>
      </c>
      <c r="C43" s="51">
        <v>13.44</v>
      </c>
    </row>
    <row r="44" spans="1:3" ht="14.4">
      <c r="A44" s="51"/>
      <c r="B44" s="51">
        <v>3</v>
      </c>
      <c r="C44" s="51">
        <v>15.36</v>
      </c>
    </row>
    <row r="45" spans="1:3" ht="14.4">
      <c r="A45" s="52"/>
      <c r="B45" s="52">
        <v>4</v>
      </c>
      <c r="C45" s="52">
        <v>15.12</v>
      </c>
    </row>
    <row r="46" spans="1:3" ht="14.4">
      <c r="A46" s="51">
        <v>12</v>
      </c>
      <c r="B46" s="51">
        <v>1</v>
      </c>
      <c r="C46" s="51">
        <v>13.68</v>
      </c>
    </row>
    <row r="47" spans="1:3" ht="14.4">
      <c r="A47" s="51"/>
      <c r="B47" s="51">
        <v>2</v>
      </c>
      <c r="C47" s="51">
        <v>13.799999999999999</v>
      </c>
    </row>
    <row r="48" spans="1:3" ht="14.4">
      <c r="A48" s="51"/>
      <c r="B48" s="51">
        <v>3</v>
      </c>
      <c r="C48" s="51">
        <v>15.6</v>
      </c>
    </row>
    <row r="49" spans="1:3" ht="14.4">
      <c r="A49" s="52"/>
      <c r="B49" s="52">
        <v>4</v>
      </c>
      <c r="C49" s="52">
        <v>15.719999999999999</v>
      </c>
    </row>
  </sheetData>
  <mergeCells count="1">
    <mergeCell ref="G11:G14"/>
  </mergeCells>
  <phoneticPr fontId="1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9"/>
  <sheetViews>
    <sheetView workbookViewId="0">
      <selection activeCell="J15" sqref="J15"/>
    </sheetView>
  </sheetViews>
  <sheetFormatPr defaultColWidth="9" defaultRowHeight="14.4"/>
  <cols>
    <col min="1" max="1" width="27.5546875" style="18" customWidth="1"/>
    <col min="2" max="2" width="20.33203125" style="18" customWidth="1"/>
    <col min="3" max="3" width="8.88671875" style="18"/>
    <col min="4" max="4" width="14.88671875" style="18" bestFit="1" customWidth="1"/>
    <col min="5" max="7" width="8.88671875" style="18"/>
    <col min="8" max="8" width="12.88671875" bestFit="1" customWidth="1"/>
    <col min="9" max="9" width="11.88671875" bestFit="1" customWidth="1"/>
    <col min="10" max="18" width="8.88671875" customWidth="1"/>
    <col min="19" max="16384" width="9" style="13"/>
  </cols>
  <sheetData>
    <row r="1" spans="1:5" ht="15.6">
      <c r="A1" s="54" t="s">
        <v>96</v>
      </c>
      <c r="B1" s="54" t="s">
        <v>81</v>
      </c>
    </row>
    <row r="2" spans="1:5" ht="15.15" customHeight="1">
      <c r="A2" s="39">
        <v>600</v>
      </c>
      <c r="B2" s="39">
        <v>100</v>
      </c>
      <c r="D2" s="55" t="s">
        <v>82</v>
      </c>
      <c r="E2" s="43"/>
    </row>
    <row r="3" spans="1:5" ht="15.6">
      <c r="A3" s="39">
        <v>2500</v>
      </c>
      <c r="B3" s="39">
        <v>1150</v>
      </c>
      <c r="D3" s="56" t="s">
        <v>83</v>
      </c>
      <c r="E3" s="57"/>
    </row>
    <row r="4" spans="1:5" ht="15.6">
      <c r="A4" s="39">
        <v>2900</v>
      </c>
      <c r="B4" s="39">
        <v>1400</v>
      </c>
      <c r="D4" s="56" t="s">
        <v>84</v>
      </c>
      <c r="E4" s="57"/>
    </row>
    <row r="5" spans="1:5" ht="15.6">
      <c r="A5" s="39">
        <v>3200</v>
      </c>
      <c r="B5" s="39">
        <v>2000</v>
      </c>
      <c r="D5" s="56" t="s">
        <v>85</v>
      </c>
      <c r="E5" s="57"/>
    </row>
    <row r="6" spans="1:5" ht="15.6">
      <c r="A6" s="39">
        <v>4100</v>
      </c>
      <c r="B6" s="39">
        <v>2500</v>
      </c>
      <c r="D6" s="56" t="s">
        <v>13</v>
      </c>
      <c r="E6" s="57"/>
    </row>
    <row r="7" spans="1:5" ht="15.6">
      <c r="A7" s="39">
        <v>5400</v>
      </c>
      <c r="B7" s="39">
        <v>2700</v>
      </c>
      <c r="D7" s="43"/>
      <c r="E7" s="43"/>
    </row>
    <row r="8" spans="1:5" ht="15.6">
      <c r="A8" s="39">
        <v>8600</v>
      </c>
      <c r="B8" s="39">
        <v>4200</v>
      </c>
      <c r="D8" s="58" t="s">
        <v>86</v>
      </c>
      <c r="E8" s="53">
        <v>3000</v>
      </c>
    </row>
    <row r="9" spans="1:5" ht="15.6">
      <c r="A9" s="39">
        <v>9300</v>
      </c>
      <c r="B9" s="39">
        <v>4300</v>
      </c>
      <c r="D9" s="55" t="s">
        <v>87</v>
      </c>
      <c r="E9" s="57">
        <f>E3+E4*SQRT(E8)+E5*LN(E8)</f>
        <v>0</v>
      </c>
    </row>
  </sheetData>
  <phoneticPr fontId="1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7"/>
  <sheetViews>
    <sheetView workbookViewId="0">
      <selection activeCell="I19" sqref="I19"/>
    </sheetView>
  </sheetViews>
  <sheetFormatPr defaultRowHeight="14.4"/>
  <cols>
    <col min="2" max="2" width="11.5546875" bestFit="1" customWidth="1"/>
    <col min="3" max="3" width="11.109375" bestFit="1" customWidth="1"/>
    <col min="4" max="4" width="9.44140625" customWidth="1"/>
    <col min="6" max="6" width="19.6640625" bestFit="1" customWidth="1"/>
    <col min="7" max="7" width="9.33203125" bestFit="1" customWidth="1"/>
  </cols>
  <sheetData>
    <row r="1" spans="1:7">
      <c r="A1" s="59" t="s">
        <v>88</v>
      </c>
      <c r="B1" s="59" t="s">
        <v>12</v>
      </c>
      <c r="C1" s="59" t="s">
        <v>89</v>
      </c>
      <c r="D1" s="59" t="s">
        <v>90</v>
      </c>
      <c r="F1" s="64" t="s">
        <v>91</v>
      </c>
      <c r="G1" s="65"/>
    </row>
    <row r="2" spans="1:7">
      <c r="A2" s="60">
        <v>1</v>
      </c>
      <c r="B2" s="61">
        <v>42948</v>
      </c>
      <c r="C2" s="62">
        <v>3</v>
      </c>
      <c r="D2" s="63"/>
      <c r="F2" s="64" t="s">
        <v>92</v>
      </c>
      <c r="G2" s="65"/>
    </row>
    <row r="3" spans="1:7" ht="16.2">
      <c r="A3" s="60">
        <v>2</v>
      </c>
      <c r="B3" s="61">
        <v>42979</v>
      </c>
      <c r="C3" s="62">
        <v>9.8000000000000007</v>
      </c>
      <c r="D3" s="63"/>
      <c r="F3" s="66" t="s">
        <v>93</v>
      </c>
      <c r="G3" s="65"/>
    </row>
    <row r="4" spans="1:7">
      <c r="A4" s="60">
        <v>3</v>
      </c>
      <c r="B4" s="61">
        <v>43009</v>
      </c>
      <c r="C4" s="62">
        <v>13.5</v>
      </c>
      <c r="D4" s="63"/>
      <c r="F4" s="67" t="s">
        <v>94</v>
      </c>
      <c r="G4" s="68"/>
    </row>
    <row r="5" spans="1:7">
      <c r="A5" s="60">
        <v>4</v>
      </c>
      <c r="B5" s="61">
        <v>43040</v>
      </c>
      <c r="C5" s="62">
        <v>20.3</v>
      </c>
      <c r="D5" s="63"/>
      <c r="F5" s="64" t="s">
        <v>95</v>
      </c>
      <c r="G5" s="69"/>
    </row>
    <row r="6" spans="1:7">
      <c r="A6" s="60">
        <v>5</v>
      </c>
      <c r="B6" s="61">
        <v>43070</v>
      </c>
      <c r="C6" s="62">
        <v>27.8</v>
      </c>
      <c r="D6" s="63"/>
    </row>
    <row r="7" spans="1:7">
      <c r="A7" s="60">
        <v>6</v>
      </c>
      <c r="B7" s="61">
        <v>43101</v>
      </c>
      <c r="C7" s="62">
        <v>33.5</v>
      </c>
      <c r="D7" s="63"/>
    </row>
    <row r="8" spans="1:7">
      <c r="A8" s="60">
        <v>7</v>
      </c>
      <c r="B8" s="61">
        <v>43132</v>
      </c>
      <c r="C8" s="62">
        <v>45.6</v>
      </c>
      <c r="D8" s="63"/>
    </row>
    <row r="9" spans="1:7">
      <c r="A9" s="60">
        <v>8</v>
      </c>
      <c r="B9" s="61">
        <v>43160</v>
      </c>
      <c r="C9" s="62">
        <v>56.7</v>
      </c>
      <c r="D9" s="63"/>
    </row>
    <row r="10" spans="1:7">
      <c r="A10" s="60">
        <v>9</v>
      </c>
      <c r="B10" s="61">
        <v>43191</v>
      </c>
      <c r="C10" s="62">
        <v>66.8</v>
      </c>
      <c r="D10" s="63"/>
    </row>
    <row r="11" spans="1:7">
      <c r="A11" s="60">
        <v>10</v>
      </c>
      <c r="B11" s="61">
        <v>43221</v>
      </c>
      <c r="C11" s="62">
        <v>78.099999999999994</v>
      </c>
      <c r="D11" s="63"/>
    </row>
    <row r="12" spans="1:7">
      <c r="A12" s="60">
        <v>11</v>
      </c>
      <c r="B12" s="61">
        <v>43252</v>
      </c>
      <c r="C12" s="62">
        <v>99.4</v>
      </c>
      <c r="D12" s="63"/>
    </row>
    <row r="13" spans="1:7">
      <c r="A13" s="60">
        <v>12</v>
      </c>
      <c r="B13" s="61">
        <v>43282</v>
      </c>
      <c r="C13" s="62">
        <v>118.6</v>
      </c>
      <c r="D13" s="63"/>
    </row>
    <row r="14" spans="1:7">
      <c r="A14" s="60">
        <v>13</v>
      </c>
      <c r="B14" s="61">
        <v>43313</v>
      </c>
      <c r="C14" s="62">
        <v>163.9</v>
      </c>
      <c r="D14" s="63"/>
    </row>
    <row r="15" spans="1:7">
      <c r="A15" s="60">
        <v>14</v>
      </c>
      <c r="B15" s="61">
        <v>43344</v>
      </c>
      <c r="C15" s="62">
        <v>187.2</v>
      </c>
      <c r="D15" s="63"/>
    </row>
    <row r="16" spans="1:7">
      <c r="A16" s="60">
        <v>15</v>
      </c>
      <c r="B16" s="61">
        <v>43374</v>
      </c>
      <c r="C16" s="62">
        <v>190.5</v>
      </c>
      <c r="D16" s="63"/>
    </row>
    <row r="17" spans="1:4">
      <c r="A17" s="60">
        <v>16</v>
      </c>
      <c r="B17" s="61">
        <v>43405</v>
      </c>
      <c r="C17" s="13"/>
      <c r="D17" s="63"/>
    </row>
  </sheetData>
  <phoneticPr fontId="1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文档" ma:contentTypeID="0x0101004D679592C517BE42A6AB709CFEB779AE" ma:contentTypeVersion="14" ma:contentTypeDescription="新建文档。" ma:contentTypeScope="" ma:versionID="5b91639eea82058d4fcc645a58887560">
  <xsd:schema xmlns:xsd="http://www.w3.org/2001/XMLSchema" xmlns:xs="http://www.w3.org/2001/XMLSchema" xmlns:p="http://schemas.microsoft.com/office/2006/metadata/properties" xmlns:ns3="4f53fcc8-48dc-40fb-88c9-9902ab3d4dc8" xmlns:ns4="21fefaad-fc57-4c12-85a5-7216a84fcb32" targetNamespace="http://schemas.microsoft.com/office/2006/metadata/properties" ma:root="true" ma:fieldsID="765778863642be229a004937bb3389c1" ns3:_="" ns4:_="">
    <xsd:import namespace="4f53fcc8-48dc-40fb-88c9-9902ab3d4dc8"/>
    <xsd:import namespace="21fefaad-fc57-4c12-85a5-7216a84fcb3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53fcc8-48dc-40fb-88c9-9902ab3d4d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fefaad-fc57-4c12-85a5-7216a84fcb32" elementFormDefault="qualified">
    <xsd:import namespace="http://schemas.microsoft.com/office/2006/documentManagement/types"/>
    <xsd:import namespace="http://schemas.microsoft.com/office/infopath/2007/PartnerControls"/>
    <xsd:element name="SharedWithUsers" ma:index="1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享对象详细信息" ma:internalName="SharedWithDetails" ma:readOnly="true">
      <xsd:simpleType>
        <xsd:restriction base="dms:Note">
          <xsd:maxLength value="255"/>
        </xsd:restriction>
      </xsd:simpleType>
    </xsd:element>
    <xsd:element name="SharingHintHash" ma:index="20" nillable="true" ma:displayName="共享提示哈希"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���z�p0�z�p
</file>

<file path=customXml/item18.xml>��
</file>

<file path=customXml/item19.xml>��
</file>

<file path=customXml/item20.xml>��
</file>

<file path=customXml/item21.xml><?xml version="1.0" encoding="utf-8"?>
<p:properties xmlns:p="http://schemas.microsoft.com/office/2006/metadata/properties" xmlns:xsi="http://www.w3.org/2001/XMLSchema-instance" xmlns:pc="http://schemas.microsoft.com/office/infopath/2007/PartnerControls">
  <documentManagement/>
</p:properties>
</file>

<file path=customXml/item22.xml>��
</file>

<file path=customXml/item23.xml>��
</file>

<file path=customXml/itemProps1.xml><?xml version="1.0" encoding="utf-8"?>
<ds:datastoreItem xmlns:ds="http://schemas.openxmlformats.org/officeDocument/2006/customXml" ds:itemID="{3DA78347-4EB6-49DF-BEDF-C08C9566DFD0}">
  <ds:schemaRefs/>
</ds:datastoreItem>
</file>

<file path=customXml/itemProps2.xml><?xml version="1.0" encoding="utf-8"?>
<ds:datastoreItem xmlns:ds="http://schemas.openxmlformats.org/officeDocument/2006/customXml" ds:itemID="{F0CDDB4A-6DF0-44EA-907A-4E2043E90DF1}">
  <ds:schemaRefs/>
</ds:datastoreItem>
</file>

<file path=customXml/itemProps3.xml><?xml version="1.0" encoding="utf-8"?>
<ds:datastoreItem xmlns:ds="http://schemas.openxmlformats.org/officeDocument/2006/customXml" ds:itemID="{A1C7CF71-C574-4F90-8101-D1D111A9A978}">
  <ds:schemaRefs/>
</ds:datastoreItem>
</file>

<file path=customXml/itemProps4.xml><?xml version="1.0" encoding="utf-8"?>
<ds:datastoreItem xmlns:ds="http://schemas.openxmlformats.org/officeDocument/2006/customXml" ds:itemID="{925C8BEE-D9F0-4DDF-9C14-1D75048053BE}">
  <ds:schemaRefs/>
</ds:datastoreItem>
</file>

<file path=customXml/itemProps5.xml><?xml version="1.0" encoding="utf-8"?>
<ds:datastoreItem xmlns:ds="http://schemas.openxmlformats.org/officeDocument/2006/customXml" ds:itemID="{C583C356-B530-4F45-9273-AACF925D3A04}">
  <ds:schemaRefs/>
</ds:datastoreItem>
</file>

<file path=customXml/itemProps6.xml><?xml version="1.0" encoding="utf-8"?>
<ds:datastoreItem xmlns:ds="http://schemas.openxmlformats.org/officeDocument/2006/customXml" ds:itemID="{D935C23C-4FF8-40F0-A685-F0D2C693C50A}">
  <ds:schemaRefs/>
</ds:datastoreItem>
</file>

<file path=customXml/itemProps7.xml><?xml version="1.0" encoding="utf-8"?>
<ds:datastoreItem xmlns:ds="http://schemas.openxmlformats.org/officeDocument/2006/customXml" ds:itemID="{445B517B-24CC-432B-85F5-06C8193B87A9}">
  <ds:schemaRefs/>
</ds:datastoreItem>
</file>

<file path=customXml/itemProps8.xml><?xml version="1.0" encoding="utf-8"?>
<ds:datastoreItem xmlns:ds="http://schemas.openxmlformats.org/officeDocument/2006/customXml" ds:itemID="{66EC685E-32FC-46F2-AEDD-7BE142B34A0B}">
  <ds:schemaRefs>
    <ds:schemaRef ds:uri="http://schemas.microsoft.com/sharepoint/v3/contenttype/forms"/>
  </ds:schemaRefs>
</ds:datastoreItem>
</file>

<file path=customXml/itemProps9.xml><?xml version="1.0" encoding="utf-8"?>
<ds:datastoreItem xmlns:ds="http://schemas.openxmlformats.org/officeDocument/2006/customXml" ds:itemID="{4760B6AB-A936-47A9-AA78-33BAABDC8B20}">
  <ds:schemaRefs/>
</ds:datastoreItem>
</file>

<file path=customXml/itemProps10.xml><?xml version="1.0" encoding="utf-8"?>
<ds:datastoreItem xmlns:ds="http://schemas.openxmlformats.org/officeDocument/2006/customXml" ds:itemID="{71AD24DF-995D-451B-BD48-CBBF18CD874F}">
  <ds:schemaRefs/>
</ds:datastoreItem>
</file>

<file path=customXml/itemProps11.xml><?xml version="1.0" encoding="utf-8"?>
<ds:datastoreItem xmlns:ds="http://schemas.openxmlformats.org/officeDocument/2006/customXml" ds:itemID="{DC22A5D7-1436-4DBB-9FE4-8E8142B1526F}">
  <ds:schemaRefs/>
</ds:datastoreItem>
</file>

<file path=customXml/itemProps12.xml><?xml version="1.0" encoding="utf-8"?>
<ds:datastoreItem xmlns:ds="http://schemas.openxmlformats.org/officeDocument/2006/customXml" ds:itemID="{7DCF52AC-E9B5-46B0-BB16-03A69F5E31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53fcc8-48dc-40fb-88c9-9902ab3d4dc8"/>
    <ds:schemaRef ds:uri="21fefaad-fc57-4c12-85a5-7216a84fcb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C9C28844-6540-4D84-AF49-90C53BF33098}">
  <ds:schemaRefs/>
</ds:datastoreItem>
</file>

<file path=customXml/itemProps14.xml><?xml version="1.0" encoding="utf-8"?>
<ds:datastoreItem xmlns:ds="http://schemas.openxmlformats.org/officeDocument/2006/customXml" ds:itemID="{0153E8E2-0869-4E22-B60D-A5F45A7C4E94}">
  <ds:schemaRefs/>
</ds:datastoreItem>
</file>

<file path=customXml/itemProps15.xml><?xml version="1.0" encoding="utf-8"?>
<ds:datastoreItem xmlns:ds="http://schemas.openxmlformats.org/officeDocument/2006/customXml" ds:itemID="{8B7BA7CF-BD01-498C-8DED-478826FC717B}">
  <ds:schemaRefs/>
</ds:datastoreItem>
</file>

<file path=customXml/itemProps16.xml><?xml version="1.0" encoding="utf-8"?>
<ds:datastoreItem xmlns:ds="http://schemas.openxmlformats.org/officeDocument/2006/customXml" ds:itemID="{F6BEA60F-8BAE-4314-9435-E96C5E899E6A}">
  <ds:schemaRefs/>
</ds:datastoreItem>
</file>

<file path=customXml/itemProps17.xml><?xml version="1.0" encoding="utf-8"?>
<ds:datastoreItem xmlns:ds="http://schemas.openxmlformats.org/officeDocument/2006/customXml" ds:itemID="{060DBA10-2B78-457E-9ED2-6F534C1AB1B2}">
  <ds:schemaRefs/>
</ds:datastoreItem>
</file>

<file path=customXml/itemProps18.xml><?xml version="1.0" encoding="utf-8"?>
<ds:datastoreItem xmlns:ds="http://schemas.openxmlformats.org/officeDocument/2006/customXml" ds:itemID="{6898A691-877D-45B0-9FB4-7B7D93C0C3EA}">
  <ds:schemaRefs/>
</ds:datastoreItem>
</file>

<file path=customXml/itemProps19.xml><?xml version="1.0" encoding="utf-8"?>
<ds:datastoreItem xmlns:ds="http://schemas.openxmlformats.org/officeDocument/2006/customXml" ds:itemID="{9530636E-4507-49D9-88BD-6089E8C1B612}">
  <ds:schemaRefs/>
</ds:datastoreItem>
</file>

<file path=customXml/itemProps20.xml><?xml version="1.0" encoding="utf-8"?>
<ds:datastoreItem xmlns:ds="http://schemas.openxmlformats.org/officeDocument/2006/customXml" ds:itemID="{3B6C7E6C-8820-4D23-8BA9-D6BFFA8E3856}">
  <ds:schemaRefs/>
</ds:datastoreItem>
</file>

<file path=customXml/itemProps21.xml><?xml version="1.0" encoding="utf-8"?>
<ds:datastoreItem xmlns:ds="http://schemas.openxmlformats.org/officeDocument/2006/customXml" ds:itemID="{A69014E0-A4C6-48A1-96E4-F2B56199341C}">
  <ds:schemaRefs>
    <ds:schemaRef ds:uri="http://schemas.microsoft.com/office/2006/documentManagement/types"/>
    <ds:schemaRef ds:uri="http://purl.org/dc/terms/"/>
    <ds:schemaRef ds:uri="http://www.w3.org/XML/1998/namespace"/>
    <ds:schemaRef ds:uri="http://purl.org/dc/elements/1.1/"/>
    <ds:schemaRef ds:uri="http://schemas.openxmlformats.org/package/2006/metadata/core-properties"/>
    <ds:schemaRef ds:uri="http://schemas.microsoft.com/office/infopath/2007/PartnerControls"/>
    <ds:schemaRef ds:uri="http://purl.org/dc/dcmitype/"/>
    <ds:schemaRef ds:uri="http://schemas.microsoft.com/office/2006/metadata/properties"/>
    <ds:schemaRef ds:uri="21fefaad-fc57-4c12-85a5-7216a84fcb32"/>
    <ds:schemaRef ds:uri="4f53fcc8-48dc-40fb-88c9-9902ab3d4dc8"/>
  </ds:schemaRefs>
</ds:datastoreItem>
</file>

<file path=customXml/itemProps22.xml><?xml version="1.0" encoding="utf-8"?>
<ds:datastoreItem xmlns:ds="http://schemas.openxmlformats.org/officeDocument/2006/customXml" ds:itemID="{D712900C-A31A-4D39-A1CB-34883DEB7AFD}">
  <ds:schemaRefs/>
</ds:datastoreItem>
</file>

<file path=customXml/itemProps23.xml><?xml version="1.0" encoding="utf-8"?>
<ds:datastoreItem xmlns:ds="http://schemas.openxmlformats.org/officeDocument/2006/customXml" ds:itemID="{15B03EE4-06E0-45F4-AF45-56254B24F5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工作表</vt:lpstr>
      </vt:variant>
      <vt:variant>
        <vt:i4>9</vt:i4>
      </vt:variant>
      <vt:variant>
        <vt:lpstr>图表</vt:lpstr>
      </vt:variant>
      <vt:variant>
        <vt:i4>1</vt:i4>
      </vt:variant>
      <vt:variant>
        <vt:lpstr>命名范围</vt:lpstr>
      </vt:variant>
      <vt:variant>
        <vt:i4>1</vt:i4>
      </vt:variant>
    </vt:vector>
  </HeadingPairs>
  <TitlesOfParts>
    <vt:vector size="11" baseType="lpstr">
      <vt:lpstr>考试须知</vt:lpstr>
      <vt:lpstr>第1题</vt:lpstr>
      <vt:lpstr>第2题</vt:lpstr>
      <vt:lpstr>第3题</vt:lpstr>
      <vt:lpstr>第4题</vt:lpstr>
      <vt:lpstr>第5题</vt:lpstr>
      <vt:lpstr>第6题</vt:lpstr>
      <vt:lpstr>第7题</vt:lpstr>
      <vt:lpstr>第8题</vt:lpstr>
      <vt:lpstr>Chart1</vt:lpstr>
      <vt:lpstr>第2题!提取</vt:lpstr>
    </vt:vector>
  </TitlesOfParts>
  <Company>上海财经大学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端木辰</cp:lastModifiedBy>
  <dcterms:created xsi:type="dcterms:W3CDTF">2010-12-28T07:11:34Z</dcterms:created>
  <dcterms:modified xsi:type="dcterms:W3CDTF">2024-11-10T15:22:56Z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0x0101004D679592C517BE42A6AB709CFEB779AE</vt:lpwstr>
  </property>
</Properties>
</file>